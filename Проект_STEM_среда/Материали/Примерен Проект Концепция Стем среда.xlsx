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arin\Desktop\"/>
    </mc:Choice>
  </mc:AlternateContent>
  <bookViews>
    <workbookView xWindow="0" yWindow="0" windowWidth="23040" windowHeight="8496"/>
  </bookViews>
  <sheets>
    <sheet name="Концепция" sheetId="1" r:id="rId1"/>
    <sheet name="Направление 1" sheetId="2" r:id="rId2"/>
    <sheet name="Направление 2" sheetId="3" r:id="rId3"/>
    <sheet name="Направление 3" sheetId="4" r:id="rId4"/>
    <sheet name="Направление 4" sheetId="5" r:id="rId5"/>
    <sheet name="Направление 5" sheetId="6" r:id="rId6"/>
    <sheet name="ВОСКС" sheetId="7" r:id="rId7"/>
    <sheet name="Специализирано оборудване" sheetId="8" r:id="rId8"/>
    <sheet name="Училища" sheetId="9" state="hidden" r:id="rId9"/>
    <sheet name="Стойности" sheetId="10" state="hidden" r:id="rId10"/>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72" i="9" l="1"/>
  <c r="L2272" i="9"/>
  <c r="P2272" i="9" s="1"/>
  <c r="K2272" i="9"/>
  <c r="S2271" i="9"/>
  <c r="M2271" i="9"/>
  <c r="L2271" i="9"/>
  <c r="T2271" i="9" s="1"/>
  <c r="K2271" i="9"/>
  <c r="S2270" i="9"/>
  <c r="L2270" i="9"/>
  <c r="P2270" i="9" s="1"/>
  <c r="K2270" i="9"/>
  <c r="T2269" i="9"/>
  <c r="S2269" i="9"/>
  <c r="P2269" i="9"/>
  <c r="O2269" i="9"/>
  <c r="N2269" i="9"/>
  <c r="M2269" i="9"/>
  <c r="K2269" i="9"/>
  <c r="T2268" i="9"/>
  <c r="U2268" i="9" s="1"/>
  <c r="V2268" i="9" s="1"/>
  <c r="S2268" i="9"/>
  <c r="P2268" i="9"/>
  <c r="N2268" i="9"/>
  <c r="O2268" i="9" s="1"/>
  <c r="M2268" i="9"/>
  <c r="K2268" i="9"/>
  <c r="T2267" i="9"/>
  <c r="S2267" i="9"/>
  <c r="P2267" i="9"/>
  <c r="N2267" i="9"/>
  <c r="O2267" i="9" s="1"/>
  <c r="M2267" i="9"/>
  <c r="K2267" i="9"/>
  <c r="T2266" i="9"/>
  <c r="S2266" i="9"/>
  <c r="P2266" i="9"/>
  <c r="N2266" i="9"/>
  <c r="O2266" i="9" s="1"/>
  <c r="M2266" i="9"/>
  <c r="K2266" i="9"/>
  <c r="S2265" i="9"/>
  <c r="L2265" i="9"/>
  <c r="T2265" i="9" s="1"/>
  <c r="K2265" i="9"/>
  <c r="U2264" i="9"/>
  <c r="T2264" i="9"/>
  <c r="S2264" i="9"/>
  <c r="P2264" i="9"/>
  <c r="O2264" i="9"/>
  <c r="N2264" i="9"/>
  <c r="M2264" i="9"/>
  <c r="K2264" i="9"/>
  <c r="S2263" i="9"/>
  <c r="N2263" i="9"/>
  <c r="O2263" i="9" s="1"/>
  <c r="L2263" i="9"/>
  <c r="M2263" i="9" s="1"/>
  <c r="K2263" i="9"/>
  <c r="S2262" i="9"/>
  <c r="L2262" i="9"/>
  <c r="K2262" i="9"/>
  <c r="T2261" i="9"/>
  <c r="S2261" i="9"/>
  <c r="P2261" i="9"/>
  <c r="N2261" i="9"/>
  <c r="O2261" i="9" s="1"/>
  <c r="M2261" i="9"/>
  <c r="K2261" i="9"/>
  <c r="S2260" i="9"/>
  <c r="L2260" i="9"/>
  <c r="K2260" i="9"/>
  <c r="S2259" i="9"/>
  <c r="L2259" i="9"/>
  <c r="P2259" i="9" s="1"/>
  <c r="K2259" i="9"/>
  <c r="T2258" i="9"/>
  <c r="U2258" i="9" s="1"/>
  <c r="V2258" i="9" s="1"/>
  <c r="S2258" i="9"/>
  <c r="P2258" i="9"/>
  <c r="N2258" i="9"/>
  <c r="O2258" i="9" s="1"/>
  <c r="M2258" i="9"/>
  <c r="K2258" i="9"/>
  <c r="T2257" i="9"/>
  <c r="U2257" i="9" s="1"/>
  <c r="V2257" i="9" s="1"/>
  <c r="S2257" i="9"/>
  <c r="P2257" i="9"/>
  <c r="N2257" i="9"/>
  <c r="O2257" i="9" s="1"/>
  <c r="M2257" i="9"/>
  <c r="K2257" i="9"/>
  <c r="T2256" i="9"/>
  <c r="S2256" i="9"/>
  <c r="N2256" i="9"/>
  <c r="O2256" i="9" s="1"/>
  <c r="M2256" i="9"/>
  <c r="L2256" i="9"/>
  <c r="P2256" i="9" s="1"/>
  <c r="K2256" i="9"/>
  <c r="U2255" i="9"/>
  <c r="S2255" i="9"/>
  <c r="L2255" i="9"/>
  <c r="T2255" i="9" s="1"/>
  <c r="K2255" i="9"/>
  <c r="S2254" i="9"/>
  <c r="L2254" i="9"/>
  <c r="K2254" i="9"/>
  <c r="T2253" i="9"/>
  <c r="U2253" i="9" s="1"/>
  <c r="V2253" i="9" s="1"/>
  <c r="S2253" i="9"/>
  <c r="P2253" i="9"/>
  <c r="N2253" i="9"/>
  <c r="O2253" i="9" s="1"/>
  <c r="M2253" i="9"/>
  <c r="K2253" i="9"/>
  <c r="S2252" i="9"/>
  <c r="L2252" i="9"/>
  <c r="K2252" i="9"/>
  <c r="T2251" i="9"/>
  <c r="S2251" i="9"/>
  <c r="L2251" i="9"/>
  <c r="M2251" i="9" s="1"/>
  <c r="K2251" i="9"/>
  <c r="S2250" i="9"/>
  <c r="L2250" i="9"/>
  <c r="K2250" i="9"/>
  <c r="T2249" i="9"/>
  <c r="S2249" i="9"/>
  <c r="P2249" i="9"/>
  <c r="N2249" i="9"/>
  <c r="O2249" i="9" s="1"/>
  <c r="M2249" i="9"/>
  <c r="K2249" i="9"/>
  <c r="U2248" i="9"/>
  <c r="V2248" i="9" s="1"/>
  <c r="T2248" i="9"/>
  <c r="S2248" i="9"/>
  <c r="P2248" i="9"/>
  <c r="O2248" i="9"/>
  <c r="N2248" i="9"/>
  <c r="M2248" i="9"/>
  <c r="K2248" i="9"/>
  <c r="S2247" i="9"/>
  <c r="L2247" i="9"/>
  <c r="K2247" i="9"/>
  <c r="T2246" i="9"/>
  <c r="S2246" i="9"/>
  <c r="P2246" i="9"/>
  <c r="N2246" i="9"/>
  <c r="O2246" i="9" s="1"/>
  <c r="M2246" i="9"/>
  <c r="K2246" i="9"/>
  <c r="U2245" i="9"/>
  <c r="V2245" i="9" s="1"/>
  <c r="T2245" i="9"/>
  <c r="S2245" i="9"/>
  <c r="P2245" i="9"/>
  <c r="O2245" i="9"/>
  <c r="N2245" i="9"/>
  <c r="M2245" i="9"/>
  <c r="K2245" i="9"/>
  <c r="S2244" i="9"/>
  <c r="L2244" i="9"/>
  <c r="K2244" i="9"/>
  <c r="T2243" i="9"/>
  <c r="S2243" i="9"/>
  <c r="P2243" i="9"/>
  <c r="N2243" i="9"/>
  <c r="O2243" i="9" s="1"/>
  <c r="M2243" i="9"/>
  <c r="K2243" i="9"/>
  <c r="T2242" i="9"/>
  <c r="U2242" i="9" s="1"/>
  <c r="V2242" i="9" s="1"/>
  <c r="S2242" i="9"/>
  <c r="P2242" i="9"/>
  <c r="O2242" i="9"/>
  <c r="N2242" i="9"/>
  <c r="M2242" i="9"/>
  <c r="K2242" i="9"/>
  <c r="T2241" i="9"/>
  <c r="U2241" i="9" s="1"/>
  <c r="V2241" i="9" s="1"/>
  <c r="S2241" i="9"/>
  <c r="P2241" i="9"/>
  <c r="N2241" i="9"/>
  <c r="O2241" i="9" s="1"/>
  <c r="M2241" i="9"/>
  <c r="K2241" i="9"/>
  <c r="T2240" i="9"/>
  <c r="S2240" i="9"/>
  <c r="P2240" i="9"/>
  <c r="N2240" i="9"/>
  <c r="O2240" i="9" s="1"/>
  <c r="M2240" i="9"/>
  <c r="K2240" i="9"/>
  <c r="T2239" i="9"/>
  <c r="S2239" i="9"/>
  <c r="P2239" i="9"/>
  <c r="N2239" i="9"/>
  <c r="O2239" i="9" s="1"/>
  <c r="M2239" i="9"/>
  <c r="K2239" i="9"/>
  <c r="U2238" i="9"/>
  <c r="V2238" i="9" s="1"/>
  <c r="T2238" i="9"/>
  <c r="S2238" i="9"/>
  <c r="P2238" i="9"/>
  <c r="N2238" i="9"/>
  <c r="O2238" i="9" s="1"/>
  <c r="M2238" i="9"/>
  <c r="K2238" i="9"/>
  <c r="S2237" i="9"/>
  <c r="L2237" i="9"/>
  <c r="K2237" i="9"/>
  <c r="S2236" i="9"/>
  <c r="L2236" i="9"/>
  <c r="K2236" i="9"/>
  <c r="T2235" i="9"/>
  <c r="U2235" i="9" s="1"/>
  <c r="V2235" i="9" s="1"/>
  <c r="S2235" i="9"/>
  <c r="P2235" i="9"/>
  <c r="N2235" i="9"/>
  <c r="O2235" i="9" s="1"/>
  <c r="M2235" i="9"/>
  <c r="K2235" i="9"/>
  <c r="T2234" i="9"/>
  <c r="S2234" i="9"/>
  <c r="P2234" i="9"/>
  <c r="N2234" i="9"/>
  <c r="O2234" i="9" s="1"/>
  <c r="M2234" i="9"/>
  <c r="K2234" i="9"/>
  <c r="S2233" i="9"/>
  <c r="L2233" i="9"/>
  <c r="K2233" i="9"/>
  <c r="T2232" i="9"/>
  <c r="U2232" i="9" s="1"/>
  <c r="V2232" i="9" s="1"/>
  <c r="S2232" i="9"/>
  <c r="P2232" i="9"/>
  <c r="N2232" i="9"/>
  <c r="O2232" i="9" s="1"/>
  <c r="M2232" i="9"/>
  <c r="K2232" i="9"/>
  <c r="T2231" i="9"/>
  <c r="S2231" i="9"/>
  <c r="P2231" i="9"/>
  <c r="N2231" i="9"/>
  <c r="O2231" i="9" s="1"/>
  <c r="M2231" i="9"/>
  <c r="K2231" i="9"/>
  <c r="T2230" i="9"/>
  <c r="S2230" i="9"/>
  <c r="P2230" i="9"/>
  <c r="N2230" i="9"/>
  <c r="O2230" i="9" s="1"/>
  <c r="M2230" i="9"/>
  <c r="K2230" i="9"/>
  <c r="T2229" i="9"/>
  <c r="U2229" i="9" s="1"/>
  <c r="V2229" i="9" s="1"/>
  <c r="S2229" i="9"/>
  <c r="P2229" i="9"/>
  <c r="N2229" i="9"/>
  <c r="O2229" i="9" s="1"/>
  <c r="M2229" i="9"/>
  <c r="K2229" i="9"/>
  <c r="S2228" i="9"/>
  <c r="L2228" i="9"/>
  <c r="K2228" i="9"/>
  <c r="T2227" i="9"/>
  <c r="S2227" i="9"/>
  <c r="P2227" i="9"/>
  <c r="N2227" i="9"/>
  <c r="O2227" i="9" s="1"/>
  <c r="M2227" i="9"/>
  <c r="K2227" i="9"/>
  <c r="U2226" i="9"/>
  <c r="V2226" i="9" s="1"/>
  <c r="T2226" i="9"/>
  <c r="S2226" i="9"/>
  <c r="P2226" i="9"/>
  <c r="O2226" i="9"/>
  <c r="N2226" i="9"/>
  <c r="M2226" i="9"/>
  <c r="K2226" i="9"/>
  <c r="S2225" i="9"/>
  <c r="P2225" i="9"/>
  <c r="L2225" i="9"/>
  <c r="K2225" i="9"/>
  <c r="U2224" i="9"/>
  <c r="T2224" i="9"/>
  <c r="S2224" i="9"/>
  <c r="L2224" i="9"/>
  <c r="K2224" i="9"/>
  <c r="T2223" i="9"/>
  <c r="U2223" i="9" s="1"/>
  <c r="V2223" i="9" s="1"/>
  <c r="S2223" i="9"/>
  <c r="P2223" i="9"/>
  <c r="N2223" i="9"/>
  <c r="O2223" i="9" s="1"/>
  <c r="M2223" i="9"/>
  <c r="K2223" i="9"/>
  <c r="T2222" i="9"/>
  <c r="S2222" i="9"/>
  <c r="P2222" i="9"/>
  <c r="N2222" i="9"/>
  <c r="O2222" i="9" s="1"/>
  <c r="M2222" i="9"/>
  <c r="K2222" i="9"/>
  <c r="U2221" i="9"/>
  <c r="T2221" i="9"/>
  <c r="S2221" i="9"/>
  <c r="P2221" i="9"/>
  <c r="O2221" i="9"/>
  <c r="N2221" i="9"/>
  <c r="M2221" i="9"/>
  <c r="K2221" i="9"/>
  <c r="T2220" i="9"/>
  <c r="S2220" i="9"/>
  <c r="P2220" i="9"/>
  <c r="N2220" i="9"/>
  <c r="O2220" i="9" s="1"/>
  <c r="M2220" i="9"/>
  <c r="K2220" i="9"/>
  <c r="T2219" i="9"/>
  <c r="U2219" i="9" s="1"/>
  <c r="V2219" i="9" s="1"/>
  <c r="S2219" i="9"/>
  <c r="P2219" i="9"/>
  <c r="N2219" i="9"/>
  <c r="O2219" i="9" s="1"/>
  <c r="M2219" i="9"/>
  <c r="K2219" i="9"/>
  <c r="T2218" i="9"/>
  <c r="S2218" i="9"/>
  <c r="P2218" i="9"/>
  <c r="N2218" i="9"/>
  <c r="O2218" i="9" s="1"/>
  <c r="M2218" i="9"/>
  <c r="K2218" i="9"/>
  <c r="T2217" i="9"/>
  <c r="S2217" i="9"/>
  <c r="P2217" i="9"/>
  <c r="N2217" i="9"/>
  <c r="O2217" i="9" s="1"/>
  <c r="M2217" i="9"/>
  <c r="K2217" i="9"/>
  <c r="S2216" i="9"/>
  <c r="L2216" i="9"/>
  <c r="K2216" i="9"/>
  <c r="S2215" i="9"/>
  <c r="M2215" i="9"/>
  <c r="L2215" i="9"/>
  <c r="K2215" i="9"/>
  <c r="S2214" i="9"/>
  <c r="L2214" i="9"/>
  <c r="K2214" i="9"/>
  <c r="T2213" i="9"/>
  <c r="S2213" i="9"/>
  <c r="P2213" i="9"/>
  <c r="N2213" i="9"/>
  <c r="O2213" i="9" s="1"/>
  <c r="M2213" i="9"/>
  <c r="K2213" i="9"/>
  <c r="U2212" i="9"/>
  <c r="T2212" i="9"/>
  <c r="S2212" i="9"/>
  <c r="L2212" i="9"/>
  <c r="M2212" i="9" s="1"/>
  <c r="K2212" i="9"/>
  <c r="S2211" i="9"/>
  <c r="L2211" i="9"/>
  <c r="K2211" i="9"/>
  <c r="S2210" i="9"/>
  <c r="L2210" i="9"/>
  <c r="K2210" i="9"/>
  <c r="S2209" i="9"/>
  <c r="L2209" i="9"/>
  <c r="K2209" i="9"/>
  <c r="S2208" i="9"/>
  <c r="L2208" i="9"/>
  <c r="K2208" i="9"/>
  <c r="T2207" i="9"/>
  <c r="U2207" i="9" s="1"/>
  <c r="V2207" i="9" s="1"/>
  <c r="S2207" i="9"/>
  <c r="P2207" i="9"/>
  <c r="N2207" i="9"/>
  <c r="O2207" i="9" s="1"/>
  <c r="M2207" i="9"/>
  <c r="K2207" i="9"/>
  <c r="T2206" i="9"/>
  <c r="S2206" i="9"/>
  <c r="P2206" i="9"/>
  <c r="N2206" i="9"/>
  <c r="O2206" i="9" s="1"/>
  <c r="M2206" i="9"/>
  <c r="K2206" i="9"/>
  <c r="T2205" i="9"/>
  <c r="S2205" i="9"/>
  <c r="N2205" i="9"/>
  <c r="O2205" i="9" s="1"/>
  <c r="M2205" i="9"/>
  <c r="L2205" i="9"/>
  <c r="P2205" i="9" s="1"/>
  <c r="K2205" i="9"/>
  <c r="V2204" i="9"/>
  <c r="T2204" i="9"/>
  <c r="U2204" i="9" s="1"/>
  <c r="S2204" i="9"/>
  <c r="P2204" i="9"/>
  <c r="N2204" i="9"/>
  <c r="O2204" i="9" s="1"/>
  <c r="M2204" i="9"/>
  <c r="K2204" i="9"/>
  <c r="T2203" i="9"/>
  <c r="S2203" i="9"/>
  <c r="P2203" i="9"/>
  <c r="N2203" i="9"/>
  <c r="O2203" i="9" s="1"/>
  <c r="M2203" i="9"/>
  <c r="K2203" i="9"/>
  <c r="T2202" i="9"/>
  <c r="S2202" i="9"/>
  <c r="P2202" i="9"/>
  <c r="N2202" i="9"/>
  <c r="O2202" i="9" s="1"/>
  <c r="M2202" i="9"/>
  <c r="K2202" i="9"/>
  <c r="U2201" i="9"/>
  <c r="V2201" i="9" s="1"/>
  <c r="T2201" i="9"/>
  <c r="S2201" i="9"/>
  <c r="P2201" i="9"/>
  <c r="N2201" i="9"/>
  <c r="O2201" i="9" s="1"/>
  <c r="M2201" i="9"/>
  <c r="K2201" i="9"/>
  <c r="V2200" i="9"/>
  <c r="T2200" i="9"/>
  <c r="U2200" i="9" s="1"/>
  <c r="S2200" i="9"/>
  <c r="P2200" i="9"/>
  <c r="N2200" i="9"/>
  <c r="O2200" i="9" s="1"/>
  <c r="M2200" i="9"/>
  <c r="K2200" i="9"/>
  <c r="T2199" i="9"/>
  <c r="S2199" i="9"/>
  <c r="P2199" i="9"/>
  <c r="N2199" i="9"/>
  <c r="O2199" i="9" s="1"/>
  <c r="M2199" i="9"/>
  <c r="K2199" i="9"/>
  <c r="T2198" i="9"/>
  <c r="S2198" i="9"/>
  <c r="P2198" i="9"/>
  <c r="N2198" i="9"/>
  <c r="O2198" i="9" s="1"/>
  <c r="M2198" i="9"/>
  <c r="K2198" i="9"/>
  <c r="T2197" i="9"/>
  <c r="S2197" i="9"/>
  <c r="P2197" i="9"/>
  <c r="N2197" i="9"/>
  <c r="O2197" i="9" s="1"/>
  <c r="M2197" i="9"/>
  <c r="K2197" i="9"/>
  <c r="T2196" i="9"/>
  <c r="S2196" i="9"/>
  <c r="P2196" i="9"/>
  <c r="N2196" i="9"/>
  <c r="O2196" i="9" s="1"/>
  <c r="M2196" i="9"/>
  <c r="K2196" i="9"/>
  <c r="U2195" i="9"/>
  <c r="V2195" i="9" s="1"/>
  <c r="T2195" i="9"/>
  <c r="S2195" i="9"/>
  <c r="P2195" i="9"/>
  <c r="O2195" i="9"/>
  <c r="N2195" i="9"/>
  <c r="M2195" i="9"/>
  <c r="K2195" i="9"/>
  <c r="T2194" i="9"/>
  <c r="U2194" i="9" s="1"/>
  <c r="S2194" i="9"/>
  <c r="P2194" i="9"/>
  <c r="N2194" i="9"/>
  <c r="O2194" i="9" s="1"/>
  <c r="M2194" i="9"/>
  <c r="K2194" i="9"/>
  <c r="T2193" i="9"/>
  <c r="S2193" i="9"/>
  <c r="P2193" i="9"/>
  <c r="N2193" i="9"/>
  <c r="O2193" i="9" s="1"/>
  <c r="M2193" i="9"/>
  <c r="K2193" i="9"/>
  <c r="T2192" i="9"/>
  <c r="S2192" i="9"/>
  <c r="P2192" i="9"/>
  <c r="N2192" i="9"/>
  <c r="O2192" i="9" s="1"/>
  <c r="M2192" i="9"/>
  <c r="K2192" i="9"/>
  <c r="U2191" i="9"/>
  <c r="V2191" i="9" s="1"/>
  <c r="T2191" i="9"/>
  <c r="S2191" i="9"/>
  <c r="P2191" i="9"/>
  <c r="O2191" i="9"/>
  <c r="N2191" i="9"/>
  <c r="M2191" i="9"/>
  <c r="K2191" i="9"/>
  <c r="T2190" i="9"/>
  <c r="U2190" i="9" s="1"/>
  <c r="V2190" i="9" s="1"/>
  <c r="S2190" i="9"/>
  <c r="P2190" i="9"/>
  <c r="N2190" i="9"/>
  <c r="O2190" i="9" s="1"/>
  <c r="M2190" i="9"/>
  <c r="K2190" i="9"/>
  <c r="T2189" i="9"/>
  <c r="S2189" i="9"/>
  <c r="N2189" i="9"/>
  <c r="O2189" i="9" s="1"/>
  <c r="L2189" i="9"/>
  <c r="P2189" i="9" s="1"/>
  <c r="K2189" i="9"/>
  <c r="T2188" i="9"/>
  <c r="U2188" i="9" s="1"/>
  <c r="V2188" i="9" s="1"/>
  <c r="S2188" i="9"/>
  <c r="P2188" i="9"/>
  <c r="N2188" i="9"/>
  <c r="O2188" i="9" s="1"/>
  <c r="M2188" i="9"/>
  <c r="K2188" i="9"/>
  <c r="S2187" i="9"/>
  <c r="L2187" i="9"/>
  <c r="K2187" i="9"/>
  <c r="T2186" i="9"/>
  <c r="S2186" i="9"/>
  <c r="P2186" i="9"/>
  <c r="N2186" i="9"/>
  <c r="O2186" i="9" s="1"/>
  <c r="M2186" i="9"/>
  <c r="K2186" i="9"/>
  <c r="T2185" i="9"/>
  <c r="U2185" i="9" s="1"/>
  <c r="V2185" i="9" s="1"/>
  <c r="S2185" i="9"/>
  <c r="P2185" i="9"/>
  <c r="N2185" i="9"/>
  <c r="O2185" i="9" s="1"/>
  <c r="M2185" i="9"/>
  <c r="K2185" i="9"/>
  <c r="T2184" i="9"/>
  <c r="U2184" i="9" s="1"/>
  <c r="V2184" i="9" s="1"/>
  <c r="S2184" i="9"/>
  <c r="P2184" i="9"/>
  <c r="N2184" i="9"/>
  <c r="O2184" i="9" s="1"/>
  <c r="M2184" i="9"/>
  <c r="K2184" i="9"/>
  <c r="S2183" i="9"/>
  <c r="L2183" i="9"/>
  <c r="K2183" i="9"/>
  <c r="U2182" i="9"/>
  <c r="V2182" i="9" s="1"/>
  <c r="T2182" i="9"/>
  <c r="S2182" i="9"/>
  <c r="P2182" i="9"/>
  <c r="N2182" i="9"/>
  <c r="O2182" i="9" s="1"/>
  <c r="M2182" i="9"/>
  <c r="K2182" i="9"/>
  <c r="T2181" i="9"/>
  <c r="U2181" i="9" s="1"/>
  <c r="S2181" i="9"/>
  <c r="P2181" i="9"/>
  <c r="N2181" i="9"/>
  <c r="O2181" i="9" s="1"/>
  <c r="M2181" i="9"/>
  <c r="K2181" i="9"/>
  <c r="T2180" i="9"/>
  <c r="S2180" i="9"/>
  <c r="P2180" i="9"/>
  <c r="N2180" i="9"/>
  <c r="O2180" i="9" s="1"/>
  <c r="M2180" i="9"/>
  <c r="K2180" i="9"/>
  <c r="T2179" i="9"/>
  <c r="S2179" i="9"/>
  <c r="P2179" i="9"/>
  <c r="N2179" i="9"/>
  <c r="O2179" i="9" s="1"/>
  <c r="M2179" i="9"/>
  <c r="K2179" i="9"/>
  <c r="U2178" i="9"/>
  <c r="V2178" i="9" s="1"/>
  <c r="T2178" i="9"/>
  <c r="S2178" i="9"/>
  <c r="P2178" i="9"/>
  <c r="O2178" i="9"/>
  <c r="N2178" i="9"/>
  <c r="M2178" i="9"/>
  <c r="K2178" i="9"/>
  <c r="S2177" i="9"/>
  <c r="L2177" i="9"/>
  <c r="K2177" i="9"/>
  <c r="T2176" i="9"/>
  <c r="S2176" i="9"/>
  <c r="P2176" i="9"/>
  <c r="N2176" i="9"/>
  <c r="O2176" i="9" s="1"/>
  <c r="M2176" i="9"/>
  <c r="K2176" i="9"/>
  <c r="T2175" i="9"/>
  <c r="U2175" i="9" s="1"/>
  <c r="V2175" i="9" s="1"/>
  <c r="S2175" i="9"/>
  <c r="P2175" i="9"/>
  <c r="O2175" i="9"/>
  <c r="N2175" i="9"/>
  <c r="M2175" i="9"/>
  <c r="K2175" i="9"/>
  <c r="T2174" i="9"/>
  <c r="U2174" i="9" s="1"/>
  <c r="V2174" i="9" s="1"/>
  <c r="S2174" i="9"/>
  <c r="P2174" i="9"/>
  <c r="N2174" i="9"/>
  <c r="O2174" i="9" s="1"/>
  <c r="M2174" i="9"/>
  <c r="K2174" i="9"/>
  <c r="T2173" i="9"/>
  <c r="S2173" i="9"/>
  <c r="P2173" i="9"/>
  <c r="N2173" i="9"/>
  <c r="O2173" i="9" s="1"/>
  <c r="M2173" i="9"/>
  <c r="K2173" i="9"/>
  <c r="S2172" i="9"/>
  <c r="L2172" i="9"/>
  <c r="K2172" i="9"/>
  <c r="S2171" i="9"/>
  <c r="L2171" i="9"/>
  <c r="K2171" i="9"/>
  <c r="T2170" i="9"/>
  <c r="S2170" i="9"/>
  <c r="P2170" i="9"/>
  <c r="N2170" i="9"/>
  <c r="O2170" i="9" s="1"/>
  <c r="M2170" i="9"/>
  <c r="K2170" i="9"/>
  <c r="T2169" i="9"/>
  <c r="U2169" i="9" s="1"/>
  <c r="V2169" i="9" s="1"/>
  <c r="S2169" i="9"/>
  <c r="P2169" i="9"/>
  <c r="O2169" i="9"/>
  <c r="N2169" i="9"/>
  <c r="M2169" i="9"/>
  <c r="K2169" i="9"/>
  <c r="S2168" i="9"/>
  <c r="L2168" i="9"/>
  <c r="K2168" i="9"/>
  <c r="T2167" i="9"/>
  <c r="S2167" i="9"/>
  <c r="P2167" i="9"/>
  <c r="N2167" i="9"/>
  <c r="O2167" i="9" s="1"/>
  <c r="M2167" i="9"/>
  <c r="K2167" i="9"/>
  <c r="T2166" i="9"/>
  <c r="U2166" i="9" s="1"/>
  <c r="V2166" i="9" s="1"/>
  <c r="S2166" i="9"/>
  <c r="P2166" i="9"/>
  <c r="N2166" i="9"/>
  <c r="O2166" i="9" s="1"/>
  <c r="M2166" i="9"/>
  <c r="K2166" i="9"/>
  <c r="T2165" i="9"/>
  <c r="U2165" i="9" s="1"/>
  <c r="V2165" i="9" s="1"/>
  <c r="S2165" i="9"/>
  <c r="P2165" i="9"/>
  <c r="N2165" i="9"/>
  <c r="O2165" i="9" s="1"/>
  <c r="M2165" i="9"/>
  <c r="K2165" i="9"/>
  <c r="T2164" i="9"/>
  <c r="S2164" i="9"/>
  <c r="P2164" i="9"/>
  <c r="N2164" i="9"/>
  <c r="O2164" i="9" s="1"/>
  <c r="M2164" i="9"/>
  <c r="K2164" i="9"/>
  <c r="T2163" i="9"/>
  <c r="S2163" i="9"/>
  <c r="P2163" i="9"/>
  <c r="N2163" i="9"/>
  <c r="O2163" i="9" s="1"/>
  <c r="M2163" i="9"/>
  <c r="K2163" i="9"/>
  <c r="S2162" i="9"/>
  <c r="L2162" i="9"/>
  <c r="K2162" i="9"/>
  <c r="T2161" i="9"/>
  <c r="S2161" i="9"/>
  <c r="P2161" i="9"/>
  <c r="N2161" i="9"/>
  <c r="O2161" i="9" s="1"/>
  <c r="M2161" i="9"/>
  <c r="K2161" i="9"/>
  <c r="S2160" i="9"/>
  <c r="L2160" i="9"/>
  <c r="K2160" i="9"/>
  <c r="T2159" i="9"/>
  <c r="U2159" i="9" s="1"/>
  <c r="V2159" i="9" s="1"/>
  <c r="S2159" i="9"/>
  <c r="P2159" i="9"/>
  <c r="N2159" i="9"/>
  <c r="O2159" i="9" s="1"/>
  <c r="M2159" i="9"/>
  <c r="K2159" i="9"/>
  <c r="S2158" i="9"/>
  <c r="N2158" i="9"/>
  <c r="O2158" i="9" s="1"/>
  <c r="L2158" i="9"/>
  <c r="K2158" i="9"/>
  <c r="V2157" i="9"/>
  <c r="U2157" i="9"/>
  <c r="T2157" i="9"/>
  <c r="S2157" i="9"/>
  <c r="P2157" i="9"/>
  <c r="N2157" i="9"/>
  <c r="O2157" i="9" s="1"/>
  <c r="M2157" i="9"/>
  <c r="K2157" i="9"/>
  <c r="S2156" i="9"/>
  <c r="P2156" i="9"/>
  <c r="M2156" i="9"/>
  <c r="L2156" i="9"/>
  <c r="K2156" i="9"/>
  <c r="T2155" i="9"/>
  <c r="S2155" i="9"/>
  <c r="P2155" i="9"/>
  <c r="N2155" i="9"/>
  <c r="O2155" i="9" s="1"/>
  <c r="M2155" i="9"/>
  <c r="K2155" i="9"/>
  <c r="U2154" i="9"/>
  <c r="V2154" i="9" s="1"/>
  <c r="T2154" i="9"/>
  <c r="S2154" i="9"/>
  <c r="P2154" i="9"/>
  <c r="N2154" i="9"/>
  <c r="O2154" i="9" s="1"/>
  <c r="M2154" i="9"/>
  <c r="K2154" i="9"/>
  <c r="T2153" i="9"/>
  <c r="U2153" i="9" s="1"/>
  <c r="S2153" i="9"/>
  <c r="P2153" i="9"/>
  <c r="N2153" i="9"/>
  <c r="O2153" i="9" s="1"/>
  <c r="M2153" i="9"/>
  <c r="K2153" i="9"/>
  <c r="T2152" i="9"/>
  <c r="S2152" i="9"/>
  <c r="P2152" i="9"/>
  <c r="N2152" i="9"/>
  <c r="O2152" i="9" s="1"/>
  <c r="M2152" i="9"/>
  <c r="K2152" i="9"/>
  <c r="T2151" i="9"/>
  <c r="S2151" i="9"/>
  <c r="N2151" i="9"/>
  <c r="O2151" i="9" s="1"/>
  <c r="L2151" i="9"/>
  <c r="M2151" i="9" s="1"/>
  <c r="K2151" i="9"/>
  <c r="V2150" i="9"/>
  <c r="T2150" i="9"/>
  <c r="U2150" i="9" s="1"/>
  <c r="S2150" i="9"/>
  <c r="P2150" i="9"/>
  <c r="N2150" i="9"/>
  <c r="O2150" i="9" s="1"/>
  <c r="M2150" i="9"/>
  <c r="K2150" i="9"/>
  <c r="T2149" i="9"/>
  <c r="S2149" i="9"/>
  <c r="P2149" i="9"/>
  <c r="N2149" i="9"/>
  <c r="O2149" i="9" s="1"/>
  <c r="M2149" i="9"/>
  <c r="K2149" i="9"/>
  <c r="T2148" i="9"/>
  <c r="S2148" i="9"/>
  <c r="P2148" i="9"/>
  <c r="N2148" i="9"/>
  <c r="O2148" i="9" s="1"/>
  <c r="M2148" i="9"/>
  <c r="K2148" i="9"/>
  <c r="S2147" i="9"/>
  <c r="L2147" i="9"/>
  <c r="P2147" i="9" s="1"/>
  <c r="K2147" i="9"/>
  <c r="T2146" i="9"/>
  <c r="S2146" i="9"/>
  <c r="P2146" i="9"/>
  <c r="N2146" i="9"/>
  <c r="O2146" i="9" s="1"/>
  <c r="M2146" i="9"/>
  <c r="K2146" i="9"/>
  <c r="T2145" i="9"/>
  <c r="S2145" i="9"/>
  <c r="P2145" i="9"/>
  <c r="N2145" i="9"/>
  <c r="O2145" i="9" s="1"/>
  <c r="M2145" i="9"/>
  <c r="K2145" i="9"/>
  <c r="T2144" i="9"/>
  <c r="S2144" i="9"/>
  <c r="P2144" i="9"/>
  <c r="N2144" i="9"/>
  <c r="O2144" i="9" s="1"/>
  <c r="M2144" i="9"/>
  <c r="K2144" i="9"/>
  <c r="S2143" i="9"/>
  <c r="L2143" i="9"/>
  <c r="T2143" i="9" s="1"/>
  <c r="U2143" i="9" s="1"/>
  <c r="K2143" i="9"/>
  <c r="S2142" i="9"/>
  <c r="M2142" i="9"/>
  <c r="L2142" i="9"/>
  <c r="K2142" i="9"/>
  <c r="U2141" i="9"/>
  <c r="V2141" i="9" s="1"/>
  <c r="T2141" i="9"/>
  <c r="S2141" i="9"/>
  <c r="P2141" i="9"/>
  <c r="N2141" i="9"/>
  <c r="O2141" i="9" s="1"/>
  <c r="M2141" i="9"/>
  <c r="K2141" i="9"/>
  <c r="S2140" i="9"/>
  <c r="L2140" i="9"/>
  <c r="K2140" i="9"/>
  <c r="T2139" i="9"/>
  <c r="S2139" i="9"/>
  <c r="P2139" i="9"/>
  <c r="N2139" i="9"/>
  <c r="O2139" i="9" s="1"/>
  <c r="M2139" i="9"/>
  <c r="K2139" i="9"/>
  <c r="U2138" i="9"/>
  <c r="V2138" i="9" s="1"/>
  <c r="T2138" i="9"/>
  <c r="S2138" i="9"/>
  <c r="P2138" i="9"/>
  <c r="N2138" i="9"/>
  <c r="O2138" i="9" s="1"/>
  <c r="M2138" i="9"/>
  <c r="K2138" i="9"/>
  <c r="V2137" i="9"/>
  <c r="T2137" i="9"/>
  <c r="U2137" i="9" s="1"/>
  <c r="S2137" i="9"/>
  <c r="P2137" i="9"/>
  <c r="N2137" i="9"/>
  <c r="O2137" i="9" s="1"/>
  <c r="M2137" i="9"/>
  <c r="K2137" i="9"/>
  <c r="T2136" i="9"/>
  <c r="S2136" i="9"/>
  <c r="P2136" i="9"/>
  <c r="N2136" i="9"/>
  <c r="O2136" i="9" s="1"/>
  <c r="M2136" i="9"/>
  <c r="K2136" i="9"/>
  <c r="T2135" i="9"/>
  <c r="S2135" i="9"/>
  <c r="P2135" i="9"/>
  <c r="N2135" i="9"/>
  <c r="O2135" i="9" s="1"/>
  <c r="M2135" i="9"/>
  <c r="K2135" i="9"/>
  <c r="T2134" i="9"/>
  <c r="U2134" i="9" s="1"/>
  <c r="V2134" i="9" s="1"/>
  <c r="S2134" i="9"/>
  <c r="P2134" i="9"/>
  <c r="N2134" i="9"/>
  <c r="O2134" i="9" s="1"/>
  <c r="M2134" i="9"/>
  <c r="K2134" i="9"/>
  <c r="T2133" i="9"/>
  <c r="U2133" i="9" s="1"/>
  <c r="V2133" i="9" s="1"/>
  <c r="S2133" i="9"/>
  <c r="P2133" i="9"/>
  <c r="N2133" i="9"/>
  <c r="O2133" i="9" s="1"/>
  <c r="M2133" i="9"/>
  <c r="K2133" i="9"/>
  <c r="T2132" i="9"/>
  <c r="S2132" i="9"/>
  <c r="P2132" i="9"/>
  <c r="N2132" i="9"/>
  <c r="O2132" i="9" s="1"/>
  <c r="M2132" i="9"/>
  <c r="K2132" i="9"/>
  <c r="S2131" i="9"/>
  <c r="L2131" i="9"/>
  <c r="K2131" i="9"/>
  <c r="V2130" i="9"/>
  <c r="T2130" i="9"/>
  <c r="U2130" i="9" s="1"/>
  <c r="S2130" i="9"/>
  <c r="P2130" i="9"/>
  <c r="N2130" i="9"/>
  <c r="O2130" i="9" s="1"/>
  <c r="M2130" i="9"/>
  <c r="K2130" i="9"/>
  <c r="T2129" i="9"/>
  <c r="S2129" i="9"/>
  <c r="M2129" i="9"/>
  <c r="L2129" i="9"/>
  <c r="P2129" i="9" s="1"/>
  <c r="K2129" i="9"/>
  <c r="S2128" i="9"/>
  <c r="L2128" i="9"/>
  <c r="T2128" i="9" s="1"/>
  <c r="U2128" i="9" s="1"/>
  <c r="K2128" i="9"/>
  <c r="T2127" i="9"/>
  <c r="S2127" i="9"/>
  <c r="P2127" i="9"/>
  <c r="N2127" i="9"/>
  <c r="O2127" i="9" s="1"/>
  <c r="M2127" i="9"/>
  <c r="K2127" i="9"/>
  <c r="T2126" i="9"/>
  <c r="S2126" i="9"/>
  <c r="P2126" i="9"/>
  <c r="N2126" i="9"/>
  <c r="O2126" i="9" s="1"/>
  <c r="M2126" i="9"/>
  <c r="K2126" i="9"/>
  <c r="T2125" i="9"/>
  <c r="U2125" i="9" s="1"/>
  <c r="V2125" i="9" s="1"/>
  <c r="S2125" i="9"/>
  <c r="P2125" i="9"/>
  <c r="O2125" i="9"/>
  <c r="N2125" i="9"/>
  <c r="M2125" i="9"/>
  <c r="K2125" i="9"/>
  <c r="S2124" i="9"/>
  <c r="P2124" i="9"/>
  <c r="L2124" i="9"/>
  <c r="K2124" i="9"/>
  <c r="T2123" i="9"/>
  <c r="S2123" i="9"/>
  <c r="P2123" i="9"/>
  <c r="N2123" i="9"/>
  <c r="O2123" i="9" s="1"/>
  <c r="M2123" i="9"/>
  <c r="K2123" i="9"/>
  <c r="U2122" i="9"/>
  <c r="V2122" i="9" s="1"/>
  <c r="T2122" i="9"/>
  <c r="S2122" i="9"/>
  <c r="P2122" i="9"/>
  <c r="N2122" i="9"/>
  <c r="O2122" i="9" s="1"/>
  <c r="M2122" i="9"/>
  <c r="K2122" i="9"/>
  <c r="T2121" i="9"/>
  <c r="U2121" i="9" s="1"/>
  <c r="V2121" i="9" s="1"/>
  <c r="S2121" i="9"/>
  <c r="P2121" i="9"/>
  <c r="N2121" i="9"/>
  <c r="O2121" i="9" s="1"/>
  <c r="M2121" i="9"/>
  <c r="K2121" i="9"/>
  <c r="T2120" i="9"/>
  <c r="S2120" i="9"/>
  <c r="M2120" i="9"/>
  <c r="L2120" i="9"/>
  <c r="P2120" i="9" s="1"/>
  <c r="K2120" i="9"/>
  <c r="T2119" i="9"/>
  <c r="U2119" i="9" s="1"/>
  <c r="V2119" i="9" s="1"/>
  <c r="S2119" i="9"/>
  <c r="P2119" i="9"/>
  <c r="O2119" i="9"/>
  <c r="N2119" i="9"/>
  <c r="M2119" i="9"/>
  <c r="K2119" i="9"/>
  <c r="S2118" i="9"/>
  <c r="L2118" i="9"/>
  <c r="P2118" i="9" s="1"/>
  <c r="K2118" i="9"/>
  <c r="T2117" i="9"/>
  <c r="S2117" i="9"/>
  <c r="P2117" i="9"/>
  <c r="N2117" i="9"/>
  <c r="O2117" i="9" s="1"/>
  <c r="M2117" i="9"/>
  <c r="K2117" i="9"/>
  <c r="U2116" i="9"/>
  <c r="V2116" i="9" s="1"/>
  <c r="T2116" i="9"/>
  <c r="S2116" i="9"/>
  <c r="P2116" i="9"/>
  <c r="N2116" i="9"/>
  <c r="O2116" i="9" s="1"/>
  <c r="M2116" i="9"/>
  <c r="K2116" i="9"/>
  <c r="S2115" i="9"/>
  <c r="L2115" i="9"/>
  <c r="P2115" i="9" s="1"/>
  <c r="K2115" i="9"/>
  <c r="T2114" i="9"/>
  <c r="S2114" i="9"/>
  <c r="P2114" i="9"/>
  <c r="N2114" i="9"/>
  <c r="O2114" i="9" s="1"/>
  <c r="M2114" i="9"/>
  <c r="K2114" i="9"/>
  <c r="S2113" i="9"/>
  <c r="L2113" i="9"/>
  <c r="T2113" i="9" s="1"/>
  <c r="K2113" i="9"/>
  <c r="T2112" i="9"/>
  <c r="S2112" i="9"/>
  <c r="P2112" i="9"/>
  <c r="N2112" i="9"/>
  <c r="O2112" i="9" s="1"/>
  <c r="M2112" i="9"/>
  <c r="K2112" i="9"/>
  <c r="T2111" i="9"/>
  <c r="S2111" i="9"/>
  <c r="P2111" i="9"/>
  <c r="N2111" i="9"/>
  <c r="O2111" i="9" s="1"/>
  <c r="M2111" i="9"/>
  <c r="K2111" i="9"/>
  <c r="T2110" i="9"/>
  <c r="U2110" i="9" s="1"/>
  <c r="V2110" i="9" s="1"/>
  <c r="S2110" i="9"/>
  <c r="P2110" i="9"/>
  <c r="N2110" i="9"/>
  <c r="O2110" i="9" s="1"/>
  <c r="M2110" i="9"/>
  <c r="K2110" i="9"/>
  <c r="S2109" i="9"/>
  <c r="L2109" i="9"/>
  <c r="P2109" i="9" s="1"/>
  <c r="K2109" i="9"/>
  <c r="S2108" i="9"/>
  <c r="L2108" i="9"/>
  <c r="K2108" i="9"/>
  <c r="S2107" i="9"/>
  <c r="L2107" i="9"/>
  <c r="K2107" i="9"/>
  <c r="T2106" i="9"/>
  <c r="S2106" i="9"/>
  <c r="P2106" i="9"/>
  <c r="N2106" i="9"/>
  <c r="O2106" i="9" s="1"/>
  <c r="M2106" i="9"/>
  <c r="K2106" i="9"/>
  <c r="T2105" i="9"/>
  <c r="U2105" i="9" s="1"/>
  <c r="V2105" i="9" s="1"/>
  <c r="S2105" i="9"/>
  <c r="P2105" i="9"/>
  <c r="N2105" i="9"/>
  <c r="O2105" i="9" s="1"/>
  <c r="M2105" i="9"/>
  <c r="K2105" i="9"/>
  <c r="T2104" i="9"/>
  <c r="U2104" i="9" s="1"/>
  <c r="V2104" i="9" s="1"/>
  <c r="S2104" i="9"/>
  <c r="P2104" i="9"/>
  <c r="N2104" i="9"/>
  <c r="O2104" i="9" s="1"/>
  <c r="M2104" i="9"/>
  <c r="K2104" i="9"/>
  <c r="T2103" i="9"/>
  <c r="S2103" i="9"/>
  <c r="P2103" i="9"/>
  <c r="N2103" i="9"/>
  <c r="O2103" i="9" s="1"/>
  <c r="M2103" i="9"/>
  <c r="K2103" i="9"/>
  <c r="S2102" i="9"/>
  <c r="L2102" i="9"/>
  <c r="K2102" i="9"/>
  <c r="V2101" i="9"/>
  <c r="T2101" i="9"/>
  <c r="U2101" i="9" s="1"/>
  <c r="S2101" i="9"/>
  <c r="P2101" i="9"/>
  <c r="N2101" i="9"/>
  <c r="O2101" i="9" s="1"/>
  <c r="M2101" i="9"/>
  <c r="K2101" i="9"/>
  <c r="T2100" i="9"/>
  <c r="S2100" i="9"/>
  <c r="M2100" i="9"/>
  <c r="L2100" i="9"/>
  <c r="P2100" i="9" s="1"/>
  <c r="K2100" i="9"/>
  <c r="U2099" i="9"/>
  <c r="V2099" i="9" s="1"/>
  <c r="T2099" i="9"/>
  <c r="S2099" i="9"/>
  <c r="P2099" i="9"/>
  <c r="O2099" i="9"/>
  <c r="N2099" i="9"/>
  <c r="M2099" i="9"/>
  <c r="K2099" i="9"/>
  <c r="S2098" i="9"/>
  <c r="P2098" i="9"/>
  <c r="L2098" i="9"/>
  <c r="K2098" i="9"/>
  <c r="T2097" i="9"/>
  <c r="S2097" i="9"/>
  <c r="N2097" i="9"/>
  <c r="O2097" i="9" s="1"/>
  <c r="L2097" i="9"/>
  <c r="M2097" i="9" s="1"/>
  <c r="K2097" i="9"/>
  <c r="T2096" i="9"/>
  <c r="U2096" i="9" s="1"/>
  <c r="S2096" i="9"/>
  <c r="P2096" i="9"/>
  <c r="N2096" i="9"/>
  <c r="O2096" i="9" s="1"/>
  <c r="M2096" i="9"/>
  <c r="K2096" i="9"/>
  <c r="T2095" i="9"/>
  <c r="S2095" i="9"/>
  <c r="P2095" i="9"/>
  <c r="N2095" i="9"/>
  <c r="O2095" i="9" s="1"/>
  <c r="M2095" i="9"/>
  <c r="K2095" i="9"/>
  <c r="T2094" i="9"/>
  <c r="S2094" i="9"/>
  <c r="P2094" i="9"/>
  <c r="N2094" i="9"/>
  <c r="O2094" i="9" s="1"/>
  <c r="M2094" i="9"/>
  <c r="K2094" i="9"/>
  <c r="S2093" i="9"/>
  <c r="L2093" i="9"/>
  <c r="T2093" i="9" s="1"/>
  <c r="U2093" i="9" s="1"/>
  <c r="K2093" i="9"/>
  <c r="T2092" i="9"/>
  <c r="S2092" i="9"/>
  <c r="P2092" i="9"/>
  <c r="N2092" i="9"/>
  <c r="O2092" i="9" s="1"/>
  <c r="M2092" i="9"/>
  <c r="K2092" i="9"/>
  <c r="S2091" i="9"/>
  <c r="N2091" i="9"/>
  <c r="O2091" i="9" s="1"/>
  <c r="L2091" i="9"/>
  <c r="K2091" i="9"/>
  <c r="S2090" i="9"/>
  <c r="L2090" i="9"/>
  <c r="K2090" i="9"/>
  <c r="T2089" i="9"/>
  <c r="S2089" i="9"/>
  <c r="P2089" i="9"/>
  <c r="N2089" i="9"/>
  <c r="O2089" i="9" s="1"/>
  <c r="M2089" i="9"/>
  <c r="K2089" i="9"/>
  <c r="T2088" i="9"/>
  <c r="U2088" i="9" s="1"/>
  <c r="V2088" i="9" s="1"/>
  <c r="S2088" i="9"/>
  <c r="P2088" i="9"/>
  <c r="N2088" i="9"/>
  <c r="O2088" i="9" s="1"/>
  <c r="M2088" i="9"/>
  <c r="K2088" i="9"/>
  <c r="V2087" i="9"/>
  <c r="T2087" i="9"/>
  <c r="U2087" i="9" s="1"/>
  <c r="S2087" i="9"/>
  <c r="P2087" i="9"/>
  <c r="O2087" i="9"/>
  <c r="N2087" i="9"/>
  <c r="M2087" i="9"/>
  <c r="K2087" i="9"/>
  <c r="T2086" i="9"/>
  <c r="S2086" i="9"/>
  <c r="P2086" i="9"/>
  <c r="N2086" i="9"/>
  <c r="O2086" i="9" s="1"/>
  <c r="M2086" i="9"/>
  <c r="K2086" i="9"/>
  <c r="T2085" i="9"/>
  <c r="S2085" i="9"/>
  <c r="P2085" i="9"/>
  <c r="N2085" i="9"/>
  <c r="O2085" i="9" s="1"/>
  <c r="M2085" i="9"/>
  <c r="K2085" i="9"/>
  <c r="T2084" i="9"/>
  <c r="U2084" i="9" s="1"/>
  <c r="V2084" i="9" s="1"/>
  <c r="S2084" i="9"/>
  <c r="P2084" i="9"/>
  <c r="N2084" i="9"/>
  <c r="O2084" i="9" s="1"/>
  <c r="M2084" i="9"/>
  <c r="K2084" i="9"/>
  <c r="S2083" i="9"/>
  <c r="L2083" i="9"/>
  <c r="K2083" i="9"/>
  <c r="S2082" i="9"/>
  <c r="N2082" i="9"/>
  <c r="O2082" i="9" s="1"/>
  <c r="L2082" i="9"/>
  <c r="K2082" i="9"/>
  <c r="S2081" i="9"/>
  <c r="L2081" i="9"/>
  <c r="P2081" i="9" s="1"/>
  <c r="K2081" i="9"/>
  <c r="U2080" i="9"/>
  <c r="T2080" i="9"/>
  <c r="S2080" i="9"/>
  <c r="N2080" i="9"/>
  <c r="O2080" i="9" s="1"/>
  <c r="L2080" i="9"/>
  <c r="K2080" i="9"/>
  <c r="S2079" i="9"/>
  <c r="M2079" i="9"/>
  <c r="L2079" i="9"/>
  <c r="P2079" i="9" s="1"/>
  <c r="K2079" i="9"/>
  <c r="T2078" i="9"/>
  <c r="S2078" i="9"/>
  <c r="P2078" i="9"/>
  <c r="N2078" i="9"/>
  <c r="O2078" i="9" s="1"/>
  <c r="M2078" i="9"/>
  <c r="K2078" i="9"/>
  <c r="S2077" i="9"/>
  <c r="L2077" i="9"/>
  <c r="K2077" i="9"/>
  <c r="S2076" i="9"/>
  <c r="M2076" i="9"/>
  <c r="L2076" i="9"/>
  <c r="K2076" i="9"/>
  <c r="U2075" i="9"/>
  <c r="V2075" i="9" s="1"/>
  <c r="T2075" i="9"/>
  <c r="S2075" i="9"/>
  <c r="P2075" i="9"/>
  <c r="O2075" i="9"/>
  <c r="N2075" i="9"/>
  <c r="M2075" i="9"/>
  <c r="K2075" i="9"/>
  <c r="T2074" i="9"/>
  <c r="S2074" i="9"/>
  <c r="P2074" i="9"/>
  <c r="N2074" i="9"/>
  <c r="O2074" i="9" s="1"/>
  <c r="M2074" i="9"/>
  <c r="K2074" i="9"/>
  <c r="T2073" i="9"/>
  <c r="S2073" i="9"/>
  <c r="P2073" i="9"/>
  <c r="N2073" i="9"/>
  <c r="O2073" i="9" s="1"/>
  <c r="M2073" i="9"/>
  <c r="K2073" i="9"/>
  <c r="T2072" i="9"/>
  <c r="S2072" i="9"/>
  <c r="P2072" i="9"/>
  <c r="N2072" i="9"/>
  <c r="O2072" i="9" s="1"/>
  <c r="M2072" i="9"/>
  <c r="K2072" i="9"/>
  <c r="T2071" i="9"/>
  <c r="U2071" i="9" s="1"/>
  <c r="V2071" i="9" s="1"/>
  <c r="S2071" i="9"/>
  <c r="P2071" i="9"/>
  <c r="O2071" i="9"/>
  <c r="N2071" i="9"/>
  <c r="M2071" i="9"/>
  <c r="K2071" i="9"/>
  <c r="U2070" i="9"/>
  <c r="V2070" i="9" s="1"/>
  <c r="T2070" i="9"/>
  <c r="S2070" i="9"/>
  <c r="P2070" i="9"/>
  <c r="O2070" i="9"/>
  <c r="N2070" i="9"/>
  <c r="M2070" i="9"/>
  <c r="K2070" i="9"/>
  <c r="T2069" i="9"/>
  <c r="S2069" i="9"/>
  <c r="P2069" i="9"/>
  <c r="N2069" i="9"/>
  <c r="O2069" i="9" s="1"/>
  <c r="M2069" i="9"/>
  <c r="K2069" i="9"/>
  <c r="T2068" i="9"/>
  <c r="S2068" i="9"/>
  <c r="O2068" i="9"/>
  <c r="N2068" i="9"/>
  <c r="M2068" i="9"/>
  <c r="L2068" i="9"/>
  <c r="P2068" i="9" s="1"/>
  <c r="K2068" i="9"/>
  <c r="S2067" i="9"/>
  <c r="L2067" i="9"/>
  <c r="K2067" i="9"/>
  <c r="U2066" i="9"/>
  <c r="T2066" i="9"/>
  <c r="S2066" i="9"/>
  <c r="P2066" i="9"/>
  <c r="O2066" i="9"/>
  <c r="N2066" i="9"/>
  <c r="M2066" i="9"/>
  <c r="K2066" i="9"/>
  <c r="S2065" i="9"/>
  <c r="L2065" i="9"/>
  <c r="P2065" i="9" s="1"/>
  <c r="K2065" i="9"/>
  <c r="T2064" i="9"/>
  <c r="S2064" i="9"/>
  <c r="P2064" i="9"/>
  <c r="N2064" i="9"/>
  <c r="O2064" i="9" s="1"/>
  <c r="M2064" i="9"/>
  <c r="K2064" i="9"/>
  <c r="T2063" i="9"/>
  <c r="S2063" i="9"/>
  <c r="P2063" i="9"/>
  <c r="N2063" i="9"/>
  <c r="O2063" i="9" s="1"/>
  <c r="M2063" i="9"/>
  <c r="K2063" i="9"/>
  <c r="T2062" i="9"/>
  <c r="U2062" i="9" s="1"/>
  <c r="V2062" i="9" s="1"/>
  <c r="S2062" i="9"/>
  <c r="P2062" i="9"/>
  <c r="O2062" i="9"/>
  <c r="N2062" i="9"/>
  <c r="M2062" i="9"/>
  <c r="K2062" i="9"/>
  <c r="T2061" i="9"/>
  <c r="U2061" i="9" s="1"/>
  <c r="V2061" i="9" s="1"/>
  <c r="S2061" i="9"/>
  <c r="P2061" i="9"/>
  <c r="O2061" i="9"/>
  <c r="N2061" i="9"/>
  <c r="M2061" i="9"/>
  <c r="K2061" i="9"/>
  <c r="T2060" i="9"/>
  <c r="S2060" i="9"/>
  <c r="N2060" i="9"/>
  <c r="O2060" i="9" s="1"/>
  <c r="M2060" i="9"/>
  <c r="L2060" i="9"/>
  <c r="P2060" i="9" s="1"/>
  <c r="K2060" i="9"/>
  <c r="S2059" i="9"/>
  <c r="L2059" i="9"/>
  <c r="K2059" i="9"/>
  <c r="S2058" i="9"/>
  <c r="N2058" i="9"/>
  <c r="O2058" i="9" s="1"/>
  <c r="M2058" i="9"/>
  <c r="L2058" i="9"/>
  <c r="K2058" i="9"/>
  <c r="V2057" i="9"/>
  <c r="T2057" i="9"/>
  <c r="U2057" i="9" s="1"/>
  <c r="S2057" i="9"/>
  <c r="P2057" i="9"/>
  <c r="O2057" i="9"/>
  <c r="N2057" i="9"/>
  <c r="M2057" i="9"/>
  <c r="K2057" i="9"/>
  <c r="T2056" i="9"/>
  <c r="U2056" i="9" s="1"/>
  <c r="V2056" i="9" s="1"/>
  <c r="S2056" i="9"/>
  <c r="P2056" i="9"/>
  <c r="O2056" i="9"/>
  <c r="N2056" i="9"/>
  <c r="M2056" i="9"/>
  <c r="K2056" i="9"/>
  <c r="T2055" i="9"/>
  <c r="S2055" i="9"/>
  <c r="P2055" i="9"/>
  <c r="N2055" i="9"/>
  <c r="O2055" i="9" s="1"/>
  <c r="M2055" i="9"/>
  <c r="K2055" i="9"/>
  <c r="T2054" i="9"/>
  <c r="S2054" i="9"/>
  <c r="P2054" i="9"/>
  <c r="N2054" i="9"/>
  <c r="O2054" i="9" s="1"/>
  <c r="M2054" i="9"/>
  <c r="K2054" i="9"/>
  <c r="T2053" i="9"/>
  <c r="U2053" i="9" s="1"/>
  <c r="V2053" i="9" s="1"/>
  <c r="S2053" i="9"/>
  <c r="P2053" i="9"/>
  <c r="N2053" i="9"/>
  <c r="O2053" i="9" s="1"/>
  <c r="M2053" i="9"/>
  <c r="K2053" i="9"/>
  <c r="V2052" i="9"/>
  <c r="T2052" i="9"/>
  <c r="U2052" i="9" s="1"/>
  <c r="S2052" i="9"/>
  <c r="P2052" i="9"/>
  <c r="O2052" i="9"/>
  <c r="N2052" i="9"/>
  <c r="M2052" i="9"/>
  <c r="K2052" i="9"/>
  <c r="T2051" i="9"/>
  <c r="S2051" i="9"/>
  <c r="P2051" i="9"/>
  <c r="N2051" i="9"/>
  <c r="O2051" i="9" s="1"/>
  <c r="M2051" i="9"/>
  <c r="K2051" i="9"/>
  <c r="T2050" i="9"/>
  <c r="S2050" i="9"/>
  <c r="P2050" i="9"/>
  <c r="N2050" i="9"/>
  <c r="O2050" i="9" s="1"/>
  <c r="M2050" i="9"/>
  <c r="K2050" i="9"/>
  <c r="T2049" i="9"/>
  <c r="U2049" i="9" s="1"/>
  <c r="V2049" i="9" s="1"/>
  <c r="S2049" i="9"/>
  <c r="P2049" i="9"/>
  <c r="N2049" i="9"/>
  <c r="O2049" i="9" s="1"/>
  <c r="M2049" i="9"/>
  <c r="K2049" i="9"/>
  <c r="T2048" i="9"/>
  <c r="U2048" i="9" s="1"/>
  <c r="S2048" i="9"/>
  <c r="P2048" i="9"/>
  <c r="N2048" i="9"/>
  <c r="O2048" i="9" s="1"/>
  <c r="M2048" i="9"/>
  <c r="K2048" i="9"/>
  <c r="T2047" i="9"/>
  <c r="S2047" i="9"/>
  <c r="P2047" i="9"/>
  <c r="N2047" i="9"/>
  <c r="O2047" i="9" s="1"/>
  <c r="M2047" i="9"/>
  <c r="K2047" i="9"/>
  <c r="T2046" i="9"/>
  <c r="S2046" i="9"/>
  <c r="P2046" i="9"/>
  <c r="N2046" i="9"/>
  <c r="O2046" i="9" s="1"/>
  <c r="M2046" i="9"/>
  <c r="K2046" i="9"/>
  <c r="T2045" i="9"/>
  <c r="U2045" i="9" s="1"/>
  <c r="V2045" i="9" s="1"/>
  <c r="S2045" i="9"/>
  <c r="P2045" i="9"/>
  <c r="N2045" i="9"/>
  <c r="O2045" i="9" s="1"/>
  <c r="M2045" i="9"/>
  <c r="K2045" i="9"/>
  <c r="T2044" i="9"/>
  <c r="U2044" i="9" s="1"/>
  <c r="S2044" i="9"/>
  <c r="P2044" i="9"/>
  <c r="N2044" i="9"/>
  <c r="O2044" i="9" s="1"/>
  <c r="M2044" i="9"/>
  <c r="K2044" i="9"/>
  <c r="T2043" i="9"/>
  <c r="S2043" i="9"/>
  <c r="P2043" i="9"/>
  <c r="N2043" i="9"/>
  <c r="O2043" i="9" s="1"/>
  <c r="M2043" i="9"/>
  <c r="K2043" i="9"/>
  <c r="U2042" i="9"/>
  <c r="T2042" i="9"/>
  <c r="S2042" i="9"/>
  <c r="P2042" i="9"/>
  <c r="N2042" i="9"/>
  <c r="O2042" i="9" s="1"/>
  <c r="M2042" i="9"/>
  <c r="K2042" i="9"/>
  <c r="U2041" i="9"/>
  <c r="V2041" i="9" s="1"/>
  <c r="T2041" i="9"/>
  <c r="S2041" i="9"/>
  <c r="P2041" i="9"/>
  <c r="N2041" i="9"/>
  <c r="O2041" i="9" s="1"/>
  <c r="M2041" i="9"/>
  <c r="K2041" i="9"/>
  <c r="S2040" i="9"/>
  <c r="L2040" i="9"/>
  <c r="K2040" i="9"/>
  <c r="T2039" i="9"/>
  <c r="S2039" i="9"/>
  <c r="P2039" i="9"/>
  <c r="N2039" i="9"/>
  <c r="O2039" i="9" s="1"/>
  <c r="M2039" i="9"/>
  <c r="K2039" i="9"/>
  <c r="U2038" i="9"/>
  <c r="V2038" i="9" s="1"/>
  <c r="T2038" i="9"/>
  <c r="S2038" i="9"/>
  <c r="P2038" i="9"/>
  <c r="N2038" i="9"/>
  <c r="O2038" i="9" s="1"/>
  <c r="M2038" i="9"/>
  <c r="K2038" i="9"/>
  <c r="V2037" i="9"/>
  <c r="T2037" i="9"/>
  <c r="U2037" i="9" s="1"/>
  <c r="S2037" i="9"/>
  <c r="P2037" i="9"/>
  <c r="N2037" i="9"/>
  <c r="O2037" i="9" s="1"/>
  <c r="M2037" i="9"/>
  <c r="K2037" i="9"/>
  <c r="T2036" i="9"/>
  <c r="S2036" i="9"/>
  <c r="P2036" i="9"/>
  <c r="N2036" i="9"/>
  <c r="O2036" i="9" s="1"/>
  <c r="M2036" i="9"/>
  <c r="K2036" i="9"/>
  <c r="T2035" i="9"/>
  <c r="S2035" i="9"/>
  <c r="P2035" i="9"/>
  <c r="N2035" i="9"/>
  <c r="O2035" i="9" s="1"/>
  <c r="M2035" i="9"/>
  <c r="K2035" i="9"/>
  <c r="T2034" i="9"/>
  <c r="U2034" i="9" s="1"/>
  <c r="V2034" i="9" s="1"/>
  <c r="S2034" i="9"/>
  <c r="P2034" i="9"/>
  <c r="O2034" i="9"/>
  <c r="N2034" i="9"/>
  <c r="M2034" i="9"/>
  <c r="K2034" i="9"/>
  <c r="T2033" i="9"/>
  <c r="S2033" i="9"/>
  <c r="P2033" i="9"/>
  <c r="N2033" i="9"/>
  <c r="O2033" i="9" s="1"/>
  <c r="M2033" i="9"/>
  <c r="K2033" i="9"/>
  <c r="T2032" i="9"/>
  <c r="S2032" i="9"/>
  <c r="N2032" i="9"/>
  <c r="O2032" i="9" s="1"/>
  <c r="M2032" i="9"/>
  <c r="L2032" i="9"/>
  <c r="P2032" i="9" s="1"/>
  <c r="K2032" i="9"/>
  <c r="U2031" i="9"/>
  <c r="T2031" i="9"/>
  <c r="S2031" i="9"/>
  <c r="P2031" i="9"/>
  <c r="N2031" i="9"/>
  <c r="O2031" i="9" s="1"/>
  <c r="M2031" i="9"/>
  <c r="K2031" i="9"/>
  <c r="T2030" i="9"/>
  <c r="U2030" i="9" s="1"/>
  <c r="S2030" i="9"/>
  <c r="P2030" i="9"/>
  <c r="N2030" i="9"/>
  <c r="O2030" i="9" s="1"/>
  <c r="M2030" i="9"/>
  <c r="K2030" i="9"/>
  <c r="S2029" i="9"/>
  <c r="L2029" i="9"/>
  <c r="K2029" i="9"/>
  <c r="T2028" i="9"/>
  <c r="U2028" i="9" s="1"/>
  <c r="S2028" i="9"/>
  <c r="P2028" i="9"/>
  <c r="N2028" i="9"/>
  <c r="O2028" i="9" s="1"/>
  <c r="M2028" i="9"/>
  <c r="K2028" i="9"/>
  <c r="V2027" i="9"/>
  <c r="T2027" i="9"/>
  <c r="U2027" i="9" s="1"/>
  <c r="S2027" i="9"/>
  <c r="P2027" i="9"/>
  <c r="N2027" i="9"/>
  <c r="O2027" i="9" s="1"/>
  <c r="M2027" i="9"/>
  <c r="K2027" i="9"/>
  <c r="U2026" i="9"/>
  <c r="V2026" i="9" s="1"/>
  <c r="T2026" i="9"/>
  <c r="S2026" i="9"/>
  <c r="P2026" i="9"/>
  <c r="N2026" i="9"/>
  <c r="O2026" i="9" s="1"/>
  <c r="M2026" i="9"/>
  <c r="K2026" i="9"/>
  <c r="S2025" i="9"/>
  <c r="L2025" i="9"/>
  <c r="T2025" i="9" s="1"/>
  <c r="K2025" i="9"/>
  <c r="T2024" i="9"/>
  <c r="S2024" i="9"/>
  <c r="L2024" i="9"/>
  <c r="K2024" i="9"/>
  <c r="T2023" i="9"/>
  <c r="U2023" i="9" s="1"/>
  <c r="S2023" i="9"/>
  <c r="P2023" i="9"/>
  <c r="N2023" i="9"/>
  <c r="O2023" i="9" s="1"/>
  <c r="M2023" i="9"/>
  <c r="K2023" i="9"/>
  <c r="T2022" i="9"/>
  <c r="U2022" i="9" s="1"/>
  <c r="S2022" i="9"/>
  <c r="P2022" i="9"/>
  <c r="N2022" i="9"/>
  <c r="O2022" i="9" s="1"/>
  <c r="M2022" i="9"/>
  <c r="K2022" i="9"/>
  <c r="T2021" i="9"/>
  <c r="S2021" i="9"/>
  <c r="P2021" i="9"/>
  <c r="N2021" i="9"/>
  <c r="O2021" i="9" s="1"/>
  <c r="M2021" i="9"/>
  <c r="K2021" i="9"/>
  <c r="T2020" i="9"/>
  <c r="U2020" i="9" s="1"/>
  <c r="V2020" i="9" s="1"/>
  <c r="S2020" i="9"/>
  <c r="P2020" i="9"/>
  <c r="O2020" i="9"/>
  <c r="N2020" i="9"/>
  <c r="M2020" i="9"/>
  <c r="K2020" i="9"/>
  <c r="T2019" i="9"/>
  <c r="U2019" i="9" s="1"/>
  <c r="S2019" i="9"/>
  <c r="P2019" i="9"/>
  <c r="N2019" i="9"/>
  <c r="O2019" i="9" s="1"/>
  <c r="M2019" i="9"/>
  <c r="K2019" i="9"/>
  <c r="U2018" i="9"/>
  <c r="T2018" i="9"/>
  <c r="S2018" i="9"/>
  <c r="P2018" i="9"/>
  <c r="O2018" i="9"/>
  <c r="N2018" i="9"/>
  <c r="M2018" i="9"/>
  <c r="K2018" i="9"/>
  <c r="T2017" i="9"/>
  <c r="S2017" i="9"/>
  <c r="P2017" i="9"/>
  <c r="N2017" i="9"/>
  <c r="O2017" i="9" s="1"/>
  <c r="M2017" i="9"/>
  <c r="K2017" i="9"/>
  <c r="U2016" i="9"/>
  <c r="V2016" i="9" s="1"/>
  <c r="T2016" i="9"/>
  <c r="S2016" i="9"/>
  <c r="P2016" i="9"/>
  <c r="O2016" i="9"/>
  <c r="N2016" i="9"/>
  <c r="M2016" i="9"/>
  <c r="K2016" i="9"/>
  <c r="T2015" i="9"/>
  <c r="U2015" i="9" s="1"/>
  <c r="S2015" i="9"/>
  <c r="P2015" i="9"/>
  <c r="N2015" i="9"/>
  <c r="O2015" i="9" s="1"/>
  <c r="M2015" i="9"/>
  <c r="K2015" i="9"/>
  <c r="U2014" i="9"/>
  <c r="T2014" i="9"/>
  <c r="S2014" i="9"/>
  <c r="P2014" i="9"/>
  <c r="O2014" i="9"/>
  <c r="N2014" i="9"/>
  <c r="M2014" i="9"/>
  <c r="K2014" i="9"/>
  <c r="V2013" i="9"/>
  <c r="T2013" i="9"/>
  <c r="U2013" i="9" s="1"/>
  <c r="S2013" i="9"/>
  <c r="P2013" i="9"/>
  <c r="N2013" i="9"/>
  <c r="O2013" i="9" s="1"/>
  <c r="M2013" i="9"/>
  <c r="K2013" i="9"/>
  <c r="T2012" i="9"/>
  <c r="U2012" i="9" s="1"/>
  <c r="V2012" i="9" s="1"/>
  <c r="S2012" i="9"/>
  <c r="P2012" i="9"/>
  <c r="N2012" i="9"/>
  <c r="O2012" i="9" s="1"/>
  <c r="M2012" i="9"/>
  <c r="K2012" i="9"/>
  <c r="T2011" i="9"/>
  <c r="S2011" i="9"/>
  <c r="P2011" i="9"/>
  <c r="N2011" i="9"/>
  <c r="O2011" i="9" s="1"/>
  <c r="M2011" i="9"/>
  <c r="K2011" i="9"/>
  <c r="S2010" i="9"/>
  <c r="M2010" i="9"/>
  <c r="L2010" i="9"/>
  <c r="P2010" i="9" s="1"/>
  <c r="K2010" i="9"/>
  <c r="U2009" i="9"/>
  <c r="V2009" i="9" s="1"/>
  <c r="T2009" i="9"/>
  <c r="S2009" i="9"/>
  <c r="P2009" i="9"/>
  <c r="O2009" i="9"/>
  <c r="N2009" i="9"/>
  <c r="M2009" i="9"/>
  <c r="K2009" i="9"/>
  <c r="T2008" i="9"/>
  <c r="S2008" i="9"/>
  <c r="P2008" i="9"/>
  <c r="N2008" i="9"/>
  <c r="O2008" i="9" s="1"/>
  <c r="M2008" i="9"/>
  <c r="K2008" i="9"/>
  <c r="U2007" i="9"/>
  <c r="T2007" i="9"/>
  <c r="S2007" i="9"/>
  <c r="P2007" i="9"/>
  <c r="N2007" i="9"/>
  <c r="O2007" i="9" s="1"/>
  <c r="M2007" i="9"/>
  <c r="K2007" i="9"/>
  <c r="T2006" i="9"/>
  <c r="U2006" i="9" s="1"/>
  <c r="S2006" i="9"/>
  <c r="P2006" i="9"/>
  <c r="N2006" i="9"/>
  <c r="O2006" i="9" s="1"/>
  <c r="M2006" i="9"/>
  <c r="K2006" i="9"/>
  <c r="U2005" i="9"/>
  <c r="V2005" i="9" s="1"/>
  <c r="T2005" i="9"/>
  <c r="S2005" i="9"/>
  <c r="P2005" i="9"/>
  <c r="N2005" i="9"/>
  <c r="O2005" i="9" s="1"/>
  <c r="M2005" i="9"/>
  <c r="K2005" i="9"/>
  <c r="T2004" i="9"/>
  <c r="U2004" i="9" s="1"/>
  <c r="S2004" i="9"/>
  <c r="P2004" i="9"/>
  <c r="N2004" i="9"/>
  <c r="O2004" i="9" s="1"/>
  <c r="M2004" i="9"/>
  <c r="K2004" i="9"/>
  <c r="U2003" i="9"/>
  <c r="T2003" i="9"/>
  <c r="S2003" i="9"/>
  <c r="P2003" i="9"/>
  <c r="N2003" i="9"/>
  <c r="O2003" i="9" s="1"/>
  <c r="M2003" i="9"/>
  <c r="K2003" i="9"/>
  <c r="T2002" i="9"/>
  <c r="U2002" i="9" s="1"/>
  <c r="S2002" i="9"/>
  <c r="P2002" i="9"/>
  <c r="N2002" i="9"/>
  <c r="O2002" i="9" s="1"/>
  <c r="M2002" i="9"/>
  <c r="K2002" i="9"/>
  <c r="U2001" i="9"/>
  <c r="V2001" i="9" s="1"/>
  <c r="T2001" i="9"/>
  <c r="S2001" i="9"/>
  <c r="P2001" i="9"/>
  <c r="O2001" i="9"/>
  <c r="N2001" i="9"/>
  <c r="M2001" i="9"/>
  <c r="K2001" i="9"/>
  <c r="T2000" i="9"/>
  <c r="S2000" i="9"/>
  <c r="P2000" i="9"/>
  <c r="N2000" i="9"/>
  <c r="O2000" i="9" s="1"/>
  <c r="M2000" i="9"/>
  <c r="K2000" i="9"/>
  <c r="T1999" i="9"/>
  <c r="S1999" i="9"/>
  <c r="P1999" i="9"/>
  <c r="N1999" i="9"/>
  <c r="O1999" i="9" s="1"/>
  <c r="M1999" i="9"/>
  <c r="K1999" i="9"/>
  <c r="T1998" i="9"/>
  <c r="U1998" i="9" s="1"/>
  <c r="S1998" i="9"/>
  <c r="P1998" i="9"/>
  <c r="N1998" i="9"/>
  <c r="O1998" i="9" s="1"/>
  <c r="M1998" i="9"/>
  <c r="K1998" i="9"/>
  <c r="T1997" i="9"/>
  <c r="U1997" i="9" s="1"/>
  <c r="V1997" i="9" s="1"/>
  <c r="S1997" i="9"/>
  <c r="P1997" i="9"/>
  <c r="N1997" i="9"/>
  <c r="O1997" i="9" s="1"/>
  <c r="M1997" i="9"/>
  <c r="K1997" i="9"/>
  <c r="V1996" i="9"/>
  <c r="T1996" i="9"/>
  <c r="U1996" i="9" s="1"/>
  <c r="S1996" i="9"/>
  <c r="P1996" i="9"/>
  <c r="N1996" i="9"/>
  <c r="O1996" i="9" s="1"/>
  <c r="M1996" i="9"/>
  <c r="K1996" i="9"/>
  <c r="U1995" i="9"/>
  <c r="T1995" i="9"/>
  <c r="S1995" i="9"/>
  <c r="P1995" i="9"/>
  <c r="N1995" i="9"/>
  <c r="O1995" i="9" s="1"/>
  <c r="M1995" i="9"/>
  <c r="K1995" i="9"/>
  <c r="T1994" i="9"/>
  <c r="U1994" i="9" s="1"/>
  <c r="S1994" i="9"/>
  <c r="P1994" i="9"/>
  <c r="N1994" i="9"/>
  <c r="O1994" i="9" s="1"/>
  <c r="M1994" i="9"/>
  <c r="K1994" i="9"/>
  <c r="T1993" i="9"/>
  <c r="U1993" i="9" s="1"/>
  <c r="V1993" i="9" s="1"/>
  <c r="S1993" i="9"/>
  <c r="P1993" i="9"/>
  <c r="N1993" i="9"/>
  <c r="O1993" i="9" s="1"/>
  <c r="M1993" i="9"/>
  <c r="K1993" i="9"/>
  <c r="S1992" i="9"/>
  <c r="L1992" i="9"/>
  <c r="K1992" i="9"/>
  <c r="T1991" i="9"/>
  <c r="U1991" i="9" s="1"/>
  <c r="S1991" i="9"/>
  <c r="P1991" i="9"/>
  <c r="N1991" i="9"/>
  <c r="O1991" i="9" s="1"/>
  <c r="M1991" i="9"/>
  <c r="K1991" i="9"/>
  <c r="T1990" i="9"/>
  <c r="U1990" i="9" s="1"/>
  <c r="V1990" i="9" s="1"/>
  <c r="S1990" i="9"/>
  <c r="P1990" i="9"/>
  <c r="N1990" i="9"/>
  <c r="O1990" i="9" s="1"/>
  <c r="M1990" i="9"/>
  <c r="K1990" i="9"/>
  <c r="V1989" i="9"/>
  <c r="T1989" i="9"/>
  <c r="U1989" i="9" s="1"/>
  <c r="S1989" i="9"/>
  <c r="P1989" i="9"/>
  <c r="N1989" i="9"/>
  <c r="O1989" i="9" s="1"/>
  <c r="M1989" i="9"/>
  <c r="K1989" i="9"/>
  <c r="T1988" i="9"/>
  <c r="U1988" i="9" s="1"/>
  <c r="S1988" i="9"/>
  <c r="P1988" i="9"/>
  <c r="N1988" i="9"/>
  <c r="O1988" i="9" s="1"/>
  <c r="M1988" i="9"/>
  <c r="K1988" i="9"/>
  <c r="T1987" i="9"/>
  <c r="S1987" i="9"/>
  <c r="P1987" i="9"/>
  <c r="N1987" i="9"/>
  <c r="O1987" i="9" s="1"/>
  <c r="M1987" i="9"/>
  <c r="K1987" i="9"/>
  <c r="T1986" i="9"/>
  <c r="U1986" i="9" s="1"/>
  <c r="V1986" i="9" s="1"/>
  <c r="S1986" i="9"/>
  <c r="P1986" i="9"/>
  <c r="O1986" i="9"/>
  <c r="N1986" i="9"/>
  <c r="M1986" i="9"/>
  <c r="K1986" i="9"/>
  <c r="T1985" i="9"/>
  <c r="S1985" i="9"/>
  <c r="P1985" i="9"/>
  <c r="N1985" i="9"/>
  <c r="O1985" i="9" s="1"/>
  <c r="M1985" i="9"/>
  <c r="K1985" i="9"/>
  <c r="U1984" i="9"/>
  <c r="T1984" i="9"/>
  <c r="S1984" i="9"/>
  <c r="P1984" i="9"/>
  <c r="O1984" i="9"/>
  <c r="N1984" i="9"/>
  <c r="M1984" i="9"/>
  <c r="K1984" i="9"/>
  <c r="T1983" i="9"/>
  <c r="U1983" i="9" s="1"/>
  <c r="S1983" i="9"/>
  <c r="P1983" i="9"/>
  <c r="N1983" i="9"/>
  <c r="O1983" i="9" s="1"/>
  <c r="M1983" i="9"/>
  <c r="K1983" i="9"/>
  <c r="U1982" i="9"/>
  <c r="V1982" i="9" s="1"/>
  <c r="T1982" i="9"/>
  <c r="S1982" i="9"/>
  <c r="P1982" i="9"/>
  <c r="N1982" i="9"/>
  <c r="O1982" i="9" s="1"/>
  <c r="M1982" i="9"/>
  <c r="K1982" i="9"/>
  <c r="T1981" i="9"/>
  <c r="U1981" i="9" s="1"/>
  <c r="S1981" i="9"/>
  <c r="P1981" i="9"/>
  <c r="N1981" i="9"/>
  <c r="O1981" i="9" s="1"/>
  <c r="M1981" i="9"/>
  <c r="K1981" i="9"/>
  <c r="U1980" i="9"/>
  <c r="T1980" i="9"/>
  <c r="S1980" i="9"/>
  <c r="P1980" i="9"/>
  <c r="O1980" i="9"/>
  <c r="N1980" i="9"/>
  <c r="M1980" i="9"/>
  <c r="K1980" i="9"/>
  <c r="S1979" i="9"/>
  <c r="L1979" i="9"/>
  <c r="K1979" i="9"/>
  <c r="T1978" i="9"/>
  <c r="S1978" i="9"/>
  <c r="L1978" i="9"/>
  <c r="K1978" i="9"/>
  <c r="S1977" i="9"/>
  <c r="L1977" i="9"/>
  <c r="K1977" i="9"/>
  <c r="V1976" i="9"/>
  <c r="T1976" i="9"/>
  <c r="U1976" i="9" s="1"/>
  <c r="S1976" i="9"/>
  <c r="P1976" i="9"/>
  <c r="N1976" i="9"/>
  <c r="O1976" i="9" s="1"/>
  <c r="M1976" i="9"/>
  <c r="K1976" i="9"/>
  <c r="U1975" i="9"/>
  <c r="T1975" i="9"/>
  <c r="S1975" i="9"/>
  <c r="P1975" i="9"/>
  <c r="N1975" i="9"/>
  <c r="O1975" i="9" s="1"/>
  <c r="M1975" i="9"/>
  <c r="K1975" i="9"/>
  <c r="T1974" i="9"/>
  <c r="S1974" i="9"/>
  <c r="P1974" i="9"/>
  <c r="N1974" i="9"/>
  <c r="O1974" i="9" s="1"/>
  <c r="M1974" i="9"/>
  <c r="K1974" i="9"/>
  <c r="T1973" i="9"/>
  <c r="U1973" i="9" s="1"/>
  <c r="V1973" i="9" s="1"/>
  <c r="S1973" i="9"/>
  <c r="P1973" i="9"/>
  <c r="N1973" i="9"/>
  <c r="O1973" i="9" s="1"/>
  <c r="M1973" i="9"/>
  <c r="K1973" i="9"/>
  <c r="T1972" i="9"/>
  <c r="S1972" i="9"/>
  <c r="P1972" i="9"/>
  <c r="N1972" i="9"/>
  <c r="O1972" i="9" s="1"/>
  <c r="M1972" i="9"/>
  <c r="K1972" i="9"/>
  <c r="T1971" i="9"/>
  <c r="S1971" i="9"/>
  <c r="P1971" i="9"/>
  <c r="N1971" i="9"/>
  <c r="O1971" i="9" s="1"/>
  <c r="M1971" i="9"/>
  <c r="K1971" i="9"/>
  <c r="S1970" i="9"/>
  <c r="L1970" i="9"/>
  <c r="M1970" i="9" s="1"/>
  <c r="K1970" i="9"/>
  <c r="S1969" i="9"/>
  <c r="L1969" i="9"/>
  <c r="K1969" i="9"/>
  <c r="S1968" i="9"/>
  <c r="L1968" i="9"/>
  <c r="K1968" i="9"/>
  <c r="T1967" i="9"/>
  <c r="S1967" i="9"/>
  <c r="P1967" i="9"/>
  <c r="N1967" i="9"/>
  <c r="O1967" i="9" s="1"/>
  <c r="M1967" i="9"/>
  <c r="K1967" i="9"/>
  <c r="T1966" i="9"/>
  <c r="S1966" i="9"/>
  <c r="P1966" i="9"/>
  <c r="O1966" i="9"/>
  <c r="N1966" i="9"/>
  <c r="M1966" i="9"/>
  <c r="K1966" i="9"/>
  <c r="T1965" i="9"/>
  <c r="U1965" i="9" s="1"/>
  <c r="S1965" i="9"/>
  <c r="P1965" i="9"/>
  <c r="N1965" i="9"/>
  <c r="O1965" i="9" s="1"/>
  <c r="M1965" i="9"/>
  <c r="K1965" i="9"/>
  <c r="T1964" i="9"/>
  <c r="U1964" i="9" s="1"/>
  <c r="V1964" i="9" s="1"/>
  <c r="S1964" i="9"/>
  <c r="P1964" i="9"/>
  <c r="N1964" i="9"/>
  <c r="O1964" i="9" s="1"/>
  <c r="M1964" i="9"/>
  <c r="K1964" i="9"/>
  <c r="T1963" i="9"/>
  <c r="S1963" i="9"/>
  <c r="P1963" i="9"/>
  <c r="N1963" i="9"/>
  <c r="O1963" i="9" s="1"/>
  <c r="M1963" i="9"/>
  <c r="K1963" i="9"/>
  <c r="T1962" i="9"/>
  <c r="S1962" i="9"/>
  <c r="P1962" i="9"/>
  <c r="O1962" i="9"/>
  <c r="N1962" i="9"/>
  <c r="M1962" i="9"/>
  <c r="K1962" i="9"/>
  <c r="S1961" i="9"/>
  <c r="L1961" i="9"/>
  <c r="T1961" i="9" s="1"/>
  <c r="K1961" i="9"/>
  <c r="T1960" i="9"/>
  <c r="S1960" i="9"/>
  <c r="P1960" i="9"/>
  <c r="N1960" i="9"/>
  <c r="O1960" i="9" s="1"/>
  <c r="M1960" i="9"/>
  <c r="K1960" i="9"/>
  <c r="T1959" i="9"/>
  <c r="S1959" i="9"/>
  <c r="P1959" i="9"/>
  <c r="N1959" i="9"/>
  <c r="O1959" i="9" s="1"/>
  <c r="M1959" i="9"/>
  <c r="K1959" i="9"/>
  <c r="T1958" i="9"/>
  <c r="U1958" i="9" s="1"/>
  <c r="S1958" i="9"/>
  <c r="P1958" i="9"/>
  <c r="N1958" i="9"/>
  <c r="O1958" i="9" s="1"/>
  <c r="M1958" i="9"/>
  <c r="K1958" i="9"/>
  <c r="T1957" i="9"/>
  <c r="U1957" i="9" s="1"/>
  <c r="V1957" i="9" s="1"/>
  <c r="S1957" i="9"/>
  <c r="P1957" i="9"/>
  <c r="N1957" i="9"/>
  <c r="O1957" i="9" s="1"/>
  <c r="M1957" i="9"/>
  <c r="K1957" i="9"/>
  <c r="V1956" i="9"/>
  <c r="T1956" i="9"/>
  <c r="U1956" i="9" s="1"/>
  <c r="S1956" i="9"/>
  <c r="P1956" i="9"/>
  <c r="N1956" i="9"/>
  <c r="O1956" i="9" s="1"/>
  <c r="M1956" i="9"/>
  <c r="K1956" i="9"/>
  <c r="S1955" i="9"/>
  <c r="M1955" i="9"/>
  <c r="L1955" i="9"/>
  <c r="P1955" i="9" s="1"/>
  <c r="K1955" i="9"/>
  <c r="T1954" i="9"/>
  <c r="U1954" i="9" s="1"/>
  <c r="V1954" i="9" s="1"/>
  <c r="S1954" i="9"/>
  <c r="P1954" i="9"/>
  <c r="O1954" i="9"/>
  <c r="N1954" i="9"/>
  <c r="M1954" i="9"/>
  <c r="K1954" i="9"/>
  <c r="T1953" i="9"/>
  <c r="S1953" i="9"/>
  <c r="P1953" i="9"/>
  <c r="N1953" i="9"/>
  <c r="O1953" i="9" s="1"/>
  <c r="M1953" i="9"/>
  <c r="K1953" i="9"/>
  <c r="T1952" i="9"/>
  <c r="S1952" i="9"/>
  <c r="P1952" i="9"/>
  <c r="O1952" i="9"/>
  <c r="N1952" i="9"/>
  <c r="M1952" i="9"/>
  <c r="K1952" i="9"/>
  <c r="T1951" i="9"/>
  <c r="S1951" i="9"/>
  <c r="P1951" i="9"/>
  <c r="N1951" i="9"/>
  <c r="O1951" i="9" s="1"/>
  <c r="M1951" i="9"/>
  <c r="K1951" i="9"/>
  <c r="T1950" i="9"/>
  <c r="U1950" i="9" s="1"/>
  <c r="V1950" i="9" s="1"/>
  <c r="S1950" i="9"/>
  <c r="P1950" i="9"/>
  <c r="O1950" i="9"/>
  <c r="N1950" i="9"/>
  <c r="M1950" i="9"/>
  <c r="K1950" i="9"/>
  <c r="T1949" i="9"/>
  <c r="U1949" i="9" s="1"/>
  <c r="S1949" i="9"/>
  <c r="P1949" i="9"/>
  <c r="N1949" i="9"/>
  <c r="O1949" i="9" s="1"/>
  <c r="M1949" i="9"/>
  <c r="K1949" i="9"/>
  <c r="U1948" i="9"/>
  <c r="T1948" i="9"/>
  <c r="S1948" i="9"/>
  <c r="P1948" i="9"/>
  <c r="N1948" i="9"/>
  <c r="O1948" i="9" s="1"/>
  <c r="M1948" i="9"/>
  <c r="K1948" i="9"/>
  <c r="V1947" i="9"/>
  <c r="T1947" i="9"/>
  <c r="U1947" i="9" s="1"/>
  <c r="S1947" i="9"/>
  <c r="P1947" i="9"/>
  <c r="N1947" i="9"/>
  <c r="O1947" i="9" s="1"/>
  <c r="M1947" i="9"/>
  <c r="K1947" i="9"/>
  <c r="T1946" i="9"/>
  <c r="U1946" i="9" s="1"/>
  <c r="V1946" i="9" s="1"/>
  <c r="S1946" i="9"/>
  <c r="P1946" i="9"/>
  <c r="N1946" i="9"/>
  <c r="O1946" i="9" s="1"/>
  <c r="M1946" i="9"/>
  <c r="K1946" i="9"/>
  <c r="T1945" i="9"/>
  <c r="U1945" i="9" s="1"/>
  <c r="S1945" i="9"/>
  <c r="P1945" i="9"/>
  <c r="N1945" i="9"/>
  <c r="O1945" i="9" s="1"/>
  <c r="M1945" i="9"/>
  <c r="K1945" i="9"/>
  <c r="T1944" i="9"/>
  <c r="S1944" i="9"/>
  <c r="P1944" i="9"/>
  <c r="O1944" i="9"/>
  <c r="N1944" i="9"/>
  <c r="M1944" i="9"/>
  <c r="K1944" i="9"/>
  <c r="T1943" i="9"/>
  <c r="S1943" i="9"/>
  <c r="P1943" i="9"/>
  <c r="N1943" i="9"/>
  <c r="O1943" i="9" s="1"/>
  <c r="M1943" i="9"/>
  <c r="K1943" i="9"/>
  <c r="T1942" i="9"/>
  <c r="S1942" i="9"/>
  <c r="P1942" i="9"/>
  <c r="N1942" i="9"/>
  <c r="O1942" i="9" s="1"/>
  <c r="M1942" i="9"/>
  <c r="K1942" i="9"/>
  <c r="S1941" i="9"/>
  <c r="P1941" i="9"/>
  <c r="L1941" i="9"/>
  <c r="M1941" i="9" s="1"/>
  <c r="K1941" i="9"/>
  <c r="T1940" i="9"/>
  <c r="U1940" i="9" s="1"/>
  <c r="S1940" i="9"/>
  <c r="P1940" i="9"/>
  <c r="N1940" i="9"/>
  <c r="O1940" i="9" s="1"/>
  <c r="M1940" i="9"/>
  <c r="K1940" i="9"/>
  <c r="S1939" i="9"/>
  <c r="L1939" i="9"/>
  <c r="K1939" i="9"/>
  <c r="T1938" i="9"/>
  <c r="S1938" i="9"/>
  <c r="P1938" i="9"/>
  <c r="N1938" i="9"/>
  <c r="O1938" i="9" s="1"/>
  <c r="M1938" i="9"/>
  <c r="K1938" i="9"/>
  <c r="S1937" i="9"/>
  <c r="L1937" i="9"/>
  <c r="K1937" i="9"/>
  <c r="T1936" i="9"/>
  <c r="U1936" i="9" s="1"/>
  <c r="S1936" i="9"/>
  <c r="P1936" i="9"/>
  <c r="N1936" i="9"/>
  <c r="O1936" i="9" s="1"/>
  <c r="M1936" i="9"/>
  <c r="K1936" i="9"/>
  <c r="T1935" i="9"/>
  <c r="S1935" i="9"/>
  <c r="P1935" i="9"/>
  <c r="N1935" i="9"/>
  <c r="O1935" i="9" s="1"/>
  <c r="M1935" i="9"/>
  <c r="K1935" i="9"/>
  <c r="S1934" i="9"/>
  <c r="L1934" i="9"/>
  <c r="K1934" i="9"/>
  <c r="T1933" i="9"/>
  <c r="S1933" i="9"/>
  <c r="L1933" i="9"/>
  <c r="K1933" i="9"/>
  <c r="S1932" i="9"/>
  <c r="L1932" i="9"/>
  <c r="M1932" i="9" s="1"/>
  <c r="K1932" i="9"/>
  <c r="T1931" i="9"/>
  <c r="U1931" i="9" s="1"/>
  <c r="S1931" i="9"/>
  <c r="P1931" i="9"/>
  <c r="N1931" i="9"/>
  <c r="O1931" i="9" s="1"/>
  <c r="M1931" i="9"/>
  <c r="K1931" i="9"/>
  <c r="S1930" i="9"/>
  <c r="L1930" i="9"/>
  <c r="T1930" i="9" s="1"/>
  <c r="K1930" i="9"/>
  <c r="T1929" i="9"/>
  <c r="U1929" i="9" s="1"/>
  <c r="V1929" i="9" s="1"/>
  <c r="S1929" i="9"/>
  <c r="P1929" i="9"/>
  <c r="N1929" i="9"/>
  <c r="O1929" i="9" s="1"/>
  <c r="M1929" i="9"/>
  <c r="K1929" i="9"/>
  <c r="T1928" i="9"/>
  <c r="S1928" i="9"/>
  <c r="P1928" i="9"/>
  <c r="N1928" i="9"/>
  <c r="O1928" i="9" s="1"/>
  <c r="M1928" i="9"/>
  <c r="K1928" i="9"/>
  <c r="S1927" i="9"/>
  <c r="M1927" i="9"/>
  <c r="L1927" i="9"/>
  <c r="T1927" i="9" s="1"/>
  <c r="K1927" i="9"/>
  <c r="U1926" i="9"/>
  <c r="T1926" i="9"/>
  <c r="S1926" i="9"/>
  <c r="P1926" i="9"/>
  <c r="O1926" i="9"/>
  <c r="N1926" i="9"/>
  <c r="M1926" i="9"/>
  <c r="K1926" i="9"/>
  <c r="T1925" i="9"/>
  <c r="S1925" i="9"/>
  <c r="P1925" i="9"/>
  <c r="N1925" i="9"/>
  <c r="O1925" i="9" s="1"/>
  <c r="M1925" i="9"/>
  <c r="K1925" i="9"/>
  <c r="T1924" i="9"/>
  <c r="S1924" i="9"/>
  <c r="P1924" i="9"/>
  <c r="O1924" i="9"/>
  <c r="N1924" i="9"/>
  <c r="M1924" i="9"/>
  <c r="K1924" i="9"/>
  <c r="T1923" i="9"/>
  <c r="S1923" i="9"/>
  <c r="P1923" i="9"/>
  <c r="N1923" i="9"/>
  <c r="O1923" i="9" s="1"/>
  <c r="M1923" i="9"/>
  <c r="K1923" i="9"/>
  <c r="T1922" i="9"/>
  <c r="S1922" i="9"/>
  <c r="P1922" i="9"/>
  <c r="O1922" i="9"/>
  <c r="N1922" i="9"/>
  <c r="M1922" i="9"/>
  <c r="K1922" i="9"/>
  <c r="T1921" i="9"/>
  <c r="U1921" i="9" s="1"/>
  <c r="S1921" i="9"/>
  <c r="P1921" i="9"/>
  <c r="N1921" i="9"/>
  <c r="O1921" i="9" s="1"/>
  <c r="M1921" i="9"/>
  <c r="K1921" i="9"/>
  <c r="U1920" i="9"/>
  <c r="T1920" i="9"/>
  <c r="S1920" i="9"/>
  <c r="P1920" i="9"/>
  <c r="N1920" i="9"/>
  <c r="O1920" i="9" s="1"/>
  <c r="M1920" i="9"/>
  <c r="K1920" i="9"/>
  <c r="V1919" i="9"/>
  <c r="T1919" i="9"/>
  <c r="U1919" i="9" s="1"/>
  <c r="S1919" i="9"/>
  <c r="P1919" i="9"/>
  <c r="N1919" i="9"/>
  <c r="O1919" i="9" s="1"/>
  <c r="M1919" i="9"/>
  <c r="K1919" i="9"/>
  <c r="T1918" i="9"/>
  <c r="S1918" i="9"/>
  <c r="P1918" i="9"/>
  <c r="N1918" i="9"/>
  <c r="O1918" i="9" s="1"/>
  <c r="M1918" i="9"/>
  <c r="K1918" i="9"/>
  <c r="T1917" i="9"/>
  <c r="S1917" i="9"/>
  <c r="P1917" i="9"/>
  <c r="N1917" i="9"/>
  <c r="O1917" i="9" s="1"/>
  <c r="M1917" i="9"/>
  <c r="K1917" i="9"/>
  <c r="S1916" i="9"/>
  <c r="L1916" i="9"/>
  <c r="T1916" i="9" s="1"/>
  <c r="K1916" i="9"/>
  <c r="U1915" i="9"/>
  <c r="T1915" i="9"/>
  <c r="S1915" i="9"/>
  <c r="P1915" i="9"/>
  <c r="N1915" i="9"/>
  <c r="O1915" i="9" s="1"/>
  <c r="M1915" i="9"/>
  <c r="K1915" i="9"/>
  <c r="T1914" i="9"/>
  <c r="U1914" i="9" s="1"/>
  <c r="S1914" i="9"/>
  <c r="P1914" i="9"/>
  <c r="N1914" i="9"/>
  <c r="O1914" i="9" s="1"/>
  <c r="M1914" i="9"/>
  <c r="K1914" i="9"/>
  <c r="S1913" i="9"/>
  <c r="L1913" i="9"/>
  <c r="K1913" i="9"/>
  <c r="T1912" i="9"/>
  <c r="S1912" i="9"/>
  <c r="P1912" i="9"/>
  <c r="O1912" i="9"/>
  <c r="N1912" i="9"/>
  <c r="M1912" i="9"/>
  <c r="K1912" i="9"/>
  <c r="S1911" i="9"/>
  <c r="L1911" i="9"/>
  <c r="K1911" i="9"/>
  <c r="S1910" i="9"/>
  <c r="N1910" i="9"/>
  <c r="O1910" i="9" s="1"/>
  <c r="L1910" i="9"/>
  <c r="M1910" i="9" s="1"/>
  <c r="K1910" i="9"/>
  <c r="V1909" i="9"/>
  <c r="T1909" i="9"/>
  <c r="U1909" i="9" s="1"/>
  <c r="S1909" i="9"/>
  <c r="P1909" i="9"/>
  <c r="N1909" i="9"/>
  <c r="O1909" i="9" s="1"/>
  <c r="M1909" i="9"/>
  <c r="K1909" i="9"/>
  <c r="U1908" i="9"/>
  <c r="T1908" i="9"/>
  <c r="S1908" i="9"/>
  <c r="N1908" i="9"/>
  <c r="O1908" i="9" s="1"/>
  <c r="M1908" i="9"/>
  <c r="L1908" i="9"/>
  <c r="P1908" i="9" s="1"/>
  <c r="K1908" i="9"/>
  <c r="U1907" i="9"/>
  <c r="V1907" i="9" s="1"/>
  <c r="T1907" i="9"/>
  <c r="S1907" i="9"/>
  <c r="P1907" i="9"/>
  <c r="N1907" i="9"/>
  <c r="O1907" i="9" s="1"/>
  <c r="M1907" i="9"/>
  <c r="K1907" i="9"/>
  <c r="T1906" i="9"/>
  <c r="S1906" i="9"/>
  <c r="L1906" i="9"/>
  <c r="K1906" i="9"/>
  <c r="S1905" i="9"/>
  <c r="L1905" i="9"/>
  <c r="K1905" i="9"/>
  <c r="T1904" i="9"/>
  <c r="U1904" i="9" s="1"/>
  <c r="S1904" i="9"/>
  <c r="P1904" i="9"/>
  <c r="N1904" i="9"/>
  <c r="O1904" i="9" s="1"/>
  <c r="M1904" i="9"/>
  <c r="K1904" i="9"/>
  <c r="T1903" i="9"/>
  <c r="S1903" i="9"/>
  <c r="P1903" i="9"/>
  <c r="N1903" i="9"/>
  <c r="O1903" i="9" s="1"/>
  <c r="M1903" i="9"/>
  <c r="K1903" i="9"/>
  <c r="S1902" i="9"/>
  <c r="L1902" i="9"/>
  <c r="T1902" i="9" s="1"/>
  <c r="K1902" i="9"/>
  <c r="T1901" i="9"/>
  <c r="S1901" i="9"/>
  <c r="P1901" i="9"/>
  <c r="N1901" i="9"/>
  <c r="O1901" i="9" s="1"/>
  <c r="M1901" i="9"/>
  <c r="K1901" i="9"/>
  <c r="U1900" i="9"/>
  <c r="T1900" i="9"/>
  <c r="S1900" i="9"/>
  <c r="P1900" i="9"/>
  <c r="O1900" i="9"/>
  <c r="N1900" i="9"/>
  <c r="M1900" i="9"/>
  <c r="K1900" i="9"/>
  <c r="S1899" i="9"/>
  <c r="P1899" i="9"/>
  <c r="L1899" i="9"/>
  <c r="M1899" i="9" s="1"/>
  <c r="K1899" i="9"/>
  <c r="S1898" i="9"/>
  <c r="P1898" i="9"/>
  <c r="N1898" i="9"/>
  <c r="O1898" i="9" s="1"/>
  <c r="L1898" i="9"/>
  <c r="M1898" i="9" s="1"/>
  <c r="K1898" i="9"/>
  <c r="T1897" i="9"/>
  <c r="U1897" i="9" s="1"/>
  <c r="S1897" i="9"/>
  <c r="P1897" i="9"/>
  <c r="N1897" i="9"/>
  <c r="O1897" i="9" s="1"/>
  <c r="M1897" i="9"/>
  <c r="K1897" i="9"/>
  <c r="S1896" i="9"/>
  <c r="M1896" i="9"/>
  <c r="L1896" i="9"/>
  <c r="P1896" i="9" s="1"/>
  <c r="K1896" i="9"/>
  <c r="S1895" i="9"/>
  <c r="L1895" i="9"/>
  <c r="K1895" i="9"/>
  <c r="T1894" i="9"/>
  <c r="U1894" i="9" s="1"/>
  <c r="V1894" i="9" s="1"/>
  <c r="S1894" i="9"/>
  <c r="P1894" i="9"/>
  <c r="O1894" i="9"/>
  <c r="N1894" i="9"/>
  <c r="M1894" i="9"/>
  <c r="K1894" i="9"/>
  <c r="S1893" i="9"/>
  <c r="L1893" i="9"/>
  <c r="K1893" i="9"/>
  <c r="S1892" i="9"/>
  <c r="L1892" i="9"/>
  <c r="P1892" i="9" s="1"/>
  <c r="K1892" i="9"/>
  <c r="T1891" i="9"/>
  <c r="U1891" i="9" s="1"/>
  <c r="S1891" i="9"/>
  <c r="P1891" i="9"/>
  <c r="O1891" i="9"/>
  <c r="N1891" i="9"/>
  <c r="M1891" i="9"/>
  <c r="K1891" i="9"/>
  <c r="T1890" i="9"/>
  <c r="U1890" i="9" s="1"/>
  <c r="V1890" i="9" s="1"/>
  <c r="S1890" i="9"/>
  <c r="P1890" i="9"/>
  <c r="N1890" i="9"/>
  <c r="O1890" i="9" s="1"/>
  <c r="M1890" i="9"/>
  <c r="K1890" i="9"/>
  <c r="T1889" i="9"/>
  <c r="U1889" i="9" s="1"/>
  <c r="V1889" i="9" s="1"/>
  <c r="S1889" i="9"/>
  <c r="P1889" i="9"/>
  <c r="N1889" i="9"/>
  <c r="O1889" i="9" s="1"/>
  <c r="M1889" i="9"/>
  <c r="K1889" i="9"/>
  <c r="T1888" i="9"/>
  <c r="S1888" i="9"/>
  <c r="P1888" i="9"/>
  <c r="N1888" i="9"/>
  <c r="O1888" i="9" s="1"/>
  <c r="M1888" i="9"/>
  <c r="K1888" i="9"/>
  <c r="T1887" i="9"/>
  <c r="S1887" i="9"/>
  <c r="P1887" i="9"/>
  <c r="N1887" i="9"/>
  <c r="O1887" i="9" s="1"/>
  <c r="M1887" i="9"/>
  <c r="K1887" i="9"/>
  <c r="U1886" i="9"/>
  <c r="V1886" i="9" s="1"/>
  <c r="T1886" i="9"/>
  <c r="S1886" i="9"/>
  <c r="P1886" i="9"/>
  <c r="N1886" i="9"/>
  <c r="O1886" i="9" s="1"/>
  <c r="M1886" i="9"/>
  <c r="K1886" i="9"/>
  <c r="T1885" i="9"/>
  <c r="U1885" i="9" s="1"/>
  <c r="V1885" i="9" s="1"/>
  <c r="S1885" i="9"/>
  <c r="P1885" i="9"/>
  <c r="N1885" i="9"/>
  <c r="O1885" i="9" s="1"/>
  <c r="M1885" i="9"/>
  <c r="K1885" i="9"/>
  <c r="T1884" i="9"/>
  <c r="S1884" i="9"/>
  <c r="P1884" i="9"/>
  <c r="N1884" i="9"/>
  <c r="O1884" i="9" s="1"/>
  <c r="M1884" i="9"/>
  <c r="K1884" i="9"/>
  <c r="U1883" i="9"/>
  <c r="T1883" i="9"/>
  <c r="S1883" i="9"/>
  <c r="P1883" i="9"/>
  <c r="O1883" i="9"/>
  <c r="N1883" i="9"/>
  <c r="M1883" i="9"/>
  <c r="K1883" i="9"/>
  <c r="S1882" i="9"/>
  <c r="P1882" i="9"/>
  <c r="L1882" i="9"/>
  <c r="K1882" i="9"/>
  <c r="T1881" i="9"/>
  <c r="S1881" i="9"/>
  <c r="P1881" i="9"/>
  <c r="N1881" i="9"/>
  <c r="O1881" i="9" s="1"/>
  <c r="M1881" i="9"/>
  <c r="K1881" i="9"/>
  <c r="T1880" i="9"/>
  <c r="S1880" i="9"/>
  <c r="P1880" i="9"/>
  <c r="N1880" i="9"/>
  <c r="O1880" i="9" s="1"/>
  <c r="M1880" i="9"/>
  <c r="K1880" i="9"/>
  <c r="U1879" i="9"/>
  <c r="V1879" i="9" s="1"/>
  <c r="T1879" i="9"/>
  <c r="S1879" i="9"/>
  <c r="P1879" i="9"/>
  <c r="O1879" i="9"/>
  <c r="N1879" i="9"/>
  <c r="M1879" i="9"/>
  <c r="K1879" i="9"/>
  <c r="T1878" i="9"/>
  <c r="U1878" i="9" s="1"/>
  <c r="V1878" i="9" s="1"/>
  <c r="S1878" i="9"/>
  <c r="P1878" i="9"/>
  <c r="N1878" i="9"/>
  <c r="O1878" i="9" s="1"/>
  <c r="M1878" i="9"/>
  <c r="K1878" i="9"/>
  <c r="T1877" i="9"/>
  <c r="S1877" i="9"/>
  <c r="P1877" i="9"/>
  <c r="N1877" i="9"/>
  <c r="O1877" i="9" s="1"/>
  <c r="M1877" i="9"/>
  <c r="K1877" i="9"/>
  <c r="T1876" i="9"/>
  <c r="U1876" i="9" s="1"/>
  <c r="S1876" i="9"/>
  <c r="P1876" i="9"/>
  <c r="N1876" i="9"/>
  <c r="O1876" i="9" s="1"/>
  <c r="M1876" i="9"/>
  <c r="K1876" i="9"/>
  <c r="T1875" i="9"/>
  <c r="U1875" i="9" s="1"/>
  <c r="V1875" i="9" s="1"/>
  <c r="S1875" i="9"/>
  <c r="P1875" i="9"/>
  <c r="O1875" i="9"/>
  <c r="N1875" i="9"/>
  <c r="M1875" i="9"/>
  <c r="K1875" i="9"/>
  <c r="T1874" i="9"/>
  <c r="U1874" i="9" s="1"/>
  <c r="S1874" i="9"/>
  <c r="P1874" i="9"/>
  <c r="N1874" i="9"/>
  <c r="O1874" i="9" s="1"/>
  <c r="M1874" i="9"/>
  <c r="K1874" i="9"/>
  <c r="T1873" i="9"/>
  <c r="S1873" i="9"/>
  <c r="P1873" i="9"/>
  <c r="N1873" i="9"/>
  <c r="O1873" i="9" s="1"/>
  <c r="M1873" i="9"/>
  <c r="K1873" i="9"/>
  <c r="T1872" i="9"/>
  <c r="S1872" i="9"/>
  <c r="P1872" i="9"/>
  <c r="N1872" i="9"/>
  <c r="O1872" i="9" s="1"/>
  <c r="M1872" i="9"/>
  <c r="K1872" i="9"/>
  <c r="T1871" i="9"/>
  <c r="U1871" i="9" s="1"/>
  <c r="V1871" i="9" s="1"/>
  <c r="S1871" i="9"/>
  <c r="P1871" i="9"/>
  <c r="O1871" i="9"/>
  <c r="N1871" i="9"/>
  <c r="M1871" i="9"/>
  <c r="K1871" i="9"/>
  <c r="T1870" i="9"/>
  <c r="U1870" i="9" s="1"/>
  <c r="V1870" i="9" s="1"/>
  <c r="S1870" i="9"/>
  <c r="P1870" i="9"/>
  <c r="N1870" i="9"/>
  <c r="O1870" i="9" s="1"/>
  <c r="M1870" i="9"/>
  <c r="K1870" i="9"/>
  <c r="T1869" i="9"/>
  <c r="S1869" i="9"/>
  <c r="P1869" i="9"/>
  <c r="N1869" i="9"/>
  <c r="O1869" i="9" s="1"/>
  <c r="M1869" i="9"/>
  <c r="K1869" i="9"/>
  <c r="U1868" i="9"/>
  <c r="T1868" i="9"/>
  <c r="S1868" i="9"/>
  <c r="P1868" i="9"/>
  <c r="N1868" i="9"/>
  <c r="O1868" i="9" s="1"/>
  <c r="M1868" i="9"/>
  <c r="K1868" i="9"/>
  <c r="V1867" i="9"/>
  <c r="T1867" i="9"/>
  <c r="U1867" i="9" s="1"/>
  <c r="S1867" i="9"/>
  <c r="P1867" i="9"/>
  <c r="N1867" i="9"/>
  <c r="O1867" i="9" s="1"/>
  <c r="M1867" i="9"/>
  <c r="K1867" i="9"/>
  <c r="V1866" i="9"/>
  <c r="T1866" i="9"/>
  <c r="U1866" i="9" s="1"/>
  <c r="S1866" i="9"/>
  <c r="P1866" i="9"/>
  <c r="N1866" i="9"/>
  <c r="O1866" i="9" s="1"/>
  <c r="M1866" i="9"/>
  <c r="K1866" i="9"/>
  <c r="T1865" i="9"/>
  <c r="S1865" i="9"/>
  <c r="N1865" i="9"/>
  <c r="O1865" i="9" s="1"/>
  <c r="M1865" i="9"/>
  <c r="L1865" i="9"/>
  <c r="P1865" i="9" s="1"/>
  <c r="K1865" i="9"/>
  <c r="T1864" i="9"/>
  <c r="U1864" i="9" s="1"/>
  <c r="V1864" i="9" s="1"/>
  <c r="S1864" i="9"/>
  <c r="P1864" i="9"/>
  <c r="O1864" i="9"/>
  <c r="N1864" i="9"/>
  <c r="M1864" i="9"/>
  <c r="K1864" i="9"/>
  <c r="T1863" i="9"/>
  <c r="U1863" i="9" s="1"/>
  <c r="V1863" i="9" s="1"/>
  <c r="S1863" i="9"/>
  <c r="P1863" i="9"/>
  <c r="N1863" i="9"/>
  <c r="O1863" i="9" s="1"/>
  <c r="M1863" i="9"/>
  <c r="K1863" i="9"/>
  <c r="T1862" i="9"/>
  <c r="S1862" i="9"/>
  <c r="N1862" i="9"/>
  <c r="O1862" i="9" s="1"/>
  <c r="L1862" i="9"/>
  <c r="P1862" i="9" s="1"/>
  <c r="K1862" i="9"/>
  <c r="S1861" i="9"/>
  <c r="L1861" i="9"/>
  <c r="K1861" i="9"/>
  <c r="T1860" i="9"/>
  <c r="S1860" i="9"/>
  <c r="N1860" i="9"/>
  <c r="O1860" i="9" s="1"/>
  <c r="M1860" i="9"/>
  <c r="L1860" i="9"/>
  <c r="P1860" i="9" s="1"/>
  <c r="K1860" i="9"/>
  <c r="U1859" i="9"/>
  <c r="V1859" i="9" s="1"/>
  <c r="T1859" i="9"/>
  <c r="S1859" i="9"/>
  <c r="P1859" i="9"/>
  <c r="N1859" i="9"/>
  <c r="O1859" i="9" s="1"/>
  <c r="M1859" i="9"/>
  <c r="K1859" i="9"/>
  <c r="S1858" i="9"/>
  <c r="L1858" i="9"/>
  <c r="M1858" i="9" s="1"/>
  <c r="K1858" i="9"/>
  <c r="T1857" i="9"/>
  <c r="U1857" i="9" s="1"/>
  <c r="S1857" i="9"/>
  <c r="P1857" i="9"/>
  <c r="O1857" i="9"/>
  <c r="N1857" i="9"/>
  <c r="M1857" i="9"/>
  <c r="K1857" i="9"/>
  <c r="V1856" i="9"/>
  <c r="U1856" i="9"/>
  <c r="T1856" i="9"/>
  <c r="S1856" i="9"/>
  <c r="P1856" i="9"/>
  <c r="N1856" i="9"/>
  <c r="O1856" i="9" s="1"/>
  <c r="M1856" i="9"/>
  <c r="K1856" i="9"/>
  <c r="S1855" i="9"/>
  <c r="L1855" i="9"/>
  <c r="M1855" i="9" s="1"/>
  <c r="K1855" i="9"/>
  <c r="T1854" i="9"/>
  <c r="S1854" i="9"/>
  <c r="N1854" i="9"/>
  <c r="O1854" i="9" s="1"/>
  <c r="L1854" i="9"/>
  <c r="M1854" i="9" s="1"/>
  <c r="K1854" i="9"/>
  <c r="T1853" i="9"/>
  <c r="U1853" i="9" s="1"/>
  <c r="V1853" i="9" s="1"/>
  <c r="S1853" i="9"/>
  <c r="P1853" i="9"/>
  <c r="N1853" i="9"/>
  <c r="O1853" i="9" s="1"/>
  <c r="M1853" i="9"/>
  <c r="K1853" i="9"/>
  <c r="T1852" i="9"/>
  <c r="S1852" i="9"/>
  <c r="P1852" i="9"/>
  <c r="N1852" i="9"/>
  <c r="O1852" i="9" s="1"/>
  <c r="M1852" i="9"/>
  <c r="K1852" i="9"/>
  <c r="T1851" i="9"/>
  <c r="S1851" i="9"/>
  <c r="N1851" i="9"/>
  <c r="O1851" i="9" s="1"/>
  <c r="L1851" i="9"/>
  <c r="M1851" i="9" s="1"/>
  <c r="K1851" i="9"/>
  <c r="T1850" i="9"/>
  <c r="U1850" i="9" s="1"/>
  <c r="V1850" i="9" s="1"/>
  <c r="S1850" i="9"/>
  <c r="P1850" i="9"/>
  <c r="N1850" i="9"/>
  <c r="O1850" i="9" s="1"/>
  <c r="M1850" i="9"/>
  <c r="K1850" i="9"/>
  <c r="T1849" i="9"/>
  <c r="S1849" i="9"/>
  <c r="M1849" i="9"/>
  <c r="L1849" i="9"/>
  <c r="P1849" i="9" s="1"/>
  <c r="K1849" i="9"/>
  <c r="T1848" i="9"/>
  <c r="U1848" i="9" s="1"/>
  <c r="V1848" i="9" s="1"/>
  <c r="S1848" i="9"/>
  <c r="P1848" i="9"/>
  <c r="O1848" i="9"/>
  <c r="N1848" i="9"/>
  <c r="M1848" i="9"/>
  <c r="K1848" i="9"/>
  <c r="T1847" i="9"/>
  <c r="S1847" i="9"/>
  <c r="P1847" i="9"/>
  <c r="N1847" i="9"/>
  <c r="O1847" i="9" s="1"/>
  <c r="M1847" i="9"/>
  <c r="K1847" i="9"/>
  <c r="T1846" i="9"/>
  <c r="S1846" i="9"/>
  <c r="P1846" i="9"/>
  <c r="N1846" i="9"/>
  <c r="O1846" i="9" s="1"/>
  <c r="M1846" i="9"/>
  <c r="K1846" i="9"/>
  <c r="U1845" i="9"/>
  <c r="T1845" i="9"/>
  <c r="S1845" i="9"/>
  <c r="P1845" i="9"/>
  <c r="N1845" i="9"/>
  <c r="O1845" i="9" s="1"/>
  <c r="M1845" i="9"/>
  <c r="K1845" i="9"/>
  <c r="T1844" i="9"/>
  <c r="S1844" i="9"/>
  <c r="P1844" i="9"/>
  <c r="N1844" i="9"/>
  <c r="O1844" i="9" s="1"/>
  <c r="M1844" i="9"/>
  <c r="K1844" i="9"/>
  <c r="T1843" i="9"/>
  <c r="U1843" i="9" s="1"/>
  <c r="V1843" i="9" s="1"/>
  <c r="S1843" i="9"/>
  <c r="P1843" i="9"/>
  <c r="N1843" i="9"/>
  <c r="O1843" i="9" s="1"/>
  <c r="M1843" i="9"/>
  <c r="K1843" i="9"/>
  <c r="S1842" i="9"/>
  <c r="L1842" i="9"/>
  <c r="K1842" i="9"/>
  <c r="U1841" i="9"/>
  <c r="V1841" i="9" s="1"/>
  <c r="T1841" i="9"/>
  <c r="S1841" i="9"/>
  <c r="P1841" i="9"/>
  <c r="N1841" i="9"/>
  <c r="O1841" i="9" s="1"/>
  <c r="M1841" i="9"/>
  <c r="K1841" i="9"/>
  <c r="T1840" i="9"/>
  <c r="U1840" i="9" s="1"/>
  <c r="V1840" i="9" s="1"/>
  <c r="S1840" i="9"/>
  <c r="P1840" i="9"/>
  <c r="N1840" i="9"/>
  <c r="O1840" i="9" s="1"/>
  <c r="M1840" i="9"/>
  <c r="K1840" i="9"/>
  <c r="T1839" i="9"/>
  <c r="S1839" i="9"/>
  <c r="M1839" i="9"/>
  <c r="L1839" i="9"/>
  <c r="P1839" i="9" s="1"/>
  <c r="K1839" i="9"/>
  <c r="U1838" i="9"/>
  <c r="T1838" i="9"/>
  <c r="S1838" i="9"/>
  <c r="P1838" i="9"/>
  <c r="O1838" i="9"/>
  <c r="N1838" i="9"/>
  <c r="M1838" i="9"/>
  <c r="K1838" i="9"/>
  <c r="T1837" i="9"/>
  <c r="U1837" i="9" s="1"/>
  <c r="V1837" i="9" s="1"/>
  <c r="S1837" i="9"/>
  <c r="P1837" i="9"/>
  <c r="N1837" i="9"/>
  <c r="O1837" i="9" s="1"/>
  <c r="M1837" i="9"/>
  <c r="K1837" i="9"/>
  <c r="T1836" i="9"/>
  <c r="S1836" i="9"/>
  <c r="N1836" i="9"/>
  <c r="O1836" i="9" s="1"/>
  <c r="M1836" i="9"/>
  <c r="L1836" i="9"/>
  <c r="P1836" i="9" s="1"/>
  <c r="K1836" i="9"/>
  <c r="U1835" i="9"/>
  <c r="V1835" i="9" s="1"/>
  <c r="T1835" i="9"/>
  <c r="S1835" i="9"/>
  <c r="P1835" i="9"/>
  <c r="N1835" i="9"/>
  <c r="O1835" i="9" s="1"/>
  <c r="M1835" i="9"/>
  <c r="K1835" i="9"/>
  <c r="V1834" i="9"/>
  <c r="T1834" i="9"/>
  <c r="U1834" i="9" s="1"/>
  <c r="S1834" i="9"/>
  <c r="P1834" i="9"/>
  <c r="N1834" i="9"/>
  <c r="O1834" i="9" s="1"/>
  <c r="M1834" i="9"/>
  <c r="K1834" i="9"/>
  <c r="T1833" i="9"/>
  <c r="S1833" i="9"/>
  <c r="P1833" i="9"/>
  <c r="N1833" i="9"/>
  <c r="O1833" i="9" s="1"/>
  <c r="M1833" i="9"/>
  <c r="K1833" i="9"/>
  <c r="S1832" i="9"/>
  <c r="L1832" i="9"/>
  <c r="K1832" i="9"/>
  <c r="T1831" i="9"/>
  <c r="S1831" i="9"/>
  <c r="P1831" i="9"/>
  <c r="N1831" i="9"/>
  <c r="O1831" i="9" s="1"/>
  <c r="M1831" i="9"/>
  <c r="K1831" i="9"/>
  <c r="S1830" i="9"/>
  <c r="M1830" i="9"/>
  <c r="L1830" i="9"/>
  <c r="P1830" i="9" s="1"/>
  <c r="K1830" i="9"/>
  <c r="T1829" i="9"/>
  <c r="S1829" i="9"/>
  <c r="P1829" i="9"/>
  <c r="N1829" i="9"/>
  <c r="O1829" i="9" s="1"/>
  <c r="M1829" i="9"/>
  <c r="K1829" i="9"/>
  <c r="S1828" i="9"/>
  <c r="M1828" i="9"/>
  <c r="L1828" i="9"/>
  <c r="P1828" i="9" s="1"/>
  <c r="K1828" i="9"/>
  <c r="T1827" i="9"/>
  <c r="U1827" i="9" s="1"/>
  <c r="S1827" i="9"/>
  <c r="L1827" i="9"/>
  <c r="M1827" i="9" s="1"/>
  <c r="K1827" i="9"/>
  <c r="T1826" i="9"/>
  <c r="U1826" i="9" s="1"/>
  <c r="V1826" i="9" s="1"/>
  <c r="S1826" i="9"/>
  <c r="P1826" i="9"/>
  <c r="N1826" i="9"/>
  <c r="O1826" i="9" s="1"/>
  <c r="M1826" i="9"/>
  <c r="K1826" i="9"/>
  <c r="T1825" i="9"/>
  <c r="S1825" i="9"/>
  <c r="P1825" i="9"/>
  <c r="N1825" i="9"/>
  <c r="O1825" i="9" s="1"/>
  <c r="M1825" i="9"/>
  <c r="K1825" i="9"/>
  <c r="T1824" i="9"/>
  <c r="S1824" i="9"/>
  <c r="P1824" i="9"/>
  <c r="N1824" i="9"/>
  <c r="O1824" i="9" s="1"/>
  <c r="M1824" i="9"/>
  <c r="K1824" i="9"/>
  <c r="U1823" i="9"/>
  <c r="V1823" i="9" s="1"/>
  <c r="T1823" i="9"/>
  <c r="S1823" i="9"/>
  <c r="P1823" i="9"/>
  <c r="N1823" i="9"/>
  <c r="O1823" i="9" s="1"/>
  <c r="M1823" i="9"/>
  <c r="K1823" i="9"/>
  <c r="T1822" i="9"/>
  <c r="S1822" i="9"/>
  <c r="P1822" i="9"/>
  <c r="N1822" i="9"/>
  <c r="O1822" i="9" s="1"/>
  <c r="M1822" i="9"/>
  <c r="K1822" i="9"/>
  <c r="T1821" i="9"/>
  <c r="S1821" i="9"/>
  <c r="P1821" i="9"/>
  <c r="N1821" i="9"/>
  <c r="O1821" i="9" s="1"/>
  <c r="M1821" i="9"/>
  <c r="K1821" i="9"/>
  <c r="T1820" i="9"/>
  <c r="S1820" i="9"/>
  <c r="P1820" i="9"/>
  <c r="N1820" i="9"/>
  <c r="O1820" i="9" s="1"/>
  <c r="M1820" i="9"/>
  <c r="K1820" i="9"/>
  <c r="T1819" i="9"/>
  <c r="U1819" i="9" s="1"/>
  <c r="V1819" i="9" s="1"/>
  <c r="S1819" i="9"/>
  <c r="P1819" i="9"/>
  <c r="O1819" i="9"/>
  <c r="N1819" i="9"/>
  <c r="M1819" i="9"/>
  <c r="K1819" i="9"/>
  <c r="T1818" i="9"/>
  <c r="U1818" i="9" s="1"/>
  <c r="V1818" i="9" s="1"/>
  <c r="S1818" i="9"/>
  <c r="P1818" i="9"/>
  <c r="N1818" i="9"/>
  <c r="O1818" i="9" s="1"/>
  <c r="M1818" i="9"/>
  <c r="K1818" i="9"/>
  <c r="S1817" i="9"/>
  <c r="L1817" i="9"/>
  <c r="K1817" i="9"/>
  <c r="T1816" i="9"/>
  <c r="U1816" i="9" s="1"/>
  <c r="V1816" i="9" s="1"/>
  <c r="S1816" i="9"/>
  <c r="P1816" i="9"/>
  <c r="N1816" i="9"/>
  <c r="O1816" i="9" s="1"/>
  <c r="M1816" i="9"/>
  <c r="K1816" i="9"/>
  <c r="V1815" i="9"/>
  <c r="T1815" i="9"/>
  <c r="U1815" i="9" s="1"/>
  <c r="S1815" i="9"/>
  <c r="P1815" i="9"/>
  <c r="N1815" i="9"/>
  <c r="O1815" i="9" s="1"/>
  <c r="M1815" i="9"/>
  <c r="K1815" i="9"/>
  <c r="T1814" i="9"/>
  <c r="S1814" i="9"/>
  <c r="P1814" i="9"/>
  <c r="N1814" i="9"/>
  <c r="O1814" i="9" s="1"/>
  <c r="M1814" i="9"/>
  <c r="K1814" i="9"/>
  <c r="T1813" i="9"/>
  <c r="S1813" i="9"/>
  <c r="P1813" i="9"/>
  <c r="N1813" i="9"/>
  <c r="O1813" i="9" s="1"/>
  <c r="M1813" i="9"/>
  <c r="K1813" i="9"/>
  <c r="U1812" i="9"/>
  <c r="V1812" i="9" s="1"/>
  <c r="T1812" i="9"/>
  <c r="S1812" i="9"/>
  <c r="P1812" i="9"/>
  <c r="N1812" i="9"/>
  <c r="O1812" i="9" s="1"/>
  <c r="M1812" i="9"/>
  <c r="K1812" i="9"/>
  <c r="T1811" i="9"/>
  <c r="U1811" i="9" s="1"/>
  <c r="V1811" i="9" s="1"/>
  <c r="S1811" i="9"/>
  <c r="P1811" i="9"/>
  <c r="N1811" i="9"/>
  <c r="O1811" i="9" s="1"/>
  <c r="M1811" i="9"/>
  <c r="K1811" i="9"/>
  <c r="S1810" i="9"/>
  <c r="M1810" i="9"/>
  <c r="L1810" i="9"/>
  <c r="P1810" i="9" s="1"/>
  <c r="K1810" i="9"/>
  <c r="S1809" i="9"/>
  <c r="L1809" i="9"/>
  <c r="K1809" i="9"/>
  <c r="T1808" i="9"/>
  <c r="S1808" i="9"/>
  <c r="L1808" i="9"/>
  <c r="K1808" i="9"/>
  <c r="T1807" i="9"/>
  <c r="U1807" i="9" s="1"/>
  <c r="S1807" i="9"/>
  <c r="P1807" i="9"/>
  <c r="N1807" i="9"/>
  <c r="O1807" i="9" s="1"/>
  <c r="M1807" i="9"/>
  <c r="K1807" i="9"/>
  <c r="S1806" i="9"/>
  <c r="P1806" i="9"/>
  <c r="L1806" i="9"/>
  <c r="M1806" i="9" s="1"/>
  <c r="K1806" i="9"/>
  <c r="T1805" i="9"/>
  <c r="S1805" i="9"/>
  <c r="P1805" i="9"/>
  <c r="N1805" i="9"/>
  <c r="O1805" i="9" s="1"/>
  <c r="M1805" i="9"/>
  <c r="K1805" i="9"/>
  <c r="T1804" i="9"/>
  <c r="U1804" i="9" s="1"/>
  <c r="V1804" i="9" s="1"/>
  <c r="S1804" i="9"/>
  <c r="P1804" i="9"/>
  <c r="O1804" i="9"/>
  <c r="N1804" i="9"/>
  <c r="M1804" i="9"/>
  <c r="K1804" i="9"/>
  <c r="S1803" i="9"/>
  <c r="L1803" i="9"/>
  <c r="K1803" i="9"/>
  <c r="T1802" i="9"/>
  <c r="S1802" i="9"/>
  <c r="P1802" i="9"/>
  <c r="N1802" i="9"/>
  <c r="O1802" i="9" s="1"/>
  <c r="M1802" i="9"/>
  <c r="K1802" i="9"/>
  <c r="T1801" i="9"/>
  <c r="U1801" i="9" s="1"/>
  <c r="V1801" i="9" s="1"/>
  <c r="S1801" i="9"/>
  <c r="P1801" i="9"/>
  <c r="O1801" i="9"/>
  <c r="N1801" i="9"/>
  <c r="M1801" i="9"/>
  <c r="K1801" i="9"/>
  <c r="T1800" i="9"/>
  <c r="S1800" i="9"/>
  <c r="P1800" i="9"/>
  <c r="N1800" i="9"/>
  <c r="O1800" i="9" s="1"/>
  <c r="M1800" i="9"/>
  <c r="K1800" i="9"/>
  <c r="T1799" i="9"/>
  <c r="S1799" i="9"/>
  <c r="P1799" i="9"/>
  <c r="N1799" i="9"/>
  <c r="O1799" i="9" s="1"/>
  <c r="M1799" i="9"/>
  <c r="K1799" i="9"/>
  <c r="S1798" i="9"/>
  <c r="N1798" i="9"/>
  <c r="O1798" i="9" s="1"/>
  <c r="L1798" i="9"/>
  <c r="K1798" i="9"/>
  <c r="S1797" i="9"/>
  <c r="L1797" i="9"/>
  <c r="K1797" i="9"/>
  <c r="S1796" i="9"/>
  <c r="L1796" i="9"/>
  <c r="K1796" i="9"/>
  <c r="S1795" i="9"/>
  <c r="L1795" i="9"/>
  <c r="M1795" i="9" s="1"/>
  <c r="K1795" i="9"/>
  <c r="T1794" i="9"/>
  <c r="S1794" i="9"/>
  <c r="L1794" i="9"/>
  <c r="M1794" i="9" s="1"/>
  <c r="K1794" i="9"/>
  <c r="S1793" i="9"/>
  <c r="L1793" i="9"/>
  <c r="M1793" i="9" s="1"/>
  <c r="K1793" i="9"/>
  <c r="T1792" i="9"/>
  <c r="U1792" i="9" s="1"/>
  <c r="S1792" i="9"/>
  <c r="N1792" i="9"/>
  <c r="O1792" i="9" s="1"/>
  <c r="L1792" i="9"/>
  <c r="M1792" i="9" s="1"/>
  <c r="K1792" i="9"/>
  <c r="S1791" i="9"/>
  <c r="L1791" i="9"/>
  <c r="P1791" i="9" s="1"/>
  <c r="K1791" i="9"/>
  <c r="S1790" i="9"/>
  <c r="P1790" i="9"/>
  <c r="L1790" i="9"/>
  <c r="K1790" i="9"/>
  <c r="S1789" i="9"/>
  <c r="P1789" i="9"/>
  <c r="L1789" i="9"/>
  <c r="K1789" i="9"/>
  <c r="T1788" i="9"/>
  <c r="S1788" i="9"/>
  <c r="L1788" i="9"/>
  <c r="K1788" i="9"/>
  <c r="S1787" i="9"/>
  <c r="L1787" i="9"/>
  <c r="K1787" i="9"/>
  <c r="S1786" i="9"/>
  <c r="L1786" i="9"/>
  <c r="K1786" i="9"/>
  <c r="S1785" i="9"/>
  <c r="M1785" i="9"/>
  <c r="L1785" i="9"/>
  <c r="K1785" i="9"/>
  <c r="S1784" i="9"/>
  <c r="L1784" i="9"/>
  <c r="K1784" i="9"/>
  <c r="S1783" i="9"/>
  <c r="L1783" i="9"/>
  <c r="K1783" i="9"/>
  <c r="S1782" i="9"/>
  <c r="P1782" i="9"/>
  <c r="L1782" i="9"/>
  <c r="K1782" i="9"/>
  <c r="T1781" i="9"/>
  <c r="S1781" i="9"/>
  <c r="L1781" i="9"/>
  <c r="K1781" i="9"/>
  <c r="S1780" i="9"/>
  <c r="L1780" i="9"/>
  <c r="P1780" i="9" s="1"/>
  <c r="K1780" i="9"/>
  <c r="T1779" i="9"/>
  <c r="S1779" i="9"/>
  <c r="N1779" i="9"/>
  <c r="O1779" i="9" s="1"/>
  <c r="M1779" i="9"/>
  <c r="L1779" i="9"/>
  <c r="P1779" i="9" s="1"/>
  <c r="K1779" i="9"/>
  <c r="S1778" i="9"/>
  <c r="L1778" i="9"/>
  <c r="K1778" i="9"/>
  <c r="S1777" i="9"/>
  <c r="L1777" i="9"/>
  <c r="K1777" i="9"/>
  <c r="S1776" i="9"/>
  <c r="L1776" i="9"/>
  <c r="K1776" i="9"/>
  <c r="S1775" i="9"/>
  <c r="L1775" i="9"/>
  <c r="K1775" i="9"/>
  <c r="S1774" i="9"/>
  <c r="P1774" i="9"/>
  <c r="L1774" i="9"/>
  <c r="K1774" i="9"/>
  <c r="S1773" i="9"/>
  <c r="N1773" i="9"/>
  <c r="O1773" i="9" s="1"/>
  <c r="L1773" i="9"/>
  <c r="K1773" i="9"/>
  <c r="S1772" i="9"/>
  <c r="L1772" i="9"/>
  <c r="P1772" i="9" s="1"/>
  <c r="K1772" i="9"/>
  <c r="T1771" i="9"/>
  <c r="S1771" i="9"/>
  <c r="L1771" i="9"/>
  <c r="K1771" i="9"/>
  <c r="S1770" i="9"/>
  <c r="L1770" i="9"/>
  <c r="K1770" i="9"/>
  <c r="S1769" i="9"/>
  <c r="L1769" i="9"/>
  <c r="K1769" i="9"/>
  <c r="T1768" i="9"/>
  <c r="U1768" i="9" s="1"/>
  <c r="V1768" i="9" s="1"/>
  <c r="S1768" i="9"/>
  <c r="P1768" i="9"/>
  <c r="N1768" i="9"/>
  <c r="O1768" i="9" s="1"/>
  <c r="M1768" i="9"/>
  <c r="K1768" i="9"/>
  <c r="T1767" i="9"/>
  <c r="U1767" i="9" s="1"/>
  <c r="S1767" i="9"/>
  <c r="P1767" i="9"/>
  <c r="N1767" i="9"/>
  <c r="O1767" i="9" s="1"/>
  <c r="M1767" i="9"/>
  <c r="K1767" i="9"/>
  <c r="T1766" i="9"/>
  <c r="S1766" i="9"/>
  <c r="P1766" i="9"/>
  <c r="N1766" i="9"/>
  <c r="O1766" i="9" s="1"/>
  <c r="M1766" i="9"/>
  <c r="K1766" i="9"/>
  <c r="T1765" i="9"/>
  <c r="S1765" i="9"/>
  <c r="P1765" i="9"/>
  <c r="N1765" i="9"/>
  <c r="O1765" i="9" s="1"/>
  <c r="M1765" i="9"/>
  <c r="K1765" i="9"/>
  <c r="S1764" i="9"/>
  <c r="L1764" i="9"/>
  <c r="P1764" i="9" s="1"/>
  <c r="K1764" i="9"/>
  <c r="T1763" i="9"/>
  <c r="S1763" i="9"/>
  <c r="P1763" i="9"/>
  <c r="N1763" i="9"/>
  <c r="O1763" i="9" s="1"/>
  <c r="M1763" i="9"/>
  <c r="K1763" i="9"/>
  <c r="T1762" i="9"/>
  <c r="S1762" i="9"/>
  <c r="N1762" i="9"/>
  <c r="O1762" i="9" s="1"/>
  <c r="L1762" i="9"/>
  <c r="M1762" i="9" s="1"/>
  <c r="K1762" i="9"/>
  <c r="T1761" i="9"/>
  <c r="U1761" i="9" s="1"/>
  <c r="V1761" i="9" s="1"/>
  <c r="S1761" i="9"/>
  <c r="P1761" i="9"/>
  <c r="N1761" i="9"/>
  <c r="O1761" i="9" s="1"/>
  <c r="M1761" i="9"/>
  <c r="K1761" i="9"/>
  <c r="S1760" i="9"/>
  <c r="L1760" i="9"/>
  <c r="K1760" i="9"/>
  <c r="S1759" i="9"/>
  <c r="L1759" i="9"/>
  <c r="K1759" i="9"/>
  <c r="T1758" i="9"/>
  <c r="S1758" i="9"/>
  <c r="P1758" i="9"/>
  <c r="N1758" i="9"/>
  <c r="O1758" i="9" s="1"/>
  <c r="M1758" i="9"/>
  <c r="K1758" i="9"/>
  <c r="T1757" i="9"/>
  <c r="U1757" i="9" s="1"/>
  <c r="S1757" i="9"/>
  <c r="P1757" i="9"/>
  <c r="N1757" i="9"/>
  <c r="O1757" i="9" s="1"/>
  <c r="M1757" i="9"/>
  <c r="K1757" i="9"/>
  <c r="T1756" i="9"/>
  <c r="S1756" i="9"/>
  <c r="P1756" i="9"/>
  <c r="N1756" i="9"/>
  <c r="O1756" i="9" s="1"/>
  <c r="M1756" i="9"/>
  <c r="K1756" i="9"/>
  <c r="S1755" i="9"/>
  <c r="L1755" i="9"/>
  <c r="K1755" i="9"/>
  <c r="S1754" i="9"/>
  <c r="N1754" i="9"/>
  <c r="O1754" i="9" s="1"/>
  <c r="L1754" i="9"/>
  <c r="M1754" i="9" s="1"/>
  <c r="K1754" i="9"/>
  <c r="S1753" i="9"/>
  <c r="L1753" i="9"/>
  <c r="K1753" i="9"/>
  <c r="U1752" i="9"/>
  <c r="T1752" i="9"/>
  <c r="S1752" i="9"/>
  <c r="L1752" i="9"/>
  <c r="K1752" i="9"/>
  <c r="T1751" i="9"/>
  <c r="U1751" i="9" s="1"/>
  <c r="V1751" i="9" s="1"/>
  <c r="S1751" i="9"/>
  <c r="P1751" i="9"/>
  <c r="N1751" i="9"/>
  <c r="O1751" i="9" s="1"/>
  <c r="M1751" i="9"/>
  <c r="K1751" i="9"/>
  <c r="T1750" i="9"/>
  <c r="S1750" i="9"/>
  <c r="P1750" i="9"/>
  <c r="N1750" i="9"/>
  <c r="O1750" i="9" s="1"/>
  <c r="M1750" i="9"/>
  <c r="K1750" i="9"/>
  <c r="T1749" i="9"/>
  <c r="S1749" i="9"/>
  <c r="P1749" i="9"/>
  <c r="N1749" i="9"/>
  <c r="O1749" i="9" s="1"/>
  <c r="M1749" i="9"/>
  <c r="K1749" i="9"/>
  <c r="T1748" i="9"/>
  <c r="U1748" i="9" s="1"/>
  <c r="V1748" i="9" s="1"/>
  <c r="S1748" i="9"/>
  <c r="P1748" i="9"/>
  <c r="O1748" i="9"/>
  <c r="N1748" i="9"/>
  <c r="M1748" i="9"/>
  <c r="K1748" i="9"/>
  <c r="S1747" i="9"/>
  <c r="L1747" i="9"/>
  <c r="M1747" i="9" s="1"/>
  <c r="K1747" i="9"/>
  <c r="T1746" i="9"/>
  <c r="S1746" i="9"/>
  <c r="P1746" i="9"/>
  <c r="N1746" i="9"/>
  <c r="O1746" i="9" s="1"/>
  <c r="M1746" i="9"/>
  <c r="K1746" i="9"/>
  <c r="T1745" i="9"/>
  <c r="U1745" i="9" s="1"/>
  <c r="V1745" i="9" s="1"/>
  <c r="S1745" i="9"/>
  <c r="P1745" i="9"/>
  <c r="O1745" i="9"/>
  <c r="N1745" i="9"/>
  <c r="M1745" i="9"/>
  <c r="K1745" i="9"/>
  <c r="T1744" i="9"/>
  <c r="U1744" i="9" s="1"/>
  <c r="V1744" i="9" s="1"/>
  <c r="S1744" i="9"/>
  <c r="P1744" i="9"/>
  <c r="N1744" i="9"/>
  <c r="O1744" i="9" s="1"/>
  <c r="M1744" i="9"/>
  <c r="K1744" i="9"/>
  <c r="T1743" i="9"/>
  <c r="S1743" i="9"/>
  <c r="P1743" i="9"/>
  <c r="N1743" i="9"/>
  <c r="O1743" i="9" s="1"/>
  <c r="M1743" i="9"/>
  <c r="K1743" i="9"/>
  <c r="U1742" i="9"/>
  <c r="T1742" i="9"/>
  <c r="S1742" i="9"/>
  <c r="P1742" i="9"/>
  <c r="N1742" i="9"/>
  <c r="O1742" i="9" s="1"/>
  <c r="M1742" i="9"/>
  <c r="K1742" i="9"/>
  <c r="S1741" i="9"/>
  <c r="P1741" i="9"/>
  <c r="L1741" i="9"/>
  <c r="K1741" i="9"/>
  <c r="S1740" i="9"/>
  <c r="N1740" i="9"/>
  <c r="O1740" i="9" s="1"/>
  <c r="L1740" i="9"/>
  <c r="K1740" i="9"/>
  <c r="S1739" i="9"/>
  <c r="P1739" i="9"/>
  <c r="L1739" i="9"/>
  <c r="K1739" i="9"/>
  <c r="T1738" i="9"/>
  <c r="S1738" i="9"/>
  <c r="L1738" i="9"/>
  <c r="K1738" i="9"/>
  <c r="T1737" i="9"/>
  <c r="U1737" i="9" s="1"/>
  <c r="V1737" i="9" s="1"/>
  <c r="S1737" i="9"/>
  <c r="P1737" i="9"/>
  <c r="N1737" i="9"/>
  <c r="O1737" i="9" s="1"/>
  <c r="M1737" i="9"/>
  <c r="K1737" i="9"/>
  <c r="T1736" i="9"/>
  <c r="U1736" i="9" s="1"/>
  <c r="S1736" i="9"/>
  <c r="P1736" i="9"/>
  <c r="N1736" i="9"/>
  <c r="O1736" i="9" s="1"/>
  <c r="M1736" i="9"/>
  <c r="K1736" i="9"/>
  <c r="T1735" i="9"/>
  <c r="S1735" i="9"/>
  <c r="P1735" i="9"/>
  <c r="N1735" i="9"/>
  <c r="O1735" i="9" s="1"/>
  <c r="M1735" i="9"/>
  <c r="K1735" i="9"/>
  <c r="T1734" i="9"/>
  <c r="U1734" i="9" s="1"/>
  <c r="S1734" i="9"/>
  <c r="N1734" i="9"/>
  <c r="O1734" i="9" s="1"/>
  <c r="L1734" i="9"/>
  <c r="M1734" i="9" s="1"/>
  <c r="K1734" i="9"/>
  <c r="T1733" i="9"/>
  <c r="U1733" i="9" s="1"/>
  <c r="S1733" i="9"/>
  <c r="P1733" i="9"/>
  <c r="N1733" i="9"/>
  <c r="O1733" i="9" s="1"/>
  <c r="M1733" i="9"/>
  <c r="K1733" i="9"/>
  <c r="T1732" i="9"/>
  <c r="S1732" i="9"/>
  <c r="P1732" i="9"/>
  <c r="N1732" i="9"/>
  <c r="O1732" i="9" s="1"/>
  <c r="M1732" i="9"/>
  <c r="K1732" i="9"/>
  <c r="U1731" i="9"/>
  <c r="T1731" i="9"/>
  <c r="S1731" i="9"/>
  <c r="L1731" i="9"/>
  <c r="K1731" i="9"/>
  <c r="S1730" i="9"/>
  <c r="L1730" i="9"/>
  <c r="K1730" i="9"/>
  <c r="T1729" i="9"/>
  <c r="S1729" i="9"/>
  <c r="L1729" i="9"/>
  <c r="M1729" i="9" s="1"/>
  <c r="K1729" i="9"/>
  <c r="S1728" i="9"/>
  <c r="M1728" i="9"/>
  <c r="L1728" i="9"/>
  <c r="K1728" i="9"/>
  <c r="T1727" i="9"/>
  <c r="S1727" i="9"/>
  <c r="N1727" i="9"/>
  <c r="O1727" i="9" s="1"/>
  <c r="L1727" i="9"/>
  <c r="M1727" i="9" s="1"/>
  <c r="K1727" i="9"/>
  <c r="S1726" i="9"/>
  <c r="P1726" i="9"/>
  <c r="M1726" i="9"/>
  <c r="L1726" i="9"/>
  <c r="K1726" i="9"/>
  <c r="S1725" i="9"/>
  <c r="N1725" i="9"/>
  <c r="O1725" i="9" s="1"/>
  <c r="L1725" i="9"/>
  <c r="K1725" i="9"/>
  <c r="T1724" i="9"/>
  <c r="U1724" i="9" s="1"/>
  <c r="V1724" i="9" s="1"/>
  <c r="S1724" i="9"/>
  <c r="P1724" i="9"/>
  <c r="N1724" i="9"/>
  <c r="O1724" i="9" s="1"/>
  <c r="M1724" i="9"/>
  <c r="K1724" i="9"/>
  <c r="T1723" i="9"/>
  <c r="S1723" i="9"/>
  <c r="P1723" i="9"/>
  <c r="N1723" i="9"/>
  <c r="O1723" i="9" s="1"/>
  <c r="M1723" i="9"/>
  <c r="K1723" i="9"/>
  <c r="U1722" i="9"/>
  <c r="T1722" i="9"/>
  <c r="S1722" i="9"/>
  <c r="P1722" i="9"/>
  <c r="N1722" i="9"/>
  <c r="O1722" i="9" s="1"/>
  <c r="M1722" i="9"/>
  <c r="K1722" i="9"/>
  <c r="T1721" i="9"/>
  <c r="S1721" i="9"/>
  <c r="P1721" i="9"/>
  <c r="O1721" i="9"/>
  <c r="N1721" i="9"/>
  <c r="M1721" i="9"/>
  <c r="K1721" i="9"/>
  <c r="S1720" i="9"/>
  <c r="L1720" i="9"/>
  <c r="K1720" i="9"/>
  <c r="T1719" i="9"/>
  <c r="S1719" i="9"/>
  <c r="P1719" i="9"/>
  <c r="N1719" i="9"/>
  <c r="O1719" i="9" s="1"/>
  <c r="M1719" i="9"/>
  <c r="K1719" i="9"/>
  <c r="T1718" i="9"/>
  <c r="U1718" i="9" s="1"/>
  <c r="V1718" i="9" s="1"/>
  <c r="S1718" i="9"/>
  <c r="P1718" i="9"/>
  <c r="O1718" i="9"/>
  <c r="N1718" i="9"/>
  <c r="M1718" i="9"/>
  <c r="K1718" i="9"/>
  <c r="S1717" i="9"/>
  <c r="L1717" i="9"/>
  <c r="K1717" i="9"/>
  <c r="T1716" i="9"/>
  <c r="S1716" i="9"/>
  <c r="L1716" i="9"/>
  <c r="M1716" i="9" s="1"/>
  <c r="K1716" i="9"/>
  <c r="T1715" i="9"/>
  <c r="S1715" i="9"/>
  <c r="P1715" i="9"/>
  <c r="N1715" i="9"/>
  <c r="O1715" i="9" s="1"/>
  <c r="M1715" i="9"/>
  <c r="K1715" i="9"/>
  <c r="T1714" i="9"/>
  <c r="S1714" i="9"/>
  <c r="L1714" i="9"/>
  <c r="K1714" i="9"/>
  <c r="T1713" i="9"/>
  <c r="U1713" i="9" s="1"/>
  <c r="V1713" i="9" s="1"/>
  <c r="S1713" i="9"/>
  <c r="P1713" i="9"/>
  <c r="N1713" i="9"/>
  <c r="O1713" i="9" s="1"/>
  <c r="M1713" i="9"/>
  <c r="K1713" i="9"/>
  <c r="T1712" i="9"/>
  <c r="U1712" i="9" s="1"/>
  <c r="V1712" i="9" s="1"/>
  <c r="S1712" i="9"/>
  <c r="P1712" i="9"/>
  <c r="N1712" i="9"/>
  <c r="O1712" i="9" s="1"/>
  <c r="M1712" i="9"/>
  <c r="K1712" i="9"/>
  <c r="S1711" i="9"/>
  <c r="L1711" i="9"/>
  <c r="K1711" i="9"/>
  <c r="S1710" i="9"/>
  <c r="L1710" i="9"/>
  <c r="K1710" i="9"/>
  <c r="S1709" i="9"/>
  <c r="N1709" i="9"/>
  <c r="O1709" i="9" s="1"/>
  <c r="M1709" i="9"/>
  <c r="L1709" i="9"/>
  <c r="K1709" i="9"/>
  <c r="S1708" i="9"/>
  <c r="L1708" i="9"/>
  <c r="P1708" i="9" s="1"/>
  <c r="K1708" i="9"/>
  <c r="S1707" i="9"/>
  <c r="M1707" i="9"/>
  <c r="L1707" i="9"/>
  <c r="K1707" i="9"/>
  <c r="S1706" i="9"/>
  <c r="L1706" i="9"/>
  <c r="P1706" i="9" s="1"/>
  <c r="K1706" i="9"/>
  <c r="T1705" i="9"/>
  <c r="S1705" i="9"/>
  <c r="M1705" i="9"/>
  <c r="L1705" i="9"/>
  <c r="P1705" i="9" s="1"/>
  <c r="K1705" i="9"/>
  <c r="S1704" i="9"/>
  <c r="L1704" i="9"/>
  <c r="K1704" i="9"/>
  <c r="T1703" i="9"/>
  <c r="S1703" i="9"/>
  <c r="O1703" i="9"/>
  <c r="N1703" i="9"/>
  <c r="M1703" i="9"/>
  <c r="L1703" i="9"/>
  <c r="P1703" i="9" s="1"/>
  <c r="K1703" i="9"/>
  <c r="S1702" i="9"/>
  <c r="P1702" i="9"/>
  <c r="L1702" i="9"/>
  <c r="K1702" i="9"/>
  <c r="T1701" i="9"/>
  <c r="S1701" i="9"/>
  <c r="N1701" i="9"/>
  <c r="O1701" i="9" s="1"/>
  <c r="M1701" i="9"/>
  <c r="L1701" i="9"/>
  <c r="P1701" i="9" s="1"/>
  <c r="K1701" i="9"/>
  <c r="U1700" i="9"/>
  <c r="V1700" i="9" s="1"/>
  <c r="T1700" i="9"/>
  <c r="S1700" i="9"/>
  <c r="P1700" i="9"/>
  <c r="N1700" i="9"/>
  <c r="O1700" i="9" s="1"/>
  <c r="M1700" i="9"/>
  <c r="K1700" i="9"/>
  <c r="T1699" i="9"/>
  <c r="S1699" i="9"/>
  <c r="M1699" i="9"/>
  <c r="L1699" i="9"/>
  <c r="K1699" i="9"/>
  <c r="T1698" i="9"/>
  <c r="U1698" i="9" s="1"/>
  <c r="S1698" i="9"/>
  <c r="P1698" i="9"/>
  <c r="N1698" i="9"/>
  <c r="O1698" i="9" s="1"/>
  <c r="L1698" i="9"/>
  <c r="M1698" i="9" s="1"/>
  <c r="K1698" i="9"/>
  <c r="S1697" i="9"/>
  <c r="L1697" i="9"/>
  <c r="K1697" i="9"/>
  <c r="S1696" i="9"/>
  <c r="P1696" i="9"/>
  <c r="L1696" i="9"/>
  <c r="M1696" i="9" s="1"/>
  <c r="K1696" i="9"/>
  <c r="S1695" i="9"/>
  <c r="L1695" i="9"/>
  <c r="K1695" i="9"/>
  <c r="V1694" i="9"/>
  <c r="T1694" i="9"/>
  <c r="U1694" i="9" s="1"/>
  <c r="S1694" i="9"/>
  <c r="P1694" i="9"/>
  <c r="N1694" i="9"/>
  <c r="O1694" i="9" s="1"/>
  <c r="M1694" i="9"/>
  <c r="K1694" i="9"/>
  <c r="S1693" i="9"/>
  <c r="L1693" i="9"/>
  <c r="P1693" i="9" s="1"/>
  <c r="K1693" i="9"/>
  <c r="S1692" i="9"/>
  <c r="L1692" i="9"/>
  <c r="K1692" i="9"/>
  <c r="S1691" i="9"/>
  <c r="P1691" i="9"/>
  <c r="L1691" i="9"/>
  <c r="K1691" i="9"/>
  <c r="T1690" i="9"/>
  <c r="S1690" i="9"/>
  <c r="N1690" i="9"/>
  <c r="O1690" i="9" s="1"/>
  <c r="M1690" i="9"/>
  <c r="L1690" i="9"/>
  <c r="P1690" i="9" s="1"/>
  <c r="K1690" i="9"/>
  <c r="T1689" i="9"/>
  <c r="U1689" i="9" s="1"/>
  <c r="V1689" i="9" s="1"/>
  <c r="S1689" i="9"/>
  <c r="P1689" i="9"/>
  <c r="N1689" i="9"/>
  <c r="O1689" i="9" s="1"/>
  <c r="M1689" i="9"/>
  <c r="K1689" i="9"/>
  <c r="S1688" i="9"/>
  <c r="M1688" i="9"/>
  <c r="L1688" i="9"/>
  <c r="T1688" i="9" s="1"/>
  <c r="K1688" i="9"/>
  <c r="T1687" i="9"/>
  <c r="S1687" i="9"/>
  <c r="P1687" i="9"/>
  <c r="L1687" i="9"/>
  <c r="M1687" i="9" s="1"/>
  <c r="K1687" i="9"/>
  <c r="T1686" i="9"/>
  <c r="S1686" i="9"/>
  <c r="P1686" i="9"/>
  <c r="N1686" i="9"/>
  <c r="O1686" i="9" s="1"/>
  <c r="M1686" i="9"/>
  <c r="K1686" i="9"/>
  <c r="T1685" i="9"/>
  <c r="S1685" i="9"/>
  <c r="N1685" i="9"/>
  <c r="O1685" i="9" s="1"/>
  <c r="L1685" i="9"/>
  <c r="P1685" i="9" s="1"/>
  <c r="K1685" i="9"/>
  <c r="T1684" i="9"/>
  <c r="U1684" i="9" s="1"/>
  <c r="V1684" i="9" s="1"/>
  <c r="S1684" i="9"/>
  <c r="P1684" i="9"/>
  <c r="N1684" i="9"/>
  <c r="O1684" i="9" s="1"/>
  <c r="M1684" i="9"/>
  <c r="K1684" i="9"/>
  <c r="V1683" i="9"/>
  <c r="T1683" i="9"/>
  <c r="U1683" i="9" s="1"/>
  <c r="S1683" i="9"/>
  <c r="P1683" i="9"/>
  <c r="N1683" i="9"/>
  <c r="O1683" i="9" s="1"/>
  <c r="M1683" i="9"/>
  <c r="K1683" i="9"/>
  <c r="T1682" i="9"/>
  <c r="S1682" i="9"/>
  <c r="M1682" i="9"/>
  <c r="L1682" i="9"/>
  <c r="P1682" i="9" s="1"/>
  <c r="K1682" i="9"/>
  <c r="S1681" i="9"/>
  <c r="L1681" i="9"/>
  <c r="K1681" i="9"/>
  <c r="S1680" i="9"/>
  <c r="N1680" i="9"/>
  <c r="O1680" i="9" s="1"/>
  <c r="L1680" i="9"/>
  <c r="K1680" i="9"/>
  <c r="S1679" i="9"/>
  <c r="L1679" i="9"/>
  <c r="K1679" i="9"/>
  <c r="S1678" i="9"/>
  <c r="L1678" i="9"/>
  <c r="K1678" i="9"/>
  <c r="S1677" i="9"/>
  <c r="M1677" i="9"/>
  <c r="L1677" i="9"/>
  <c r="K1677" i="9"/>
  <c r="S1676" i="9"/>
  <c r="L1676" i="9"/>
  <c r="K1676" i="9"/>
  <c r="S1675" i="9"/>
  <c r="L1675" i="9"/>
  <c r="M1675" i="9" s="1"/>
  <c r="K1675" i="9"/>
  <c r="T1674" i="9"/>
  <c r="S1674" i="9"/>
  <c r="N1674" i="9"/>
  <c r="O1674" i="9" s="1"/>
  <c r="M1674" i="9"/>
  <c r="L1674" i="9"/>
  <c r="P1674" i="9" s="1"/>
  <c r="K1674" i="9"/>
  <c r="S1673" i="9"/>
  <c r="L1673" i="9"/>
  <c r="K1673" i="9"/>
  <c r="T1672" i="9"/>
  <c r="S1672" i="9"/>
  <c r="P1672" i="9"/>
  <c r="N1672" i="9"/>
  <c r="O1672" i="9" s="1"/>
  <c r="M1672" i="9"/>
  <c r="K1672" i="9"/>
  <c r="U1671" i="9"/>
  <c r="T1671" i="9"/>
  <c r="S1671" i="9"/>
  <c r="P1671" i="9"/>
  <c r="N1671" i="9"/>
  <c r="O1671" i="9" s="1"/>
  <c r="M1671" i="9"/>
  <c r="K1671" i="9"/>
  <c r="S1670" i="9"/>
  <c r="P1670" i="9"/>
  <c r="M1670" i="9"/>
  <c r="L1670" i="9"/>
  <c r="K1670" i="9"/>
  <c r="T1669" i="9"/>
  <c r="U1669" i="9" s="1"/>
  <c r="S1669" i="9"/>
  <c r="P1669" i="9"/>
  <c r="N1669" i="9"/>
  <c r="O1669" i="9" s="1"/>
  <c r="M1669" i="9"/>
  <c r="K1669" i="9"/>
  <c r="T1668" i="9"/>
  <c r="U1668" i="9" s="1"/>
  <c r="V1668" i="9" s="1"/>
  <c r="S1668" i="9"/>
  <c r="P1668" i="9"/>
  <c r="N1668" i="9"/>
  <c r="O1668" i="9" s="1"/>
  <c r="M1668" i="9"/>
  <c r="K1668" i="9"/>
  <c r="T1667" i="9"/>
  <c r="U1667" i="9" s="1"/>
  <c r="S1667" i="9"/>
  <c r="P1667" i="9"/>
  <c r="N1667" i="9"/>
  <c r="O1667" i="9" s="1"/>
  <c r="M1667" i="9"/>
  <c r="K1667" i="9"/>
  <c r="T1666" i="9"/>
  <c r="S1666" i="9"/>
  <c r="P1666" i="9"/>
  <c r="N1666" i="9"/>
  <c r="O1666" i="9" s="1"/>
  <c r="M1666" i="9"/>
  <c r="K1666" i="9"/>
  <c r="S1665" i="9"/>
  <c r="L1665" i="9"/>
  <c r="K1665" i="9"/>
  <c r="S1664" i="9"/>
  <c r="P1664" i="9"/>
  <c r="M1664" i="9"/>
  <c r="L1664" i="9"/>
  <c r="K1664" i="9"/>
  <c r="S1663" i="9"/>
  <c r="L1663" i="9"/>
  <c r="M1663" i="9" s="1"/>
  <c r="K1663" i="9"/>
  <c r="S1662" i="9"/>
  <c r="P1662" i="9"/>
  <c r="M1662" i="9"/>
  <c r="L1662" i="9"/>
  <c r="K1662" i="9"/>
  <c r="T1661" i="9"/>
  <c r="U1661" i="9" s="1"/>
  <c r="S1661" i="9"/>
  <c r="L1661" i="9"/>
  <c r="M1661" i="9" s="1"/>
  <c r="K1661" i="9"/>
  <c r="S1660" i="9"/>
  <c r="L1660" i="9"/>
  <c r="K1660" i="9"/>
  <c r="S1659" i="9"/>
  <c r="N1659" i="9"/>
  <c r="O1659" i="9" s="1"/>
  <c r="L1659" i="9"/>
  <c r="K1659" i="9"/>
  <c r="S1658" i="9"/>
  <c r="L1658" i="9"/>
  <c r="K1658" i="9"/>
  <c r="T1657" i="9"/>
  <c r="S1657" i="9"/>
  <c r="P1657" i="9"/>
  <c r="N1657" i="9"/>
  <c r="O1657" i="9" s="1"/>
  <c r="M1657" i="9"/>
  <c r="K1657" i="9"/>
  <c r="U1656" i="9"/>
  <c r="V1656" i="9" s="1"/>
  <c r="T1656" i="9"/>
  <c r="S1656" i="9"/>
  <c r="P1656" i="9"/>
  <c r="N1656" i="9"/>
  <c r="O1656" i="9" s="1"/>
  <c r="M1656" i="9"/>
  <c r="K1656" i="9"/>
  <c r="S1655" i="9"/>
  <c r="L1655" i="9"/>
  <c r="K1655" i="9"/>
  <c r="T1654" i="9"/>
  <c r="U1654" i="9" s="1"/>
  <c r="S1654" i="9"/>
  <c r="N1654" i="9"/>
  <c r="O1654" i="9" s="1"/>
  <c r="L1654" i="9"/>
  <c r="M1654" i="9" s="1"/>
  <c r="K1654" i="9"/>
  <c r="S1653" i="9"/>
  <c r="L1653" i="9"/>
  <c r="K1653" i="9"/>
  <c r="S1652" i="9"/>
  <c r="L1652" i="9"/>
  <c r="K1652" i="9"/>
  <c r="S1651" i="9"/>
  <c r="P1651" i="9"/>
  <c r="M1651" i="9"/>
  <c r="L1651" i="9"/>
  <c r="K1651" i="9"/>
  <c r="S1650" i="9"/>
  <c r="N1650" i="9"/>
  <c r="O1650" i="9" s="1"/>
  <c r="L1650" i="9"/>
  <c r="M1650" i="9" s="1"/>
  <c r="K1650" i="9"/>
  <c r="S1649" i="9"/>
  <c r="L1649" i="9"/>
  <c r="P1649" i="9" s="1"/>
  <c r="K1649" i="9"/>
  <c r="U1648" i="9"/>
  <c r="T1648" i="9"/>
  <c r="S1648" i="9"/>
  <c r="L1648" i="9"/>
  <c r="K1648" i="9"/>
  <c r="S1647" i="9"/>
  <c r="L1647" i="9"/>
  <c r="K1647" i="9"/>
  <c r="T1646" i="9"/>
  <c r="U1646" i="9" s="1"/>
  <c r="S1646" i="9"/>
  <c r="P1646" i="9"/>
  <c r="O1646" i="9"/>
  <c r="N1646" i="9"/>
  <c r="M1646" i="9"/>
  <c r="K1646" i="9"/>
  <c r="S1645" i="9"/>
  <c r="L1645" i="9"/>
  <c r="P1645" i="9" s="1"/>
  <c r="K1645" i="9"/>
  <c r="T1644" i="9"/>
  <c r="S1644" i="9"/>
  <c r="P1644" i="9"/>
  <c r="N1644" i="9"/>
  <c r="O1644" i="9" s="1"/>
  <c r="M1644" i="9"/>
  <c r="K1644" i="9"/>
  <c r="S1643" i="9"/>
  <c r="L1643" i="9"/>
  <c r="K1643" i="9"/>
  <c r="S1642" i="9"/>
  <c r="P1642" i="9"/>
  <c r="M1642" i="9"/>
  <c r="L1642" i="9"/>
  <c r="K1642" i="9"/>
  <c r="S1641" i="9"/>
  <c r="N1641" i="9"/>
  <c r="O1641" i="9" s="1"/>
  <c r="L1641" i="9"/>
  <c r="M1641" i="9" s="1"/>
  <c r="K1641" i="9"/>
  <c r="S1640" i="9"/>
  <c r="L1640" i="9"/>
  <c r="P1640" i="9" s="1"/>
  <c r="K1640" i="9"/>
  <c r="T1639" i="9"/>
  <c r="U1639" i="9" s="1"/>
  <c r="S1639" i="9"/>
  <c r="P1639" i="9"/>
  <c r="O1639" i="9"/>
  <c r="N1639" i="9"/>
  <c r="M1639" i="9"/>
  <c r="K1639" i="9"/>
  <c r="S1638" i="9"/>
  <c r="L1638" i="9"/>
  <c r="P1638" i="9" s="1"/>
  <c r="K1638" i="9"/>
  <c r="S1637" i="9"/>
  <c r="L1637" i="9"/>
  <c r="K1637" i="9"/>
  <c r="S1636" i="9"/>
  <c r="L1636" i="9"/>
  <c r="P1636" i="9" s="1"/>
  <c r="K1636" i="9"/>
  <c r="T1635" i="9"/>
  <c r="S1635" i="9"/>
  <c r="N1635" i="9"/>
  <c r="O1635" i="9" s="1"/>
  <c r="M1635" i="9"/>
  <c r="L1635" i="9"/>
  <c r="P1635" i="9" s="1"/>
  <c r="K1635" i="9"/>
  <c r="U1634" i="9"/>
  <c r="V1634" i="9" s="1"/>
  <c r="T1634" i="9"/>
  <c r="S1634" i="9"/>
  <c r="P1634" i="9"/>
  <c r="N1634" i="9"/>
  <c r="O1634" i="9" s="1"/>
  <c r="M1634" i="9"/>
  <c r="K1634" i="9"/>
  <c r="S1633" i="9"/>
  <c r="L1633" i="9"/>
  <c r="K1633" i="9"/>
  <c r="T1632" i="9"/>
  <c r="U1632" i="9" s="1"/>
  <c r="S1632" i="9"/>
  <c r="N1632" i="9"/>
  <c r="O1632" i="9" s="1"/>
  <c r="L1632" i="9"/>
  <c r="M1632" i="9" s="1"/>
  <c r="K1632" i="9"/>
  <c r="T1631" i="9"/>
  <c r="U1631" i="9" s="1"/>
  <c r="S1631" i="9"/>
  <c r="P1631" i="9"/>
  <c r="N1631" i="9"/>
  <c r="O1631" i="9" s="1"/>
  <c r="M1631" i="9"/>
  <c r="K1631" i="9"/>
  <c r="S1630" i="9"/>
  <c r="N1630" i="9"/>
  <c r="O1630" i="9" s="1"/>
  <c r="M1630" i="9"/>
  <c r="L1630" i="9"/>
  <c r="K1630" i="9"/>
  <c r="S1629" i="9"/>
  <c r="P1629" i="9"/>
  <c r="L1629" i="9"/>
  <c r="K1629" i="9"/>
  <c r="S1628" i="9"/>
  <c r="M1628" i="9"/>
  <c r="L1628" i="9"/>
  <c r="K1628" i="9"/>
  <c r="S1627" i="9"/>
  <c r="L1627" i="9"/>
  <c r="K1627" i="9"/>
  <c r="S1626" i="9"/>
  <c r="L1626" i="9"/>
  <c r="K1626" i="9"/>
  <c r="T1625" i="9"/>
  <c r="U1625" i="9" s="1"/>
  <c r="V1625" i="9" s="1"/>
  <c r="S1625" i="9"/>
  <c r="P1625" i="9"/>
  <c r="O1625" i="9"/>
  <c r="N1625" i="9"/>
  <c r="M1625" i="9"/>
  <c r="K1625" i="9"/>
  <c r="S1624" i="9"/>
  <c r="L1624" i="9"/>
  <c r="K1624" i="9"/>
  <c r="S1623" i="9"/>
  <c r="L1623" i="9"/>
  <c r="K1623" i="9"/>
  <c r="V1622" i="9"/>
  <c r="T1622" i="9"/>
  <c r="U1622" i="9" s="1"/>
  <c r="S1622" i="9"/>
  <c r="P1622" i="9"/>
  <c r="N1622" i="9"/>
  <c r="O1622" i="9" s="1"/>
  <c r="M1622" i="9"/>
  <c r="K1622" i="9"/>
  <c r="T1621" i="9"/>
  <c r="S1621" i="9"/>
  <c r="P1621" i="9"/>
  <c r="N1621" i="9"/>
  <c r="O1621" i="9" s="1"/>
  <c r="M1621" i="9"/>
  <c r="K1621" i="9"/>
  <c r="T1620" i="9"/>
  <c r="S1620" i="9"/>
  <c r="P1620" i="9"/>
  <c r="N1620" i="9"/>
  <c r="O1620" i="9" s="1"/>
  <c r="M1620" i="9"/>
  <c r="K1620" i="9"/>
  <c r="S1619" i="9"/>
  <c r="L1619" i="9"/>
  <c r="K1619" i="9"/>
  <c r="T1618" i="9"/>
  <c r="S1618" i="9"/>
  <c r="N1618" i="9"/>
  <c r="O1618" i="9" s="1"/>
  <c r="L1618" i="9"/>
  <c r="K1618" i="9"/>
  <c r="T1617" i="9"/>
  <c r="U1617" i="9" s="1"/>
  <c r="V1617" i="9" s="1"/>
  <c r="S1617" i="9"/>
  <c r="P1617" i="9"/>
  <c r="N1617" i="9"/>
  <c r="O1617" i="9" s="1"/>
  <c r="M1617" i="9"/>
  <c r="K1617" i="9"/>
  <c r="V1616" i="9"/>
  <c r="T1616" i="9"/>
  <c r="U1616" i="9" s="1"/>
  <c r="S1616" i="9"/>
  <c r="P1616" i="9"/>
  <c r="N1616" i="9"/>
  <c r="O1616" i="9" s="1"/>
  <c r="M1616" i="9"/>
  <c r="K1616" i="9"/>
  <c r="T1615" i="9"/>
  <c r="S1615" i="9"/>
  <c r="P1615" i="9"/>
  <c r="N1615" i="9"/>
  <c r="O1615" i="9" s="1"/>
  <c r="M1615" i="9"/>
  <c r="K1615" i="9"/>
  <c r="T1614" i="9"/>
  <c r="S1614" i="9"/>
  <c r="N1614" i="9"/>
  <c r="O1614" i="9" s="1"/>
  <c r="L1614" i="9"/>
  <c r="M1614" i="9" s="1"/>
  <c r="K1614" i="9"/>
  <c r="S1613" i="9"/>
  <c r="L1613" i="9"/>
  <c r="K1613" i="9"/>
  <c r="T1612" i="9"/>
  <c r="S1612" i="9"/>
  <c r="N1612" i="9"/>
  <c r="O1612" i="9" s="1"/>
  <c r="L1612" i="9"/>
  <c r="M1612" i="9" s="1"/>
  <c r="K1612" i="9"/>
  <c r="T1611" i="9"/>
  <c r="U1611" i="9" s="1"/>
  <c r="V1611" i="9" s="1"/>
  <c r="S1611" i="9"/>
  <c r="P1611" i="9"/>
  <c r="N1611" i="9"/>
  <c r="O1611" i="9" s="1"/>
  <c r="M1611" i="9"/>
  <c r="K1611" i="9"/>
  <c r="T1610" i="9"/>
  <c r="S1610" i="9"/>
  <c r="P1610" i="9"/>
  <c r="N1610" i="9"/>
  <c r="O1610" i="9" s="1"/>
  <c r="M1610" i="9"/>
  <c r="K1610" i="9"/>
  <c r="T1609" i="9"/>
  <c r="S1609" i="9"/>
  <c r="P1609" i="9"/>
  <c r="N1609" i="9"/>
  <c r="O1609" i="9" s="1"/>
  <c r="M1609" i="9"/>
  <c r="K1609" i="9"/>
  <c r="S1608" i="9"/>
  <c r="L1608" i="9"/>
  <c r="K1608" i="9"/>
  <c r="T1607" i="9"/>
  <c r="S1607" i="9"/>
  <c r="N1607" i="9"/>
  <c r="O1607" i="9" s="1"/>
  <c r="M1607" i="9"/>
  <c r="L1607" i="9"/>
  <c r="P1607" i="9" s="1"/>
  <c r="K1607" i="9"/>
  <c r="U1606" i="9"/>
  <c r="V1606" i="9" s="1"/>
  <c r="T1606" i="9"/>
  <c r="S1606" i="9"/>
  <c r="P1606" i="9"/>
  <c r="O1606" i="9"/>
  <c r="N1606" i="9"/>
  <c r="M1606" i="9"/>
  <c r="K1606" i="9"/>
  <c r="V1605" i="9"/>
  <c r="T1605" i="9"/>
  <c r="U1605" i="9" s="1"/>
  <c r="S1605" i="9"/>
  <c r="P1605" i="9"/>
  <c r="N1605" i="9"/>
  <c r="O1605" i="9" s="1"/>
  <c r="M1605" i="9"/>
  <c r="K1605" i="9"/>
  <c r="T1604" i="9"/>
  <c r="S1604" i="9"/>
  <c r="N1604" i="9"/>
  <c r="O1604" i="9" s="1"/>
  <c r="M1604" i="9"/>
  <c r="L1604" i="9"/>
  <c r="P1604" i="9" s="1"/>
  <c r="K1604" i="9"/>
  <c r="U1603" i="9"/>
  <c r="V1603" i="9" s="1"/>
  <c r="T1603" i="9"/>
  <c r="S1603" i="9"/>
  <c r="P1603" i="9"/>
  <c r="N1603" i="9"/>
  <c r="O1603" i="9" s="1"/>
  <c r="M1603" i="9"/>
  <c r="K1603" i="9"/>
  <c r="T1602" i="9"/>
  <c r="U1602" i="9" s="1"/>
  <c r="V1602" i="9" s="1"/>
  <c r="S1602" i="9"/>
  <c r="P1602" i="9"/>
  <c r="N1602" i="9"/>
  <c r="O1602" i="9" s="1"/>
  <c r="M1602" i="9"/>
  <c r="K1602" i="9"/>
  <c r="T1601" i="9"/>
  <c r="S1601" i="9"/>
  <c r="P1601" i="9"/>
  <c r="N1601" i="9"/>
  <c r="O1601" i="9" s="1"/>
  <c r="M1601" i="9"/>
  <c r="K1601" i="9"/>
  <c r="T1600" i="9"/>
  <c r="S1600" i="9"/>
  <c r="P1600" i="9"/>
  <c r="N1600" i="9"/>
  <c r="O1600" i="9" s="1"/>
  <c r="M1600" i="9"/>
  <c r="K1600" i="9"/>
  <c r="T1599" i="9"/>
  <c r="U1599" i="9" s="1"/>
  <c r="V1599" i="9" s="1"/>
  <c r="S1599" i="9"/>
  <c r="P1599" i="9"/>
  <c r="N1599" i="9"/>
  <c r="O1599" i="9" s="1"/>
  <c r="M1599" i="9"/>
  <c r="K1599" i="9"/>
  <c r="T1598" i="9"/>
  <c r="S1598" i="9"/>
  <c r="P1598" i="9"/>
  <c r="N1598" i="9"/>
  <c r="O1598" i="9" s="1"/>
  <c r="M1598" i="9"/>
  <c r="K1598" i="9"/>
  <c r="S1597" i="9"/>
  <c r="L1597" i="9"/>
  <c r="K1597" i="9"/>
  <c r="S1596" i="9"/>
  <c r="L1596" i="9"/>
  <c r="P1596" i="9" s="1"/>
  <c r="K1596" i="9"/>
  <c r="S1595" i="9"/>
  <c r="L1595" i="9"/>
  <c r="K1595" i="9"/>
  <c r="S1594" i="9"/>
  <c r="L1594" i="9"/>
  <c r="K1594" i="9"/>
  <c r="T1593" i="9"/>
  <c r="S1593" i="9"/>
  <c r="N1593" i="9"/>
  <c r="O1593" i="9" s="1"/>
  <c r="M1593" i="9"/>
  <c r="L1593" i="9"/>
  <c r="P1593" i="9" s="1"/>
  <c r="K1593" i="9"/>
  <c r="S1592" i="9"/>
  <c r="L1592" i="9"/>
  <c r="K1592" i="9"/>
  <c r="T1591" i="9"/>
  <c r="S1591" i="9"/>
  <c r="N1591" i="9"/>
  <c r="O1591" i="9" s="1"/>
  <c r="L1591" i="9"/>
  <c r="P1591" i="9" s="1"/>
  <c r="K1591" i="9"/>
  <c r="S1590" i="9"/>
  <c r="L1590" i="9"/>
  <c r="P1590" i="9" s="1"/>
  <c r="K1590" i="9"/>
  <c r="T1589" i="9"/>
  <c r="S1589" i="9"/>
  <c r="P1589" i="9"/>
  <c r="N1589" i="9"/>
  <c r="O1589" i="9" s="1"/>
  <c r="M1589" i="9"/>
  <c r="K1589" i="9"/>
  <c r="S1588" i="9"/>
  <c r="L1588" i="9"/>
  <c r="M1588" i="9" s="1"/>
  <c r="K1588" i="9"/>
  <c r="V1587" i="9"/>
  <c r="T1587" i="9"/>
  <c r="U1587" i="9" s="1"/>
  <c r="S1587" i="9"/>
  <c r="P1587" i="9"/>
  <c r="N1587" i="9"/>
  <c r="O1587" i="9" s="1"/>
  <c r="M1587" i="9"/>
  <c r="K1587" i="9"/>
  <c r="T1586" i="9"/>
  <c r="S1586" i="9"/>
  <c r="P1586" i="9"/>
  <c r="N1586" i="9"/>
  <c r="O1586" i="9" s="1"/>
  <c r="M1586" i="9"/>
  <c r="K1586" i="9"/>
  <c r="T1585" i="9"/>
  <c r="S1585" i="9"/>
  <c r="P1585" i="9"/>
  <c r="N1585" i="9"/>
  <c r="O1585" i="9" s="1"/>
  <c r="M1585" i="9"/>
  <c r="K1585" i="9"/>
  <c r="T1584" i="9"/>
  <c r="U1584" i="9" s="1"/>
  <c r="V1584" i="9" s="1"/>
  <c r="S1584" i="9"/>
  <c r="P1584" i="9"/>
  <c r="O1584" i="9"/>
  <c r="N1584" i="9"/>
  <c r="M1584" i="9"/>
  <c r="K1584" i="9"/>
  <c r="T1583" i="9"/>
  <c r="U1583" i="9" s="1"/>
  <c r="V1583" i="9" s="1"/>
  <c r="S1583" i="9"/>
  <c r="P1583" i="9"/>
  <c r="N1583" i="9"/>
  <c r="O1583" i="9" s="1"/>
  <c r="M1583" i="9"/>
  <c r="K1583" i="9"/>
  <c r="T1582" i="9"/>
  <c r="S1582" i="9"/>
  <c r="P1582" i="9"/>
  <c r="N1582" i="9"/>
  <c r="O1582" i="9" s="1"/>
  <c r="M1582" i="9"/>
  <c r="K1582" i="9"/>
  <c r="T1581" i="9"/>
  <c r="S1581" i="9"/>
  <c r="P1581" i="9"/>
  <c r="N1581" i="9"/>
  <c r="O1581" i="9" s="1"/>
  <c r="M1581" i="9"/>
  <c r="K1581" i="9"/>
  <c r="T1580" i="9"/>
  <c r="U1580" i="9" s="1"/>
  <c r="V1580" i="9" s="1"/>
  <c r="S1580" i="9"/>
  <c r="P1580" i="9"/>
  <c r="O1580" i="9"/>
  <c r="N1580" i="9"/>
  <c r="M1580" i="9"/>
  <c r="K1580" i="9"/>
  <c r="T1579" i="9"/>
  <c r="U1579" i="9" s="1"/>
  <c r="S1579" i="9"/>
  <c r="P1579" i="9"/>
  <c r="N1579" i="9"/>
  <c r="O1579" i="9" s="1"/>
  <c r="M1579" i="9"/>
  <c r="K1579" i="9"/>
  <c r="S1578" i="9"/>
  <c r="N1578" i="9"/>
  <c r="O1578" i="9" s="1"/>
  <c r="L1578" i="9"/>
  <c r="K1578" i="9"/>
  <c r="U1577" i="9"/>
  <c r="V1577" i="9" s="1"/>
  <c r="T1577" i="9"/>
  <c r="S1577" i="9"/>
  <c r="P1577" i="9"/>
  <c r="N1577" i="9"/>
  <c r="O1577" i="9" s="1"/>
  <c r="M1577" i="9"/>
  <c r="K1577" i="9"/>
  <c r="T1576" i="9"/>
  <c r="U1576" i="9" s="1"/>
  <c r="V1576" i="9" s="1"/>
  <c r="S1576" i="9"/>
  <c r="P1576" i="9"/>
  <c r="N1576" i="9"/>
  <c r="O1576" i="9" s="1"/>
  <c r="M1576" i="9"/>
  <c r="K1576" i="9"/>
  <c r="T1575" i="9"/>
  <c r="S1575" i="9"/>
  <c r="P1575" i="9"/>
  <c r="N1575" i="9"/>
  <c r="O1575" i="9" s="1"/>
  <c r="M1575" i="9"/>
  <c r="K1575" i="9"/>
  <c r="T1574" i="9"/>
  <c r="S1574" i="9"/>
  <c r="P1574" i="9"/>
  <c r="N1574" i="9"/>
  <c r="O1574" i="9" s="1"/>
  <c r="M1574" i="9"/>
  <c r="K1574" i="9"/>
  <c r="U1573" i="9"/>
  <c r="V1573" i="9" s="1"/>
  <c r="T1573" i="9"/>
  <c r="S1573" i="9"/>
  <c r="P1573" i="9"/>
  <c r="O1573" i="9"/>
  <c r="N1573" i="9"/>
  <c r="M1573" i="9"/>
  <c r="K1573" i="9"/>
  <c r="V1572" i="9"/>
  <c r="T1572" i="9"/>
  <c r="U1572" i="9" s="1"/>
  <c r="S1572" i="9"/>
  <c r="P1572" i="9"/>
  <c r="N1572" i="9"/>
  <c r="O1572" i="9" s="1"/>
  <c r="M1572" i="9"/>
  <c r="K1572" i="9"/>
  <c r="T1571" i="9"/>
  <c r="S1571" i="9"/>
  <c r="P1571" i="9"/>
  <c r="N1571" i="9"/>
  <c r="O1571" i="9" s="1"/>
  <c r="M1571" i="9"/>
  <c r="K1571" i="9"/>
  <c r="T1570" i="9"/>
  <c r="S1570" i="9"/>
  <c r="N1570" i="9"/>
  <c r="O1570" i="9" s="1"/>
  <c r="L1570" i="9"/>
  <c r="M1570" i="9" s="1"/>
  <c r="K1570" i="9"/>
  <c r="S1569" i="9"/>
  <c r="L1569" i="9"/>
  <c r="K1569" i="9"/>
  <c r="T1568" i="9"/>
  <c r="S1568" i="9"/>
  <c r="P1568" i="9"/>
  <c r="N1568" i="9"/>
  <c r="O1568" i="9" s="1"/>
  <c r="M1568" i="9"/>
  <c r="K1568" i="9"/>
  <c r="U1567" i="9"/>
  <c r="V1567" i="9" s="1"/>
  <c r="T1567" i="9"/>
  <c r="S1567" i="9"/>
  <c r="P1567" i="9"/>
  <c r="O1567" i="9"/>
  <c r="N1567" i="9"/>
  <c r="M1567" i="9"/>
  <c r="K1567" i="9"/>
  <c r="T1566" i="9"/>
  <c r="U1566" i="9" s="1"/>
  <c r="V1566" i="9" s="1"/>
  <c r="S1566" i="9"/>
  <c r="P1566" i="9"/>
  <c r="N1566" i="9"/>
  <c r="O1566" i="9" s="1"/>
  <c r="M1566" i="9"/>
  <c r="K1566" i="9"/>
  <c r="S1565" i="9"/>
  <c r="M1565" i="9"/>
  <c r="L1565" i="9"/>
  <c r="K1565" i="9"/>
  <c r="T1564" i="9"/>
  <c r="U1564" i="9" s="1"/>
  <c r="V1564" i="9" s="1"/>
  <c r="S1564" i="9"/>
  <c r="P1564" i="9"/>
  <c r="N1564" i="9"/>
  <c r="O1564" i="9" s="1"/>
  <c r="M1564" i="9"/>
  <c r="K1564" i="9"/>
  <c r="T1563" i="9"/>
  <c r="U1563" i="9" s="1"/>
  <c r="V1563" i="9" s="1"/>
  <c r="S1563" i="9"/>
  <c r="P1563" i="9"/>
  <c r="N1563" i="9"/>
  <c r="O1563" i="9" s="1"/>
  <c r="M1563" i="9"/>
  <c r="K1563" i="9"/>
  <c r="T1562" i="9"/>
  <c r="S1562" i="9"/>
  <c r="P1562" i="9"/>
  <c r="N1562" i="9"/>
  <c r="O1562" i="9" s="1"/>
  <c r="M1562" i="9"/>
  <c r="K1562" i="9"/>
  <c r="T1561" i="9"/>
  <c r="S1561" i="9"/>
  <c r="P1561" i="9"/>
  <c r="N1561" i="9"/>
  <c r="O1561" i="9" s="1"/>
  <c r="M1561" i="9"/>
  <c r="K1561" i="9"/>
  <c r="S1560" i="9"/>
  <c r="L1560" i="9"/>
  <c r="K1560" i="9"/>
  <c r="T1559" i="9"/>
  <c r="S1559" i="9"/>
  <c r="P1559" i="9"/>
  <c r="N1559" i="9"/>
  <c r="O1559" i="9" s="1"/>
  <c r="M1559" i="9"/>
  <c r="K1559" i="9"/>
  <c r="T1558" i="9"/>
  <c r="S1558" i="9"/>
  <c r="P1558" i="9"/>
  <c r="N1558" i="9"/>
  <c r="O1558" i="9" s="1"/>
  <c r="M1558" i="9"/>
  <c r="K1558" i="9"/>
  <c r="T1557" i="9"/>
  <c r="U1557" i="9" s="1"/>
  <c r="V1557" i="9" s="1"/>
  <c r="S1557" i="9"/>
  <c r="P1557" i="9"/>
  <c r="O1557" i="9"/>
  <c r="N1557" i="9"/>
  <c r="M1557" i="9"/>
  <c r="K1557" i="9"/>
  <c r="T1556" i="9"/>
  <c r="U1556" i="9" s="1"/>
  <c r="S1556" i="9"/>
  <c r="P1556" i="9"/>
  <c r="N1556" i="9"/>
  <c r="O1556" i="9" s="1"/>
  <c r="M1556" i="9"/>
  <c r="K1556" i="9"/>
  <c r="T1555" i="9"/>
  <c r="S1555" i="9"/>
  <c r="P1555" i="9"/>
  <c r="N1555" i="9"/>
  <c r="O1555" i="9" s="1"/>
  <c r="M1555" i="9"/>
  <c r="K1555" i="9"/>
  <c r="T1554" i="9"/>
  <c r="S1554" i="9"/>
  <c r="P1554" i="9"/>
  <c r="N1554" i="9"/>
  <c r="O1554" i="9" s="1"/>
  <c r="M1554" i="9"/>
  <c r="K1554" i="9"/>
  <c r="S1553" i="9"/>
  <c r="P1553" i="9"/>
  <c r="L1553" i="9"/>
  <c r="K1553" i="9"/>
  <c r="T1552" i="9"/>
  <c r="S1552" i="9"/>
  <c r="P1552" i="9"/>
  <c r="N1552" i="9"/>
  <c r="O1552" i="9" s="1"/>
  <c r="M1552" i="9"/>
  <c r="K1552" i="9"/>
  <c r="T1551" i="9"/>
  <c r="S1551" i="9"/>
  <c r="P1551" i="9"/>
  <c r="N1551" i="9"/>
  <c r="O1551" i="9" s="1"/>
  <c r="M1551" i="9"/>
  <c r="K1551" i="9"/>
  <c r="T1550" i="9"/>
  <c r="U1550" i="9" s="1"/>
  <c r="V1550" i="9" s="1"/>
  <c r="S1550" i="9"/>
  <c r="P1550" i="9"/>
  <c r="N1550" i="9"/>
  <c r="O1550" i="9" s="1"/>
  <c r="M1550" i="9"/>
  <c r="K1550" i="9"/>
  <c r="T1549" i="9"/>
  <c r="U1549" i="9" s="1"/>
  <c r="V1549" i="9" s="1"/>
  <c r="S1549" i="9"/>
  <c r="P1549" i="9"/>
  <c r="N1549" i="9"/>
  <c r="O1549" i="9" s="1"/>
  <c r="M1549" i="9"/>
  <c r="K1549" i="9"/>
  <c r="T1548" i="9"/>
  <c r="S1548" i="9"/>
  <c r="P1548" i="9"/>
  <c r="N1548" i="9"/>
  <c r="O1548" i="9" s="1"/>
  <c r="M1548" i="9"/>
  <c r="K1548" i="9"/>
  <c r="T1547" i="9"/>
  <c r="U1547" i="9" s="1"/>
  <c r="S1547" i="9"/>
  <c r="N1547" i="9"/>
  <c r="O1547" i="9" s="1"/>
  <c r="L1547" i="9"/>
  <c r="M1547" i="9" s="1"/>
  <c r="K1547" i="9"/>
  <c r="S1546" i="9"/>
  <c r="L1546" i="9"/>
  <c r="K1546" i="9"/>
  <c r="T1545" i="9"/>
  <c r="S1545" i="9"/>
  <c r="P1545" i="9"/>
  <c r="N1545" i="9"/>
  <c r="O1545" i="9" s="1"/>
  <c r="M1545" i="9"/>
  <c r="K1545" i="9"/>
  <c r="U1544" i="9"/>
  <c r="V1544" i="9" s="1"/>
  <c r="T1544" i="9"/>
  <c r="S1544" i="9"/>
  <c r="P1544" i="9"/>
  <c r="O1544" i="9"/>
  <c r="N1544" i="9"/>
  <c r="M1544" i="9"/>
  <c r="K1544" i="9"/>
  <c r="T1543" i="9"/>
  <c r="U1543" i="9" s="1"/>
  <c r="V1543" i="9" s="1"/>
  <c r="S1543" i="9"/>
  <c r="P1543" i="9"/>
  <c r="N1543" i="9"/>
  <c r="O1543" i="9" s="1"/>
  <c r="M1543" i="9"/>
  <c r="K1543" i="9"/>
  <c r="T1542" i="9"/>
  <c r="S1542" i="9"/>
  <c r="P1542" i="9"/>
  <c r="N1542" i="9"/>
  <c r="O1542" i="9" s="1"/>
  <c r="M1542" i="9"/>
  <c r="K1542" i="9"/>
  <c r="T1541" i="9"/>
  <c r="S1541" i="9"/>
  <c r="P1541" i="9"/>
  <c r="N1541" i="9"/>
  <c r="O1541" i="9" s="1"/>
  <c r="M1541" i="9"/>
  <c r="K1541" i="9"/>
  <c r="S1540" i="9"/>
  <c r="L1540" i="9"/>
  <c r="K1540" i="9"/>
  <c r="S1539" i="9"/>
  <c r="L1539" i="9"/>
  <c r="K1539" i="9"/>
  <c r="U1538" i="9"/>
  <c r="V1538" i="9" s="1"/>
  <c r="T1538" i="9"/>
  <c r="S1538" i="9"/>
  <c r="P1538" i="9"/>
  <c r="O1538" i="9"/>
  <c r="N1538" i="9"/>
  <c r="M1538" i="9"/>
  <c r="K1538" i="9"/>
  <c r="T1537" i="9"/>
  <c r="U1537" i="9" s="1"/>
  <c r="V1537" i="9" s="1"/>
  <c r="S1537" i="9"/>
  <c r="P1537" i="9"/>
  <c r="N1537" i="9"/>
  <c r="O1537" i="9" s="1"/>
  <c r="M1537" i="9"/>
  <c r="K1537" i="9"/>
  <c r="T1536" i="9"/>
  <c r="S1536" i="9"/>
  <c r="P1536" i="9"/>
  <c r="N1536" i="9"/>
  <c r="O1536" i="9" s="1"/>
  <c r="M1536" i="9"/>
  <c r="K1536" i="9"/>
  <c r="T1535" i="9"/>
  <c r="S1535" i="9"/>
  <c r="N1535" i="9"/>
  <c r="O1535" i="9" s="1"/>
  <c r="L1535" i="9"/>
  <c r="M1535" i="9" s="1"/>
  <c r="K1535" i="9"/>
  <c r="S1534" i="9"/>
  <c r="L1534" i="9"/>
  <c r="P1534" i="9" s="1"/>
  <c r="K1534" i="9"/>
  <c r="T1533" i="9"/>
  <c r="S1533" i="9"/>
  <c r="P1533" i="9"/>
  <c r="N1533" i="9"/>
  <c r="O1533" i="9" s="1"/>
  <c r="M1533" i="9"/>
  <c r="K1533" i="9"/>
  <c r="U1532" i="9"/>
  <c r="V1532" i="9" s="1"/>
  <c r="T1532" i="9"/>
  <c r="S1532" i="9"/>
  <c r="P1532" i="9"/>
  <c r="O1532" i="9"/>
  <c r="N1532" i="9"/>
  <c r="M1532" i="9"/>
  <c r="K1532" i="9"/>
  <c r="V1531" i="9"/>
  <c r="T1531" i="9"/>
  <c r="U1531" i="9" s="1"/>
  <c r="S1531" i="9"/>
  <c r="P1531" i="9"/>
  <c r="N1531" i="9"/>
  <c r="O1531" i="9" s="1"/>
  <c r="M1531" i="9"/>
  <c r="K1531" i="9"/>
  <c r="S1530" i="9"/>
  <c r="L1530" i="9"/>
  <c r="K1530" i="9"/>
  <c r="T1529" i="9"/>
  <c r="U1529" i="9" s="1"/>
  <c r="V1529" i="9" s="1"/>
  <c r="S1529" i="9"/>
  <c r="P1529" i="9"/>
  <c r="N1529" i="9"/>
  <c r="O1529" i="9" s="1"/>
  <c r="M1529" i="9"/>
  <c r="K1529" i="9"/>
  <c r="T1528" i="9"/>
  <c r="U1528" i="9" s="1"/>
  <c r="V1528" i="9" s="1"/>
  <c r="S1528" i="9"/>
  <c r="P1528" i="9"/>
  <c r="N1528" i="9"/>
  <c r="O1528" i="9" s="1"/>
  <c r="M1528" i="9"/>
  <c r="K1528" i="9"/>
  <c r="T1527" i="9"/>
  <c r="S1527" i="9"/>
  <c r="P1527" i="9"/>
  <c r="N1527" i="9"/>
  <c r="O1527" i="9" s="1"/>
  <c r="M1527" i="9"/>
  <c r="K1527" i="9"/>
  <c r="T1526" i="9"/>
  <c r="S1526" i="9"/>
  <c r="P1526" i="9"/>
  <c r="N1526" i="9"/>
  <c r="O1526" i="9" s="1"/>
  <c r="M1526" i="9"/>
  <c r="K1526" i="9"/>
  <c r="T1525" i="9"/>
  <c r="U1525" i="9" s="1"/>
  <c r="V1525" i="9" s="1"/>
  <c r="S1525" i="9"/>
  <c r="P1525" i="9"/>
  <c r="N1525" i="9"/>
  <c r="O1525" i="9" s="1"/>
  <c r="M1525" i="9"/>
  <c r="K1525" i="9"/>
  <c r="T1524" i="9"/>
  <c r="U1524" i="9" s="1"/>
  <c r="S1524" i="9"/>
  <c r="P1524" i="9"/>
  <c r="N1524" i="9"/>
  <c r="O1524" i="9" s="1"/>
  <c r="M1524" i="9"/>
  <c r="K1524" i="9"/>
  <c r="T1523" i="9"/>
  <c r="S1523" i="9"/>
  <c r="P1523" i="9"/>
  <c r="N1523" i="9"/>
  <c r="O1523" i="9" s="1"/>
  <c r="M1523" i="9"/>
  <c r="K1523" i="9"/>
  <c r="T1522" i="9"/>
  <c r="S1522" i="9"/>
  <c r="P1522" i="9"/>
  <c r="N1522" i="9"/>
  <c r="O1522" i="9" s="1"/>
  <c r="M1522" i="9"/>
  <c r="K1522" i="9"/>
  <c r="T1521" i="9"/>
  <c r="U1521" i="9" s="1"/>
  <c r="V1521" i="9" s="1"/>
  <c r="S1521" i="9"/>
  <c r="P1521" i="9"/>
  <c r="N1521" i="9"/>
  <c r="O1521" i="9" s="1"/>
  <c r="M1521" i="9"/>
  <c r="K1521" i="9"/>
  <c r="T1520" i="9"/>
  <c r="U1520" i="9" s="1"/>
  <c r="V1520" i="9" s="1"/>
  <c r="S1520" i="9"/>
  <c r="P1520" i="9"/>
  <c r="N1520" i="9"/>
  <c r="O1520" i="9" s="1"/>
  <c r="M1520" i="9"/>
  <c r="K1520" i="9"/>
  <c r="S1519" i="9"/>
  <c r="L1519" i="9"/>
  <c r="K1519" i="9"/>
  <c r="U1518" i="9"/>
  <c r="V1518" i="9" s="1"/>
  <c r="T1518" i="9"/>
  <c r="S1518" i="9"/>
  <c r="P1518" i="9"/>
  <c r="N1518" i="9"/>
  <c r="O1518" i="9" s="1"/>
  <c r="M1518" i="9"/>
  <c r="K1518" i="9"/>
  <c r="T1517" i="9"/>
  <c r="S1517" i="9"/>
  <c r="P1517" i="9"/>
  <c r="N1517" i="9"/>
  <c r="O1517" i="9" s="1"/>
  <c r="M1517" i="9"/>
  <c r="K1517" i="9"/>
  <c r="T1516" i="9"/>
  <c r="S1516" i="9"/>
  <c r="P1516" i="9"/>
  <c r="N1516" i="9"/>
  <c r="O1516" i="9" s="1"/>
  <c r="M1516" i="9"/>
  <c r="K1516" i="9"/>
  <c r="T1515" i="9"/>
  <c r="S1515" i="9"/>
  <c r="P1515" i="9"/>
  <c r="N1515" i="9"/>
  <c r="O1515" i="9" s="1"/>
  <c r="M1515" i="9"/>
  <c r="K1515" i="9"/>
  <c r="T1514" i="9"/>
  <c r="U1514" i="9" s="1"/>
  <c r="V1514" i="9" s="1"/>
  <c r="S1514" i="9"/>
  <c r="P1514" i="9"/>
  <c r="N1514" i="9"/>
  <c r="O1514" i="9" s="1"/>
  <c r="M1514" i="9"/>
  <c r="K1514" i="9"/>
  <c r="T1513" i="9"/>
  <c r="U1513" i="9" s="1"/>
  <c r="V1513" i="9" s="1"/>
  <c r="S1513" i="9"/>
  <c r="P1513" i="9"/>
  <c r="N1513" i="9"/>
  <c r="O1513" i="9" s="1"/>
  <c r="M1513" i="9"/>
  <c r="K1513" i="9"/>
  <c r="T1512" i="9"/>
  <c r="S1512" i="9"/>
  <c r="P1512" i="9"/>
  <c r="N1512" i="9"/>
  <c r="O1512" i="9" s="1"/>
  <c r="M1512" i="9"/>
  <c r="K1512" i="9"/>
  <c r="T1511" i="9"/>
  <c r="S1511" i="9"/>
  <c r="P1511" i="9"/>
  <c r="N1511" i="9"/>
  <c r="O1511" i="9" s="1"/>
  <c r="M1511" i="9"/>
  <c r="K1511" i="9"/>
  <c r="T1510" i="9"/>
  <c r="U1510" i="9" s="1"/>
  <c r="V1510" i="9" s="1"/>
  <c r="S1510" i="9"/>
  <c r="P1510" i="9"/>
  <c r="N1510" i="9"/>
  <c r="O1510" i="9" s="1"/>
  <c r="M1510" i="9"/>
  <c r="K1510" i="9"/>
  <c r="S1509" i="9"/>
  <c r="L1509" i="9"/>
  <c r="K1509" i="9"/>
  <c r="T1508" i="9"/>
  <c r="S1508" i="9"/>
  <c r="P1508" i="9"/>
  <c r="N1508" i="9"/>
  <c r="O1508" i="9" s="1"/>
  <c r="M1508" i="9"/>
  <c r="K1508" i="9"/>
  <c r="T1507" i="9"/>
  <c r="U1507" i="9" s="1"/>
  <c r="V1507" i="9" s="1"/>
  <c r="S1507" i="9"/>
  <c r="P1507" i="9"/>
  <c r="O1507" i="9"/>
  <c r="N1507" i="9"/>
  <c r="M1507" i="9"/>
  <c r="K1507" i="9"/>
  <c r="S1506" i="9"/>
  <c r="L1506" i="9"/>
  <c r="K1506" i="9"/>
  <c r="T1505" i="9"/>
  <c r="S1505" i="9"/>
  <c r="P1505" i="9"/>
  <c r="N1505" i="9"/>
  <c r="O1505" i="9" s="1"/>
  <c r="M1505" i="9"/>
  <c r="K1505" i="9"/>
  <c r="S1504" i="9"/>
  <c r="L1504" i="9"/>
  <c r="P1504" i="9" s="1"/>
  <c r="K1504" i="9"/>
  <c r="T1503" i="9"/>
  <c r="S1503" i="9"/>
  <c r="P1503" i="9"/>
  <c r="N1503" i="9"/>
  <c r="O1503" i="9" s="1"/>
  <c r="M1503" i="9"/>
  <c r="K1503" i="9"/>
  <c r="T1502" i="9"/>
  <c r="S1502" i="9"/>
  <c r="P1502" i="9"/>
  <c r="N1502" i="9"/>
  <c r="O1502" i="9" s="1"/>
  <c r="M1502" i="9"/>
  <c r="K1502" i="9"/>
  <c r="T1501" i="9"/>
  <c r="U1501" i="9" s="1"/>
  <c r="V1501" i="9" s="1"/>
  <c r="S1501" i="9"/>
  <c r="P1501" i="9"/>
  <c r="N1501" i="9"/>
  <c r="O1501" i="9" s="1"/>
  <c r="M1501" i="9"/>
  <c r="K1501" i="9"/>
  <c r="S1500" i="9"/>
  <c r="L1500" i="9"/>
  <c r="K1500" i="9"/>
  <c r="T1499" i="9"/>
  <c r="S1499" i="9"/>
  <c r="P1499" i="9"/>
  <c r="N1499" i="9"/>
  <c r="O1499" i="9" s="1"/>
  <c r="M1499" i="9"/>
  <c r="K1499" i="9"/>
  <c r="U1498" i="9"/>
  <c r="V1498" i="9" s="1"/>
  <c r="T1498" i="9"/>
  <c r="S1498" i="9"/>
  <c r="P1498" i="9"/>
  <c r="N1498" i="9"/>
  <c r="O1498" i="9" s="1"/>
  <c r="M1498" i="9"/>
  <c r="K1498" i="9"/>
  <c r="T1497" i="9"/>
  <c r="U1497" i="9" s="1"/>
  <c r="V1497" i="9" s="1"/>
  <c r="S1497" i="9"/>
  <c r="P1497" i="9"/>
  <c r="N1497" i="9"/>
  <c r="O1497" i="9" s="1"/>
  <c r="M1497" i="9"/>
  <c r="K1497" i="9"/>
  <c r="T1496" i="9"/>
  <c r="S1496" i="9"/>
  <c r="P1496" i="9"/>
  <c r="N1496" i="9"/>
  <c r="O1496" i="9" s="1"/>
  <c r="M1496" i="9"/>
  <c r="K1496" i="9"/>
  <c r="T1495" i="9"/>
  <c r="S1495" i="9"/>
  <c r="P1495" i="9"/>
  <c r="N1495" i="9"/>
  <c r="O1495" i="9" s="1"/>
  <c r="M1495" i="9"/>
  <c r="K1495" i="9"/>
  <c r="U1494" i="9"/>
  <c r="V1494" i="9" s="1"/>
  <c r="T1494" i="9"/>
  <c r="S1494" i="9"/>
  <c r="P1494" i="9"/>
  <c r="O1494" i="9"/>
  <c r="N1494" i="9"/>
  <c r="M1494" i="9"/>
  <c r="K1494" i="9"/>
  <c r="V1493" i="9"/>
  <c r="T1493" i="9"/>
  <c r="U1493" i="9" s="1"/>
  <c r="S1493" i="9"/>
  <c r="P1493" i="9"/>
  <c r="N1493" i="9"/>
  <c r="O1493" i="9" s="1"/>
  <c r="M1493" i="9"/>
  <c r="K1493" i="9"/>
  <c r="T1492" i="9"/>
  <c r="S1492" i="9"/>
  <c r="P1492" i="9"/>
  <c r="N1492" i="9"/>
  <c r="O1492" i="9" s="1"/>
  <c r="M1492" i="9"/>
  <c r="K1492" i="9"/>
  <c r="T1491" i="9"/>
  <c r="S1491" i="9"/>
  <c r="P1491" i="9"/>
  <c r="N1491" i="9"/>
  <c r="O1491" i="9" s="1"/>
  <c r="M1491" i="9"/>
  <c r="K1491" i="9"/>
  <c r="T1490" i="9"/>
  <c r="U1490" i="9" s="1"/>
  <c r="V1490" i="9" s="1"/>
  <c r="S1490" i="9"/>
  <c r="P1490" i="9"/>
  <c r="N1490" i="9"/>
  <c r="O1490" i="9" s="1"/>
  <c r="M1490" i="9"/>
  <c r="K1490" i="9"/>
  <c r="T1489" i="9"/>
  <c r="U1489" i="9" s="1"/>
  <c r="V1489" i="9" s="1"/>
  <c r="S1489" i="9"/>
  <c r="P1489" i="9"/>
  <c r="N1489" i="9"/>
  <c r="O1489" i="9" s="1"/>
  <c r="M1489" i="9"/>
  <c r="K1489" i="9"/>
  <c r="S1488" i="9"/>
  <c r="L1488" i="9"/>
  <c r="K1488" i="9"/>
  <c r="S1487" i="9"/>
  <c r="L1487" i="9"/>
  <c r="K1487" i="9"/>
  <c r="S1486" i="9"/>
  <c r="L1486" i="9"/>
  <c r="P1486" i="9" s="1"/>
  <c r="K1486" i="9"/>
  <c r="S1485" i="9"/>
  <c r="L1485" i="9"/>
  <c r="P1485" i="9" s="1"/>
  <c r="K1485" i="9"/>
  <c r="T1484" i="9"/>
  <c r="S1484" i="9"/>
  <c r="L1484" i="9"/>
  <c r="P1484" i="9" s="1"/>
  <c r="K1484" i="9"/>
  <c r="S1483" i="9"/>
  <c r="P1483" i="9"/>
  <c r="L1483" i="9"/>
  <c r="K1483" i="9"/>
  <c r="T1482" i="9"/>
  <c r="S1482" i="9"/>
  <c r="N1482" i="9"/>
  <c r="O1482" i="9" s="1"/>
  <c r="L1482" i="9"/>
  <c r="P1482" i="9" s="1"/>
  <c r="K1482" i="9"/>
  <c r="U1481" i="9"/>
  <c r="V1481" i="9" s="1"/>
  <c r="T1481" i="9"/>
  <c r="S1481" i="9"/>
  <c r="P1481" i="9"/>
  <c r="O1481" i="9"/>
  <c r="N1481" i="9"/>
  <c r="M1481" i="9"/>
  <c r="K1481" i="9"/>
  <c r="S1480" i="9"/>
  <c r="L1480" i="9"/>
  <c r="K1480" i="9"/>
  <c r="S1479" i="9"/>
  <c r="L1479" i="9"/>
  <c r="K1479" i="9"/>
  <c r="S1478" i="9"/>
  <c r="L1478" i="9"/>
  <c r="K1478" i="9"/>
  <c r="T1477" i="9"/>
  <c r="S1477" i="9"/>
  <c r="N1477" i="9"/>
  <c r="O1477" i="9" s="1"/>
  <c r="L1477" i="9"/>
  <c r="M1477" i="9" s="1"/>
  <c r="K1477" i="9"/>
  <c r="S1476" i="9"/>
  <c r="M1476" i="9"/>
  <c r="L1476" i="9"/>
  <c r="P1476" i="9" s="1"/>
  <c r="K1476" i="9"/>
  <c r="T1475" i="9"/>
  <c r="S1475" i="9"/>
  <c r="N1475" i="9"/>
  <c r="O1475" i="9" s="1"/>
  <c r="L1475" i="9"/>
  <c r="M1475" i="9" s="1"/>
  <c r="K1475" i="9"/>
  <c r="S1474" i="9"/>
  <c r="P1474" i="9"/>
  <c r="L1474" i="9"/>
  <c r="K1474" i="9"/>
  <c r="T1473" i="9"/>
  <c r="U1473" i="9" s="1"/>
  <c r="S1473" i="9"/>
  <c r="N1473" i="9"/>
  <c r="O1473" i="9" s="1"/>
  <c r="L1473" i="9"/>
  <c r="M1473" i="9" s="1"/>
  <c r="K1473" i="9"/>
  <c r="S1472" i="9"/>
  <c r="L1472" i="9"/>
  <c r="K1472" i="9"/>
  <c r="S1471" i="9"/>
  <c r="N1471" i="9"/>
  <c r="O1471" i="9" s="1"/>
  <c r="L1471" i="9"/>
  <c r="K1471" i="9"/>
  <c r="S1470" i="9"/>
  <c r="L1470" i="9"/>
  <c r="K1470" i="9"/>
  <c r="T1469" i="9"/>
  <c r="S1469" i="9"/>
  <c r="P1469" i="9"/>
  <c r="N1469" i="9"/>
  <c r="O1469" i="9" s="1"/>
  <c r="M1469" i="9"/>
  <c r="K1469" i="9"/>
  <c r="U1468" i="9"/>
  <c r="V1468" i="9" s="1"/>
  <c r="T1468" i="9"/>
  <c r="S1468" i="9"/>
  <c r="P1468" i="9"/>
  <c r="N1468" i="9"/>
  <c r="O1468" i="9" s="1"/>
  <c r="M1468" i="9"/>
  <c r="K1468" i="9"/>
  <c r="T1467" i="9"/>
  <c r="S1467" i="9"/>
  <c r="P1467" i="9"/>
  <c r="N1467" i="9"/>
  <c r="O1467" i="9" s="1"/>
  <c r="M1467" i="9"/>
  <c r="K1467" i="9"/>
  <c r="T1466" i="9"/>
  <c r="S1466" i="9"/>
  <c r="P1466" i="9"/>
  <c r="N1466" i="9"/>
  <c r="O1466" i="9" s="1"/>
  <c r="M1466" i="9"/>
  <c r="K1466" i="9"/>
  <c r="T1465" i="9"/>
  <c r="S1465" i="9"/>
  <c r="P1465" i="9"/>
  <c r="N1465" i="9"/>
  <c r="O1465" i="9" s="1"/>
  <c r="M1465" i="9"/>
  <c r="K1465" i="9"/>
  <c r="S1464" i="9"/>
  <c r="L1464" i="9"/>
  <c r="M1464" i="9" s="1"/>
  <c r="K1464" i="9"/>
  <c r="S1463" i="9"/>
  <c r="L1463" i="9"/>
  <c r="P1463" i="9" s="1"/>
  <c r="K1463" i="9"/>
  <c r="S1462" i="9"/>
  <c r="P1462" i="9"/>
  <c r="M1462" i="9"/>
  <c r="L1462" i="9"/>
  <c r="K1462" i="9"/>
  <c r="T1461" i="9"/>
  <c r="S1461" i="9"/>
  <c r="P1461" i="9"/>
  <c r="N1461" i="9"/>
  <c r="O1461" i="9" s="1"/>
  <c r="M1461" i="9"/>
  <c r="K1461" i="9"/>
  <c r="U1460" i="9"/>
  <c r="V1460" i="9" s="1"/>
  <c r="T1460" i="9"/>
  <c r="S1460" i="9"/>
  <c r="P1460" i="9"/>
  <c r="N1460" i="9"/>
  <c r="O1460" i="9" s="1"/>
  <c r="M1460" i="9"/>
  <c r="K1460" i="9"/>
  <c r="U1459" i="9"/>
  <c r="T1459" i="9"/>
  <c r="V1459" i="9" s="1"/>
  <c r="S1459" i="9"/>
  <c r="P1459" i="9"/>
  <c r="N1459" i="9"/>
  <c r="O1459" i="9" s="1"/>
  <c r="M1459" i="9"/>
  <c r="K1459" i="9"/>
  <c r="S1458" i="9"/>
  <c r="L1458" i="9"/>
  <c r="K1458" i="9"/>
  <c r="T1457" i="9"/>
  <c r="S1457" i="9"/>
  <c r="P1457" i="9"/>
  <c r="N1457" i="9"/>
  <c r="O1457" i="9" s="1"/>
  <c r="M1457" i="9"/>
  <c r="K1457" i="9"/>
  <c r="U1456" i="9"/>
  <c r="V1456" i="9" s="1"/>
  <c r="T1456" i="9"/>
  <c r="S1456" i="9"/>
  <c r="P1456" i="9"/>
  <c r="N1456" i="9"/>
  <c r="O1456" i="9" s="1"/>
  <c r="M1456" i="9"/>
  <c r="K1456" i="9"/>
  <c r="T1455" i="9"/>
  <c r="U1455" i="9" s="1"/>
  <c r="V1455" i="9" s="1"/>
  <c r="S1455" i="9"/>
  <c r="P1455" i="9"/>
  <c r="N1455" i="9"/>
  <c r="O1455" i="9" s="1"/>
  <c r="M1455" i="9"/>
  <c r="K1455" i="9"/>
  <c r="T1454" i="9"/>
  <c r="S1454" i="9"/>
  <c r="L1454" i="9"/>
  <c r="P1454" i="9" s="1"/>
  <c r="K1454" i="9"/>
  <c r="S1453" i="9"/>
  <c r="L1453" i="9"/>
  <c r="T1453" i="9" s="1"/>
  <c r="U1453" i="9" s="1"/>
  <c r="K1453" i="9"/>
  <c r="T1452" i="9"/>
  <c r="S1452" i="9"/>
  <c r="P1452" i="9"/>
  <c r="N1452" i="9"/>
  <c r="O1452" i="9" s="1"/>
  <c r="M1452" i="9"/>
  <c r="K1452" i="9"/>
  <c r="T1451" i="9"/>
  <c r="S1451" i="9"/>
  <c r="P1451" i="9"/>
  <c r="N1451" i="9"/>
  <c r="O1451" i="9" s="1"/>
  <c r="M1451" i="9"/>
  <c r="K1451" i="9"/>
  <c r="T1450" i="9"/>
  <c r="U1450" i="9" s="1"/>
  <c r="V1450" i="9" s="1"/>
  <c r="S1450" i="9"/>
  <c r="P1450" i="9"/>
  <c r="N1450" i="9"/>
  <c r="O1450" i="9" s="1"/>
  <c r="M1450" i="9"/>
  <c r="K1450" i="9"/>
  <c r="T1449" i="9"/>
  <c r="U1449" i="9" s="1"/>
  <c r="S1449" i="9"/>
  <c r="P1449" i="9"/>
  <c r="N1449" i="9"/>
  <c r="O1449" i="9" s="1"/>
  <c r="M1449" i="9"/>
  <c r="K1449" i="9"/>
  <c r="T1448" i="9"/>
  <c r="S1448" i="9"/>
  <c r="L1448" i="9"/>
  <c r="P1448" i="9" s="1"/>
  <c r="K1448" i="9"/>
  <c r="T1447" i="9"/>
  <c r="U1447" i="9" s="1"/>
  <c r="V1447" i="9" s="1"/>
  <c r="S1447" i="9"/>
  <c r="P1447" i="9"/>
  <c r="O1447" i="9"/>
  <c r="N1447" i="9"/>
  <c r="M1447" i="9"/>
  <c r="K1447" i="9"/>
  <c r="S1446" i="9"/>
  <c r="L1446" i="9"/>
  <c r="K1446" i="9"/>
  <c r="S1445" i="9"/>
  <c r="L1445" i="9"/>
  <c r="K1445" i="9"/>
  <c r="S1444" i="9"/>
  <c r="L1444" i="9"/>
  <c r="K1444" i="9"/>
  <c r="T1443" i="9"/>
  <c r="S1443" i="9"/>
  <c r="P1443" i="9"/>
  <c r="N1443" i="9"/>
  <c r="O1443" i="9" s="1"/>
  <c r="M1443" i="9"/>
  <c r="K1443" i="9"/>
  <c r="T1442" i="9"/>
  <c r="U1442" i="9" s="1"/>
  <c r="V1442" i="9" s="1"/>
  <c r="S1442" i="9"/>
  <c r="P1442" i="9"/>
  <c r="N1442" i="9"/>
  <c r="O1442" i="9" s="1"/>
  <c r="M1442" i="9"/>
  <c r="K1442" i="9"/>
  <c r="S1441" i="9"/>
  <c r="P1441" i="9"/>
  <c r="L1441" i="9"/>
  <c r="K1441" i="9"/>
  <c r="T1440" i="9"/>
  <c r="S1440" i="9"/>
  <c r="P1440" i="9"/>
  <c r="N1440" i="9"/>
  <c r="O1440" i="9" s="1"/>
  <c r="M1440" i="9"/>
  <c r="K1440" i="9"/>
  <c r="T1439" i="9"/>
  <c r="U1439" i="9" s="1"/>
  <c r="V1439" i="9" s="1"/>
  <c r="S1439" i="9"/>
  <c r="P1439" i="9"/>
  <c r="N1439" i="9"/>
  <c r="O1439" i="9" s="1"/>
  <c r="M1439" i="9"/>
  <c r="K1439" i="9"/>
  <c r="T1438" i="9"/>
  <c r="U1438" i="9" s="1"/>
  <c r="V1438" i="9" s="1"/>
  <c r="S1438" i="9"/>
  <c r="P1438" i="9"/>
  <c r="N1438" i="9"/>
  <c r="O1438" i="9" s="1"/>
  <c r="M1438" i="9"/>
  <c r="K1438" i="9"/>
  <c r="S1437" i="9"/>
  <c r="L1437" i="9"/>
  <c r="K1437" i="9"/>
  <c r="U1436" i="9"/>
  <c r="V1436" i="9" s="1"/>
  <c r="T1436" i="9"/>
  <c r="S1436" i="9"/>
  <c r="P1436" i="9"/>
  <c r="N1436" i="9"/>
  <c r="O1436" i="9" s="1"/>
  <c r="M1436" i="9"/>
  <c r="K1436" i="9"/>
  <c r="T1435" i="9"/>
  <c r="U1435" i="9" s="1"/>
  <c r="V1435" i="9" s="1"/>
  <c r="S1435" i="9"/>
  <c r="P1435" i="9"/>
  <c r="N1435" i="9"/>
  <c r="O1435" i="9" s="1"/>
  <c r="M1435" i="9"/>
  <c r="K1435" i="9"/>
  <c r="T1434" i="9"/>
  <c r="S1434" i="9"/>
  <c r="P1434" i="9"/>
  <c r="N1434" i="9"/>
  <c r="O1434" i="9" s="1"/>
  <c r="M1434" i="9"/>
  <c r="K1434" i="9"/>
  <c r="T1433" i="9"/>
  <c r="S1433" i="9"/>
  <c r="P1433" i="9"/>
  <c r="N1433" i="9"/>
  <c r="O1433" i="9" s="1"/>
  <c r="M1433" i="9"/>
  <c r="K1433" i="9"/>
  <c r="T1432" i="9"/>
  <c r="U1432" i="9" s="1"/>
  <c r="V1432" i="9" s="1"/>
  <c r="S1432" i="9"/>
  <c r="P1432" i="9"/>
  <c r="N1432" i="9"/>
  <c r="O1432" i="9" s="1"/>
  <c r="M1432" i="9"/>
  <c r="K1432" i="9"/>
  <c r="T1431" i="9"/>
  <c r="U1431" i="9" s="1"/>
  <c r="V1431" i="9" s="1"/>
  <c r="S1431" i="9"/>
  <c r="P1431" i="9"/>
  <c r="N1431" i="9"/>
  <c r="O1431" i="9" s="1"/>
  <c r="M1431" i="9"/>
  <c r="K1431" i="9"/>
  <c r="T1430" i="9"/>
  <c r="S1430" i="9"/>
  <c r="P1430" i="9"/>
  <c r="N1430" i="9"/>
  <c r="O1430" i="9" s="1"/>
  <c r="M1430" i="9"/>
  <c r="K1430" i="9"/>
  <c r="S1429" i="9"/>
  <c r="N1429" i="9"/>
  <c r="O1429" i="9" s="1"/>
  <c r="L1429" i="9"/>
  <c r="K1429" i="9"/>
  <c r="T1428" i="9"/>
  <c r="U1428" i="9" s="1"/>
  <c r="V1428" i="9" s="1"/>
  <c r="S1428" i="9"/>
  <c r="P1428" i="9"/>
  <c r="N1428" i="9"/>
  <c r="O1428" i="9" s="1"/>
  <c r="M1428" i="9"/>
  <c r="K1428" i="9"/>
  <c r="S1427" i="9"/>
  <c r="L1427" i="9"/>
  <c r="K1427" i="9"/>
  <c r="U1426" i="9"/>
  <c r="V1426" i="9" s="1"/>
  <c r="T1426" i="9"/>
  <c r="S1426" i="9"/>
  <c r="P1426" i="9"/>
  <c r="O1426" i="9"/>
  <c r="N1426" i="9"/>
  <c r="M1426" i="9"/>
  <c r="K1426" i="9"/>
  <c r="T1425" i="9"/>
  <c r="U1425" i="9" s="1"/>
  <c r="S1425" i="9"/>
  <c r="P1425" i="9"/>
  <c r="N1425" i="9"/>
  <c r="O1425" i="9" s="1"/>
  <c r="M1425" i="9"/>
  <c r="K1425" i="9"/>
  <c r="T1424" i="9"/>
  <c r="S1424" i="9"/>
  <c r="P1424" i="9"/>
  <c r="N1424" i="9"/>
  <c r="O1424" i="9" s="1"/>
  <c r="M1424" i="9"/>
  <c r="K1424" i="9"/>
  <c r="T1423" i="9"/>
  <c r="S1423" i="9"/>
  <c r="P1423" i="9"/>
  <c r="N1423" i="9"/>
  <c r="O1423" i="9" s="1"/>
  <c r="M1423" i="9"/>
  <c r="K1423" i="9"/>
  <c r="T1422" i="9"/>
  <c r="U1422" i="9" s="1"/>
  <c r="V1422" i="9" s="1"/>
  <c r="S1422" i="9"/>
  <c r="P1422" i="9"/>
  <c r="N1422" i="9"/>
  <c r="O1422" i="9" s="1"/>
  <c r="M1422" i="9"/>
  <c r="K1422" i="9"/>
  <c r="T1421" i="9"/>
  <c r="U1421" i="9" s="1"/>
  <c r="V1421" i="9" s="1"/>
  <c r="S1421" i="9"/>
  <c r="P1421" i="9"/>
  <c r="N1421" i="9"/>
  <c r="O1421" i="9" s="1"/>
  <c r="M1421" i="9"/>
  <c r="K1421" i="9"/>
  <c r="T1420" i="9"/>
  <c r="S1420" i="9"/>
  <c r="P1420" i="9"/>
  <c r="N1420" i="9"/>
  <c r="O1420" i="9" s="1"/>
  <c r="M1420" i="9"/>
  <c r="K1420" i="9"/>
  <c r="T1419" i="9"/>
  <c r="S1419" i="9"/>
  <c r="P1419" i="9"/>
  <c r="N1419" i="9"/>
  <c r="O1419" i="9" s="1"/>
  <c r="M1419" i="9"/>
  <c r="K1419" i="9"/>
  <c r="T1418" i="9"/>
  <c r="U1418" i="9" s="1"/>
  <c r="V1418" i="9" s="1"/>
  <c r="S1418" i="9"/>
  <c r="P1418" i="9"/>
  <c r="O1418" i="9"/>
  <c r="N1418" i="9"/>
  <c r="M1418" i="9"/>
  <c r="K1418" i="9"/>
  <c r="T1417" i="9"/>
  <c r="U1417" i="9" s="1"/>
  <c r="V1417" i="9" s="1"/>
  <c r="S1417" i="9"/>
  <c r="P1417" i="9"/>
  <c r="N1417" i="9"/>
  <c r="O1417" i="9" s="1"/>
  <c r="M1417" i="9"/>
  <c r="K1417" i="9"/>
  <c r="T1416" i="9"/>
  <c r="S1416" i="9"/>
  <c r="N1416" i="9"/>
  <c r="O1416" i="9" s="1"/>
  <c r="M1416" i="9"/>
  <c r="L1416" i="9"/>
  <c r="P1416" i="9" s="1"/>
  <c r="K1416" i="9"/>
  <c r="S1415" i="9"/>
  <c r="L1415" i="9"/>
  <c r="T1415" i="9" s="1"/>
  <c r="U1415" i="9" s="1"/>
  <c r="K1415" i="9"/>
  <c r="S1414" i="9"/>
  <c r="L1414" i="9"/>
  <c r="K1414" i="9"/>
  <c r="U1413" i="9"/>
  <c r="S1413" i="9"/>
  <c r="L1413" i="9"/>
  <c r="T1413" i="9" s="1"/>
  <c r="K1413" i="9"/>
  <c r="S1412" i="9"/>
  <c r="L1412" i="9"/>
  <c r="K1412" i="9"/>
  <c r="S1411" i="9"/>
  <c r="L1411" i="9"/>
  <c r="T1411" i="9" s="1"/>
  <c r="K1411" i="9"/>
  <c r="T1410" i="9"/>
  <c r="S1410" i="9"/>
  <c r="P1410" i="9"/>
  <c r="N1410" i="9"/>
  <c r="O1410" i="9" s="1"/>
  <c r="M1410" i="9"/>
  <c r="K1410" i="9"/>
  <c r="T1409" i="9"/>
  <c r="S1409" i="9"/>
  <c r="P1409" i="9"/>
  <c r="N1409" i="9"/>
  <c r="O1409" i="9" s="1"/>
  <c r="M1409" i="9"/>
  <c r="K1409" i="9"/>
  <c r="U1408" i="9"/>
  <c r="V1408" i="9" s="1"/>
  <c r="T1408" i="9"/>
  <c r="S1408" i="9"/>
  <c r="P1408" i="9"/>
  <c r="O1408" i="9"/>
  <c r="N1408" i="9"/>
  <c r="M1408" i="9"/>
  <c r="K1408" i="9"/>
  <c r="S1407" i="9"/>
  <c r="P1407" i="9"/>
  <c r="L1407" i="9"/>
  <c r="K1407" i="9"/>
  <c r="T1406" i="9"/>
  <c r="S1406" i="9"/>
  <c r="N1406" i="9"/>
  <c r="O1406" i="9" s="1"/>
  <c r="L1406" i="9"/>
  <c r="M1406" i="9" s="1"/>
  <c r="K1406" i="9"/>
  <c r="S1405" i="9"/>
  <c r="L1405" i="9"/>
  <c r="K1405" i="9"/>
  <c r="T1404" i="9"/>
  <c r="S1404" i="9"/>
  <c r="N1404" i="9"/>
  <c r="O1404" i="9" s="1"/>
  <c r="L1404" i="9"/>
  <c r="M1404" i="9" s="1"/>
  <c r="K1404" i="9"/>
  <c r="S1403" i="9"/>
  <c r="P1403" i="9"/>
  <c r="L1403" i="9"/>
  <c r="K1403" i="9"/>
  <c r="T1402" i="9"/>
  <c r="S1402" i="9"/>
  <c r="P1402" i="9"/>
  <c r="N1402" i="9"/>
  <c r="O1402" i="9" s="1"/>
  <c r="M1402" i="9"/>
  <c r="K1402" i="9"/>
  <c r="S1401" i="9"/>
  <c r="L1401" i="9"/>
  <c r="T1401" i="9" s="1"/>
  <c r="K1401" i="9"/>
  <c r="S1400" i="9"/>
  <c r="L1400" i="9"/>
  <c r="P1400" i="9" s="1"/>
  <c r="K1400" i="9"/>
  <c r="S1399" i="9"/>
  <c r="L1399" i="9"/>
  <c r="T1399" i="9" s="1"/>
  <c r="U1399" i="9" s="1"/>
  <c r="K1399" i="9"/>
  <c r="T1398" i="9"/>
  <c r="S1398" i="9"/>
  <c r="L1398" i="9"/>
  <c r="P1398" i="9" s="1"/>
  <c r="K1398" i="9"/>
  <c r="T1397" i="9"/>
  <c r="U1397" i="9" s="1"/>
  <c r="V1397" i="9" s="1"/>
  <c r="S1397" i="9"/>
  <c r="P1397" i="9"/>
  <c r="O1397" i="9"/>
  <c r="N1397" i="9"/>
  <c r="M1397" i="9"/>
  <c r="K1397" i="9"/>
  <c r="T1396" i="9"/>
  <c r="U1396" i="9" s="1"/>
  <c r="V1396" i="9" s="1"/>
  <c r="S1396" i="9"/>
  <c r="P1396" i="9"/>
  <c r="N1396" i="9"/>
  <c r="O1396" i="9" s="1"/>
  <c r="M1396" i="9"/>
  <c r="K1396" i="9"/>
  <c r="T1395" i="9"/>
  <c r="S1395" i="9"/>
  <c r="P1395" i="9"/>
  <c r="N1395" i="9"/>
  <c r="O1395" i="9" s="1"/>
  <c r="M1395" i="9"/>
  <c r="K1395" i="9"/>
  <c r="T1394" i="9"/>
  <c r="S1394" i="9"/>
  <c r="P1394" i="9"/>
  <c r="N1394" i="9"/>
  <c r="O1394" i="9" s="1"/>
  <c r="M1394" i="9"/>
  <c r="K1394" i="9"/>
  <c r="U1393" i="9"/>
  <c r="V1393" i="9" s="1"/>
  <c r="T1393" i="9"/>
  <c r="S1393" i="9"/>
  <c r="P1393" i="9"/>
  <c r="O1393" i="9"/>
  <c r="N1393" i="9"/>
  <c r="M1393" i="9"/>
  <c r="K1393" i="9"/>
  <c r="T1392" i="9"/>
  <c r="U1392" i="9" s="1"/>
  <c r="V1392" i="9" s="1"/>
  <c r="S1392" i="9"/>
  <c r="P1392" i="9"/>
  <c r="N1392" i="9"/>
  <c r="O1392" i="9" s="1"/>
  <c r="M1392" i="9"/>
  <c r="K1392" i="9"/>
  <c r="T1391" i="9"/>
  <c r="S1391" i="9"/>
  <c r="P1391" i="9"/>
  <c r="N1391" i="9"/>
  <c r="O1391" i="9" s="1"/>
  <c r="M1391" i="9"/>
  <c r="K1391" i="9"/>
  <c r="S1390" i="9"/>
  <c r="L1390" i="9"/>
  <c r="K1390" i="9"/>
  <c r="V1389" i="9"/>
  <c r="T1389" i="9"/>
  <c r="U1389" i="9" s="1"/>
  <c r="S1389" i="9"/>
  <c r="P1389" i="9"/>
  <c r="N1389" i="9"/>
  <c r="O1389" i="9" s="1"/>
  <c r="M1389" i="9"/>
  <c r="K1389" i="9"/>
  <c r="T1388" i="9"/>
  <c r="S1388" i="9"/>
  <c r="P1388" i="9"/>
  <c r="N1388" i="9"/>
  <c r="O1388" i="9" s="1"/>
  <c r="M1388" i="9"/>
  <c r="K1388" i="9"/>
  <c r="T1387" i="9"/>
  <c r="S1387" i="9"/>
  <c r="P1387" i="9"/>
  <c r="N1387" i="9"/>
  <c r="O1387" i="9" s="1"/>
  <c r="M1387" i="9"/>
  <c r="K1387" i="9"/>
  <c r="S1386" i="9"/>
  <c r="L1386" i="9"/>
  <c r="T1386" i="9" s="1"/>
  <c r="U1386" i="9" s="1"/>
  <c r="K1386" i="9"/>
  <c r="T1385" i="9"/>
  <c r="S1385" i="9"/>
  <c r="P1385" i="9"/>
  <c r="N1385" i="9"/>
  <c r="O1385" i="9" s="1"/>
  <c r="M1385" i="9"/>
  <c r="K1385" i="9"/>
  <c r="T1384" i="9"/>
  <c r="S1384" i="9"/>
  <c r="N1384" i="9"/>
  <c r="O1384" i="9" s="1"/>
  <c r="L1384" i="9"/>
  <c r="M1384" i="9" s="1"/>
  <c r="K1384" i="9"/>
  <c r="S1383" i="9"/>
  <c r="L1383" i="9"/>
  <c r="K1383" i="9"/>
  <c r="T1382" i="9"/>
  <c r="S1382" i="9"/>
  <c r="N1382" i="9"/>
  <c r="O1382" i="9" s="1"/>
  <c r="L1382" i="9"/>
  <c r="M1382" i="9" s="1"/>
  <c r="K1382" i="9"/>
  <c r="T1381" i="9"/>
  <c r="U1381" i="9" s="1"/>
  <c r="V1381" i="9" s="1"/>
  <c r="S1381" i="9"/>
  <c r="P1381" i="9"/>
  <c r="N1381" i="9"/>
  <c r="O1381" i="9" s="1"/>
  <c r="M1381" i="9"/>
  <c r="K1381" i="9"/>
  <c r="T1380" i="9"/>
  <c r="S1380" i="9"/>
  <c r="P1380" i="9"/>
  <c r="N1380" i="9"/>
  <c r="O1380" i="9" s="1"/>
  <c r="M1380" i="9"/>
  <c r="K1380" i="9"/>
  <c r="T1379" i="9"/>
  <c r="S1379" i="9"/>
  <c r="P1379" i="9"/>
  <c r="N1379" i="9"/>
  <c r="O1379" i="9" s="1"/>
  <c r="M1379" i="9"/>
  <c r="K1379" i="9"/>
  <c r="T1378" i="9"/>
  <c r="U1378" i="9" s="1"/>
  <c r="V1378" i="9" s="1"/>
  <c r="S1378" i="9"/>
  <c r="P1378" i="9"/>
  <c r="O1378" i="9"/>
  <c r="N1378" i="9"/>
  <c r="M1378" i="9"/>
  <c r="K1378" i="9"/>
  <c r="T1377" i="9"/>
  <c r="U1377" i="9" s="1"/>
  <c r="S1377" i="9"/>
  <c r="P1377" i="9"/>
  <c r="N1377" i="9"/>
  <c r="O1377" i="9" s="1"/>
  <c r="M1377" i="9"/>
  <c r="K1377" i="9"/>
  <c r="T1376" i="9"/>
  <c r="S1376" i="9"/>
  <c r="P1376" i="9"/>
  <c r="N1376" i="9"/>
  <c r="O1376" i="9" s="1"/>
  <c r="M1376" i="9"/>
  <c r="K1376" i="9"/>
  <c r="S1375" i="9"/>
  <c r="N1375" i="9"/>
  <c r="O1375" i="9" s="1"/>
  <c r="L1375" i="9"/>
  <c r="K1375" i="9"/>
  <c r="T1374" i="9"/>
  <c r="U1374" i="9" s="1"/>
  <c r="V1374" i="9" s="1"/>
  <c r="S1374" i="9"/>
  <c r="P1374" i="9"/>
  <c r="N1374" i="9"/>
  <c r="O1374" i="9" s="1"/>
  <c r="M1374" i="9"/>
  <c r="K1374" i="9"/>
  <c r="T1373" i="9"/>
  <c r="S1373" i="9"/>
  <c r="P1373" i="9"/>
  <c r="N1373" i="9"/>
  <c r="O1373" i="9" s="1"/>
  <c r="M1373" i="9"/>
  <c r="K1373" i="9"/>
  <c r="T1372" i="9"/>
  <c r="S1372" i="9"/>
  <c r="P1372" i="9"/>
  <c r="N1372" i="9"/>
  <c r="O1372" i="9" s="1"/>
  <c r="M1372" i="9"/>
  <c r="K1372" i="9"/>
  <c r="T1371" i="9"/>
  <c r="U1371" i="9" s="1"/>
  <c r="V1371" i="9" s="1"/>
  <c r="S1371" i="9"/>
  <c r="P1371" i="9"/>
  <c r="O1371" i="9"/>
  <c r="N1371" i="9"/>
  <c r="M1371" i="9"/>
  <c r="K1371" i="9"/>
  <c r="S1370" i="9"/>
  <c r="L1370" i="9"/>
  <c r="K1370" i="9"/>
  <c r="T1369" i="9"/>
  <c r="S1369" i="9"/>
  <c r="P1369" i="9"/>
  <c r="N1369" i="9"/>
  <c r="O1369" i="9" s="1"/>
  <c r="M1369" i="9"/>
  <c r="K1369" i="9"/>
  <c r="U1368" i="9"/>
  <c r="V1368" i="9" s="1"/>
  <c r="T1368" i="9"/>
  <c r="S1368" i="9"/>
  <c r="P1368" i="9"/>
  <c r="N1368" i="9"/>
  <c r="O1368" i="9" s="1"/>
  <c r="M1368" i="9"/>
  <c r="K1368" i="9"/>
  <c r="S1367" i="9"/>
  <c r="L1367" i="9"/>
  <c r="K1367" i="9"/>
  <c r="T1366" i="9"/>
  <c r="S1366" i="9"/>
  <c r="P1366" i="9"/>
  <c r="N1366" i="9"/>
  <c r="O1366" i="9" s="1"/>
  <c r="M1366" i="9"/>
  <c r="K1366" i="9"/>
  <c r="T1365" i="9"/>
  <c r="U1365" i="9" s="1"/>
  <c r="V1365" i="9" s="1"/>
  <c r="S1365" i="9"/>
  <c r="P1365" i="9"/>
  <c r="N1365" i="9"/>
  <c r="O1365" i="9" s="1"/>
  <c r="M1365" i="9"/>
  <c r="K1365" i="9"/>
  <c r="T1364" i="9"/>
  <c r="U1364" i="9" s="1"/>
  <c r="V1364" i="9" s="1"/>
  <c r="S1364" i="9"/>
  <c r="P1364" i="9"/>
  <c r="N1364" i="9"/>
  <c r="O1364" i="9" s="1"/>
  <c r="M1364" i="9"/>
  <c r="K1364" i="9"/>
  <c r="T1363" i="9"/>
  <c r="S1363" i="9"/>
  <c r="P1363" i="9"/>
  <c r="N1363" i="9"/>
  <c r="O1363" i="9" s="1"/>
  <c r="M1363" i="9"/>
  <c r="K1363" i="9"/>
  <c r="T1362" i="9"/>
  <c r="S1362" i="9"/>
  <c r="P1362" i="9"/>
  <c r="N1362" i="9"/>
  <c r="O1362" i="9" s="1"/>
  <c r="M1362" i="9"/>
  <c r="K1362" i="9"/>
  <c r="T1361" i="9"/>
  <c r="U1361" i="9" s="1"/>
  <c r="V1361" i="9" s="1"/>
  <c r="S1361" i="9"/>
  <c r="P1361" i="9"/>
  <c r="N1361" i="9"/>
  <c r="O1361" i="9" s="1"/>
  <c r="M1361" i="9"/>
  <c r="K1361" i="9"/>
  <c r="T1360" i="9"/>
  <c r="U1360" i="9" s="1"/>
  <c r="V1360" i="9" s="1"/>
  <c r="S1360" i="9"/>
  <c r="P1360" i="9"/>
  <c r="N1360" i="9"/>
  <c r="O1360" i="9" s="1"/>
  <c r="M1360" i="9"/>
  <c r="K1360" i="9"/>
  <c r="T1359" i="9"/>
  <c r="S1359" i="9"/>
  <c r="P1359" i="9"/>
  <c r="N1359" i="9"/>
  <c r="O1359" i="9" s="1"/>
  <c r="M1359" i="9"/>
  <c r="K1359" i="9"/>
  <c r="T1358" i="9"/>
  <c r="S1358" i="9"/>
  <c r="P1358" i="9"/>
  <c r="N1358" i="9"/>
  <c r="O1358" i="9" s="1"/>
  <c r="M1358" i="9"/>
  <c r="K1358" i="9"/>
  <c r="T1357" i="9"/>
  <c r="U1357" i="9" s="1"/>
  <c r="V1357" i="9" s="1"/>
  <c r="S1357" i="9"/>
  <c r="P1357" i="9"/>
  <c r="N1357" i="9"/>
  <c r="O1357" i="9" s="1"/>
  <c r="M1357" i="9"/>
  <c r="K1357" i="9"/>
  <c r="T1356" i="9"/>
  <c r="U1356" i="9" s="1"/>
  <c r="V1356" i="9" s="1"/>
  <c r="S1356" i="9"/>
  <c r="P1356" i="9"/>
  <c r="N1356" i="9"/>
  <c r="O1356" i="9" s="1"/>
  <c r="M1356" i="9"/>
  <c r="K1356" i="9"/>
  <c r="T1355" i="9"/>
  <c r="S1355" i="9"/>
  <c r="P1355" i="9"/>
  <c r="N1355" i="9"/>
  <c r="O1355" i="9" s="1"/>
  <c r="M1355" i="9"/>
  <c r="K1355" i="9"/>
  <c r="T1354" i="9"/>
  <c r="S1354" i="9"/>
  <c r="P1354" i="9"/>
  <c r="N1354" i="9"/>
  <c r="O1354" i="9" s="1"/>
  <c r="M1354" i="9"/>
  <c r="K1354" i="9"/>
  <c r="U1353" i="9"/>
  <c r="V1353" i="9" s="1"/>
  <c r="T1353" i="9"/>
  <c r="S1353" i="9"/>
  <c r="P1353" i="9"/>
  <c r="N1353" i="9"/>
  <c r="O1353" i="9" s="1"/>
  <c r="M1353" i="9"/>
  <c r="K1353" i="9"/>
  <c r="T1352" i="9"/>
  <c r="U1352" i="9" s="1"/>
  <c r="S1352" i="9"/>
  <c r="P1352" i="9"/>
  <c r="N1352" i="9"/>
  <c r="O1352" i="9" s="1"/>
  <c r="M1352" i="9"/>
  <c r="K1352" i="9"/>
  <c r="T1351" i="9"/>
  <c r="S1351" i="9"/>
  <c r="L1351" i="9"/>
  <c r="P1351" i="9" s="1"/>
  <c r="K1351" i="9"/>
  <c r="T1350" i="9"/>
  <c r="U1350" i="9" s="1"/>
  <c r="V1350" i="9" s="1"/>
  <c r="S1350" i="9"/>
  <c r="P1350" i="9"/>
  <c r="O1350" i="9"/>
  <c r="N1350" i="9"/>
  <c r="M1350" i="9"/>
  <c r="K1350" i="9"/>
  <c r="S1349" i="9"/>
  <c r="P1349" i="9"/>
  <c r="M1349" i="9"/>
  <c r="L1349" i="9"/>
  <c r="K1349" i="9"/>
  <c r="T1348" i="9"/>
  <c r="S1348" i="9"/>
  <c r="P1348" i="9"/>
  <c r="N1348" i="9"/>
  <c r="O1348" i="9" s="1"/>
  <c r="M1348" i="9"/>
  <c r="K1348" i="9"/>
  <c r="S1347" i="9"/>
  <c r="L1347" i="9"/>
  <c r="K1347" i="9"/>
  <c r="S1346" i="9"/>
  <c r="L1346" i="9"/>
  <c r="K1346" i="9"/>
  <c r="T1345" i="9"/>
  <c r="U1345" i="9" s="1"/>
  <c r="S1345" i="9"/>
  <c r="P1345" i="9"/>
  <c r="N1345" i="9"/>
  <c r="O1345" i="9" s="1"/>
  <c r="M1345" i="9"/>
  <c r="K1345" i="9"/>
  <c r="S1344" i="9"/>
  <c r="L1344" i="9"/>
  <c r="P1344" i="9" s="1"/>
  <c r="K1344" i="9"/>
  <c r="T1343" i="9"/>
  <c r="S1343" i="9"/>
  <c r="L1343" i="9"/>
  <c r="M1343" i="9" s="1"/>
  <c r="K1343" i="9"/>
  <c r="S1342" i="9"/>
  <c r="L1342" i="9"/>
  <c r="P1342" i="9" s="1"/>
  <c r="K1342" i="9"/>
  <c r="U1341" i="9"/>
  <c r="T1341" i="9"/>
  <c r="S1341" i="9"/>
  <c r="P1341" i="9"/>
  <c r="N1341" i="9"/>
  <c r="O1341" i="9" s="1"/>
  <c r="M1341" i="9"/>
  <c r="K1341" i="9"/>
  <c r="T1340" i="9"/>
  <c r="S1340" i="9"/>
  <c r="P1340" i="9"/>
  <c r="O1340" i="9"/>
  <c r="N1340" i="9"/>
  <c r="M1340" i="9"/>
  <c r="K1340" i="9"/>
  <c r="T1339" i="9"/>
  <c r="U1339" i="9" s="1"/>
  <c r="V1339" i="9" s="1"/>
  <c r="S1339" i="9"/>
  <c r="P1339" i="9"/>
  <c r="N1339" i="9"/>
  <c r="O1339" i="9" s="1"/>
  <c r="M1339" i="9"/>
  <c r="K1339" i="9"/>
  <c r="S1338" i="9"/>
  <c r="L1338" i="9"/>
  <c r="K1338" i="9"/>
  <c r="S1337" i="9"/>
  <c r="L1337" i="9"/>
  <c r="K1337" i="9"/>
  <c r="T1336" i="9"/>
  <c r="S1336" i="9"/>
  <c r="P1336" i="9"/>
  <c r="N1336" i="9"/>
  <c r="O1336" i="9" s="1"/>
  <c r="M1336" i="9"/>
  <c r="K1336" i="9"/>
  <c r="T1335" i="9"/>
  <c r="S1335" i="9"/>
  <c r="P1335" i="9"/>
  <c r="N1335" i="9"/>
  <c r="O1335" i="9" s="1"/>
  <c r="M1335" i="9"/>
  <c r="K1335" i="9"/>
  <c r="T1334" i="9"/>
  <c r="U1334" i="9" s="1"/>
  <c r="V1334" i="9" s="1"/>
  <c r="S1334" i="9"/>
  <c r="P1334" i="9"/>
  <c r="O1334" i="9"/>
  <c r="N1334" i="9"/>
  <c r="M1334" i="9"/>
  <c r="K1334" i="9"/>
  <c r="T1333" i="9"/>
  <c r="U1333" i="9" s="1"/>
  <c r="S1333" i="9"/>
  <c r="P1333" i="9"/>
  <c r="N1333" i="9"/>
  <c r="O1333" i="9" s="1"/>
  <c r="M1333" i="9"/>
  <c r="K1333" i="9"/>
  <c r="S1332" i="9"/>
  <c r="L1332" i="9"/>
  <c r="K1332" i="9"/>
  <c r="U1331" i="9"/>
  <c r="V1331" i="9" s="1"/>
  <c r="T1331" i="9"/>
  <c r="S1331" i="9"/>
  <c r="P1331" i="9"/>
  <c r="N1331" i="9"/>
  <c r="O1331" i="9" s="1"/>
  <c r="M1331" i="9"/>
  <c r="K1331" i="9"/>
  <c r="T1330" i="9"/>
  <c r="U1330" i="9" s="1"/>
  <c r="V1330" i="9" s="1"/>
  <c r="S1330" i="9"/>
  <c r="P1330" i="9"/>
  <c r="N1330" i="9"/>
  <c r="O1330" i="9" s="1"/>
  <c r="M1330" i="9"/>
  <c r="K1330" i="9"/>
  <c r="T1329" i="9"/>
  <c r="S1329" i="9"/>
  <c r="P1329" i="9"/>
  <c r="N1329" i="9"/>
  <c r="O1329" i="9" s="1"/>
  <c r="M1329" i="9"/>
  <c r="K1329" i="9"/>
  <c r="T1328" i="9"/>
  <c r="S1328" i="9"/>
  <c r="P1328" i="9"/>
  <c r="N1328" i="9"/>
  <c r="O1328" i="9" s="1"/>
  <c r="M1328" i="9"/>
  <c r="K1328" i="9"/>
  <c r="U1327" i="9"/>
  <c r="V1327" i="9" s="1"/>
  <c r="T1327" i="9"/>
  <c r="S1327" i="9"/>
  <c r="P1327" i="9"/>
  <c r="O1327" i="9"/>
  <c r="N1327" i="9"/>
  <c r="M1327" i="9"/>
  <c r="K1327" i="9"/>
  <c r="V1326" i="9"/>
  <c r="T1326" i="9"/>
  <c r="U1326" i="9" s="1"/>
  <c r="S1326" i="9"/>
  <c r="P1326" i="9"/>
  <c r="N1326" i="9"/>
  <c r="O1326" i="9" s="1"/>
  <c r="M1326" i="9"/>
  <c r="K1326" i="9"/>
  <c r="T1325" i="9"/>
  <c r="S1325" i="9"/>
  <c r="P1325" i="9"/>
  <c r="N1325" i="9"/>
  <c r="O1325" i="9" s="1"/>
  <c r="M1325" i="9"/>
  <c r="K1325" i="9"/>
  <c r="T1324" i="9"/>
  <c r="S1324" i="9"/>
  <c r="P1324" i="9"/>
  <c r="N1324" i="9"/>
  <c r="O1324" i="9" s="1"/>
  <c r="M1324" i="9"/>
  <c r="K1324" i="9"/>
  <c r="S1323" i="9"/>
  <c r="P1323" i="9"/>
  <c r="L1323" i="9"/>
  <c r="K1323" i="9"/>
  <c r="T1322" i="9"/>
  <c r="S1322" i="9"/>
  <c r="P1322" i="9"/>
  <c r="N1322" i="9"/>
  <c r="O1322" i="9" s="1"/>
  <c r="M1322" i="9"/>
  <c r="K1322" i="9"/>
  <c r="S1321" i="9"/>
  <c r="L1321" i="9"/>
  <c r="K1321" i="9"/>
  <c r="T1320" i="9"/>
  <c r="U1320" i="9" s="1"/>
  <c r="V1320" i="9" s="1"/>
  <c r="S1320" i="9"/>
  <c r="P1320" i="9"/>
  <c r="N1320" i="9"/>
  <c r="O1320" i="9" s="1"/>
  <c r="M1320" i="9"/>
  <c r="K1320" i="9"/>
  <c r="T1319" i="9"/>
  <c r="S1319" i="9"/>
  <c r="P1319" i="9"/>
  <c r="N1319" i="9"/>
  <c r="O1319" i="9" s="1"/>
  <c r="M1319" i="9"/>
  <c r="K1319" i="9"/>
  <c r="T1318" i="9"/>
  <c r="S1318" i="9"/>
  <c r="P1318" i="9"/>
  <c r="N1318" i="9"/>
  <c r="O1318" i="9" s="1"/>
  <c r="M1318" i="9"/>
  <c r="K1318" i="9"/>
  <c r="S1317" i="9"/>
  <c r="L1317" i="9"/>
  <c r="K1317" i="9"/>
  <c r="T1316" i="9"/>
  <c r="S1316" i="9"/>
  <c r="P1316" i="9"/>
  <c r="N1316" i="9"/>
  <c r="O1316" i="9" s="1"/>
  <c r="M1316" i="9"/>
  <c r="K1316" i="9"/>
  <c r="S1315" i="9"/>
  <c r="L1315" i="9"/>
  <c r="M1315" i="9" s="1"/>
  <c r="K1315" i="9"/>
  <c r="T1314" i="9"/>
  <c r="U1314" i="9" s="1"/>
  <c r="V1314" i="9" s="1"/>
  <c r="S1314" i="9"/>
  <c r="P1314" i="9"/>
  <c r="N1314" i="9"/>
  <c r="O1314" i="9" s="1"/>
  <c r="M1314" i="9"/>
  <c r="K1314" i="9"/>
  <c r="T1313" i="9"/>
  <c r="S1313" i="9"/>
  <c r="P1313" i="9"/>
  <c r="N1313" i="9"/>
  <c r="O1313" i="9" s="1"/>
  <c r="M1313" i="9"/>
  <c r="K1313" i="9"/>
  <c r="T1312" i="9"/>
  <c r="S1312" i="9"/>
  <c r="P1312" i="9"/>
  <c r="N1312" i="9"/>
  <c r="O1312" i="9" s="1"/>
  <c r="M1312" i="9"/>
  <c r="K1312" i="9"/>
  <c r="U1311" i="9"/>
  <c r="V1311" i="9" s="1"/>
  <c r="T1311" i="9"/>
  <c r="S1311" i="9"/>
  <c r="P1311" i="9"/>
  <c r="O1311" i="9"/>
  <c r="N1311" i="9"/>
  <c r="M1311" i="9"/>
  <c r="K1311" i="9"/>
  <c r="T1310" i="9"/>
  <c r="U1310" i="9" s="1"/>
  <c r="S1310" i="9"/>
  <c r="P1310" i="9"/>
  <c r="N1310" i="9"/>
  <c r="O1310" i="9" s="1"/>
  <c r="M1310" i="9"/>
  <c r="K1310" i="9"/>
  <c r="T1309" i="9"/>
  <c r="S1309" i="9"/>
  <c r="P1309" i="9"/>
  <c r="N1309" i="9"/>
  <c r="O1309" i="9" s="1"/>
  <c r="M1309" i="9"/>
  <c r="K1309" i="9"/>
  <c r="T1308" i="9"/>
  <c r="S1308" i="9"/>
  <c r="P1308" i="9"/>
  <c r="N1308" i="9"/>
  <c r="O1308" i="9" s="1"/>
  <c r="M1308" i="9"/>
  <c r="K1308" i="9"/>
  <c r="S1307" i="9"/>
  <c r="P1307" i="9"/>
  <c r="L1307" i="9"/>
  <c r="K1307" i="9"/>
  <c r="T1306" i="9"/>
  <c r="S1306" i="9"/>
  <c r="N1306" i="9"/>
  <c r="O1306" i="9" s="1"/>
  <c r="M1306" i="9"/>
  <c r="L1306" i="9"/>
  <c r="P1306" i="9" s="1"/>
  <c r="K1306" i="9"/>
  <c r="S1305" i="9"/>
  <c r="L1305" i="9"/>
  <c r="K1305" i="9"/>
  <c r="S1304" i="9"/>
  <c r="L1304" i="9"/>
  <c r="K1304" i="9"/>
  <c r="U1303" i="9"/>
  <c r="V1303" i="9" s="1"/>
  <c r="T1303" i="9"/>
  <c r="S1303" i="9"/>
  <c r="P1303" i="9"/>
  <c r="N1303" i="9"/>
  <c r="O1303" i="9" s="1"/>
  <c r="M1303" i="9"/>
  <c r="K1303" i="9"/>
  <c r="S1302" i="9"/>
  <c r="L1302" i="9"/>
  <c r="K1302" i="9"/>
  <c r="T1301" i="9"/>
  <c r="S1301" i="9"/>
  <c r="P1301" i="9"/>
  <c r="N1301" i="9"/>
  <c r="O1301" i="9" s="1"/>
  <c r="M1301" i="9"/>
  <c r="K1301" i="9"/>
  <c r="S1300" i="9"/>
  <c r="L1300" i="9"/>
  <c r="K1300" i="9"/>
  <c r="S1299" i="9"/>
  <c r="L1299" i="9"/>
  <c r="K1299" i="9"/>
  <c r="S1298" i="9"/>
  <c r="L1298" i="9"/>
  <c r="K1298" i="9"/>
  <c r="S1297" i="9"/>
  <c r="L1297" i="9"/>
  <c r="K1297" i="9"/>
  <c r="U1296" i="9"/>
  <c r="V1296" i="9" s="1"/>
  <c r="T1296" i="9"/>
  <c r="S1296" i="9"/>
  <c r="P1296" i="9"/>
  <c r="N1296" i="9"/>
  <c r="O1296" i="9" s="1"/>
  <c r="M1296" i="9"/>
  <c r="K1296" i="9"/>
  <c r="S1295" i="9"/>
  <c r="P1295" i="9"/>
  <c r="L1295" i="9"/>
  <c r="M1295" i="9" s="1"/>
  <c r="K1295" i="9"/>
  <c r="T1294" i="9"/>
  <c r="S1294" i="9"/>
  <c r="P1294" i="9"/>
  <c r="N1294" i="9"/>
  <c r="O1294" i="9" s="1"/>
  <c r="M1294" i="9"/>
  <c r="K1294" i="9"/>
  <c r="S1293" i="9"/>
  <c r="L1293" i="9"/>
  <c r="K1293" i="9"/>
  <c r="S1292" i="9"/>
  <c r="N1292" i="9"/>
  <c r="O1292" i="9" s="1"/>
  <c r="L1292" i="9"/>
  <c r="K1292" i="9"/>
  <c r="S1291" i="9"/>
  <c r="L1291" i="9"/>
  <c r="P1291" i="9" s="1"/>
  <c r="K1291" i="9"/>
  <c r="S1290" i="9"/>
  <c r="M1290" i="9"/>
  <c r="L1290" i="9"/>
  <c r="K1290" i="9"/>
  <c r="S1289" i="9"/>
  <c r="L1289" i="9"/>
  <c r="P1289" i="9" s="1"/>
  <c r="K1289" i="9"/>
  <c r="S1288" i="9"/>
  <c r="L1288" i="9"/>
  <c r="K1288" i="9"/>
  <c r="S1287" i="9"/>
  <c r="L1287" i="9"/>
  <c r="K1287" i="9"/>
  <c r="T1286" i="9"/>
  <c r="S1286" i="9"/>
  <c r="N1286" i="9"/>
  <c r="O1286" i="9" s="1"/>
  <c r="M1286" i="9"/>
  <c r="L1286" i="9"/>
  <c r="P1286" i="9" s="1"/>
  <c r="K1286" i="9"/>
  <c r="S1285" i="9"/>
  <c r="L1285" i="9"/>
  <c r="K1285" i="9"/>
  <c r="T1284" i="9"/>
  <c r="S1284" i="9"/>
  <c r="N1284" i="9"/>
  <c r="O1284" i="9" s="1"/>
  <c r="M1284" i="9"/>
  <c r="L1284" i="9"/>
  <c r="P1284" i="9" s="1"/>
  <c r="K1284" i="9"/>
  <c r="T1283" i="9"/>
  <c r="S1283" i="9"/>
  <c r="P1283" i="9"/>
  <c r="N1283" i="9"/>
  <c r="O1283" i="9" s="1"/>
  <c r="M1283" i="9"/>
  <c r="K1283" i="9"/>
  <c r="T1282" i="9"/>
  <c r="U1282" i="9" s="1"/>
  <c r="V1282" i="9" s="1"/>
  <c r="S1282" i="9"/>
  <c r="P1282" i="9"/>
  <c r="N1282" i="9"/>
  <c r="O1282" i="9" s="1"/>
  <c r="M1282" i="9"/>
  <c r="K1282" i="9"/>
  <c r="T1281" i="9"/>
  <c r="S1281" i="9"/>
  <c r="P1281" i="9"/>
  <c r="N1281" i="9"/>
  <c r="O1281" i="9" s="1"/>
  <c r="M1281" i="9"/>
  <c r="K1281" i="9"/>
  <c r="S1280" i="9"/>
  <c r="L1280" i="9"/>
  <c r="M1280" i="9" s="1"/>
  <c r="K1280" i="9"/>
  <c r="S1279" i="9"/>
  <c r="L1279" i="9"/>
  <c r="P1279" i="9" s="1"/>
  <c r="K1279" i="9"/>
  <c r="T1278" i="9"/>
  <c r="S1278" i="9"/>
  <c r="L1278" i="9"/>
  <c r="M1278" i="9" s="1"/>
  <c r="K1278" i="9"/>
  <c r="S1277" i="9"/>
  <c r="L1277" i="9"/>
  <c r="P1277" i="9" s="1"/>
  <c r="K1277" i="9"/>
  <c r="T1276" i="9"/>
  <c r="U1276" i="9" s="1"/>
  <c r="S1276" i="9"/>
  <c r="P1276" i="9"/>
  <c r="O1276" i="9"/>
  <c r="N1276" i="9"/>
  <c r="M1276" i="9"/>
  <c r="K1276" i="9"/>
  <c r="T1275" i="9"/>
  <c r="S1275" i="9"/>
  <c r="P1275" i="9"/>
  <c r="O1275" i="9"/>
  <c r="N1275" i="9"/>
  <c r="M1275" i="9"/>
  <c r="K1275" i="9"/>
  <c r="S1274" i="9"/>
  <c r="L1274" i="9"/>
  <c r="T1274" i="9" s="1"/>
  <c r="U1274" i="9" s="1"/>
  <c r="K1274" i="9"/>
  <c r="S1273" i="9"/>
  <c r="L1273" i="9"/>
  <c r="M1273" i="9" s="1"/>
  <c r="K1273" i="9"/>
  <c r="S1272" i="9"/>
  <c r="L1272" i="9"/>
  <c r="K1272" i="9"/>
  <c r="S1271" i="9"/>
  <c r="L1271" i="9"/>
  <c r="K1271" i="9"/>
  <c r="S1270" i="9"/>
  <c r="L1270" i="9"/>
  <c r="K1270" i="9"/>
  <c r="T1269" i="9"/>
  <c r="S1269" i="9"/>
  <c r="P1269" i="9"/>
  <c r="N1269" i="9"/>
  <c r="O1269" i="9" s="1"/>
  <c r="M1269" i="9"/>
  <c r="K1269" i="9"/>
  <c r="S1268" i="9"/>
  <c r="M1268" i="9"/>
  <c r="L1268" i="9"/>
  <c r="P1268" i="9" s="1"/>
  <c r="K1268" i="9"/>
  <c r="T1267" i="9"/>
  <c r="S1267" i="9"/>
  <c r="N1267" i="9"/>
  <c r="O1267" i="9" s="1"/>
  <c r="M1267" i="9"/>
  <c r="L1267" i="9"/>
  <c r="P1267" i="9" s="1"/>
  <c r="K1267" i="9"/>
  <c r="S1266" i="9"/>
  <c r="L1266" i="9"/>
  <c r="P1266" i="9" s="1"/>
  <c r="K1266" i="9"/>
  <c r="S1265" i="9"/>
  <c r="N1265" i="9"/>
  <c r="O1265" i="9" s="1"/>
  <c r="M1265" i="9"/>
  <c r="L1265" i="9"/>
  <c r="K1265" i="9"/>
  <c r="U1264" i="9"/>
  <c r="V1264" i="9" s="1"/>
  <c r="T1264" i="9"/>
  <c r="S1264" i="9"/>
  <c r="P1264" i="9"/>
  <c r="O1264" i="9"/>
  <c r="N1264" i="9"/>
  <c r="M1264" i="9"/>
  <c r="K1264" i="9"/>
  <c r="V1263" i="9"/>
  <c r="T1263" i="9"/>
  <c r="U1263" i="9" s="1"/>
  <c r="S1263" i="9"/>
  <c r="P1263" i="9"/>
  <c r="N1263" i="9"/>
  <c r="O1263" i="9" s="1"/>
  <c r="M1263" i="9"/>
  <c r="K1263" i="9"/>
  <c r="S1262" i="9"/>
  <c r="L1262" i="9"/>
  <c r="K1262" i="9"/>
  <c r="S1261" i="9"/>
  <c r="L1261" i="9"/>
  <c r="M1261" i="9" s="1"/>
  <c r="K1261" i="9"/>
  <c r="S1260" i="9"/>
  <c r="L1260" i="9"/>
  <c r="P1260" i="9" s="1"/>
  <c r="K1260" i="9"/>
  <c r="S1259" i="9"/>
  <c r="P1259" i="9"/>
  <c r="M1259" i="9"/>
  <c r="L1259" i="9"/>
  <c r="K1259" i="9"/>
  <c r="T1258" i="9"/>
  <c r="S1258" i="9"/>
  <c r="N1258" i="9"/>
  <c r="O1258" i="9" s="1"/>
  <c r="M1258" i="9"/>
  <c r="L1258" i="9"/>
  <c r="P1258" i="9" s="1"/>
  <c r="K1258" i="9"/>
  <c r="S1257" i="9"/>
  <c r="L1257" i="9"/>
  <c r="P1257" i="9" s="1"/>
  <c r="K1257" i="9"/>
  <c r="T1256" i="9"/>
  <c r="S1256" i="9"/>
  <c r="P1256" i="9"/>
  <c r="N1256" i="9"/>
  <c r="O1256" i="9" s="1"/>
  <c r="M1256" i="9"/>
  <c r="K1256" i="9"/>
  <c r="S1255" i="9"/>
  <c r="P1255" i="9"/>
  <c r="L1255" i="9"/>
  <c r="M1255" i="9" s="1"/>
  <c r="K1255" i="9"/>
  <c r="S1254" i="9"/>
  <c r="P1254" i="9"/>
  <c r="N1254" i="9"/>
  <c r="O1254" i="9" s="1"/>
  <c r="L1254" i="9"/>
  <c r="T1254" i="9" s="1"/>
  <c r="U1254" i="9" s="1"/>
  <c r="K1254" i="9"/>
  <c r="S1253" i="9"/>
  <c r="P1253" i="9"/>
  <c r="L1253" i="9"/>
  <c r="K1253" i="9"/>
  <c r="S1252" i="9"/>
  <c r="L1252" i="9"/>
  <c r="M1252" i="9" s="1"/>
  <c r="K1252" i="9"/>
  <c r="S1251" i="9"/>
  <c r="L1251" i="9"/>
  <c r="K1251" i="9"/>
  <c r="S1250" i="9"/>
  <c r="L1250" i="9"/>
  <c r="M1250" i="9" s="1"/>
  <c r="K1250" i="9"/>
  <c r="S1249" i="9"/>
  <c r="P1249" i="9"/>
  <c r="L1249" i="9"/>
  <c r="K1249" i="9"/>
  <c r="T1248" i="9"/>
  <c r="S1248" i="9"/>
  <c r="N1248" i="9"/>
  <c r="O1248" i="9" s="1"/>
  <c r="L1248" i="9"/>
  <c r="M1248" i="9" s="1"/>
  <c r="K1248" i="9"/>
  <c r="S1247" i="9"/>
  <c r="L1247" i="9"/>
  <c r="K1247" i="9"/>
  <c r="T1246" i="9"/>
  <c r="S1246" i="9"/>
  <c r="P1246" i="9"/>
  <c r="N1246" i="9"/>
  <c r="O1246" i="9" s="1"/>
  <c r="M1246" i="9"/>
  <c r="K1246" i="9"/>
  <c r="T1245" i="9"/>
  <c r="U1245" i="9" s="1"/>
  <c r="V1245" i="9" s="1"/>
  <c r="S1245" i="9"/>
  <c r="P1245" i="9"/>
  <c r="N1245" i="9"/>
  <c r="O1245" i="9" s="1"/>
  <c r="M1245" i="9"/>
  <c r="K1245" i="9"/>
  <c r="V1244" i="9"/>
  <c r="T1244" i="9"/>
  <c r="U1244" i="9" s="1"/>
  <c r="S1244" i="9"/>
  <c r="P1244" i="9"/>
  <c r="N1244" i="9"/>
  <c r="O1244" i="9" s="1"/>
  <c r="M1244" i="9"/>
  <c r="K1244" i="9"/>
  <c r="S1243" i="9"/>
  <c r="M1243" i="9"/>
  <c r="L1243" i="9"/>
  <c r="K1243" i="9"/>
  <c r="S1242" i="9"/>
  <c r="L1242" i="9"/>
  <c r="T1242" i="9" s="1"/>
  <c r="K1242" i="9"/>
  <c r="T1241" i="9"/>
  <c r="S1241" i="9"/>
  <c r="P1241" i="9"/>
  <c r="N1241" i="9"/>
  <c r="O1241" i="9" s="1"/>
  <c r="M1241" i="9"/>
  <c r="K1241" i="9"/>
  <c r="T1240" i="9"/>
  <c r="S1240" i="9"/>
  <c r="P1240" i="9"/>
  <c r="N1240" i="9"/>
  <c r="O1240" i="9" s="1"/>
  <c r="M1240" i="9"/>
  <c r="K1240" i="9"/>
  <c r="T1239" i="9"/>
  <c r="U1239" i="9" s="1"/>
  <c r="V1239" i="9" s="1"/>
  <c r="S1239" i="9"/>
  <c r="P1239" i="9"/>
  <c r="N1239" i="9"/>
  <c r="O1239" i="9" s="1"/>
  <c r="M1239" i="9"/>
  <c r="K1239" i="9"/>
  <c r="V1238" i="9"/>
  <c r="T1238" i="9"/>
  <c r="U1238" i="9" s="1"/>
  <c r="S1238" i="9"/>
  <c r="P1238" i="9"/>
  <c r="N1238" i="9"/>
  <c r="O1238" i="9" s="1"/>
  <c r="M1238" i="9"/>
  <c r="K1238" i="9"/>
  <c r="S1237" i="9"/>
  <c r="N1237" i="9"/>
  <c r="O1237" i="9" s="1"/>
  <c r="L1237" i="9"/>
  <c r="K1237" i="9"/>
  <c r="T1236" i="9"/>
  <c r="U1236" i="9" s="1"/>
  <c r="V1236" i="9" s="1"/>
  <c r="S1236" i="9"/>
  <c r="P1236" i="9"/>
  <c r="N1236" i="9"/>
  <c r="O1236" i="9" s="1"/>
  <c r="M1236" i="9"/>
  <c r="K1236" i="9"/>
  <c r="S1235" i="9"/>
  <c r="L1235" i="9"/>
  <c r="P1235" i="9" s="1"/>
  <c r="K1235" i="9"/>
  <c r="T1234" i="9"/>
  <c r="S1234" i="9"/>
  <c r="P1234" i="9"/>
  <c r="N1234" i="9"/>
  <c r="O1234" i="9" s="1"/>
  <c r="M1234" i="9"/>
  <c r="K1234" i="9"/>
  <c r="T1233" i="9"/>
  <c r="U1233" i="9" s="1"/>
  <c r="V1233" i="9" s="1"/>
  <c r="S1233" i="9"/>
  <c r="P1233" i="9"/>
  <c r="N1233" i="9"/>
  <c r="O1233" i="9" s="1"/>
  <c r="M1233" i="9"/>
  <c r="K1233" i="9"/>
  <c r="T1232" i="9"/>
  <c r="U1232" i="9" s="1"/>
  <c r="S1232" i="9"/>
  <c r="P1232" i="9"/>
  <c r="N1232" i="9"/>
  <c r="O1232" i="9" s="1"/>
  <c r="M1232" i="9"/>
  <c r="K1232" i="9"/>
  <c r="T1231" i="9"/>
  <c r="S1231" i="9"/>
  <c r="P1231" i="9"/>
  <c r="N1231" i="9"/>
  <c r="O1231" i="9" s="1"/>
  <c r="M1231" i="9"/>
  <c r="K1231" i="9"/>
  <c r="T1230" i="9"/>
  <c r="S1230" i="9"/>
  <c r="P1230" i="9"/>
  <c r="N1230" i="9"/>
  <c r="O1230" i="9" s="1"/>
  <c r="M1230" i="9"/>
  <c r="K1230" i="9"/>
  <c r="T1229" i="9"/>
  <c r="U1229" i="9" s="1"/>
  <c r="V1229" i="9" s="1"/>
  <c r="S1229" i="9"/>
  <c r="P1229" i="9"/>
  <c r="O1229" i="9"/>
  <c r="N1229" i="9"/>
  <c r="M1229" i="9"/>
  <c r="K1229" i="9"/>
  <c r="T1228" i="9"/>
  <c r="U1228" i="9" s="1"/>
  <c r="S1228" i="9"/>
  <c r="P1228" i="9"/>
  <c r="N1228" i="9"/>
  <c r="O1228" i="9" s="1"/>
  <c r="M1228" i="9"/>
  <c r="K1228" i="9"/>
  <c r="T1227" i="9"/>
  <c r="S1227" i="9"/>
  <c r="P1227" i="9"/>
  <c r="N1227" i="9"/>
  <c r="O1227" i="9" s="1"/>
  <c r="M1227" i="9"/>
  <c r="K1227" i="9"/>
  <c r="T1226" i="9"/>
  <c r="S1226" i="9"/>
  <c r="P1226" i="9"/>
  <c r="N1226" i="9"/>
  <c r="O1226" i="9" s="1"/>
  <c r="M1226" i="9"/>
  <c r="K1226" i="9"/>
  <c r="T1225" i="9"/>
  <c r="U1225" i="9" s="1"/>
  <c r="V1225" i="9" s="1"/>
  <c r="S1225" i="9"/>
  <c r="P1225" i="9"/>
  <c r="N1225" i="9"/>
  <c r="O1225" i="9" s="1"/>
  <c r="M1225" i="9"/>
  <c r="K1225" i="9"/>
  <c r="V1224" i="9"/>
  <c r="T1224" i="9"/>
  <c r="U1224" i="9" s="1"/>
  <c r="S1224" i="9"/>
  <c r="P1224" i="9"/>
  <c r="N1224" i="9"/>
  <c r="O1224" i="9" s="1"/>
  <c r="M1224" i="9"/>
  <c r="K1224" i="9"/>
  <c r="S1223" i="9"/>
  <c r="L1223" i="9"/>
  <c r="P1223" i="9" s="1"/>
  <c r="K1223" i="9"/>
  <c r="T1222" i="9"/>
  <c r="U1222" i="9" s="1"/>
  <c r="V1222" i="9" s="1"/>
  <c r="S1222" i="9"/>
  <c r="P1222" i="9"/>
  <c r="O1222" i="9"/>
  <c r="N1222" i="9"/>
  <c r="M1222" i="9"/>
  <c r="K1222" i="9"/>
  <c r="T1221" i="9"/>
  <c r="U1221" i="9" s="1"/>
  <c r="S1221" i="9"/>
  <c r="P1221" i="9"/>
  <c r="N1221" i="9"/>
  <c r="O1221" i="9" s="1"/>
  <c r="M1221" i="9"/>
  <c r="K1221" i="9"/>
  <c r="T1220" i="9"/>
  <c r="S1220" i="9"/>
  <c r="P1220" i="9"/>
  <c r="N1220" i="9"/>
  <c r="O1220" i="9" s="1"/>
  <c r="M1220" i="9"/>
  <c r="K1220" i="9"/>
  <c r="T1219" i="9"/>
  <c r="S1219" i="9"/>
  <c r="P1219" i="9"/>
  <c r="N1219" i="9"/>
  <c r="O1219" i="9" s="1"/>
  <c r="M1219" i="9"/>
  <c r="K1219" i="9"/>
  <c r="T1218" i="9"/>
  <c r="U1218" i="9" s="1"/>
  <c r="V1218" i="9" s="1"/>
  <c r="S1218" i="9"/>
  <c r="P1218" i="9"/>
  <c r="N1218" i="9"/>
  <c r="O1218" i="9" s="1"/>
  <c r="M1218" i="9"/>
  <c r="K1218" i="9"/>
  <c r="T1217" i="9"/>
  <c r="U1217" i="9" s="1"/>
  <c r="S1217" i="9"/>
  <c r="P1217" i="9"/>
  <c r="N1217" i="9"/>
  <c r="O1217" i="9" s="1"/>
  <c r="M1217" i="9"/>
  <c r="K1217" i="9"/>
  <c r="T1216" i="9"/>
  <c r="S1216" i="9"/>
  <c r="P1216" i="9"/>
  <c r="N1216" i="9"/>
  <c r="O1216" i="9" s="1"/>
  <c r="M1216" i="9"/>
  <c r="K1216" i="9"/>
  <c r="T1215" i="9"/>
  <c r="S1215" i="9"/>
  <c r="P1215" i="9"/>
  <c r="N1215" i="9"/>
  <c r="O1215" i="9" s="1"/>
  <c r="M1215" i="9"/>
  <c r="K1215" i="9"/>
  <c r="T1214" i="9"/>
  <c r="U1214" i="9" s="1"/>
  <c r="V1214" i="9" s="1"/>
  <c r="S1214" i="9"/>
  <c r="P1214" i="9"/>
  <c r="N1214" i="9"/>
  <c r="O1214" i="9" s="1"/>
  <c r="M1214" i="9"/>
  <c r="K1214" i="9"/>
  <c r="T1213" i="9"/>
  <c r="U1213" i="9" s="1"/>
  <c r="V1213" i="9" s="1"/>
  <c r="S1213" i="9"/>
  <c r="P1213" i="9"/>
  <c r="N1213" i="9"/>
  <c r="O1213" i="9" s="1"/>
  <c r="M1213" i="9"/>
  <c r="K1213" i="9"/>
  <c r="T1212" i="9"/>
  <c r="S1212" i="9"/>
  <c r="P1212" i="9"/>
  <c r="N1212" i="9"/>
  <c r="O1212" i="9" s="1"/>
  <c r="M1212" i="9"/>
  <c r="K1212" i="9"/>
  <c r="T1211" i="9"/>
  <c r="S1211" i="9"/>
  <c r="P1211" i="9"/>
  <c r="N1211" i="9"/>
  <c r="O1211" i="9" s="1"/>
  <c r="M1211" i="9"/>
  <c r="K1211" i="9"/>
  <c r="U1210" i="9"/>
  <c r="V1210" i="9" s="1"/>
  <c r="T1210" i="9"/>
  <c r="S1210" i="9"/>
  <c r="P1210" i="9"/>
  <c r="N1210" i="9"/>
  <c r="O1210" i="9" s="1"/>
  <c r="M1210" i="9"/>
  <c r="K1210" i="9"/>
  <c r="S1209" i="9"/>
  <c r="P1209" i="9"/>
  <c r="L1209" i="9"/>
  <c r="K1209" i="9"/>
  <c r="S1208" i="9"/>
  <c r="L1208" i="9"/>
  <c r="K1208" i="9"/>
  <c r="S1207" i="9"/>
  <c r="P1207" i="9"/>
  <c r="L1207" i="9"/>
  <c r="K1207" i="9"/>
  <c r="T1206" i="9"/>
  <c r="S1206" i="9"/>
  <c r="P1206" i="9"/>
  <c r="N1206" i="9"/>
  <c r="O1206" i="9" s="1"/>
  <c r="M1206" i="9"/>
  <c r="K1206" i="9"/>
  <c r="T1205" i="9"/>
  <c r="U1205" i="9" s="1"/>
  <c r="V1205" i="9" s="1"/>
  <c r="S1205" i="9"/>
  <c r="P1205" i="9"/>
  <c r="N1205" i="9"/>
  <c r="O1205" i="9" s="1"/>
  <c r="M1205" i="9"/>
  <c r="K1205" i="9"/>
  <c r="S1204" i="9"/>
  <c r="P1204" i="9"/>
  <c r="L1204" i="9"/>
  <c r="K1204" i="9"/>
  <c r="S1203" i="9"/>
  <c r="L1203" i="9"/>
  <c r="K1203" i="9"/>
  <c r="V1202" i="9"/>
  <c r="T1202" i="9"/>
  <c r="U1202" i="9" s="1"/>
  <c r="S1202" i="9"/>
  <c r="P1202" i="9"/>
  <c r="N1202" i="9"/>
  <c r="O1202" i="9" s="1"/>
  <c r="M1202" i="9"/>
  <c r="K1202" i="9"/>
  <c r="T1201" i="9"/>
  <c r="S1201" i="9"/>
  <c r="P1201" i="9"/>
  <c r="N1201" i="9"/>
  <c r="O1201" i="9" s="1"/>
  <c r="M1201" i="9"/>
  <c r="K1201" i="9"/>
  <c r="S1200" i="9"/>
  <c r="L1200" i="9"/>
  <c r="M1200" i="9" s="1"/>
  <c r="K1200" i="9"/>
  <c r="S1199" i="9"/>
  <c r="L1199" i="9"/>
  <c r="P1199" i="9" s="1"/>
  <c r="K1199" i="9"/>
  <c r="T1198" i="9"/>
  <c r="S1198" i="9"/>
  <c r="P1198" i="9"/>
  <c r="N1198" i="9"/>
  <c r="O1198" i="9" s="1"/>
  <c r="M1198" i="9"/>
  <c r="K1198" i="9"/>
  <c r="U1197" i="9"/>
  <c r="V1197" i="9" s="1"/>
  <c r="T1197" i="9"/>
  <c r="S1197" i="9"/>
  <c r="P1197" i="9"/>
  <c r="O1197" i="9"/>
  <c r="N1197" i="9"/>
  <c r="M1197" i="9"/>
  <c r="K1197" i="9"/>
  <c r="V1196" i="9"/>
  <c r="T1196" i="9"/>
  <c r="U1196" i="9" s="1"/>
  <c r="S1196" i="9"/>
  <c r="P1196" i="9"/>
  <c r="N1196" i="9"/>
  <c r="O1196" i="9" s="1"/>
  <c r="M1196" i="9"/>
  <c r="K1196" i="9"/>
  <c r="T1195" i="9"/>
  <c r="S1195" i="9"/>
  <c r="P1195" i="9"/>
  <c r="N1195" i="9"/>
  <c r="O1195" i="9" s="1"/>
  <c r="M1195" i="9"/>
  <c r="K1195" i="9"/>
  <c r="T1194" i="9"/>
  <c r="S1194" i="9"/>
  <c r="P1194" i="9"/>
  <c r="N1194" i="9"/>
  <c r="O1194" i="9" s="1"/>
  <c r="M1194" i="9"/>
  <c r="K1194" i="9"/>
  <c r="U1193" i="9"/>
  <c r="V1193" i="9" s="1"/>
  <c r="T1193" i="9"/>
  <c r="S1193" i="9"/>
  <c r="P1193" i="9"/>
  <c r="N1193" i="9"/>
  <c r="O1193" i="9" s="1"/>
  <c r="M1193" i="9"/>
  <c r="K1193" i="9"/>
  <c r="S1192" i="9"/>
  <c r="L1192" i="9"/>
  <c r="K1192" i="9"/>
  <c r="T1191" i="9"/>
  <c r="S1191" i="9"/>
  <c r="P1191" i="9"/>
  <c r="N1191" i="9"/>
  <c r="O1191" i="9" s="1"/>
  <c r="M1191" i="9"/>
  <c r="K1191" i="9"/>
  <c r="U1190" i="9"/>
  <c r="V1190" i="9" s="1"/>
  <c r="T1190" i="9"/>
  <c r="S1190" i="9"/>
  <c r="P1190" i="9"/>
  <c r="O1190" i="9"/>
  <c r="N1190" i="9"/>
  <c r="M1190" i="9"/>
  <c r="K1190" i="9"/>
  <c r="V1189" i="9"/>
  <c r="T1189" i="9"/>
  <c r="U1189" i="9" s="1"/>
  <c r="S1189" i="9"/>
  <c r="P1189" i="9"/>
  <c r="N1189" i="9"/>
  <c r="O1189" i="9" s="1"/>
  <c r="M1189" i="9"/>
  <c r="K1189" i="9"/>
  <c r="T1188" i="9"/>
  <c r="S1188" i="9"/>
  <c r="P1188" i="9"/>
  <c r="N1188" i="9"/>
  <c r="O1188" i="9" s="1"/>
  <c r="M1188" i="9"/>
  <c r="K1188" i="9"/>
  <c r="T1187" i="9"/>
  <c r="S1187" i="9"/>
  <c r="P1187" i="9"/>
  <c r="N1187" i="9"/>
  <c r="O1187" i="9" s="1"/>
  <c r="M1187" i="9"/>
  <c r="K1187" i="9"/>
  <c r="S1186" i="9"/>
  <c r="L1186" i="9"/>
  <c r="T1186" i="9" s="1"/>
  <c r="U1186" i="9" s="1"/>
  <c r="K1186" i="9"/>
  <c r="T1185" i="9"/>
  <c r="S1185" i="9"/>
  <c r="P1185" i="9"/>
  <c r="N1185" i="9"/>
  <c r="O1185" i="9" s="1"/>
  <c r="M1185" i="9"/>
  <c r="K1185" i="9"/>
  <c r="T1184" i="9"/>
  <c r="S1184" i="9"/>
  <c r="P1184" i="9"/>
  <c r="N1184" i="9"/>
  <c r="O1184" i="9" s="1"/>
  <c r="M1184" i="9"/>
  <c r="K1184" i="9"/>
  <c r="T1183" i="9"/>
  <c r="U1183" i="9" s="1"/>
  <c r="V1183" i="9" s="1"/>
  <c r="S1183" i="9"/>
  <c r="P1183" i="9"/>
  <c r="O1183" i="9"/>
  <c r="N1183" i="9"/>
  <c r="M1183" i="9"/>
  <c r="K1183" i="9"/>
  <c r="T1182" i="9"/>
  <c r="U1182" i="9" s="1"/>
  <c r="S1182" i="9"/>
  <c r="P1182" i="9"/>
  <c r="N1182" i="9"/>
  <c r="O1182" i="9" s="1"/>
  <c r="M1182" i="9"/>
  <c r="K1182" i="9"/>
  <c r="T1181" i="9"/>
  <c r="S1181" i="9"/>
  <c r="N1181" i="9"/>
  <c r="O1181" i="9" s="1"/>
  <c r="M1181" i="9"/>
  <c r="L1181" i="9"/>
  <c r="P1181" i="9" s="1"/>
  <c r="K1181" i="9"/>
  <c r="T1180" i="9"/>
  <c r="U1180" i="9" s="1"/>
  <c r="V1180" i="9" s="1"/>
  <c r="S1180" i="9"/>
  <c r="P1180" i="9"/>
  <c r="O1180" i="9"/>
  <c r="N1180" i="9"/>
  <c r="M1180" i="9"/>
  <c r="K1180" i="9"/>
  <c r="T1179" i="9"/>
  <c r="S1179" i="9"/>
  <c r="P1179" i="9"/>
  <c r="N1179" i="9"/>
  <c r="O1179" i="9" s="1"/>
  <c r="M1179" i="9"/>
  <c r="K1179" i="9"/>
  <c r="T1178" i="9"/>
  <c r="S1178" i="9"/>
  <c r="P1178" i="9"/>
  <c r="N1178" i="9"/>
  <c r="O1178" i="9" s="1"/>
  <c r="M1178" i="9"/>
  <c r="K1178" i="9"/>
  <c r="T1177" i="9"/>
  <c r="S1177" i="9"/>
  <c r="P1177" i="9"/>
  <c r="N1177" i="9"/>
  <c r="O1177" i="9" s="1"/>
  <c r="M1177" i="9"/>
  <c r="K1177" i="9"/>
  <c r="T1176" i="9"/>
  <c r="U1176" i="9" s="1"/>
  <c r="V1176" i="9" s="1"/>
  <c r="S1176" i="9"/>
  <c r="P1176" i="9"/>
  <c r="O1176" i="9"/>
  <c r="N1176" i="9"/>
  <c r="M1176" i="9"/>
  <c r="K1176" i="9"/>
  <c r="T1175" i="9"/>
  <c r="U1175" i="9" s="1"/>
  <c r="S1175" i="9"/>
  <c r="P1175" i="9"/>
  <c r="N1175" i="9"/>
  <c r="O1175" i="9" s="1"/>
  <c r="M1175" i="9"/>
  <c r="K1175" i="9"/>
  <c r="T1174" i="9"/>
  <c r="S1174" i="9"/>
  <c r="N1174" i="9"/>
  <c r="O1174" i="9" s="1"/>
  <c r="M1174" i="9"/>
  <c r="L1174" i="9"/>
  <c r="P1174" i="9" s="1"/>
  <c r="K1174" i="9"/>
  <c r="T1173" i="9"/>
  <c r="U1173" i="9" s="1"/>
  <c r="V1173" i="9" s="1"/>
  <c r="S1173" i="9"/>
  <c r="P1173" i="9"/>
  <c r="N1173" i="9"/>
  <c r="O1173" i="9" s="1"/>
  <c r="M1173" i="9"/>
  <c r="K1173" i="9"/>
  <c r="V1172" i="9"/>
  <c r="T1172" i="9"/>
  <c r="U1172" i="9" s="1"/>
  <c r="S1172" i="9"/>
  <c r="P1172" i="9"/>
  <c r="N1172" i="9"/>
  <c r="O1172" i="9" s="1"/>
  <c r="M1172" i="9"/>
  <c r="K1172" i="9"/>
  <c r="S1171" i="9"/>
  <c r="L1171" i="9"/>
  <c r="K1171" i="9"/>
  <c r="U1170" i="9"/>
  <c r="V1170" i="9" s="1"/>
  <c r="T1170" i="9"/>
  <c r="S1170" i="9"/>
  <c r="P1170" i="9"/>
  <c r="O1170" i="9"/>
  <c r="N1170" i="9"/>
  <c r="M1170" i="9"/>
  <c r="K1170" i="9"/>
  <c r="T1169" i="9"/>
  <c r="U1169" i="9" s="1"/>
  <c r="S1169" i="9"/>
  <c r="P1169" i="9"/>
  <c r="N1169" i="9"/>
  <c r="O1169" i="9" s="1"/>
  <c r="M1169" i="9"/>
  <c r="K1169" i="9"/>
  <c r="T1168" i="9"/>
  <c r="S1168" i="9"/>
  <c r="P1168" i="9"/>
  <c r="N1168" i="9"/>
  <c r="O1168" i="9" s="1"/>
  <c r="M1168" i="9"/>
  <c r="K1168" i="9"/>
  <c r="T1167" i="9"/>
  <c r="S1167" i="9"/>
  <c r="P1167" i="9"/>
  <c r="N1167" i="9"/>
  <c r="O1167" i="9" s="1"/>
  <c r="M1167" i="9"/>
  <c r="K1167" i="9"/>
  <c r="T1166" i="9"/>
  <c r="U1166" i="9" s="1"/>
  <c r="V1166" i="9" s="1"/>
  <c r="S1166" i="9"/>
  <c r="P1166" i="9"/>
  <c r="N1166" i="9"/>
  <c r="O1166" i="9" s="1"/>
  <c r="M1166" i="9"/>
  <c r="K1166" i="9"/>
  <c r="T1165" i="9"/>
  <c r="U1165" i="9" s="1"/>
  <c r="S1165" i="9"/>
  <c r="P1165" i="9"/>
  <c r="N1165" i="9"/>
  <c r="O1165" i="9" s="1"/>
  <c r="M1165" i="9"/>
  <c r="K1165" i="9"/>
  <c r="T1164" i="9"/>
  <c r="S1164" i="9"/>
  <c r="P1164" i="9"/>
  <c r="N1164" i="9"/>
  <c r="O1164" i="9" s="1"/>
  <c r="M1164" i="9"/>
  <c r="K1164" i="9"/>
  <c r="T1163" i="9"/>
  <c r="S1163" i="9"/>
  <c r="P1163" i="9"/>
  <c r="N1163" i="9"/>
  <c r="O1163" i="9" s="1"/>
  <c r="M1163" i="9"/>
  <c r="K1163" i="9"/>
  <c r="T1162" i="9"/>
  <c r="U1162" i="9" s="1"/>
  <c r="V1162" i="9" s="1"/>
  <c r="S1162" i="9"/>
  <c r="P1162" i="9"/>
  <c r="O1162" i="9"/>
  <c r="N1162" i="9"/>
  <c r="M1162" i="9"/>
  <c r="K1162" i="9"/>
  <c r="T1161" i="9"/>
  <c r="U1161" i="9" s="1"/>
  <c r="S1161" i="9"/>
  <c r="P1161" i="9"/>
  <c r="N1161" i="9"/>
  <c r="O1161" i="9" s="1"/>
  <c r="M1161" i="9"/>
  <c r="K1161" i="9"/>
  <c r="T1160" i="9"/>
  <c r="S1160" i="9"/>
  <c r="P1160" i="9"/>
  <c r="N1160" i="9"/>
  <c r="O1160" i="9" s="1"/>
  <c r="M1160" i="9"/>
  <c r="K1160" i="9"/>
  <c r="S1159" i="9"/>
  <c r="L1159" i="9"/>
  <c r="K1159" i="9"/>
  <c r="V1158" i="9"/>
  <c r="T1158" i="9"/>
  <c r="U1158" i="9" s="1"/>
  <c r="S1158" i="9"/>
  <c r="P1158" i="9"/>
  <c r="N1158" i="9"/>
  <c r="O1158" i="9" s="1"/>
  <c r="M1158" i="9"/>
  <c r="K1158" i="9"/>
  <c r="S1157" i="9"/>
  <c r="L1157" i="9"/>
  <c r="K1157" i="9"/>
  <c r="S1156" i="9"/>
  <c r="L1156" i="9"/>
  <c r="T1156" i="9" s="1"/>
  <c r="U1156" i="9" s="1"/>
  <c r="K1156" i="9"/>
  <c r="T1155" i="9"/>
  <c r="S1155" i="9"/>
  <c r="P1155" i="9"/>
  <c r="N1155" i="9"/>
  <c r="O1155" i="9" s="1"/>
  <c r="M1155" i="9"/>
  <c r="K1155" i="9"/>
  <c r="T1154" i="9"/>
  <c r="S1154" i="9"/>
  <c r="P1154" i="9"/>
  <c r="N1154" i="9"/>
  <c r="O1154" i="9" s="1"/>
  <c r="M1154" i="9"/>
  <c r="K1154" i="9"/>
  <c r="U1153" i="9"/>
  <c r="S1153" i="9"/>
  <c r="L1153" i="9"/>
  <c r="T1153" i="9" s="1"/>
  <c r="K1153" i="9"/>
  <c r="T1152" i="9"/>
  <c r="S1152" i="9"/>
  <c r="P1152" i="9"/>
  <c r="N1152" i="9"/>
  <c r="O1152" i="9" s="1"/>
  <c r="M1152" i="9"/>
  <c r="K1152" i="9"/>
  <c r="T1151" i="9"/>
  <c r="S1151" i="9"/>
  <c r="P1151" i="9"/>
  <c r="N1151" i="9"/>
  <c r="O1151" i="9" s="1"/>
  <c r="M1151" i="9"/>
  <c r="K1151" i="9"/>
  <c r="U1150" i="9"/>
  <c r="V1150" i="9" s="1"/>
  <c r="T1150" i="9"/>
  <c r="S1150" i="9"/>
  <c r="P1150" i="9"/>
  <c r="N1150" i="9"/>
  <c r="O1150" i="9" s="1"/>
  <c r="M1150" i="9"/>
  <c r="K1150" i="9"/>
  <c r="V1149" i="9"/>
  <c r="T1149" i="9"/>
  <c r="U1149" i="9" s="1"/>
  <c r="S1149" i="9"/>
  <c r="P1149" i="9"/>
  <c r="N1149" i="9"/>
  <c r="O1149" i="9" s="1"/>
  <c r="M1149" i="9"/>
  <c r="K1149" i="9"/>
  <c r="T1148" i="9"/>
  <c r="S1148" i="9"/>
  <c r="P1148" i="9"/>
  <c r="N1148" i="9"/>
  <c r="O1148" i="9" s="1"/>
  <c r="M1148" i="9"/>
  <c r="K1148" i="9"/>
  <c r="T1147" i="9"/>
  <c r="S1147" i="9"/>
  <c r="P1147" i="9"/>
  <c r="N1147" i="9"/>
  <c r="O1147" i="9" s="1"/>
  <c r="M1147" i="9"/>
  <c r="K1147" i="9"/>
  <c r="T1146" i="9"/>
  <c r="U1146" i="9" s="1"/>
  <c r="V1146" i="9" s="1"/>
  <c r="S1146" i="9"/>
  <c r="P1146" i="9"/>
  <c r="N1146" i="9"/>
  <c r="O1146" i="9" s="1"/>
  <c r="M1146" i="9"/>
  <c r="K1146" i="9"/>
  <c r="T1145" i="9"/>
  <c r="U1145" i="9" s="1"/>
  <c r="S1145" i="9"/>
  <c r="P1145" i="9"/>
  <c r="N1145" i="9"/>
  <c r="O1145" i="9" s="1"/>
  <c r="M1145" i="9"/>
  <c r="K1145" i="9"/>
  <c r="T1144" i="9"/>
  <c r="S1144" i="9"/>
  <c r="P1144" i="9"/>
  <c r="N1144" i="9"/>
  <c r="O1144" i="9" s="1"/>
  <c r="M1144" i="9"/>
  <c r="K1144" i="9"/>
  <c r="S1143" i="9"/>
  <c r="N1143" i="9"/>
  <c r="O1143" i="9" s="1"/>
  <c r="L1143" i="9"/>
  <c r="K1143" i="9"/>
  <c r="T1142" i="9"/>
  <c r="U1142" i="9" s="1"/>
  <c r="V1142" i="9" s="1"/>
  <c r="S1142" i="9"/>
  <c r="P1142" i="9"/>
  <c r="N1142" i="9"/>
  <c r="O1142" i="9" s="1"/>
  <c r="M1142" i="9"/>
  <c r="K1142" i="9"/>
  <c r="T1141" i="9"/>
  <c r="S1141" i="9"/>
  <c r="P1141" i="9"/>
  <c r="N1141" i="9"/>
  <c r="O1141" i="9" s="1"/>
  <c r="M1141" i="9"/>
  <c r="K1141" i="9"/>
  <c r="T1140" i="9"/>
  <c r="S1140" i="9"/>
  <c r="N1140" i="9"/>
  <c r="O1140" i="9" s="1"/>
  <c r="L1140" i="9"/>
  <c r="M1140" i="9" s="1"/>
  <c r="K1140" i="9"/>
  <c r="T1139" i="9"/>
  <c r="U1139" i="9" s="1"/>
  <c r="S1139" i="9"/>
  <c r="P1139" i="9"/>
  <c r="N1139" i="9"/>
  <c r="O1139" i="9" s="1"/>
  <c r="M1139" i="9"/>
  <c r="K1139" i="9"/>
  <c r="T1138" i="9"/>
  <c r="S1138" i="9"/>
  <c r="N1138" i="9"/>
  <c r="O1138" i="9" s="1"/>
  <c r="M1138" i="9"/>
  <c r="L1138" i="9"/>
  <c r="P1138" i="9" s="1"/>
  <c r="K1138" i="9"/>
  <c r="T1137" i="9"/>
  <c r="U1137" i="9" s="1"/>
  <c r="V1137" i="9" s="1"/>
  <c r="S1137" i="9"/>
  <c r="P1137" i="9"/>
  <c r="O1137" i="9"/>
  <c r="N1137" i="9"/>
  <c r="M1137" i="9"/>
  <c r="K1137" i="9"/>
  <c r="T1136" i="9"/>
  <c r="U1136" i="9" s="1"/>
  <c r="S1136" i="9"/>
  <c r="P1136" i="9"/>
  <c r="N1136" i="9"/>
  <c r="O1136" i="9" s="1"/>
  <c r="M1136" i="9"/>
  <c r="K1136" i="9"/>
  <c r="T1135" i="9"/>
  <c r="S1135" i="9"/>
  <c r="P1135" i="9"/>
  <c r="N1135" i="9"/>
  <c r="O1135" i="9" s="1"/>
  <c r="M1135" i="9"/>
  <c r="K1135" i="9"/>
  <c r="T1134" i="9"/>
  <c r="S1134" i="9"/>
  <c r="P1134" i="9"/>
  <c r="N1134" i="9"/>
  <c r="O1134" i="9" s="1"/>
  <c r="M1134" i="9"/>
  <c r="K1134" i="9"/>
  <c r="S1133" i="9"/>
  <c r="L1133" i="9"/>
  <c r="T1133" i="9" s="1"/>
  <c r="U1133" i="9" s="1"/>
  <c r="K1133" i="9"/>
  <c r="T1132" i="9"/>
  <c r="S1132" i="9"/>
  <c r="N1132" i="9"/>
  <c r="O1132" i="9" s="1"/>
  <c r="M1132" i="9"/>
  <c r="L1132" i="9"/>
  <c r="P1132" i="9" s="1"/>
  <c r="K1132" i="9"/>
  <c r="U1131" i="9"/>
  <c r="V1131" i="9" s="1"/>
  <c r="T1131" i="9"/>
  <c r="S1131" i="9"/>
  <c r="P1131" i="9"/>
  <c r="N1131" i="9"/>
  <c r="O1131" i="9" s="1"/>
  <c r="M1131" i="9"/>
  <c r="K1131" i="9"/>
  <c r="S1130" i="9"/>
  <c r="P1130" i="9"/>
  <c r="L1130" i="9"/>
  <c r="K1130" i="9"/>
  <c r="T1129" i="9"/>
  <c r="S1129" i="9"/>
  <c r="P1129" i="9"/>
  <c r="N1129" i="9"/>
  <c r="O1129" i="9" s="1"/>
  <c r="M1129" i="9"/>
  <c r="K1129" i="9"/>
  <c r="T1128" i="9"/>
  <c r="U1128" i="9" s="1"/>
  <c r="V1128" i="9" s="1"/>
  <c r="S1128" i="9"/>
  <c r="P1128" i="9"/>
  <c r="N1128" i="9"/>
  <c r="O1128" i="9" s="1"/>
  <c r="M1128" i="9"/>
  <c r="K1128" i="9"/>
  <c r="T1127" i="9"/>
  <c r="U1127" i="9" s="1"/>
  <c r="V1127" i="9" s="1"/>
  <c r="S1127" i="9"/>
  <c r="P1127" i="9"/>
  <c r="N1127" i="9"/>
  <c r="O1127" i="9" s="1"/>
  <c r="M1127" i="9"/>
  <c r="K1127" i="9"/>
  <c r="T1126" i="9"/>
  <c r="S1126" i="9"/>
  <c r="L1126" i="9"/>
  <c r="P1126" i="9" s="1"/>
  <c r="K1126" i="9"/>
  <c r="T1125" i="9"/>
  <c r="U1125" i="9" s="1"/>
  <c r="V1125" i="9" s="1"/>
  <c r="S1125" i="9"/>
  <c r="P1125" i="9"/>
  <c r="N1125" i="9"/>
  <c r="O1125" i="9" s="1"/>
  <c r="M1125" i="9"/>
  <c r="K1125" i="9"/>
  <c r="T1124" i="9"/>
  <c r="U1124" i="9" s="1"/>
  <c r="V1124" i="9" s="1"/>
  <c r="S1124" i="9"/>
  <c r="P1124" i="9"/>
  <c r="N1124" i="9"/>
  <c r="O1124" i="9" s="1"/>
  <c r="M1124" i="9"/>
  <c r="K1124" i="9"/>
  <c r="T1123" i="9"/>
  <c r="S1123" i="9"/>
  <c r="P1123" i="9"/>
  <c r="N1123" i="9"/>
  <c r="O1123" i="9" s="1"/>
  <c r="M1123" i="9"/>
  <c r="K1123" i="9"/>
  <c r="T1122" i="9"/>
  <c r="S1122" i="9"/>
  <c r="P1122" i="9"/>
  <c r="N1122" i="9"/>
  <c r="O1122" i="9" s="1"/>
  <c r="M1122" i="9"/>
  <c r="K1122" i="9"/>
  <c r="S1121" i="9"/>
  <c r="L1121" i="9"/>
  <c r="T1121" i="9" s="1"/>
  <c r="U1121" i="9" s="1"/>
  <c r="K1121" i="9"/>
  <c r="T1120" i="9"/>
  <c r="S1120" i="9"/>
  <c r="P1120" i="9"/>
  <c r="N1120" i="9"/>
  <c r="O1120" i="9" s="1"/>
  <c r="M1120" i="9"/>
  <c r="K1120" i="9"/>
  <c r="T1119" i="9"/>
  <c r="S1119" i="9"/>
  <c r="P1119" i="9"/>
  <c r="N1119" i="9"/>
  <c r="O1119" i="9" s="1"/>
  <c r="M1119" i="9"/>
  <c r="K1119" i="9"/>
  <c r="T1118" i="9"/>
  <c r="U1118" i="9" s="1"/>
  <c r="V1118" i="9" s="1"/>
  <c r="S1118" i="9"/>
  <c r="P1118" i="9"/>
  <c r="N1118" i="9"/>
  <c r="O1118" i="9" s="1"/>
  <c r="M1118" i="9"/>
  <c r="K1118" i="9"/>
  <c r="T1117" i="9"/>
  <c r="U1117" i="9" s="1"/>
  <c r="V1117" i="9" s="1"/>
  <c r="S1117" i="9"/>
  <c r="P1117" i="9"/>
  <c r="N1117" i="9"/>
  <c r="O1117" i="9" s="1"/>
  <c r="M1117" i="9"/>
  <c r="K1117" i="9"/>
  <c r="T1116" i="9"/>
  <c r="S1116" i="9"/>
  <c r="N1116" i="9"/>
  <c r="O1116" i="9" s="1"/>
  <c r="M1116" i="9"/>
  <c r="L1116" i="9"/>
  <c r="P1116" i="9" s="1"/>
  <c r="K1116" i="9"/>
  <c r="T1115" i="9"/>
  <c r="U1115" i="9" s="1"/>
  <c r="V1115" i="9" s="1"/>
  <c r="S1115" i="9"/>
  <c r="P1115" i="9"/>
  <c r="O1115" i="9"/>
  <c r="N1115" i="9"/>
  <c r="M1115" i="9"/>
  <c r="K1115" i="9"/>
  <c r="T1114" i="9"/>
  <c r="U1114" i="9" s="1"/>
  <c r="S1114" i="9"/>
  <c r="P1114" i="9"/>
  <c r="N1114" i="9"/>
  <c r="O1114" i="9" s="1"/>
  <c r="M1114" i="9"/>
  <c r="K1114" i="9"/>
  <c r="T1113" i="9"/>
  <c r="S1113" i="9"/>
  <c r="P1113" i="9"/>
  <c r="N1113" i="9"/>
  <c r="O1113" i="9" s="1"/>
  <c r="M1113" i="9"/>
  <c r="K1113" i="9"/>
  <c r="T1112" i="9"/>
  <c r="S1112" i="9"/>
  <c r="P1112" i="9"/>
  <c r="N1112" i="9"/>
  <c r="O1112" i="9" s="1"/>
  <c r="M1112" i="9"/>
  <c r="K1112" i="9"/>
  <c r="T1111" i="9"/>
  <c r="U1111" i="9" s="1"/>
  <c r="V1111" i="9" s="1"/>
  <c r="S1111" i="9"/>
  <c r="P1111" i="9"/>
  <c r="O1111" i="9"/>
  <c r="N1111" i="9"/>
  <c r="M1111" i="9"/>
  <c r="K1111" i="9"/>
  <c r="T1110" i="9"/>
  <c r="U1110" i="9" s="1"/>
  <c r="V1110" i="9" s="1"/>
  <c r="S1110" i="9"/>
  <c r="P1110" i="9"/>
  <c r="N1110" i="9"/>
  <c r="O1110" i="9" s="1"/>
  <c r="M1110" i="9"/>
  <c r="K1110" i="9"/>
  <c r="T1109" i="9"/>
  <c r="S1109" i="9"/>
  <c r="P1109" i="9"/>
  <c r="N1109" i="9"/>
  <c r="O1109" i="9" s="1"/>
  <c r="M1109" i="9"/>
  <c r="K1109" i="9"/>
  <c r="T1108" i="9"/>
  <c r="S1108" i="9"/>
  <c r="P1108" i="9"/>
  <c r="N1108" i="9"/>
  <c r="O1108" i="9" s="1"/>
  <c r="M1108" i="9"/>
  <c r="K1108" i="9"/>
  <c r="S1107" i="9"/>
  <c r="L1107" i="9"/>
  <c r="T1107" i="9" s="1"/>
  <c r="U1107" i="9" s="1"/>
  <c r="K1107" i="9"/>
  <c r="T1106" i="9"/>
  <c r="S1106" i="9"/>
  <c r="P1106" i="9"/>
  <c r="N1106" i="9"/>
  <c r="O1106" i="9" s="1"/>
  <c r="M1106" i="9"/>
  <c r="K1106" i="9"/>
  <c r="T1105" i="9"/>
  <c r="S1105" i="9"/>
  <c r="P1105" i="9"/>
  <c r="N1105" i="9"/>
  <c r="O1105" i="9" s="1"/>
  <c r="M1105" i="9"/>
  <c r="K1105" i="9"/>
  <c r="T1104" i="9"/>
  <c r="U1104" i="9" s="1"/>
  <c r="V1104" i="9" s="1"/>
  <c r="S1104" i="9"/>
  <c r="P1104" i="9"/>
  <c r="O1104" i="9"/>
  <c r="N1104" i="9"/>
  <c r="M1104" i="9"/>
  <c r="K1104" i="9"/>
  <c r="T1103" i="9"/>
  <c r="U1103" i="9" s="1"/>
  <c r="V1103" i="9" s="1"/>
  <c r="S1103" i="9"/>
  <c r="P1103" i="9"/>
  <c r="N1103" i="9"/>
  <c r="O1103" i="9" s="1"/>
  <c r="M1103" i="9"/>
  <c r="K1103" i="9"/>
  <c r="T1102" i="9"/>
  <c r="S1102" i="9"/>
  <c r="P1102" i="9"/>
  <c r="N1102" i="9"/>
  <c r="O1102" i="9" s="1"/>
  <c r="M1102" i="9"/>
  <c r="K1102" i="9"/>
  <c r="T1101" i="9"/>
  <c r="S1101" i="9"/>
  <c r="L1101" i="9"/>
  <c r="M1101" i="9" s="1"/>
  <c r="K1101" i="9"/>
  <c r="V1100" i="9"/>
  <c r="T1100" i="9"/>
  <c r="U1100" i="9" s="1"/>
  <c r="S1100" i="9"/>
  <c r="P1100" i="9"/>
  <c r="N1100" i="9"/>
  <c r="O1100" i="9" s="1"/>
  <c r="M1100" i="9"/>
  <c r="K1100" i="9"/>
  <c r="T1099" i="9"/>
  <c r="S1099" i="9"/>
  <c r="P1099" i="9"/>
  <c r="N1099" i="9"/>
  <c r="O1099" i="9" s="1"/>
  <c r="M1099" i="9"/>
  <c r="K1099" i="9"/>
  <c r="T1098" i="9"/>
  <c r="S1098" i="9"/>
  <c r="P1098" i="9"/>
  <c r="N1098" i="9"/>
  <c r="O1098" i="9" s="1"/>
  <c r="M1098" i="9"/>
  <c r="K1098" i="9"/>
  <c r="T1097" i="9"/>
  <c r="U1097" i="9" s="1"/>
  <c r="V1097" i="9" s="1"/>
  <c r="S1097" i="9"/>
  <c r="P1097" i="9"/>
  <c r="N1097" i="9"/>
  <c r="O1097" i="9" s="1"/>
  <c r="M1097" i="9"/>
  <c r="K1097" i="9"/>
  <c r="T1096" i="9"/>
  <c r="U1096" i="9" s="1"/>
  <c r="S1096" i="9"/>
  <c r="P1096" i="9"/>
  <c r="N1096" i="9"/>
  <c r="O1096" i="9" s="1"/>
  <c r="M1096" i="9"/>
  <c r="K1096" i="9"/>
  <c r="T1095" i="9"/>
  <c r="S1095" i="9"/>
  <c r="P1095" i="9"/>
  <c r="N1095" i="9"/>
  <c r="O1095" i="9" s="1"/>
  <c r="M1095" i="9"/>
  <c r="K1095" i="9"/>
  <c r="T1094" i="9"/>
  <c r="S1094" i="9"/>
  <c r="P1094" i="9"/>
  <c r="N1094" i="9"/>
  <c r="O1094" i="9" s="1"/>
  <c r="M1094" i="9"/>
  <c r="K1094" i="9"/>
  <c r="U1093" i="9"/>
  <c r="V1093" i="9" s="1"/>
  <c r="T1093" i="9"/>
  <c r="S1093" i="9"/>
  <c r="P1093" i="9"/>
  <c r="N1093" i="9"/>
  <c r="O1093" i="9" s="1"/>
  <c r="M1093" i="9"/>
  <c r="K1093" i="9"/>
  <c r="T1092" i="9"/>
  <c r="U1092" i="9" s="1"/>
  <c r="V1092" i="9" s="1"/>
  <c r="S1092" i="9"/>
  <c r="P1092" i="9"/>
  <c r="N1092" i="9"/>
  <c r="O1092" i="9" s="1"/>
  <c r="M1092" i="9"/>
  <c r="K1092" i="9"/>
  <c r="T1091" i="9"/>
  <c r="S1091" i="9"/>
  <c r="P1091" i="9"/>
  <c r="N1091" i="9"/>
  <c r="O1091" i="9" s="1"/>
  <c r="M1091" i="9"/>
  <c r="K1091" i="9"/>
  <c r="T1090" i="9"/>
  <c r="S1090" i="9"/>
  <c r="P1090" i="9"/>
  <c r="N1090" i="9"/>
  <c r="O1090" i="9" s="1"/>
  <c r="M1090" i="9"/>
  <c r="K1090" i="9"/>
  <c r="U1089" i="9"/>
  <c r="V1089" i="9" s="1"/>
  <c r="T1089" i="9"/>
  <c r="S1089" i="9"/>
  <c r="P1089" i="9"/>
  <c r="N1089" i="9"/>
  <c r="O1089" i="9" s="1"/>
  <c r="M1089" i="9"/>
  <c r="K1089" i="9"/>
  <c r="S1088" i="9"/>
  <c r="L1088" i="9"/>
  <c r="P1088" i="9" s="1"/>
  <c r="K1088" i="9"/>
  <c r="T1087" i="9"/>
  <c r="S1087" i="9"/>
  <c r="P1087" i="9"/>
  <c r="N1087" i="9"/>
  <c r="O1087" i="9" s="1"/>
  <c r="M1087" i="9"/>
  <c r="K1087" i="9"/>
  <c r="U1086" i="9"/>
  <c r="V1086" i="9" s="1"/>
  <c r="T1086" i="9"/>
  <c r="S1086" i="9"/>
  <c r="P1086" i="9"/>
  <c r="O1086" i="9"/>
  <c r="N1086" i="9"/>
  <c r="M1086" i="9"/>
  <c r="K1086" i="9"/>
  <c r="V1085" i="9"/>
  <c r="T1085" i="9"/>
  <c r="U1085" i="9" s="1"/>
  <c r="S1085" i="9"/>
  <c r="P1085" i="9"/>
  <c r="N1085" i="9"/>
  <c r="O1085" i="9" s="1"/>
  <c r="M1085" i="9"/>
  <c r="K1085" i="9"/>
  <c r="T1084" i="9"/>
  <c r="S1084" i="9"/>
  <c r="P1084" i="9"/>
  <c r="N1084" i="9"/>
  <c r="O1084" i="9" s="1"/>
  <c r="M1084" i="9"/>
  <c r="K1084" i="9"/>
  <c r="S1083" i="9"/>
  <c r="L1083" i="9"/>
  <c r="M1083" i="9" s="1"/>
  <c r="K1083" i="9"/>
  <c r="T1082" i="9"/>
  <c r="U1082" i="9" s="1"/>
  <c r="V1082" i="9" s="1"/>
  <c r="S1082" i="9"/>
  <c r="P1082" i="9"/>
  <c r="N1082" i="9"/>
  <c r="O1082" i="9" s="1"/>
  <c r="M1082" i="9"/>
  <c r="K1082" i="9"/>
  <c r="T1081" i="9"/>
  <c r="S1081" i="9"/>
  <c r="P1081" i="9"/>
  <c r="N1081" i="9"/>
  <c r="O1081" i="9" s="1"/>
  <c r="M1081" i="9"/>
  <c r="K1081" i="9"/>
  <c r="T1080" i="9"/>
  <c r="S1080" i="9"/>
  <c r="P1080" i="9"/>
  <c r="N1080" i="9"/>
  <c r="O1080" i="9" s="1"/>
  <c r="M1080" i="9"/>
  <c r="K1080" i="9"/>
  <c r="U1079" i="9"/>
  <c r="V1079" i="9" s="1"/>
  <c r="T1079" i="9"/>
  <c r="S1079" i="9"/>
  <c r="P1079" i="9"/>
  <c r="O1079" i="9"/>
  <c r="N1079" i="9"/>
  <c r="M1079" i="9"/>
  <c r="K1079" i="9"/>
  <c r="S1078" i="9"/>
  <c r="L1078" i="9"/>
  <c r="P1078" i="9" s="1"/>
  <c r="K1078" i="9"/>
  <c r="T1077" i="9"/>
  <c r="S1077" i="9"/>
  <c r="P1077" i="9"/>
  <c r="N1077" i="9"/>
  <c r="O1077" i="9" s="1"/>
  <c r="M1077" i="9"/>
  <c r="K1077" i="9"/>
  <c r="U1076" i="9"/>
  <c r="V1076" i="9" s="1"/>
  <c r="T1076" i="9"/>
  <c r="S1076" i="9"/>
  <c r="P1076" i="9"/>
  <c r="O1076" i="9"/>
  <c r="N1076" i="9"/>
  <c r="M1076" i="9"/>
  <c r="K1076" i="9"/>
  <c r="T1075" i="9"/>
  <c r="U1075" i="9" s="1"/>
  <c r="S1075" i="9"/>
  <c r="P1075" i="9"/>
  <c r="N1075" i="9"/>
  <c r="O1075" i="9" s="1"/>
  <c r="M1075" i="9"/>
  <c r="K1075" i="9"/>
  <c r="T1074" i="9"/>
  <c r="S1074" i="9"/>
  <c r="P1074" i="9"/>
  <c r="N1074" i="9"/>
  <c r="O1074" i="9" s="1"/>
  <c r="M1074" i="9"/>
  <c r="K1074" i="9"/>
  <c r="T1073" i="9"/>
  <c r="S1073" i="9"/>
  <c r="P1073" i="9"/>
  <c r="N1073" i="9"/>
  <c r="O1073" i="9" s="1"/>
  <c r="M1073" i="9"/>
  <c r="K1073" i="9"/>
  <c r="T1072" i="9"/>
  <c r="U1072" i="9" s="1"/>
  <c r="V1072" i="9" s="1"/>
  <c r="S1072" i="9"/>
  <c r="P1072" i="9"/>
  <c r="N1072" i="9"/>
  <c r="O1072" i="9" s="1"/>
  <c r="M1072" i="9"/>
  <c r="K1072" i="9"/>
  <c r="S1071" i="9"/>
  <c r="L1071" i="9"/>
  <c r="K1071" i="9"/>
  <c r="T1070" i="9"/>
  <c r="S1070" i="9"/>
  <c r="P1070" i="9"/>
  <c r="N1070" i="9"/>
  <c r="O1070" i="9" s="1"/>
  <c r="M1070" i="9"/>
  <c r="K1070" i="9"/>
  <c r="U1069" i="9"/>
  <c r="S1069" i="9"/>
  <c r="L1069" i="9"/>
  <c r="T1069" i="9" s="1"/>
  <c r="K1069" i="9"/>
  <c r="T1068" i="9"/>
  <c r="S1068" i="9"/>
  <c r="P1068" i="9"/>
  <c r="N1068" i="9"/>
  <c r="O1068" i="9" s="1"/>
  <c r="M1068" i="9"/>
  <c r="K1068" i="9"/>
  <c r="T1067" i="9"/>
  <c r="S1067" i="9"/>
  <c r="P1067" i="9"/>
  <c r="N1067" i="9"/>
  <c r="O1067" i="9" s="1"/>
  <c r="M1067" i="9"/>
  <c r="K1067" i="9"/>
  <c r="U1066" i="9"/>
  <c r="V1066" i="9" s="1"/>
  <c r="T1066" i="9"/>
  <c r="S1066" i="9"/>
  <c r="P1066" i="9"/>
  <c r="O1066" i="9"/>
  <c r="N1066" i="9"/>
  <c r="M1066" i="9"/>
  <c r="K1066" i="9"/>
  <c r="S1065" i="9"/>
  <c r="L1065" i="9"/>
  <c r="K1065" i="9"/>
  <c r="T1064" i="9"/>
  <c r="S1064" i="9"/>
  <c r="P1064" i="9"/>
  <c r="N1064" i="9"/>
  <c r="O1064" i="9" s="1"/>
  <c r="M1064" i="9"/>
  <c r="K1064" i="9"/>
  <c r="T1063" i="9"/>
  <c r="U1063" i="9" s="1"/>
  <c r="V1063" i="9" s="1"/>
  <c r="S1063" i="9"/>
  <c r="P1063" i="9"/>
  <c r="N1063" i="9"/>
  <c r="O1063" i="9" s="1"/>
  <c r="M1063" i="9"/>
  <c r="K1063" i="9"/>
  <c r="T1062" i="9"/>
  <c r="U1062" i="9" s="1"/>
  <c r="V1062" i="9" s="1"/>
  <c r="S1062" i="9"/>
  <c r="P1062" i="9"/>
  <c r="N1062" i="9"/>
  <c r="O1062" i="9" s="1"/>
  <c r="M1062" i="9"/>
  <c r="K1062" i="9"/>
  <c r="T1061" i="9"/>
  <c r="S1061" i="9"/>
  <c r="P1061" i="9"/>
  <c r="N1061" i="9"/>
  <c r="O1061" i="9" s="1"/>
  <c r="M1061" i="9"/>
  <c r="K1061" i="9"/>
  <c r="S1060" i="9"/>
  <c r="L1060" i="9"/>
  <c r="K1060" i="9"/>
  <c r="T1059" i="9"/>
  <c r="S1059" i="9"/>
  <c r="P1059" i="9"/>
  <c r="N1059" i="9"/>
  <c r="O1059" i="9" s="1"/>
  <c r="M1059" i="9"/>
  <c r="K1059" i="9"/>
  <c r="T1058" i="9"/>
  <c r="S1058" i="9"/>
  <c r="P1058" i="9"/>
  <c r="N1058" i="9"/>
  <c r="O1058" i="9" s="1"/>
  <c r="M1058" i="9"/>
  <c r="K1058" i="9"/>
  <c r="T1057" i="9"/>
  <c r="S1057" i="9"/>
  <c r="L1057" i="9"/>
  <c r="M1057" i="9" s="1"/>
  <c r="K1057" i="9"/>
  <c r="T1056" i="9"/>
  <c r="U1056" i="9" s="1"/>
  <c r="V1056" i="9" s="1"/>
  <c r="S1056" i="9"/>
  <c r="P1056" i="9"/>
  <c r="N1056" i="9"/>
  <c r="O1056" i="9" s="1"/>
  <c r="M1056" i="9"/>
  <c r="K1056" i="9"/>
  <c r="T1055" i="9"/>
  <c r="S1055" i="9"/>
  <c r="P1055" i="9"/>
  <c r="N1055" i="9"/>
  <c r="O1055" i="9" s="1"/>
  <c r="M1055" i="9"/>
  <c r="K1055" i="9"/>
  <c r="T1054" i="9"/>
  <c r="S1054" i="9"/>
  <c r="L1054" i="9"/>
  <c r="M1054" i="9" s="1"/>
  <c r="K1054" i="9"/>
  <c r="S1053" i="9"/>
  <c r="L1053" i="9"/>
  <c r="K1053" i="9"/>
  <c r="T1052" i="9"/>
  <c r="S1052" i="9"/>
  <c r="L1052" i="9"/>
  <c r="M1052" i="9" s="1"/>
  <c r="K1052" i="9"/>
  <c r="S1051" i="9"/>
  <c r="L1051" i="9"/>
  <c r="P1051" i="9" s="1"/>
  <c r="K1051" i="9"/>
  <c r="T1050" i="9"/>
  <c r="S1050" i="9"/>
  <c r="P1050" i="9"/>
  <c r="N1050" i="9"/>
  <c r="O1050" i="9" s="1"/>
  <c r="M1050" i="9"/>
  <c r="K1050" i="9"/>
  <c r="S1049" i="9"/>
  <c r="L1049" i="9"/>
  <c r="T1049" i="9" s="1"/>
  <c r="U1049" i="9" s="1"/>
  <c r="K1049" i="9"/>
  <c r="S1048" i="9"/>
  <c r="N1048" i="9"/>
  <c r="O1048" i="9" s="1"/>
  <c r="M1048" i="9"/>
  <c r="L1048" i="9"/>
  <c r="K1048" i="9"/>
  <c r="U1047" i="9"/>
  <c r="V1047" i="9" s="1"/>
  <c r="T1047" i="9"/>
  <c r="S1047" i="9"/>
  <c r="P1047" i="9"/>
  <c r="O1047" i="9"/>
  <c r="N1047" i="9"/>
  <c r="M1047" i="9"/>
  <c r="K1047" i="9"/>
  <c r="V1046" i="9"/>
  <c r="T1046" i="9"/>
  <c r="U1046" i="9" s="1"/>
  <c r="S1046" i="9"/>
  <c r="P1046" i="9"/>
  <c r="N1046" i="9"/>
  <c r="O1046" i="9" s="1"/>
  <c r="M1046" i="9"/>
  <c r="K1046" i="9"/>
  <c r="S1045" i="9"/>
  <c r="N1045" i="9"/>
  <c r="O1045" i="9" s="1"/>
  <c r="L1045" i="9"/>
  <c r="P1045" i="9" s="1"/>
  <c r="K1045" i="9"/>
  <c r="T1044" i="9"/>
  <c r="U1044" i="9" s="1"/>
  <c r="V1044" i="9" s="1"/>
  <c r="S1044" i="9"/>
  <c r="P1044" i="9"/>
  <c r="N1044" i="9"/>
  <c r="O1044" i="9" s="1"/>
  <c r="M1044" i="9"/>
  <c r="K1044" i="9"/>
  <c r="T1043" i="9"/>
  <c r="U1043" i="9" s="1"/>
  <c r="V1043" i="9" s="1"/>
  <c r="S1043" i="9"/>
  <c r="P1043" i="9"/>
  <c r="N1043" i="9"/>
  <c r="O1043" i="9" s="1"/>
  <c r="M1043" i="9"/>
  <c r="K1043" i="9"/>
  <c r="T1042" i="9"/>
  <c r="S1042" i="9"/>
  <c r="P1042" i="9"/>
  <c r="N1042" i="9"/>
  <c r="O1042" i="9" s="1"/>
  <c r="M1042" i="9"/>
  <c r="K1042" i="9"/>
  <c r="T1041" i="9"/>
  <c r="S1041" i="9"/>
  <c r="P1041" i="9"/>
  <c r="N1041" i="9"/>
  <c r="O1041" i="9" s="1"/>
  <c r="M1041" i="9"/>
  <c r="K1041" i="9"/>
  <c r="U1040" i="9"/>
  <c r="V1040" i="9" s="1"/>
  <c r="T1040" i="9"/>
  <c r="S1040" i="9"/>
  <c r="P1040" i="9"/>
  <c r="N1040" i="9"/>
  <c r="O1040" i="9" s="1"/>
  <c r="M1040" i="9"/>
  <c r="K1040" i="9"/>
  <c r="T1039" i="9"/>
  <c r="S1039" i="9"/>
  <c r="P1039" i="9"/>
  <c r="N1039" i="9"/>
  <c r="O1039" i="9" s="1"/>
  <c r="M1039" i="9"/>
  <c r="K1039" i="9"/>
  <c r="T1038" i="9"/>
  <c r="S1038" i="9"/>
  <c r="P1038" i="9"/>
  <c r="N1038" i="9"/>
  <c r="O1038" i="9" s="1"/>
  <c r="M1038" i="9"/>
  <c r="K1038" i="9"/>
  <c r="T1037" i="9"/>
  <c r="S1037" i="9"/>
  <c r="P1037" i="9"/>
  <c r="N1037" i="9"/>
  <c r="O1037" i="9" s="1"/>
  <c r="M1037" i="9"/>
  <c r="K1037" i="9"/>
  <c r="T1036" i="9"/>
  <c r="U1036" i="9" s="1"/>
  <c r="V1036" i="9" s="1"/>
  <c r="S1036" i="9"/>
  <c r="P1036" i="9"/>
  <c r="N1036" i="9"/>
  <c r="O1036" i="9" s="1"/>
  <c r="M1036" i="9"/>
  <c r="K1036" i="9"/>
  <c r="T1035" i="9"/>
  <c r="S1035" i="9"/>
  <c r="P1035" i="9"/>
  <c r="N1035" i="9"/>
  <c r="O1035" i="9" s="1"/>
  <c r="M1035" i="9"/>
  <c r="K1035" i="9"/>
  <c r="T1034" i="9"/>
  <c r="S1034" i="9"/>
  <c r="P1034" i="9"/>
  <c r="N1034" i="9"/>
  <c r="O1034" i="9" s="1"/>
  <c r="M1034" i="9"/>
  <c r="K1034" i="9"/>
  <c r="T1033" i="9"/>
  <c r="S1033" i="9"/>
  <c r="L1033" i="9"/>
  <c r="M1033" i="9" s="1"/>
  <c r="K1033" i="9"/>
  <c r="S1032" i="9"/>
  <c r="P1032" i="9"/>
  <c r="L1032" i="9"/>
  <c r="K1032" i="9"/>
  <c r="T1031" i="9"/>
  <c r="S1031" i="9"/>
  <c r="P1031" i="9"/>
  <c r="N1031" i="9"/>
  <c r="O1031" i="9" s="1"/>
  <c r="M1031" i="9"/>
  <c r="K1031" i="9"/>
  <c r="T1030" i="9"/>
  <c r="U1030" i="9" s="1"/>
  <c r="V1030" i="9" s="1"/>
  <c r="S1030" i="9"/>
  <c r="P1030" i="9"/>
  <c r="N1030" i="9"/>
  <c r="O1030" i="9" s="1"/>
  <c r="M1030" i="9"/>
  <c r="K1030" i="9"/>
  <c r="U1029" i="9"/>
  <c r="V1029" i="9" s="1"/>
  <c r="T1029" i="9"/>
  <c r="S1029" i="9"/>
  <c r="P1029" i="9"/>
  <c r="N1029" i="9"/>
  <c r="O1029" i="9" s="1"/>
  <c r="M1029" i="9"/>
  <c r="K1029" i="9"/>
  <c r="T1028" i="9"/>
  <c r="S1028" i="9"/>
  <c r="P1028" i="9"/>
  <c r="N1028" i="9"/>
  <c r="O1028" i="9" s="1"/>
  <c r="M1028" i="9"/>
  <c r="K1028" i="9"/>
  <c r="T1027" i="9"/>
  <c r="S1027" i="9"/>
  <c r="P1027" i="9"/>
  <c r="N1027" i="9"/>
  <c r="O1027" i="9" s="1"/>
  <c r="M1027" i="9"/>
  <c r="K1027" i="9"/>
  <c r="T1026" i="9"/>
  <c r="U1026" i="9" s="1"/>
  <c r="V1026" i="9" s="1"/>
  <c r="S1026" i="9"/>
  <c r="P1026" i="9"/>
  <c r="N1026" i="9"/>
  <c r="O1026" i="9" s="1"/>
  <c r="M1026" i="9"/>
  <c r="K1026" i="9"/>
  <c r="U1025" i="9"/>
  <c r="T1025" i="9"/>
  <c r="V1025" i="9" s="1"/>
  <c r="S1025" i="9"/>
  <c r="P1025" i="9"/>
  <c r="N1025" i="9"/>
  <c r="O1025" i="9" s="1"/>
  <c r="M1025" i="9"/>
  <c r="K1025" i="9"/>
  <c r="T1024" i="9"/>
  <c r="S1024" i="9"/>
  <c r="P1024" i="9"/>
  <c r="N1024" i="9"/>
  <c r="O1024" i="9" s="1"/>
  <c r="M1024" i="9"/>
  <c r="K1024" i="9"/>
  <c r="T1023" i="9"/>
  <c r="S1023" i="9"/>
  <c r="P1023" i="9"/>
  <c r="N1023" i="9"/>
  <c r="O1023" i="9" s="1"/>
  <c r="M1023" i="9"/>
  <c r="K1023" i="9"/>
  <c r="U1022" i="9"/>
  <c r="S1022" i="9"/>
  <c r="L1022" i="9"/>
  <c r="T1022" i="9" s="1"/>
  <c r="K1022" i="9"/>
  <c r="T1021" i="9"/>
  <c r="S1021" i="9"/>
  <c r="P1021" i="9"/>
  <c r="N1021" i="9"/>
  <c r="O1021" i="9" s="1"/>
  <c r="M1021" i="9"/>
  <c r="K1021" i="9"/>
  <c r="T1020" i="9"/>
  <c r="S1020" i="9"/>
  <c r="P1020" i="9"/>
  <c r="N1020" i="9"/>
  <c r="O1020" i="9" s="1"/>
  <c r="M1020" i="9"/>
  <c r="K1020" i="9"/>
  <c r="T1019" i="9"/>
  <c r="U1019" i="9" s="1"/>
  <c r="V1019" i="9" s="1"/>
  <c r="S1019" i="9"/>
  <c r="P1019" i="9"/>
  <c r="N1019" i="9"/>
  <c r="O1019" i="9" s="1"/>
  <c r="M1019" i="9"/>
  <c r="K1019" i="9"/>
  <c r="V1018" i="9"/>
  <c r="T1018" i="9"/>
  <c r="U1018" i="9" s="1"/>
  <c r="S1018" i="9"/>
  <c r="P1018" i="9"/>
  <c r="N1018" i="9"/>
  <c r="O1018" i="9" s="1"/>
  <c r="M1018" i="9"/>
  <c r="K1018" i="9"/>
  <c r="S1017" i="9"/>
  <c r="L1017" i="9"/>
  <c r="K1017" i="9"/>
  <c r="T1016" i="9"/>
  <c r="U1016" i="9" s="1"/>
  <c r="V1016" i="9" s="1"/>
  <c r="S1016" i="9"/>
  <c r="P1016" i="9"/>
  <c r="O1016" i="9"/>
  <c r="N1016" i="9"/>
  <c r="M1016" i="9"/>
  <c r="K1016" i="9"/>
  <c r="T1015" i="9"/>
  <c r="U1015" i="9" s="1"/>
  <c r="S1015" i="9"/>
  <c r="P1015" i="9"/>
  <c r="N1015" i="9"/>
  <c r="O1015" i="9" s="1"/>
  <c r="M1015" i="9"/>
  <c r="K1015" i="9"/>
  <c r="S1014" i="9"/>
  <c r="L1014" i="9"/>
  <c r="K1014" i="9"/>
  <c r="T1013" i="9"/>
  <c r="U1013" i="9" s="1"/>
  <c r="V1013" i="9" s="1"/>
  <c r="S1013" i="9"/>
  <c r="P1013" i="9"/>
  <c r="N1013" i="9"/>
  <c r="O1013" i="9" s="1"/>
  <c r="M1013" i="9"/>
  <c r="K1013" i="9"/>
  <c r="S1012" i="9"/>
  <c r="L1012" i="9"/>
  <c r="P1012" i="9" s="1"/>
  <c r="K1012" i="9"/>
  <c r="T1011" i="9"/>
  <c r="S1011" i="9"/>
  <c r="P1011" i="9"/>
  <c r="N1011" i="9"/>
  <c r="O1011" i="9" s="1"/>
  <c r="M1011" i="9"/>
  <c r="K1011" i="9"/>
  <c r="U1010" i="9"/>
  <c r="V1010" i="9" s="1"/>
  <c r="T1010" i="9"/>
  <c r="S1010" i="9"/>
  <c r="P1010" i="9"/>
  <c r="N1010" i="9"/>
  <c r="O1010" i="9" s="1"/>
  <c r="M1010" i="9"/>
  <c r="K1010" i="9"/>
  <c r="T1009" i="9"/>
  <c r="U1009" i="9" s="1"/>
  <c r="V1009" i="9" s="1"/>
  <c r="S1009" i="9"/>
  <c r="P1009" i="9"/>
  <c r="O1009" i="9"/>
  <c r="N1009" i="9"/>
  <c r="M1009" i="9"/>
  <c r="K1009" i="9"/>
  <c r="T1008" i="9"/>
  <c r="S1008" i="9"/>
  <c r="P1008" i="9"/>
  <c r="N1008" i="9"/>
  <c r="O1008" i="9" s="1"/>
  <c r="M1008" i="9"/>
  <c r="K1008" i="9"/>
  <c r="T1007" i="9"/>
  <c r="S1007" i="9"/>
  <c r="P1007" i="9"/>
  <c r="N1007" i="9"/>
  <c r="O1007" i="9" s="1"/>
  <c r="M1007" i="9"/>
  <c r="K1007" i="9"/>
  <c r="T1006" i="9"/>
  <c r="U1006" i="9" s="1"/>
  <c r="V1006" i="9" s="1"/>
  <c r="S1006" i="9"/>
  <c r="P1006" i="9"/>
  <c r="N1006" i="9"/>
  <c r="O1006" i="9" s="1"/>
  <c r="M1006" i="9"/>
  <c r="K1006" i="9"/>
  <c r="T1005" i="9"/>
  <c r="S1005" i="9"/>
  <c r="P1005" i="9"/>
  <c r="N1005" i="9"/>
  <c r="O1005" i="9" s="1"/>
  <c r="M1005" i="9"/>
  <c r="K1005" i="9"/>
  <c r="S1004" i="9"/>
  <c r="M1004" i="9"/>
  <c r="L1004" i="9"/>
  <c r="P1004" i="9" s="1"/>
  <c r="K1004" i="9"/>
  <c r="S1003" i="9"/>
  <c r="L1003" i="9"/>
  <c r="T1003" i="9" s="1"/>
  <c r="U1003" i="9" s="1"/>
  <c r="K1003" i="9"/>
  <c r="T1002" i="9"/>
  <c r="S1002" i="9"/>
  <c r="P1002" i="9"/>
  <c r="N1002" i="9"/>
  <c r="O1002" i="9" s="1"/>
  <c r="M1002" i="9"/>
  <c r="K1002" i="9"/>
  <c r="T1001" i="9"/>
  <c r="S1001" i="9"/>
  <c r="P1001" i="9"/>
  <c r="N1001" i="9"/>
  <c r="O1001" i="9" s="1"/>
  <c r="M1001" i="9"/>
  <c r="K1001" i="9"/>
  <c r="S1000" i="9"/>
  <c r="L1000" i="9"/>
  <c r="T1000" i="9" s="1"/>
  <c r="K1000" i="9"/>
  <c r="T999" i="9"/>
  <c r="S999" i="9"/>
  <c r="P999" i="9"/>
  <c r="N999" i="9"/>
  <c r="O999" i="9" s="1"/>
  <c r="M999" i="9"/>
  <c r="K999" i="9"/>
  <c r="T998" i="9"/>
  <c r="S998" i="9"/>
  <c r="P998" i="9"/>
  <c r="N998" i="9"/>
  <c r="O998" i="9" s="1"/>
  <c r="M998" i="9"/>
  <c r="K998" i="9"/>
  <c r="S997" i="9"/>
  <c r="L997" i="9"/>
  <c r="T997" i="9" s="1"/>
  <c r="U997" i="9" s="1"/>
  <c r="K997" i="9"/>
  <c r="T996" i="9"/>
  <c r="S996" i="9"/>
  <c r="P996" i="9"/>
  <c r="N996" i="9"/>
  <c r="O996" i="9" s="1"/>
  <c r="M996" i="9"/>
  <c r="K996" i="9"/>
  <c r="T995" i="9"/>
  <c r="S995" i="9"/>
  <c r="P995" i="9"/>
  <c r="N995" i="9"/>
  <c r="O995" i="9" s="1"/>
  <c r="M995" i="9"/>
  <c r="K995" i="9"/>
  <c r="U994" i="9"/>
  <c r="V994" i="9" s="1"/>
  <c r="T994" i="9"/>
  <c r="S994" i="9"/>
  <c r="P994" i="9"/>
  <c r="O994" i="9"/>
  <c r="N994" i="9"/>
  <c r="M994" i="9"/>
  <c r="K994" i="9"/>
  <c r="S993" i="9"/>
  <c r="L993" i="9"/>
  <c r="P993" i="9" s="1"/>
  <c r="K993" i="9"/>
  <c r="S992" i="9"/>
  <c r="L992" i="9"/>
  <c r="K992" i="9"/>
  <c r="T991" i="9"/>
  <c r="S991" i="9"/>
  <c r="P991" i="9"/>
  <c r="N991" i="9"/>
  <c r="O991" i="9" s="1"/>
  <c r="M991" i="9"/>
  <c r="K991" i="9"/>
  <c r="T990" i="9"/>
  <c r="S990" i="9"/>
  <c r="P990" i="9"/>
  <c r="N990" i="9"/>
  <c r="O990" i="9" s="1"/>
  <c r="M990" i="9"/>
  <c r="K990" i="9"/>
  <c r="T989" i="9"/>
  <c r="S989" i="9"/>
  <c r="P989" i="9"/>
  <c r="N989" i="9"/>
  <c r="O989" i="9" s="1"/>
  <c r="M989" i="9"/>
  <c r="K989" i="9"/>
  <c r="S988" i="9"/>
  <c r="L988" i="9"/>
  <c r="T988" i="9" s="1"/>
  <c r="U988" i="9" s="1"/>
  <c r="K988" i="9"/>
  <c r="T987" i="9"/>
  <c r="S987" i="9"/>
  <c r="P987" i="9"/>
  <c r="N987" i="9"/>
  <c r="O987" i="9" s="1"/>
  <c r="M987" i="9"/>
  <c r="K987" i="9"/>
  <c r="T986" i="9"/>
  <c r="S986" i="9"/>
  <c r="P986" i="9"/>
  <c r="N986" i="9"/>
  <c r="O986" i="9" s="1"/>
  <c r="M986" i="9"/>
  <c r="K986" i="9"/>
  <c r="U985" i="9"/>
  <c r="V985" i="9" s="1"/>
  <c r="T985" i="9"/>
  <c r="S985" i="9"/>
  <c r="P985" i="9"/>
  <c r="N985" i="9"/>
  <c r="O985" i="9" s="1"/>
  <c r="M985" i="9"/>
  <c r="K985" i="9"/>
  <c r="T984" i="9"/>
  <c r="S984" i="9"/>
  <c r="P984" i="9"/>
  <c r="N984" i="9"/>
  <c r="O984" i="9" s="1"/>
  <c r="M984" i="9"/>
  <c r="K984" i="9"/>
  <c r="T983" i="9"/>
  <c r="S983" i="9"/>
  <c r="P983" i="9"/>
  <c r="N983" i="9"/>
  <c r="O983" i="9" s="1"/>
  <c r="M983" i="9"/>
  <c r="K983" i="9"/>
  <c r="T982" i="9"/>
  <c r="S982" i="9"/>
  <c r="P982" i="9"/>
  <c r="N982" i="9"/>
  <c r="O982" i="9" s="1"/>
  <c r="M982" i="9"/>
  <c r="K982" i="9"/>
  <c r="S981" i="9"/>
  <c r="L981" i="9"/>
  <c r="T981" i="9" s="1"/>
  <c r="U981" i="9" s="1"/>
  <c r="K981" i="9"/>
  <c r="S980" i="9"/>
  <c r="M980" i="9"/>
  <c r="L980" i="9"/>
  <c r="K980" i="9"/>
  <c r="T979" i="9"/>
  <c r="U979" i="9" s="1"/>
  <c r="V979" i="9" s="1"/>
  <c r="S979" i="9"/>
  <c r="P979" i="9"/>
  <c r="O979" i="9"/>
  <c r="N979" i="9"/>
  <c r="M979" i="9"/>
  <c r="K979" i="9"/>
  <c r="T978" i="9"/>
  <c r="U978" i="9" s="1"/>
  <c r="S978" i="9"/>
  <c r="P978" i="9"/>
  <c r="O978" i="9"/>
  <c r="N978" i="9"/>
  <c r="M978" i="9"/>
  <c r="K978" i="9"/>
  <c r="T977" i="9"/>
  <c r="S977" i="9"/>
  <c r="P977" i="9"/>
  <c r="N977" i="9"/>
  <c r="O977" i="9" s="1"/>
  <c r="M977" i="9"/>
  <c r="K977" i="9"/>
  <c r="T976" i="9"/>
  <c r="S976" i="9"/>
  <c r="P976" i="9"/>
  <c r="N976" i="9"/>
  <c r="O976" i="9" s="1"/>
  <c r="M976" i="9"/>
  <c r="K976" i="9"/>
  <c r="T975" i="9"/>
  <c r="U975" i="9" s="1"/>
  <c r="V975" i="9" s="1"/>
  <c r="S975" i="9"/>
  <c r="P975" i="9"/>
  <c r="N975" i="9"/>
  <c r="O975" i="9" s="1"/>
  <c r="M975" i="9"/>
  <c r="K975" i="9"/>
  <c r="S974" i="9"/>
  <c r="L974" i="9"/>
  <c r="P974" i="9" s="1"/>
  <c r="K974" i="9"/>
  <c r="S973" i="9"/>
  <c r="N973" i="9"/>
  <c r="O973" i="9" s="1"/>
  <c r="L973" i="9"/>
  <c r="K973" i="9"/>
  <c r="S972" i="9"/>
  <c r="L972" i="9"/>
  <c r="P972" i="9" s="1"/>
  <c r="K972" i="9"/>
  <c r="T971" i="9"/>
  <c r="S971" i="9"/>
  <c r="P971" i="9"/>
  <c r="N971" i="9"/>
  <c r="O971" i="9" s="1"/>
  <c r="M971" i="9"/>
  <c r="K971" i="9"/>
  <c r="S970" i="9"/>
  <c r="L970" i="9"/>
  <c r="K970" i="9"/>
  <c r="T969" i="9"/>
  <c r="S969" i="9"/>
  <c r="P969" i="9"/>
  <c r="N969" i="9"/>
  <c r="O969" i="9" s="1"/>
  <c r="M969" i="9"/>
  <c r="K969" i="9"/>
  <c r="S968" i="9"/>
  <c r="N968" i="9"/>
  <c r="O968" i="9" s="1"/>
  <c r="L968" i="9"/>
  <c r="P968" i="9" s="1"/>
  <c r="K968" i="9"/>
  <c r="T967" i="9"/>
  <c r="S967" i="9"/>
  <c r="P967" i="9"/>
  <c r="N967" i="9"/>
  <c r="O967" i="9" s="1"/>
  <c r="M967" i="9"/>
  <c r="K967" i="9"/>
  <c r="T966" i="9"/>
  <c r="S966" i="9"/>
  <c r="P966" i="9"/>
  <c r="N966" i="9"/>
  <c r="O966" i="9" s="1"/>
  <c r="M966" i="9"/>
  <c r="K966" i="9"/>
  <c r="T965" i="9"/>
  <c r="S965" i="9"/>
  <c r="P965" i="9"/>
  <c r="N965" i="9"/>
  <c r="O965" i="9" s="1"/>
  <c r="M965" i="9"/>
  <c r="K965" i="9"/>
  <c r="T964" i="9"/>
  <c r="U964" i="9" s="1"/>
  <c r="V964" i="9" s="1"/>
  <c r="S964" i="9"/>
  <c r="P964" i="9"/>
  <c r="N964" i="9"/>
  <c r="O964" i="9" s="1"/>
  <c r="M964" i="9"/>
  <c r="K964" i="9"/>
  <c r="T963" i="9"/>
  <c r="S963" i="9"/>
  <c r="P963" i="9"/>
  <c r="O963" i="9"/>
  <c r="N963" i="9"/>
  <c r="M963" i="9"/>
  <c r="K963" i="9"/>
  <c r="S962" i="9"/>
  <c r="L962" i="9"/>
  <c r="K962" i="9"/>
  <c r="T961" i="9"/>
  <c r="U961" i="9" s="1"/>
  <c r="V961" i="9" s="1"/>
  <c r="S961" i="9"/>
  <c r="P961" i="9"/>
  <c r="N961" i="9"/>
  <c r="O961" i="9" s="1"/>
  <c r="M961" i="9"/>
  <c r="K961" i="9"/>
  <c r="T960" i="9"/>
  <c r="S960" i="9"/>
  <c r="P960" i="9"/>
  <c r="N960" i="9"/>
  <c r="O960" i="9" s="1"/>
  <c r="M960" i="9"/>
  <c r="K960" i="9"/>
  <c r="T959" i="9"/>
  <c r="S959" i="9"/>
  <c r="P959" i="9"/>
  <c r="N959" i="9"/>
  <c r="O959" i="9" s="1"/>
  <c r="M959" i="9"/>
  <c r="K959" i="9"/>
  <c r="T958" i="9"/>
  <c r="S958" i="9"/>
  <c r="P958" i="9"/>
  <c r="N958" i="9"/>
  <c r="O958" i="9" s="1"/>
  <c r="M958" i="9"/>
  <c r="K958" i="9"/>
  <c r="T957" i="9"/>
  <c r="U957" i="9" s="1"/>
  <c r="V957" i="9" s="1"/>
  <c r="S957" i="9"/>
  <c r="P957" i="9"/>
  <c r="N957" i="9"/>
  <c r="O957" i="9" s="1"/>
  <c r="M957" i="9"/>
  <c r="K957" i="9"/>
  <c r="V956" i="9"/>
  <c r="U956" i="9"/>
  <c r="T956" i="9"/>
  <c r="S956" i="9"/>
  <c r="P956" i="9"/>
  <c r="O956" i="9"/>
  <c r="N956" i="9"/>
  <c r="M956" i="9"/>
  <c r="K956" i="9"/>
  <c r="T955" i="9"/>
  <c r="S955" i="9"/>
  <c r="P955" i="9"/>
  <c r="N955" i="9"/>
  <c r="O955" i="9" s="1"/>
  <c r="M955" i="9"/>
  <c r="K955" i="9"/>
  <c r="T954" i="9"/>
  <c r="S954" i="9"/>
  <c r="P954" i="9"/>
  <c r="N954" i="9"/>
  <c r="O954" i="9" s="1"/>
  <c r="M954" i="9"/>
  <c r="K954" i="9"/>
  <c r="S953" i="9"/>
  <c r="L953" i="9"/>
  <c r="K953" i="9"/>
  <c r="T952" i="9"/>
  <c r="S952" i="9"/>
  <c r="P952" i="9"/>
  <c r="N952" i="9"/>
  <c r="O952" i="9" s="1"/>
  <c r="M952" i="9"/>
  <c r="K952" i="9"/>
  <c r="U951" i="9"/>
  <c r="T951" i="9"/>
  <c r="S951" i="9"/>
  <c r="P951" i="9"/>
  <c r="N951" i="9"/>
  <c r="O951" i="9" s="1"/>
  <c r="M951" i="9"/>
  <c r="K951" i="9"/>
  <c r="S950" i="9"/>
  <c r="L950" i="9"/>
  <c r="P950" i="9" s="1"/>
  <c r="K950" i="9"/>
  <c r="T949" i="9"/>
  <c r="S949" i="9"/>
  <c r="P949" i="9"/>
  <c r="N949" i="9"/>
  <c r="O949" i="9" s="1"/>
  <c r="M949" i="9"/>
  <c r="K949" i="9"/>
  <c r="T948" i="9"/>
  <c r="U948" i="9" s="1"/>
  <c r="S948" i="9"/>
  <c r="P948" i="9"/>
  <c r="N948" i="9"/>
  <c r="O948" i="9" s="1"/>
  <c r="M948" i="9"/>
  <c r="K948" i="9"/>
  <c r="T947" i="9"/>
  <c r="S947" i="9"/>
  <c r="P947" i="9"/>
  <c r="N947" i="9"/>
  <c r="O947" i="9" s="1"/>
  <c r="M947" i="9"/>
  <c r="K947" i="9"/>
  <c r="U946" i="9"/>
  <c r="T946" i="9"/>
  <c r="V946" i="9" s="1"/>
  <c r="S946" i="9"/>
  <c r="P946" i="9"/>
  <c r="N946" i="9"/>
  <c r="O946" i="9" s="1"/>
  <c r="M946" i="9"/>
  <c r="K946" i="9"/>
  <c r="T945" i="9"/>
  <c r="S945" i="9"/>
  <c r="L945" i="9"/>
  <c r="P945" i="9" s="1"/>
  <c r="K945" i="9"/>
  <c r="S944" i="9"/>
  <c r="L944" i="9"/>
  <c r="P944" i="9" s="1"/>
  <c r="K944" i="9"/>
  <c r="T943" i="9"/>
  <c r="S943" i="9"/>
  <c r="N943" i="9"/>
  <c r="O943" i="9" s="1"/>
  <c r="L943" i="9"/>
  <c r="P943" i="9" s="1"/>
  <c r="K943" i="9"/>
  <c r="U942" i="9"/>
  <c r="V942" i="9" s="1"/>
  <c r="T942" i="9"/>
  <c r="S942" i="9"/>
  <c r="P942" i="9"/>
  <c r="N942" i="9"/>
  <c r="O942" i="9" s="1"/>
  <c r="M942" i="9"/>
  <c r="K942" i="9"/>
  <c r="T941" i="9"/>
  <c r="U941" i="9" s="1"/>
  <c r="V941" i="9" s="1"/>
  <c r="S941" i="9"/>
  <c r="P941" i="9"/>
  <c r="N941" i="9"/>
  <c r="O941" i="9" s="1"/>
  <c r="M941" i="9"/>
  <c r="K941" i="9"/>
  <c r="T940" i="9"/>
  <c r="S940" i="9"/>
  <c r="P940" i="9"/>
  <c r="N940" i="9"/>
  <c r="O940" i="9" s="1"/>
  <c r="M940" i="9"/>
  <c r="K940" i="9"/>
  <c r="U939" i="9"/>
  <c r="T939" i="9"/>
  <c r="S939" i="9"/>
  <c r="P939" i="9"/>
  <c r="O939" i="9"/>
  <c r="N939" i="9"/>
  <c r="M939" i="9"/>
  <c r="K939" i="9"/>
  <c r="T938" i="9"/>
  <c r="S938" i="9"/>
  <c r="P938" i="9"/>
  <c r="N938" i="9"/>
  <c r="O938" i="9" s="1"/>
  <c r="M938" i="9"/>
  <c r="K938" i="9"/>
  <c r="V937" i="9"/>
  <c r="T937" i="9"/>
  <c r="U937" i="9" s="1"/>
  <c r="S937" i="9"/>
  <c r="P937" i="9"/>
  <c r="N937" i="9"/>
  <c r="O937" i="9" s="1"/>
  <c r="M937" i="9"/>
  <c r="K937" i="9"/>
  <c r="T936" i="9"/>
  <c r="S936" i="9"/>
  <c r="P936" i="9"/>
  <c r="N936" i="9"/>
  <c r="O936" i="9" s="1"/>
  <c r="M936" i="9"/>
  <c r="K936" i="9"/>
  <c r="T935" i="9"/>
  <c r="S935" i="9"/>
  <c r="P935" i="9"/>
  <c r="N935" i="9"/>
  <c r="O935" i="9" s="1"/>
  <c r="M935" i="9"/>
  <c r="K935" i="9"/>
  <c r="U934" i="9"/>
  <c r="V934" i="9" s="1"/>
  <c r="T934" i="9"/>
  <c r="S934" i="9"/>
  <c r="P934" i="9"/>
  <c r="O934" i="9"/>
  <c r="N934" i="9"/>
  <c r="M934" i="9"/>
  <c r="K934" i="9"/>
  <c r="T933" i="9"/>
  <c r="U933" i="9" s="1"/>
  <c r="V933" i="9" s="1"/>
  <c r="S933" i="9"/>
  <c r="P933" i="9"/>
  <c r="N933" i="9"/>
  <c r="O933" i="9" s="1"/>
  <c r="M933" i="9"/>
  <c r="K933" i="9"/>
  <c r="T932" i="9"/>
  <c r="S932" i="9"/>
  <c r="P932" i="9"/>
  <c r="N932" i="9"/>
  <c r="O932" i="9" s="1"/>
  <c r="M932" i="9"/>
  <c r="K932" i="9"/>
  <c r="U931" i="9"/>
  <c r="T931" i="9"/>
  <c r="S931" i="9"/>
  <c r="P931" i="9"/>
  <c r="O931" i="9"/>
  <c r="N931" i="9"/>
  <c r="M931" i="9"/>
  <c r="K931" i="9"/>
  <c r="U930" i="9"/>
  <c r="V930" i="9" s="1"/>
  <c r="T930" i="9"/>
  <c r="S930" i="9"/>
  <c r="P930" i="9"/>
  <c r="O930" i="9"/>
  <c r="N930" i="9"/>
  <c r="M930" i="9"/>
  <c r="K930" i="9"/>
  <c r="T929" i="9"/>
  <c r="U929" i="9" s="1"/>
  <c r="S929" i="9"/>
  <c r="P929" i="9"/>
  <c r="N929" i="9"/>
  <c r="O929" i="9" s="1"/>
  <c r="M929" i="9"/>
  <c r="K929" i="9"/>
  <c r="T928" i="9"/>
  <c r="S928" i="9"/>
  <c r="P928" i="9"/>
  <c r="N928" i="9"/>
  <c r="O928" i="9" s="1"/>
  <c r="M928" i="9"/>
  <c r="K928" i="9"/>
  <c r="T927" i="9"/>
  <c r="S927" i="9"/>
  <c r="P927" i="9"/>
  <c r="N927" i="9"/>
  <c r="O927" i="9" s="1"/>
  <c r="M927" i="9"/>
  <c r="K927" i="9"/>
  <c r="T926" i="9"/>
  <c r="U926" i="9" s="1"/>
  <c r="V926" i="9" s="1"/>
  <c r="S926" i="9"/>
  <c r="P926" i="9"/>
  <c r="O926" i="9"/>
  <c r="N926" i="9"/>
  <c r="M926" i="9"/>
  <c r="K926" i="9"/>
  <c r="T925" i="9"/>
  <c r="U925" i="9" s="1"/>
  <c r="V925" i="9" s="1"/>
  <c r="S925" i="9"/>
  <c r="P925" i="9"/>
  <c r="N925" i="9"/>
  <c r="O925" i="9" s="1"/>
  <c r="M925" i="9"/>
  <c r="K925" i="9"/>
  <c r="T924" i="9"/>
  <c r="S924" i="9"/>
  <c r="P924" i="9"/>
  <c r="N924" i="9"/>
  <c r="O924" i="9" s="1"/>
  <c r="M924" i="9"/>
  <c r="K924" i="9"/>
  <c r="U923" i="9"/>
  <c r="T923" i="9"/>
  <c r="S923" i="9"/>
  <c r="P923" i="9"/>
  <c r="N923" i="9"/>
  <c r="O923" i="9" s="1"/>
  <c r="M923" i="9"/>
  <c r="K923" i="9"/>
  <c r="T922" i="9"/>
  <c r="S922" i="9"/>
  <c r="P922" i="9"/>
  <c r="N922" i="9"/>
  <c r="O922" i="9" s="1"/>
  <c r="M922" i="9"/>
  <c r="K922" i="9"/>
  <c r="T921" i="9"/>
  <c r="S921" i="9"/>
  <c r="P921" i="9"/>
  <c r="N921" i="9"/>
  <c r="O921" i="9" s="1"/>
  <c r="M921" i="9"/>
  <c r="K921" i="9"/>
  <c r="T920" i="9"/>
  <c r="S920" i="9"/>
  <c r="P920" i="9"/>
  <c r="N920" i="9"/>
  <c r="O920" i="9" s="1"/>
  <c r="M920" i="9"/>
  <c r="K920" i="9"/>
  <c r="T919" i="9"/>
  <c r="U919" i="9" s="1"/>
  <c r="S919" i="9"/>
  <c r="P919" i="9"/>
  <c r="O919" i="9"/>
  <c r="N919" i="9"/>
  <c r="M919" i="9"/>
  <c r="K919" i="9"/>
  <c r="T918" i="9"/>
  <c r="S918" i="9"/>
  <c r="P918" i="9"/>
  <c r="N918" i="9"/>
  <c r="O918" i="9" s="1"/>
  <c r="M918" i="9"/>
  <c r="K918" i="9"/>
  <c r="S917" i="9"/>
  <c r="L917" i="9"/>
  <c r="K917" i="9"/>
  <c r="T916" i="9"/>
  <c r="U916" i="9" s="1"/>
  <c r="S916" i="9"/>
  <c r="L916" i="9"/>
  <c r="P916" i="9" s="1"/>
  <c r="K916" i="9"/>
  <c r="T915" i="9"/>
  <c r="S915" i="9"/>
  <c r="P915" i="9"/>
  <c r="O915" i="9"/>
  <c r="N915" i="9"/>
  <c r="M915" i="9"/>
  <c r="K915" i="9"/>
  <c r="S914" i="9"/>
  <c r="L914" i="9"/>
  <c r="P914" i="9" s="1"/>
  <c r="K914" i="9"/>
  <c r="U913" i="9"/>
  <c r="V913" i="9" s="1"/>
  <c r="T913" i="9"/>
  <c r="S913" i="9"/>
  <c r="P913" i="9"/>
  <c r="N913" i="9"/>
  <c r="O913" i="9" s="1"/>
  <c r="M913" i="9"/>
  <c r="K913" i="9"/>
  <c r="T912" i="9"/>
  <c r="S912" i="9"/>
  <c r="P912" i="9"/>
  <c r="O912" i="9"/>
  <c r="N912" i="9"/>
  <c r="M912" i="9"/>
  <c r="K912" i="9"/>
  <c r="T911" i="9"/>
  <c r="S911" i="9"/>
  <c r="P911" i="9"/>
  <c r="N911" i="9"/>
  <c r="O911" i="9" s="1"/>
  <c r="M911" i="9"/>
  <c r="K911" i="9"/>
  <c r="T910" i="9"/>
  <c r="S910" i="9"/>
  <c r="N910" i="9"/>
  <c r="O910" i="9" s="1"/>
  <c r="M910" i="9"/>
  <c r="L910" i="9"/>
  <c r="P910" i="9" s="1"/>
  <c r="K910" i="9"/>
  <c r="T909" i="9"/>
  <c r="S909" i="9"/>
  <c r="P909" i="9"/>
  <c r="N909" i="9"/>
  <c r="O909" i="9" s="1"/>
  <c r="M909" i="9"/>
  <c r="K909" i="9"/>
  <c r="T908" i="9"/>
  <c r="S908" i="9"/>
  <c r="P908" i="9"/>
  <c r="N908" i="9"/>
  <c r="O908" i="9" s="1"/>
  <c r="M908" i="9"/>
  <c r="K908" i="9"/>
  <c r="T907" i="9"/>
  <c r="S907" i="9"/>
  <c r="P907" i="9"/>
  <c r="N907" i="9"/>
  <c r="O907" i="9" s="1"/>
  <c r="M907" i="9"/>
  <c r="K907" i="9"/>
  <c r="T906" i="9"/>
  <c r="U906" i="9" s="1"/>
  <c r="V906" i="9" s="1"/>
  <c r="S906" i="9"/>
  <c r="P906" i="9"/>
  <c r="N906" i="9"/>
  <c r="O906" i="9" s="1"/>
  <c r="M906" i="9"/>
  <c r="K906" i="9"/>
  <c r="T905" i="9"/>
  <c r="S905" i="9"/>
  <c r="P905" i="9"/>
  <c r="O905" i="9"/>
  <c r="N905" i="9"/>
  <c r="M905" i="9"/>
  <c r="K905" i="9"/>
  <c r="S904" i="9"/>
  <c r="L904" i="9"/>
  <c r="K904" i="9"/>
  <c r="S903" i="9"/>
  <c r="L903" i="9"/>
  <c r="P903" i="9" s="1"/>
  <c r="K903" i="9"/>
  <c r="T902" i="9"/>
  <c r="S902" i="9"/>
  <c r="P902" i="9"/>
  <c r="N902" i="9"/>
  <c r="O902" i="9" s="1"/>
  <c r="M902" i="9"/>
  <c r="K902" i="9"/>
  <c r="T901" i="9"/>
  <c r="S901" i="9"/>
  <c r="P901" i="9"/>
  <c r="N901" i="9"/>
  <c r="O901" i="9" s="1"/>
  <c r="M901" i="9"/>
  <c r="K901" i="9"/>
  <c r="S900" i="9"/>
  <c r="L900" i="9"/>
  <c r="K900" i="9"/>
  <c r="T899" i="9"/>
  <c r="S899" i="9"/>
  <c r="P899" i="9"/>
  <c r="N899" i="9"/>
  <c r="O899" i="9" s="1"/>
  <c r="M899" i="9"/>
  <c r="K899" i="9"/>
  <c r="T898" i="9"/>
  <c r="U898" i="9" s="1"/>
  <c r="S898" i="9"/>
  <c r="L898" i="9"/>
  <c r="P898" i="9" s="1"/>
  <c r="K898" i="9"/>
  <c r="T897" i="9"/>
  <c r="S897" i="9"/>
  <c r="P897" i="9"/>
  <c r="O897" i="9"/>
  <c r="N897" i="9"/>
  <c r="M897" i="9"/>
  <c r="K897" i="9"/>
  <c r="T896" i="9"/>
  <c r="U896" i="9" s="1"/>
  <c r="S896" i="9"/>
  <c r="P896" i="9"/>
  <c r="N896" i="9"/>
  <c r="O896" i="9" s="1"/>
  <c r="M896" i="9"/>
  <c r="K896" i="9"/>
  <c r="U895" i="9"/>
  <c r="T895" i="9"/>
  <c r="S895" i="9"/>
  <c r="M895" i="9"/>
  <c r="L895" i="9"/>
  <c r="P895" i="9" s="1"/>
  <c r="K895" i="9"/>
  <c r="T894" i="9"/>
  <c r="S894" i="9"/>
  <c r="P894" i="9"/>
  <c r="N894" i="9"/>
  <c r="O894" i="9" s="1"/>
  <c r="M894" i="9"/>
  <c r="K894" i="9"/>
  <c r="T893" i="9"/>
  <c r="U893" i="9" s="1"/>
  <c r="V893" i="9" s="1"/>
  <c r="S893" i="9"/>
  <c r="P893" i="9"/>
  <c r="N893" i="9"/>
  <c r="O893" i="9" s="1"/>
  <c r="M893" i="9"/>
  <c r="K893" i="9"/>
  <c r="T892" i="9"/>
  <c r="S892" i="9"/>
  <c r="P892" i="9"/>
  <c r="N892" i="9"/>
  <c r="O892" i="9" s="1"/>
  <c r="M892" i="9"/>
  <c r="K892" i="9"/>
  <c r="U891" i="9"/>
  <c r="T891" i="9"/>
  <c r="S891" i="9"/>
  <c r="P891" i="9"/>
  <c r="N891" i="9"/>
  <c r="O891" i="9" s="1"/>
  <c r="M891" i="9"/>
  <c r="K891" i="9"/>
  <c r="T890" i="9"/>
  <c r="S890" i="9"/>
  <c r="P890" i="9"/>
  <c r="N890" i="9"/>
  <c r="O890" i="9" s="1"/>
  <c r="M890" i="9"/>
  <c r="K890" i="9"/>
  <c r="T889" i="9"/>
  <c r="U889" i="9" s="1"/>
  <c r="V889" i="9" s="1"/>
  <c r="S889" i="9"/>
  <c r="P889" i="9"/>
  <c r="N889" i="9"/>
  <c r="O889" i="9" s="1"/>
  <c r="M889" i="9"/>
  <c r="K889" i="9"/>
  <c r="T888" i="9"/>
  <c r="S888" i="9"/>
  <c r="P888" i="9"/>
  <c r="N888" i="9"/>
  <c r="O888" i="9" s="1"/>
  <c r="M888" i="9"/>
  <c r="K888" i="9"/>
  <c r="T887" i="9"/>
  <c r="U887" i="9" s="1"/>
  <c r="S887" i="9"/>
  <c r="P887" i="9"/>
  <c r="O887" i="9"/>
  <c r="N887" i="9"/>
  <c r="M887" i="9"/>
  <c r="K887" i="9"/>
  <c r="U886" i="9"/>
  <c r="V886" i="9" s="1"/>
  <c r="T886" i="9"/>
  <c r="S886" i="9"/>
  <c r="P886" i="9"/>
  <c r="O886" i="9"/>
  <c r="N886" i="9"/>
  <c r="M886" i="9"/>
  <c r="K886" i="9"/>
  <c r="T885" i="9"/>
  <c r="U885" i="9" s="1"/>
  <c r="V885" i="9" s="1"/>
  <c r="S885" i="9"/>
  <c r="P885" i="9"/>
  <c r="N885" i="9"/>
  <c r="O885" i="9" s="1"/>
  <c r="M885" i="9"/>
  <c r="K885" i="9"/>
  <c r="T884" i="9"/>
  <c r="S884" i="9"/>
  <c r="P884" i="9"/>
  <c r="N884" i="9"/>
  <c r="O884" i="9" s="1"/>
  <c r="M884" i="9"/>
  <c r="K884" i="9"/>
  <c r="U883" i="9"/>
  <c r="T883" i="9"/>
  <c r="S883" i="9"/>
  <c r="P883" i="9"/>
  <c r="O883" i="9"/>
  <c r="N883" i="9"/>
  <c r="M883" i="9"/>
  <c r="K883" i="9"/>
  <c r="T882" i="9"/>
  <c r="S882" i="9"/>
  <c r="P882" i="9"/>
  <c r="N882" i="9"/>
  <c r="O882" i="9" s="1"/>
  <c r="M882" i="9"/>
  <c r="K882" i="9"/>
  <c r="T881" i="9"/>
  <c r="U881" i="9" s="1"/>
  <c r="V881" i="9" s="1"/>
  <c r="S881" i="9"/>
  <c r="P881" i="9"/>
  <c r="N881" i="9"/>
  <c r="O881" i="9" s="1"/>
  <c r="M881" i="9"/>
  <c r="K881" i="9"/>
  <c r="T880" i="9"/>
  <c r="S880" i="9"/>
  <c r="P880" i="9"/>
  <c r="N880" i="9"/>
  <c r="O880" i="9" s="1"/>
  <c r="M880" i="9"/>
  <c r="K880" i="9"/>
  <c r="U879" i="9"/>
  <c r="T879" i="9"/>
  <c r="S879" i="9"/>
  <c r="P879" i="9"/>
  <c r="O879" i="9"/>
  <c r="N879" i="9"/>
  <c r="M879" i="9"/>
  <c r="K879" i="9"/>
  <c r="S878" i="9"/>
  <c r="P878" i="9"/>
  <c r="L878" i="9"/>
  <c r="K878" i="9"/>
  <c r="T877" i="9"/>
  <c r="S877" i="9"/>
  <c r="P877" i="9"/>
  <c r="N877" i="9"/>
  <c r="O877" i="9" s="1"/>
  <c r="M877" i="9"/>
  <c r="K877" i="9"/>
  <c r="T876" i="9"/>
  <c r="S876" i="9"/>
  <c r="P876" i="9"/>
  <c r="N876" i="9"/>
  <c r="O876" i="9" s="1"/>
  <c r="M876" i="9"/>
  <c r="K876" i="9"/>
  <c r="T875" i="9"/>
  <c r="U875" i="9" s="1"/>
  <c r="S875" i="9"/>
  <c r="P875" i="9"/>
  <c r="O875" i="9"/>
  <c r="N875" i="9"/>
  <c r="M875" i="9"/>
  <c r="K875" i="9"/>
  <c r="T874" i="9"/>
  <c r="U874" i="9" s="1"/>
  <c r="V874" i="9" s="1"/>
  <c r="S874" i="9"/>
  <c r="P874" i="9"/>
  <c r="N874" i="9"/>
  <c r="O874" i="9" s="1"/>
  <c r="M874" i="9"/>
  <c r="K874" i="9"/>
  <c r="T873" i="9"/>
  <c r="S873" i="9"/>
  <c r="N873" i="9"/>
  <c r="O873" i="9" s="1"/>
  <c r="L873" i="9"/>
  <c r="P873" i="9" s="1"/>
  <c r="K873" i="9"/>
  <c r="V872" i="9"/>
  <c r="U872" i="9"/>
  <c r="T872" i="9"/>
  <c r="S872" i="9"/>
  <c r="P872" i="9"/>
  <c r="N872" i="9"/>
  <c r="O872" i="9" s="1"/>
  <c r="M872" i="9"/>
  <c r="K872" i="9"/>
  <c r="T871" i="9"/>
  <c r="U871" i="9" s="1"/>
  <c r="V871" i="9" s="1"/>
  <c r="S871" i="9"/>
  <c r="P871" i="9"/>
  <c r="N871" i="9"/>
  <c r="O871" i="9" s="1"/>
  <c r="M871" i="9"/>
  <c r="K871" i="9"/>
  <c r="T870" i="9"/>
  <c r="S870" i="9"/>
  <c r="P870" i="9"/>
  <c r="N870" i="9"/>
  <c r="O870" i="9" s="1"/>
  <c r="M870" i="9"/>
  <c r="K870" i="9"/>
  <c r="T869" i="9"/>
  <c r="S869" i="9"/>
  <c r="P869" i="9"/>
  <c r="O869" i="9"/>
  <c r="N869" i="9"/>
  <c r="M869" i="9"/>
  <c r="K869" i="9"/>
  <c r="T868" i="9"/>
  <c r="S868" i="9"/>
  <c r="P868" i="9"/>
  <c r="O868" i="9"/>
  <c r="N868" i="9"/>
  <c r="M868" i="9"/>
  <c r="K868" i="9"/>
  <c r="T867" i="9"/>
  <c r="U867" i="9" s="1"/>
  <c r="V867" i="9" s="1"/>
  <c r="S867" i="9"/>
  <c r="P867" i="9"/>
  <c r="N867" i="9"/>
  <c r="O867" i="9" s="1"/>
  <c r="M867" i="9"/>
  <c r="K867" i="9"/>
  <c r="T866" i="9"/>
  <c r="S866" i="9"/>
  <c r="P866" i="9"/>
  <c r="N866" i="9"/>
  <c r="O866" i="9" s="1"/>
  <c r="M866" i="9"/>
  <c r="K866" i="9"/>
  <c r="T865" i="9"/>
  <c r="U865" i="9" s="1"/>
  <c r="S865" i="9"/>
  <c r="P865" i="9"/>
  <c r="N865" i="9"/>
  <c r="O865" i="9" s="1"/>
  <c r="M865" i="9"/>
  <c r="K865" i="9"/>
  <c r="T864" i="9"/>
  <c r="S864" i="9"/>
  <c r="P864" i="9"/>
  <c r="N864" i="9"/>
  <c r="O864" i="9" s="1"/>
  <c r="M864" i="9"/>
  <c r="K864" i="9"/>
  <c r="T863" i="9"/>
  <c r="U863" i="9" s="1"/>
  <c r="V863" i="9" s="1"/>
  <c r="S863" i="9"/>
  <c r="P863" i="9"/>
  <c r="N863" i="9"/>
  <c r="O863" i="9" s="1"/>
  <c r="M863" i="9"/>
  <c r="K863" i="9"/>
  <c r="T862" i="9"/>
  <c r="S862" i="9"/>
  <c r="P862" i="9"/>
  <c r="N862" i="9"/>
  <c r="O862" i="9" s="1"/>
  <c r="M862" i="9"/>
  <c r="K862" i="9"/>
  <c r="T861" i="9"/>
  <c r="S861" i="9"/>
  <c r="L861" i="9"/>
  <c r="M861" i="9" s="1"/>
  <c r="K861" i="9"/>
  <c r="S860" i="9"/>
  <c r="L860" i="9"/>
  <c r="K860" i="9"/>
  <c r="T859" i="9"/>
  <c r="U859" i="9" s="1"/>
  <c r="S859" i="9"/>
  <c r="P859" i="9"/>
  <c r="N859" i="9"/>
  <c r="O859" i="9" s="1"/>
  <c r="M859" i="9"/>
  <c r="K859" i="9"/>
  <c r="T858" i="9"/>
  <c r="S858" i="9"/>
  <c r="P858" i="9"/>
  <c r="O858" i="9"/>
  <c r="N858" i="9"/>
  <c r="M858" i="9"/>
  <c r="K858" i="9"/>
  <c r="T857" i="9"/>
  <c r="U857" i="9" s="1"/>
  <c r="V857" i="9" s="1"/>
  <c r="S857" i="9"/>
  <c r="P857" i="9"/>
  <c r="N857" i="9"/>
  <c r="O857" i="9" s="1"/>
  <c r="M857" i="9"/>
  <c r="K857" i="9"/>
  <c r="T856" i="9"/>
  <c r="S856" i="9"/>
  <c r="P856" i="9"/>
  <c r="N856" i="9"/>
  <c r="O856" i="9" s="1"/>
  <c r="M856" i="9"/>
  <c r="K856" i="9"/>
  <c r="U855" i="9"/>
  <c r="T855" i="9"/>
  <c r="S855" i="9"/>
  <c r="P855" i="9"/>
  <c r="N855" i="9"/>
  <c r="O855" i="9" s="1"/>
  <c r="M855" i="9"/>
  <c r="K855" i="9"/>
  <c r="V854" i="9"/>
  <c r="U854" i="9"/>
  <c r="T854" i="9"/>
  <c r="S854" i="9"/>
  <c r="P854" i="9"/>
  <c r="O854" i="9"/>
  <c r="N854" i="9"/>
  <c r="M854" i="9"/>
  <c r="K854" i="9"/>
  <c r="S853" i="9"/>
  <c r="M853" i="9"/>
  <c r="L853" i="9"/>
  <c r="P853" i="9" s="1"/>
  <c r="K853" i="9"/>
  <c r="U852" i="9"/>
  <c r="T852" i="9"/>
  <c r="S852" i="9"/>
  <c r="P852" i="9"/>
  <c r="O852" i="9"/>
  <c r="N852" i="9"/>
  <c r="M852" i="9"/>
  <c r="K852" i="9"/>
  <c r="U851" i="9"/>
  <c r="V851" i="9" s="1"/>
  <c r="T851" i="9"/>
  <c r="S851" i="9"/>
  <c r="P851" i="9"/>
  <c r="N851" i="9"/>
  <c r="O851" i="9" s="1"/>
  <c r="M851" i="9"/>
  <c r="K851" i="9"/>
  <c r="T850" i="9"/>
  <c r="U850" i="9" s="1"/>
  <c r="V850" i="9" s="1"/>
  <c r="S850" i="9"/>
  <c r="P850" i="9"/>
  <c r="N850" i="9"/>
  <c r="O850" i="9" s="1"/>
  <c r="M850" i="9"/>
  <c r="K850" i="9"/>
  <c r="T849" i="9"/>
  <c r="S849" i="9"/>
  <c r="P849" i="9"/>
  <c r="N849" i="9"/>
  <c r="O849" i="9" s="1"/>
  <c r="M849" i="9"/>
  <c r="K849" i="9"/>
  <c r="U848" i="9"/>
  <c r="T848" i="9"/>
  <c r="S848" i="9"/>
  <c r="P848" i="9"/>
  <c r="N848" i="9"/>
  <c r="O848" i="9" s="1"/>
  <c r="M848" i="9"/>
  <c r="K848" i="9"/>
  <c r="T847" i="9"/>
  <c r="S847" i="9"/>
  <c r="P847" i="9"/>
  <c r="N847" i="9"/>
  <c r="O847" i="9" s="1"/>
  <c r="M847" i="9"/>
  <c r="K847" i="9"/>
  <c r="T846" i="9"/>
  <c r="U846" i="9" s="1"/>
  <c r="V846" i="9" s="1"/>
  <c r="S846" i="9"/>
  <c r="P846" i="9"/>
  <c r="N846" i="9"/>
  <c r="O846" i="9" s="1"/>
  <c r="M846" i="9"/>
  <c r="K846" i="9"/>
  <c r="T845" i="9"/>
  <c r="S845" i="9"/>
  <c r="P845" i="9"/>
  <c r="N845" i="9"/>
  <c r="O845" i="9" s="1"/>
  <c r="M845" i="9"/>
  <c r="K845" i="9"/>
  <c r="T844" i="9"/>
  <c r="U844" i="9" s="1"/>
  <c r="S844" i="9"/>
  <c r="P844" i="9"/>
  <c r="N844" i="9"/>
  <c r="O844" i="9" s="1"/>
  <c r="M844" i="9"/>
  <c r="K844" i="9"/>
  <c r="T843" i="9"/>
  <c r="S843" i="9"/>
  <c r="P843" i="9"/>
  <c r="O843" i="9"/>
  <c r="N843" i="9"/>
  <c r="M843" i="9"/>
  <c r="K843" i="9"/>
  <c r="T842" i="9"/>
  <c r="U842" i="9" s="1"/>
  <c r="V842" i="9" s="1"/>
  <c r="S842" i="9"/>
  <c r="P842" i="9"/>
  <c r="N842" i="9"/>
  <c r="O842" i="9" s="1"/>
  <c r="M842" i="9"/>
  <c r="K842" i="9"/>
  <c r="T841" i="9"/>
  <c r="S841" i="9"/>
  <c r="P841" i="9"/>
  <c r="N841" i="9"/>
  <c r="O841" i="9" s="1"/>
  <c r="M841" i="9"/>
  <c r="K841" i="9"/>
  <c r="U840" i="9"/>
  <c r="T840" i="9"/>
  <c r="S840" i="9"/>
  <c r="P840" i="9"/>
  <c r="N840" i="9"/>
  <c r="O840" i="9" s="1"/>
  <c r="M840" i="9"/>
  <c r="K840" i="9"/>
  <c r="U839" i="9"/>
  <c r="V839" i="9" s="1"/>
  <c r="T839" i="9"/>
  <c r="S839" i="9"/>
  <c r="P839" i="9"/>
  <c r="O839" i="9"/>
  <c r="N839" i="9"/>
  <c r="M839" i="9"/>
  <c r="K839" i="9"/>
  <c r="T838" i="9"/>
  <c r="U838" i="9" s="1"/>
  <c r="V838" i="9" s="1"/>
  <c r="S838" i="9"/>
  <c r="P838" i="9"/>
  <c r="N838" i="9"/>
  <c r="O838" i="9" s="1"/>
  <c r="M838" i="9"/>
  <c r="K838" i="9"/>
  <c r="T837" i="9"/>
  <c r="S837" i="9"/>
  <c r="P837" i="9"/>
  <c r="N837" i="9"/>
  <c r="O837" i="9" s="1"/>
  <c r="M837" i="9"/>
  <c r="K837" i="9"/>
  <c r="U836" i="9"/>
  <c r="T836" i="9"/>
  <c r="S836" i="9"/>
  <c r="P836" i="9"/>
  <c r="O836" i="9"/>
  <c r="N836" i="9"/>
  <c r="M836" i="9"/>
  <c r="K836" i="9"/>
  <c r="V835" i="9"/>
  <c r="U835" i="9"/>
  <c r="T835" i="9"/>
  <c r="S835" i="9"/>
  <c r="P835" i="9"/>
  <c r="N835" i="9"/>
  <c r="O835" i="9" s="1"/>
  <c r="M835" i="9"/>
  <c r="K835" i="9"/>
  <c r="T834" i="9"/>
  <c r="U834" i="9" s="1"/>
  <c r="V834" i="9" s="1"/>
  <c r="S834" i="9"/>
  <c r="P834" i="9"/>
  <c r="N834" i="9"/>
  <c r="O834" i="9" s="1"/>
  <c r="M834" i="9"/>
  <c r="K834" i="9"/>
  <c r="T833" i="9"/>
  <c r="S833" i="9"/>
  <c r="P833" i="9"/>
  <c r="N833" i="9"/>
  <c r="O833" i="9" s="1"/>
  <c r="M833" i="9"/>
  <c r="K833" i="9"/>
  <c r="T832" i="9"/>
  <c r="S832" i="9"/>
  <c r="P832" i="9"/>
  <c r="O832" i="9"/>
  <c r="N832" i="9"/>
  <c r="M832" i="9"/>
  <c r="K832" i="9"/>
  <c r="S831" i="9"/>
  <c r="L831" i="9"/>
  <c r="P831" i="9" s="1"/>
  <c r="K831" i="9"/>
  <c r="T830" i="9"/>
  <c r="S830" i="9"/>
  <c r="P830" i="9"/>
  <c r="N830" i="9"/>
  <c r="O830" i="9" s="1"/>
  <c r="M830" i="9"/>
  <c r="K830" i="9"/>
  <c r="T829" i="9"/>
  <c r="U829" i="9" s="1"/>
  <c r="S829" i="9"/>
  <c r="P829" i="9"/>
  <c r="O829" i="9"/>
  <c r="N829" i="9"/>
  <c r="M829" i="9"/>
  <c r="K829" i="9"/>
  <c r="T828" i="9"/>
  <c r="S828" i="9"/>
  <c r="P828" i="9"/>
  <c r="N828" i="9"/>
  <c r="O828" i="9" s="1"/>
  <c r="M828" i="9"/>
  <c r="K828" i="9"/>
  <c r="S827" i="9"/>
  <c r="M827" i="9"/>
  <c r="L827" i="9"/>
  <c r="P827" i="9" s="1"/>
  <c r="K827" i="9"/>
  <c r="S826" i="9"/>
  <c r="L826" i="9"/>
  <c r="K826" i="9"/>
  <c r="T825" i="9"/>
  <c r="U825" i="9" s="1"/>
  <c r="V825" i="9" s="1"/>
  <c r="S825" i="9"/>
  <c r="P825" i="9"/>
  <c r="N825" i="9"/>
  <c r="O825" i="9" s="1"/>
  <c r="M825" i="9"/>
  <c r="K825" i="9"/>
  <c r="T824" i="9"/>
  <c r="S824" i="9"/>
  <c r="P824" i="9"/>
  <c r="N824" i="9"/>
  <c r="O824" i="9" s="1"/>
  <c r="M824" i="9"/>
  <c r="K824" i="9"/>
  <c r="U823" i="9"/>
  <c r="T823" i="9"/>
  <c r="S823" i="9"/>
  <c r="P823" i="9"/>
  <c r="N823" i="9"/>
  <c r="O823" i="9" s="1"/>
  <c r="M823" i="9"/>
  <c r="K823" i="9"/>
  <c r="T822" i="9"/>
  <c r="U822" i="9" s="1"/>
  <c r="S822" i="9"/>
  <c r="P822" i="9"/>
  <c r="O822" i="9"/>
  <c r="N822" i="9"/>
  <c r="M822" i="9"/>
  <c r="K822" i="9"/>
  <c r="T821" i="9"/>
  <c r="U821" i="9" s="1"/>
  <c r="V821" i="9" s="1"/>
  <c r="S821" i="9"/>
  <c r="P821" i="9"/>
  <c r="N821" i="9"/>
  <c r="O821" i="9" s="1"/>
  <c r="M821" i="9"/>
  <c r="K821" i="9"/>
  <c r="T820" i="9"/>
  <c r="S820" i="9"/>
  <c r="P820" i="9"/>
  <c r="N820" i="9"/>
  <c r="O820" i="9" s="1"/>
  <c r="M820" i="9"/>
  <c r="K820" i="9"/>
  <c r="T819" i="9"/>
  <c r="S819" i="9"/>
  <c r="P819" i="9"/>
  <c r="N819" i="9"/>
  <c r="O819" i="9" s="1"/>
  <c r="M819" i="9"/>
  <c r="K819" i="9"/>
  <c r="S818" i="9"/>
  <c r="L818" i="9"/>
  <c r="P818" i="9" s="1"/>
  <c r="K818" i="9"/>
  <c r="T817" i="9"/>
  <c r="S817" i="9"/>
  <c r="N817" i="9"/>
  <c r="O817" i="9" s="1"/>
  <c r="M817" i="9"/>
  <c r="L817" i="9"/>
  <c r="P817" i="9" s="1"/>
  <c r="K817" i="9"/>
  <c r="S816" i="9"/>
  <c r="L816" i="9"/>
  <c r="P816" i="9" s="1"/>
  <c r="K816" i="9"/>
  <c r="S815" i="9"/>
  <c r="L815" i="9"/>
  <c r="P815" i="9" s="1"/>
  <c r="K815" i="9"/>
  <c r="S814" i="9"/>
  <c r="L814" i="9"/>
  <c r="K814" i="9"/>
  <c r="T813" i="9"/>
  <c r="S813" i="9"/>
  <c r="N813" i="9"/>
  <c r="O813" i="9" s="1"/>
  <c r="M813" i="9"/>
  <c r="L813" i="9"/>
  <c r="P813" i="9" s="1"/>
  <c r="K813" i="9"/>
  <c r="U812" i="9"/>
  <c r="T812" i="9"/>
  <c r="V812" i="9" s="1"/>
  <c r="S812" i="9"/>
  <c r="P812" i="9"/>
  <c r="N812" i="9"/>
  <c r="O812" i="9" s="1"/>
  <c r="M812" i="9"/>
  <c r="K812" i="9"/>
  <c r="S811" i="9"/>
  <c r="L811" i="9"/>
  <c r="K811" i="9"/>
  <c r="S810" i="9"/>
  <c r="N810" i="9"/>
  <c r="O810" i="9" s="1"/>
  <c r="L810" i="9"/>
  <c r="K810" i="9"/>
  <c r="T809" i="9"/>
  <c r="U809" i="9" s="1"/>
  <c r="V809" i="9" s="1"/>
  <c r="S809" i="9"/>
  <c r="P809" i="9"/>
  <c r="N809" i="9"/>
  <c r="O809" i="9" s="1"/>
  <c r="M809" i="9"/>
  <c r="K809" i="9"/>
  <c r="T808" i="9"/>
  <c r="S808" i="9"/>
  <c r="P808" i="9"/>
  <c r="N808" i="9"/>
  <c r="O808" i="9" s="1"/>
  <c r="M808" i="9"/>
  <c r="K808" i="9"/>
  <c r="U807" i="9"/>
  <c r="T807" i="9"/>
  <c r="S807" i="9"/>
  <c r="L807" i="9"/>
  <c r="M807" i="9" s="1"/>
  <c r="K807" i="9"/>
  <c r="T806" i="9"/>
  <c r="U806" i="9" s="1"/>
  <c r="V806" i="9" s="1"/>
  <c r="S806" i="9"/>
  <c r="P806" i="9"/>
  <c r="N806" i="9"/>
  <c r="O806" i="9" s="1"/>
  <c r="M806" i="9"/>
  <c r="K806" i="9"/>
  <c r="T805" i="9"/>
  <c r="S805" i="9"/>
  <c r="P805" i="9"/>
  <c r="N805" i="9"/>
  <c r="O805" i="9" s="1"/>
  <c r="M805" i="9"/>
  <c r="K805" i="9"/>
  <c r="T804" i="9"/>
  <c r="S804" i="9"/>
  <c r="P804" i="9"/>
  <c r="N804" i="9"/>
  <c r="O804" i="9" s="1"/>
  <c r="M804" i="9"/>
  <c r="K804" i="9"/>
  <c r="T803" i="9"/>
  <c r="U803" i="9" s="1"/>
  <c r="V803" i="9" s="1"/>
  <c r="S803" i="9"/>
  <c r="P803" i="9"/>
  <c r="N803" i="9"/>
  <c r="O803" i="9" s="1"/>
  <c r="M803" i="9"/>
  <c r="K803" i="9"/>
  <c r="T802" i="9"/>
  <c r="U802" i="9" s="1"/>
  <c r="V802" i="9" s="1"/>
  <c r="S802" i="9"/>
  <c r="P802" i="9"/>
  <c r="N802" i="9"/>
  <c r="O802" i="9" s="1"/>
  <c r="M802" i="9"/>
  <c r="K802" i="9"/>
  <c r="S801" i="9"/>
  <c r="L801" i="9"/>
  <c r="K801" i="9"/>
  <c r="S800" i="9"/>
  <c r="P800" i="9"/>
  <c r="L800" i="9"/>
  <c r="K800" i="9"/>
  <c r="T799" i="9"/>
  <c r="S799" i="9"/>
  <c r="P799" i="9"/>
  <c r="N799" i="9"/>
  <c r="O799" i="9" s="1"/>
  <c r="M799" i="9"/>
  <c r="K799" i="9"/>
  <c r="T798" i="9"/>
  <c r="S798" i="9"/>
  <c r="P798" i="9"/>
  <c r="N798" i="9"/>
  <c r="O798" i="9" s="1"/>
  <c r="M798" i="9"/>
  <c r="K798" i="9"/>
  <c r="T797" i="9"/>
  <c r="U797" i="9" s="1"/>
  <c r="S797" i="9"/>
  <c r="P797" i="9"/>
  <c r="N797" i="9"/>
  <c r="O797" i="9" s="1"/>
  <c r="M797" i="9"/>
  <c r="K797" i="9"/>
  <c r="T796" i="9"/>
  <c r="U796" i="9" s="1"/>
  <c r="V796" i="9" s="1"/>
  <c r="S796" i="9"/>
  <c r="P796" i="9"/>
  <c r="N796" i="9"/>
  <c r="O796" i="9" s="1"/>
  <c r="M796" i="9"/>
  <c r="K796" i="9"/>
  <c r="T795" i="9"/>
  <c r="S795" i="9"/>
  <c r="P795" i="9"/>
  <c r="N795" i="9"/>
  <c r="O795" i="9" s="1"/>
  <c r="M795" i="9"/>
  <c r="K795" i="9"/>
  <c r="U794" i="9"/>
  <c r="T794" i="9"/>
  <c r="S794" i="9"/>
  <c r="P794" i="9"/>
  <c r="N794" i="9"/>
  <c r="O794" i="9" s="1"/>
  <c r="M794" i="9"/>
  <c r="K794" i="9"/>
  <c r="S793" i="9"/>
  <c r="L793" i="9"/>
  <c r="P793" i="9" s="1"/>
  <c r="K793" i="9"/>
  <c r="T792" i="9"/>
  <c r="S792" i="9"/>
  <c r="P792" i="9"/>
  <c r="N792" i="9"/>
  <c r="O792" i="9" s="1"/>
  <c r="M792" i="9"/>
  <c r="K792" i="9"/>
  <c r="T791" i="9"/>
  <c r="S791" i="9"/>
  <c r="N791" i="9"/>
  <c r="O791" i="9" s="1"/>
  <c r="L791" i="9"/>
  <c r="M791" i="9" s="1"/>
  <c r="K791" i="9"/>
  <c r="S790" i="9"/>
  <c r="M790" i="9"/>
  <c r="L790" i="9"/>
  <c r="P790" i="9" s="1"/>
  <c r="K790" i="9"/>
  <c r="T789" i="9"/>
  <c r="U789" i="9" s="1"/>
  <c r="S789" i="9"/>
  <c r="P789" i="9"/>
  <c r="N789" i="9"/>
  <c r="O789" i="9" s="1"/>
  <c r="M789" i="9"/>
  <c r="K789" i="9"/>
  <c r="V788" i="9"/>
  <c r="U788" i="9"/>
  <c r="T788" i="9"/>
  <c r="S788" i="9"/>
  <c r="P788" i="9"/>
  <c r="N788" i="9"/>
  <c r="O788" i="9" s="1"/>
  <c r="M788" i="9"/>
  <c r="K788" i="9"/>
  <c r="T787" i="9"/>
  <c r="U787" i="9" s="1"/>
  <c r="V787" i="9" s="1"/>
  <c r="S787" i="9"/>
  <c r="P787" i="9"/>
  <c r="N787" i="9"/>
  <c r="O787" i="9" s="1"/>
  <c r="M787" i="9"/>
  <c r="K787" i="9"/>
  <c r="T786" i="9"/>
  <c r="S786" i="9"/>
  <c r="P786" i="9"/>
  <c r="N786" i="9"/>
  <c r="O786" i="9" s="1"/>
  <c r="M786" i="9"/>
  <c r="K786" i="9"/>
  <c r="U785" i="9"/>
  <c r="T785" i="9"/>
  <c r="S785" i="9"/>
  <c r="P785" i="9"/>
  <c r="O785" i="9"/>
  <c r="N785" i="9"/>
  <c r="M785" i="9"/>
  <c r="K785" i="9"/>
  <c r="U784" i="9"/>
  <c r="V784" i="9" s="1"/>
  <c r="T784" i="9"/>
  <c r="S784" i="9"/>
  <c r="P784" i="9"/>
  <c r="N784" i="9"/>
  <c r="O784" i="9" s="1"/>
  <c r="M784" i="9"/>
  <c r="K784" i="9"/>
  <c r="T783" i="9"/>
  <c r="U783" i="9" s="1"/>
  <c r="V783" i="9" s="1"/>
  <c r="S783" i="9"/>
  <c r="P783" i="9"/>
  <c r="N783" i="9"/>
  <c r="O783" i="9" s="1"/>
  <c r="M783" i="9"/>
  <c r="K783" i="9"/>
  <c r="T782" i="9"/>
  <c r="S782" i="9"/>
  <c r="P782" i="9"/>
  <c r="N782" i="9"/>
  <c r="O782" i="9" s="1"/>
  <c r="M782" i="9"/>
  <c r="K782" i="9"/>
  <c r="U781" i="9"/>
  <c r="T781" i="9"/>
  <c r="S781" i="9"/>
  <c r="P781" i="9"/>
  <c r="N781" i="9"/>
  <c r="O781" i="9" s="1"/>
  <c r="M781" i="9"/>
  <c r="K781" i="9"/>
  <c r="U780" i="9"/>
  <c r="T780" i="9"/>
  <c r="S780" i="9"/>
  <c r="P780" i="9"/>
  <c r="N780" i="9"/>
  <c r="O780" i="9" s="1"/>
  <c r="M780" i="9"/>
  <c r="K780" i="9"/>
  <c r="T779" i="9"/>
  <c r="U779" i="9" s="1"/>
  <c r="V779" i="9" s="1"/>
  <c r="S779" i="9"/>
  <c r="P779" i="9"/>
  <c r="N779" i="9"/>
  <c r="O779" i="9" s="1"/>
  <c r="M779" i="9"/>
  <c r="K779" i="9"/>
  <c r="T778" i="9"/>
  <c r="S778" i="9"/>
  <c r="P778" i="9"/>
  <c r="N778" i="9"/>
  <c r="O778" i="9" s="1"/>
  <c r="M778" i="9"/>
  <c r="K778" i="9"/>
  <c r="S777" i="9"/>
  <c r="L777" i="9"/>
  <c r="M777" i="9" s="1"/>
  <c r="K777" i="9"/>
  <c r="T776" i="9"/>
  <c r="U776" i="9" s="1"/>
  <c r="V776" i="9" s="1"/>
  <c r="S776" i="9"/>
  <c r="P776" i="9"/>
  <c r="N776" i="9"/>
  <c r="O776" i="9" s="1"/>
  <c r="M776" i="9"/>
  <c r="K776" i="9"/>
  <c r="T775" i="9"/>
  <c r="S775" i="9"/>
  <c r="P775" i="9"/>
  <c r="N775" i="9"/>
  <c r="O775" i="9" s="1"/>
  <c r="M775" i="9"/>
  <c r="K775" i="9"/>
  <c r="U774" i="9"/>
  <c r="T774" i="9"/>
  <c r="S774" i="9"/>
  <c r="P774" i="9"/>
  <c r="O774" i="9"/>
  <c r="N774" i="9"/>
  <c r="M774" i="9"/>
  <c r="K774" i="9"/>
  <c r="S773" i="9"/>
  <c r="L773" i="9"/>
  <c r="P773" i="9" s="1"/>
  <c r="K773" i="9"/>
  <c r="T772" i="9"/>
  <c r="S772" i="9"/>
  <c r="N772" i="9"/>
  <c r="O772" i="9" s="1"/>
  <c r="M772" i="9"/>
  <c r="L772" i="9"/>
  <c r="P772" i="9" s="1"/>
  <c r="K772" i="9"/>
  <c r="S771" i="9"/>
  <c r="L771" i="9"/>
  <c r="K771" i="9"/>
  <c r="T770" i="9"/>
  <c r="S770" i="9"/>
  <c r="P770" i="9"/>
  <c r="N770" i="9"/>
  <c r="O770" i="9" s="1"/>
  <c r="M770" i="9"/>
  <c r="K770" i="9"/>
  <c r="U769" i="9"/>
  <c r="T769" i="9"/>
  <c r="S769" i="9"/>
  <c r="N769" i="9"/>
  <c r="O769" i="9" s="1"/>
  <c r="L769" i="9"/>
  <c r="M769" i="9" s="1"/>
  <c r="K769" i="9"/>
  <c r="T768" i="9"/>
  <c r="U768" i="9" s="1"/>
  <c r="V768" i="9" s="1"/>
  <c r="S768" i="9"/>
  <c r="P768" i="9"/>
  <c r="N768" i="9"/>
  <c r="O768" i="9" s="1"/>
  <c r="M768" i="9"/>
  <c r="K768" i="9"/>
  <c r="T767" i="9"/>
  <c r="S767" i="9"/>
  <c r="P767" i="9"/>
  <c r="N767" i="9"/>
  <c r="O767" i="9" s="1"/>
  <c r="M767" i="9"/>
  <c r="K767" i="9"/>
  <c r="T766" i="9"/>
  <c r="S766" i="9"/>
  <c r="P766" i="9"/>
  <c r="O766" i="9"/>
  <c r="N766" i="9"/>
  <c r="M766" i="9"/>
  <c r="K766" i="9"/>
  <c r="U765" i="9"/>
  <c r="V765" i="9" s="1"/>
  <c r="T765" i="9"/>
  <c r="S765" i="9"/>
  <c r="P765" i="9"/>
  <c r="N765" i="9"/>
  <c r="O765" i="9" s="1"/>
  <c r="M765" i="9"/>
  <c r="K765" i="9"/>
  <c r="T764" i="9"/>
  <c r="U764" i="9" s="1"/>
  <c r="V764" i="9" s="1"/>
  <c r="S764" i="9"/>
  <c r="P764" i="9"/>
  <c r="N764" i="9"/>
  <c r="O764" i="9" s="1"/>
  <c r="M764" i="9"/>
  <c r="K764" i="9"/>
  <c r="T763" i="9"/>
  <c r="S763" i="9"/>
  <c r="N763" i="9"/>
  <c r="O763" i="9" s="1"/>
  <c r="M763" i="9"/>
  <c r="L763" i="9"/>
  <c r="P763" i="9" s="1"/>
  <c r="K763" i="9"/>
  <c r="S762" i="9"/>
  <c r="L762" i="9"/>
  <c r="P762" i="9" s="1"/>
  <c r="K762" i="9"/>
  <c r="T761" i="9"/>
  <c r="S761" i="9"/>
  <c r="P761" i="9"/>
  <c r="N761" i="9"/>
  <c r="O761" i="9" s="1"/>
  <c r="M761" i="9"/>
  <c r="K761" i="9"/>
  <c r="T760" i="9"/>
  <c r="S760" i="9"/>
  <c r="P760" i="9"/>
  <c r="N760" i="9"/>
  <c r="O760" i="9" s="1"/>
  <c r="M760" i="9"/>
  <c r="K760" i="9"/>
  <c r="T759" i="9"/>
  <c r="S759" i="9"/>
  <c r="P759" i="9"/>
  <c r="N759" i="9"/>
  <c r="O759" i="9" s="1"/>
  <c r="M759" i="9"/>
  <c r="K759" i="9"/>
  <c r="S758" i="9"/>
  <c r="M758" i="9"/>
  <c r="L758" i="9"/>
  <c r="P758" i="9" s="1"/>
  <c r="K758" i="9"/>
  <c r="T757" i="9"/>
  <c r="U757" i="9" s="1"/>
  <c r="S757" i="9"/>
  <c r="P757" i="9"/>
  <c r="N757" i="9"/>
  <c r="O757" i="9" s="1"/>
  <c r="M757" i="9"/>
  <c r="K757" i="9"/>
  <c r="V756" i="9"/>
  <c r="U756" i="9"/>
  <c r="T756" i="9"/>
  <c r="S756" i="9"/>
  <c r="P756" i="9"/>
  <c r="N756" i="9"/>
  <c r="O756" i="9" s="1"/>
  <c r="M756" i="9"/>
  <c r="K756" i="9"/>
  <c r="S755" i="9"/>
  <c r="M755" i="9"/>
  <c r="L755" i="9"/>
  <c r="P755" i="9" s="1"/>
  <c r="K755" i="9"/>
  <c r="U754" i="9"/>
  <c r="T754" i="9"/>
  <c r="S754" i="9"/>
  <c r="P754" i="9"/>
  <c r="N754" i="9"/>
  <c r="O754" i="9" s="1"/>
  <c r="M754" i="9"/>
  <c r="K754" i="9"/>
  <c r="U753" i="9"/>
  <c r="V753" i="9" s="1"/>
  <c r="T753" i="9"/>
  <c r="S753" i="9"/>
  <c r="P753" i="9"/>
  <c r="N753" i="9"/>
  <c r="O753" i="9" s="1"/>
  <c r="M753" i="9"/>
  <c r="K753" i="9"/>
  <c r="T752" i="9"/>
  <c r="U752" i="9" s="1"/>
  <c r="V752" i="9" s="1"/>
  <c r="S752" i="9"/>
  <c r="P752" i="9"/>
  <c r="N752" i="9"/>
  <c r="O752" i="9" s="1"/>
  <c r="M752" i="9"/>
  <c r="K752" i="9"/>
  <c r="S751" i="9"/>
  <c r="L751" i="9"/>
  <c r="K751" i="9"/>
  <c r="T750" i="9"/>
  <c r="U750" i="9" s="1"/>
  <c r="S750" i="9"/>
  <c r="P750" i="9"/>
  <c r="O750" i="9"/>
  <c r="N750" i="9"/>
  <c r="M750" i="9"/>
  <c r="K750" i="9"/>
  <c r="S749" i="9"/>
  <c r="L749" i="9"/>
  <c r="P749" i="9" s="1"/>
  <c r="K749" i="9"/>
  <c r="T748" i="9"/>
  <c r="S748" i="9"/>
  <c r="P748" i="9"/>
  <c r="N748" i="9"/>
  <c r="O748" i="9" s="1"/>
  <c r="M748" i="9"/>
  <c r="K748" i="9"/>
  <c r="S747" i="9"/>
  <c r="L747" i="9"/>
  <c r="K747" i="9"/>
  <c r="S746" i="9"/>
  <c r="L746" i="9"/>
  <c r="K746" i="9"/>
  <c r="V745" i="9"/>
  <c r="U745" i="9"/>
  <c r="T745" i="9"/>
  <c r="S745" i="9"/>
  <c r="P745" i="9"/>
  <c r="N745" i="9"/>
  <c r="O745" i="9" s="1"/>
  <c r="M745" i="9"/>
  <c r="K745" i="9"/>
  <c r="S744" i="9"/>
  <c r="L744" i="9"/>
  <c r="P744" i="9" s="1"/>
  <c r="K744" i="9"/>
  <c r="S743" i="9"/>
  <c r="N743" i="9"/>
  <c r="O743" i="9" s="1"/>
  <c r="L743" i="9"/>
  <c r="K743" i="9"/>
  <c r="S742" i="9"/>
  <c r="L742" i="9"/>
  <c r="P742" i="9" s="1"/>
  <c r="K742" i="9"/>
  <c r="T741" i="9"/>
  <c r="U741" i="9" s="1"/>
  <c r="S741" i="9"/>
  <c r="P741" i="9"/>
  <c r="N741" i="9"/>
  <c r="O741" i="9" s="1"/>
  <c r="M741" i="9"/>
  <c r="K741" i="9"/>
  <c r="T740" i="9"/>
  <c r="S740" i="9"/>
  <c r="P740" i="9"/>
  <c r="O740" i="9"/>
  <c r="N740" i="9"/>
  <c r="M740" i="9"/>
  <c r="K740" i="9"/>
  <c r="T739" i="9"/>
  <c r="U739" i="9" s="1"/>
  <c r="V739" i="9" s="1"/>
  <c r="S739" i="9"/>
  <c r="P739" i="9"/>
  <c r="N739" i="9"/>
  <c r="O739" i="9" s="1"/>
  <c r="M739" i="9"/>
  <c r="K739" i="9"/>
  <c r="T738" i="9"/>
  <c r="S738" i="9"/>
  <c r="P738" i="9"/>
  <c r="N738" i="9"/>
  <c r="O738" i="9" s="1"/>
  <c r="M738" i="9"/>
  <c r="K738" i="9"/>
  <c r="U737" i="9"/>
  <c r="T737" i="9"/>
  <c r="S737" i="9"/>
  <c r="P737" i="9"/>
  <c r="N737" i="9"/>
  <c r="O737" i="9" s="1"/>
  <c r="M737" i="9"/>
  <c r="K737" i="9"/>
  <c r="T736" i="9"/>
  <c r="U736" i="9" s="1"/>
  <c r="S736" i="9"/>
  <c r="P736" i="9"/>
  <c r="O736" i="9"/>
  <c r="N736" i="9"/>
  <c r="M736" i="9"/>
  <c r="K736" i="9"/>
  <c r="T735" i="9"/>
  <c r="U735" i="9" s="1"/>
  <c r="V735" i="9" s="1"/>
  <c r="S735" i="9"/>
  <c r="P735" i="9"/>
  <c r="N735" i="9"/>
  <c r="O735" i="9" s="1"/>
  <c r="M735" i="9"/>
  <c r="K735" i="9"/>
  <c r="T734" i="9"/>
  <c r="S734" i="9"/>
  <c r="N734" i="9"/>
  <c r="O734" i="9" s="1"/>
  <c r="L734" i="9"/>
  <c r="K734" i="9"/>
  <c r="S733" i="9"/>
  <c r="L733" i="9"/>
  <c r="P733" i="9" s="1"/>
  <c r="K733" i="9"/>
  <c r="T732" i="9"/>
  <c r="S732" i="9"/>
  <c r="P732" i="9"/>
  <c r="N732" i="9"/>
  <c r="O732" i="9" s="1"/>
  <c r="M732" i="9"/>
  <c r="K732" i="9"/>
  <c r="T731" i="9"/>
  <c r="S731" i="9"/>
  <c r="P731" i="9"/>
  <c r="N731" i="9"/>
  <c r="O731" i="9" s="1"/>
  <c r="M731" i="9"/>
  <c r="K731" i="9"/>
  <c r="V730" i="9"/>
  <c r="U730" i="9"/>
  <c r="T730" i="9"/>
  <c r="S730" i="9"/>
  <c r="P730" i="9"/>
  <c r="N730" i="9"/>
  <c r="O730" i="9" s="1"/>
  <c r="M730" i="9"/>
  <c r="K730" i="9"/>
  <c r="T729" i="9"/>
  <c r="U729" i="9" s="1"/>
  <c r="V729" i="9" s="1"/>
  <c r="S729" i="9"/>
  <c r="P729" i="9"/>
  <c r="N729" i="9"/>
  <c r="O729" i="9" s="1"/>
  <c r="M729" i="9"/>
  <c r="K729" i="9"/>
  <c r="S728" i="9"/>
  <c r="L728" i="9"/>
  <c r="K728" i="9"/>
  <c r="T727" i="9"/>
  <c r="S727" i="9"/>
  <c r="P727" i="9"/>
  <c r="O727" i="9"/>
  <c r="N727" i="9"/>
  <c r="M727" i="9"/>
  <c r="K727" i="9"/>
  <c r="S726" i="9"/>
  <c r="L726" i="9"/>
  <c r="P726" i="9" s="1"/>
  <c r="K726" i="9"/>
  <c r="T725" i="9"/>
  <c r="S725" i="9"/>
  <c r="P725" i="9"/>
  <c r="O725" i="9"/>
  <c r="N725" i="9"/>
  <c r="M725" i="9"/>
  <c r="K725" i="9"/>
  <c r="T724" i="9"/>
  <c r="S724" i="9"/>
  <c r="P724" i="9"/>
  <c r="N724" i="9"/>
  <c r="O724" i="9" s="1"/>
  <c r="M724" i="9"/>
  <c r="K724" i="9"/>
  <c r="T723" i="9"/>
  <c r="U723" i="9" s="1"/>
  <c r="V723" i="9" s="1"/>
  <c r="S723" i="9"/>
  <c r="P723" i="9"/>
  <c r="N723" i="9"/>
  <c r="O723" i="9" s="1"/>
  <c r="M723" i="9"/>
  <c r="K723" i="9"/>
  <c r="T722" i="9"/>
  <c r="S722" i="9"/>
  <c r="P722" i="9"/>
  <c r="N722" i="9"/>
  <c r="O722" i="9" s="1"/>
  <c r="M722" i="9"/>
  <c r="K722" i="9"/>
  <c r="T721" i="9"/>
  <c r="U721" i="9" s="1"/>
  <c r="S721" i="9"/>
  <c r="P721" i="9"/>
  <c r="O721" i="9"/>
  <c r="N721" i="9"/>
  <c r="M721" i="9"/>
  <c r="K721" i="9"/>
  <c r="T720" i="9"/>
  <c r="S720" i="9"/>
  <c r="P720" i="9"/>
  <c r="N720" i="9"/>
  <c r="O720" i="9" s="1"/>
  <c r="M720" i="9"/>
  <c r="K720" i="9"/>
  <c r="T719" i="9"/>
  <c r="U719" i="9" s="1"/>
  <c r="V719" i="9" s="1"/>
  <c r="S719" i="9"/>
  <c r="P719" i="9"/>
  <c r="N719" i="9"/>
  <c r="O719" i="9" s="1"/>
  <c r="M719" i="9"/>
  <c r="K719" i="9"/>
  <c r="T718" i="9"/>
  <c r="S718" i="9"/>
  <c r="N718" i="9"/>
  <c r="O718" i="9" s="1"/>
  <c r="M718" i="9"/>
  <c r="L718" i="9"/>
  <c r="P718" i="9" s="1"/>
  <c r="K718" i="9"/>
  <c r="U717" i="9"/>
  <c r="V717" i="9" s="1"/>
  <c r="T717" i="9"/>
  <c r="S717" i="9"/>
  <c r="P717" i="9"/>
  <c r="O717" i="9"/>
  <c r="N717" i="9"/>
  <c r="M717" i="9"/>
  <c r="K717" i="9"/>
  <c r="T716" i="9"/>
  <c r="U716" i="9" s="1"/>
  <c r="V716" i="9" s="1"/>
  <c r="S716" i="9"/>
  <c r="P716" i="9"/>
  <c r="N716" i="9"/>
  <c r="O716" i="9" s="1"/>
  <c r="M716" i="9"/>
  <c r="K716" i="9"/>
  <c r="T715" i="9"/>
  <c r="S715" i="9"/>
  <c r="P715" i="9"/>
  <c r="N715" i="9"/>
  <c r="O715" i="9" s="1"/>
  <c r="M715" i="9"/>
  <c r="K715" i="9"/>
  <c r="U714" i="9"/>
  <c r="T714" i="9"/>
  <c r="S714" i="9"/>
  <c r="P714" i="9"/>
  <c r="O714" i="9"/>
  <c r="N714" i="9"/>
  <c r="M714" i="9"/>
  <c r="K714" i="9"/>
  <c r="V713" i="9"/>
  <c r="U713" i="9"/>
  <c r="T713" i="9"/>
  <c r="S713" i="9"/>
  <c r="P713" i="9"/>
  <c r="N713" i="9"/>
  <c r="O713" i="9" s="1"/>
  <c r="M713" i="9"/>
  <c r="K713" i="9"/>
  <c r="T712" i="9"/>
  <c r="U712" i="9" s="1"/>
  <c r="V712" i="9" s="1"/>
  <c r="S712" i="9"/>
  <c r="P712" i="9"/>
  <c r="N712" i="9"/>
  <c r="O712" i="9" s="1"/>
  <c r="M712" i="9"/>
  <c r="K712" i="9"/>
  <c r="T711" i="9"/>
  <c r="S711" i="9"/>
  <c r="M711" i="9"/>
  <c r="L711" i="9"/>
  <c r="P711" i="9" s="1"/>
  <c r="K711" i="9"/>
  <c r="T710" i="9"/>
  <c r="S710" i="9"/>
  <c r="P710" i="9"/>
  <c r="N710" i="9"/>
  <c r="O710" i="9" s="1"/>
  <c r="M710" i="9"/>
  <c r="K710" i="9"/>
  <c r="T709" i="9"/>
  <c r="U709" i="9" s="1"/>
  <c r="V709" i="9" s="1"/>
  <c r="S709" i="9"/>
  <c r="P709" i="9"/>
  <c r="N709" i="9"/>
  <c r="O709" i="9" s="1"/>
  <c r="M709" i="9"/>
  <c r="K709" i="9"/>
  <c r="T708" i="9"/>
  <c r="S708" i="9"/>
  <c r="P708" i="9"/>
  <c r="N708" i="9"/>
  <c r="O708" i="9" s="1"/>
  <c r="M708" i="9"/>
  <c r="K708" i="9"/>
  <c r="U707" i="9"/>
  <c r="T707" i="9"/>
  <c r="S707" i="9"/>
  <c r="P707" i="9"/>
  <c r="O707" i="9"/>
  <c r="N707" i="9"/>
  <c r="M707" i="9"/>
  <c r="K707" i="9"/>
  <c r="T706" i="9"/>
  <c r="S706" i="9"/>
  <c r="P706" i="9"/>
  <c r="O706" i="9"/>
  <c r="N706" i="9"/>
  <c r="M706" i="9"/>
  <c r="K706" i="9"/>
  <c r="T705" i="9"/>
  <c r="U705" i="9" s="1"/>
  <c r="V705" i="9" s="1"/>
  <c r="S705" i="9"/>
  <c r="P705" i="9"/>
  <c r="N705" i="9"/>
  <c r="O705" i="9" s="1"/>
  <c r="M705" i="9"/>
  <c r="K705" i="9"/>
  <c r="T704" i="9"/>
  <c r="S704" i="9"/>
  <c r="P704" i="9"/>
  <c r="N704" i="9"/>
  <c r="O704" i="9" s="1"/>
  <c r="M704" i="9"/>
  <c r="K704" i="9"/>
  <c r="U703" i="9"/>
  <c r="T703" i="9"/>
  <c r="S703" i="9"/>
  <c r="P703" i="9"/>
  <c r="N703" i="9"/>
  <c r="O703" i="9" s="1"/>
  <c r="M703" i="9"/>
  <c r="K703" i="9"/>
  <c r="V702" i="9"/>
  <c r="U702" i="9"/>
  <c r="T702" i="9"/>
  <c r="S702" i="9"/>
  <c r="P702" i="9"/>
  <c r="N702" i="9"/>
  <c r="O702" i="9" s="1"/>
  <c r="M702" i="9"/>
  <c r="K702" i="9"/>
  <c r="T701" i="9"/>
  <c r="U701" i="9" s="1"/>
  <c r="V701" i="9" s="1"/>
  <c r="S701" i="9"/>
  <c r="P701" i="9"/>
  <c r="N701" i="9"/>
  <c r="O701" i="9" s="1"/>
  <c r="M701" i="9"/>
  <c r="K701" i="9"/>
  <c r="T700" i="9"/>
  <c r="S700" i="9"/>
  <c r="P700" i="9"/>
  <c r="N700" i="9"/>
  <c r="O700" i="9" s="1"/>
  <c r="M700" i="9"/>
  <c r="K700" i="9"/>
  <c r="T699" i="9"/>
  <c r="U699" i="9" s="1"/>
  <c r="S699" i="9"/>
  <c r="O699" i="9"/>
  <c r="N699" i="9"/>
  <c r="L699" i="9"/>
  <c r="M699" i="9" s="1"/>
  <c r="K699" i="9"/>
  <c r="T698" i="9"/>
  <c r="U698" i="9" s="1"/>
  <c r="V698" i="9" s="1"/>
  <c r="S698" i="9"/>
  <c r="P698" i="9"/>
  <c r="N698" i="9"/>
  <c r="O698" i="9" s="1"/>
  <c r="M698" i="9"/>
  <c r="K698" i="9"/>
  <c r="T697" i="9"/>
  <c r="S697" i="9"/>
  <c r="P697" i="9"/>
  <c r="N697" i="9"/>
  <c r="O697" i="9" s="1"/>
  <c r="M697" i="9"/>
  <c r="K697" i="9"/>
  <c r="U696" i="9"/>
  <c r="T696" i="9"/>
  <c r="S696" i="9"/>
  <c r="P696" i="9"/>
  <c r="N696" i="9"/>
  <c r="O696" i="9" s="1"/>
  <c r="M696" i="9"/>
  <c r="K696" i="9"/>
  <c r="V695" i="9"/>
  <c r="U695" i="9"/>
  <c r="T695" i="9"/>
  <c r="S695" i="9"/>
  <c r="P695" i="9"/>
  <c r="O695" i="9"/>
  <c r="N695" i="9"/>
  <c r="M695" i="9"/>
  <c r="K695" i="9"/>
  <c r="T694" i="9"/>
  <c r="U694" i="9" s="1"/>
  <c r="V694" i="9" s="1"/>
  <c r="S694" i="9"/>
  <c r="P694" i="9"/>
  <c r="N694" i="9"/>
  <c r="O694" i="9" s="1"/>
  <c r="M694" i="9"/>
  <c r="K694" i="9"/>
  <c r="T693" i="9"/>
  <c r="S693" i="9"/>
  <c r="P693" i="9"/>
  <c r="N693" i="9"/>
  <c r="O693" i="9" s="1"/>
  <c r="M693" i="9"/>
  <c r="K693" i="9"/>
  <c r="T692" i="9"/>
  <c r="U692" i="9" s="1"/>
  <c r="S692" i="9"/>
  <c r="O692" i="9"/>
  <c r="N692" i="9"/>
  <c r="L692" i="9"/>
  <c r="M692" i="9" s="1"/>
  <c r="K692" i="9"/>
  <c r="T691" i="9"/>
  <c r="U691" i="9" s="1"/>
  <c r="V691" i="9" s="1"/>
  <c r="S691" i="9"/>
  <c r="P691" i="9"/>
  <c r="N691" i="9"/>
  <c r="O691" i="9" s="1"/>
  <c r="M691" i="9"/>
  <c r="K691" i="9"/>
  <c r="T690" i="9"/>
  <c r="S690" i="9"/>
  <c r="P690" i="9"/>
  <c r="N690" i="9"/>
  <c r="O690" i="9" s="1"/>
  <c r="M690" i="9"/>
  <c r="K690" i="9"/>
  <c r="U689" i="9"/>
  <c r="T689" i="9"/>
  <c r="S689" i="9"/>
  <c r="P689" i="9"/>
  <c r="N689" i="9"/>
  <c r="O689" i="9" s="1"/>
  <c r="M689" i="9"/>
  <c r="K689" i="9"/>
  <c r="V688" i="9"/>
  <c r="U688" i="9"/>
  <c r="T688" i="9"/>
  <c r="S688" i="9"/>
  <c r="P688" i="9"/>
  <c r="O688" i="9"/>
  <c r="N688" i="9"/>
  <c r="M688" i="9"/>
  <c r="K688" i="9"/>
  <c r="T687" i="9"/>
  <c r="U687" i="9" s="1"/>
  <c r="V687" i="9" s="1"/>
  <c r="S687" i="9"/>
  <c r="P687" i="9"/>
  <c r="N687" i="9"/>
  <c r="O687" i="9" s="1"/>
  <c r="M687" i="9"/>
  <c r="K687" i="9"/>
  <c r="T686" i="9"/>
  <c r="S686" i="9"/>
  <c r="N686" i="9"/>
  <c r="O686" i="9" s="1"/>
  <c r="M686" i="9"/>
  <c r="L686" i="9"/>
  <c r="P686" i="9" s="1"/>
  <c r="K686" i="9"/>
  <c r="T685" i="9"/>
  <c r="S685" i="9"/>
  <c r="P685" i="9"/>
  <c r="N685" i="9"/>
  <c r="O685" i="9" s="1"/>
  <c r="M685" i="9"/>
  <c r="K685" i="9"/>
  <c r="T684" i="9"/>
  <c r="U684" i="9" s="1"/>
  <c r="V684" i="9" s="1"/>
  <c r="S684" i="9"/>
  <c r="P684" i="9"/>
  <c r="N684" i="9"/>
  <c r="O684" i="9" s="1"/>
  <c r="M684" i="9"/>
  <c r="K684" i="9"/>
  <c r="T683" i="9"/>
  <c r="S683" i="9"/>
  <c r="P683" i="9"/>
  <c r="N683" i="9"/>
  <c r="O683" i="9" s="1"/>
  <c r="M683" i="9"/>
  <c r="K683" i="9"/>
  <c r="U682" i="9"/>
  <c r="T682" i="9"/>
  <c r="S682" i="9"/>
  <c r="P682" i="9"/>
  <c r="N682" i="9"/>
  <c r="O682" i="9" s="1"/>
  <c r="M682" i="9"/>
  <c r="K682" i="9"/>
  <c r="T681" i="9"/>
  <c r="S681" i="9"/>
  <c r="P681" i="9"/>
  <c r="N681" i="9"/>
  <c r="O681" i="9" s="1"/>
  <c r="M681" i="9"/>
  <c r="K681" i="9"/>
  <c r="S680" i="9"/>
  <c r="L680" i="9"/>
  <c r="P680" i="9" s="1"/>
  <c r="K680" i="9"/>
  <c r="U679" i="9"/>
  <c r="T679" i="9"/>
  <c r="S679" i="9"/>
  <c r="P679" i="9"/>
  <c r="N679" i="9"/>
  <c r="O679" i="9" s="1"/>
  <c r="M679" i="9"/>
  <c r="K679" i="9"/>
  <c r="U678" i="9"/>
  <c r="T678" i="9"/>
  <c r="S678" i="9"/>
  <c r="P678" i="9"/>
  <c r="O678" i="9"/>
  <c r="N678" i="9"/>
  <c r="M678" i="9"/>
  <c r="K678" i="9"/>
  <c r="T677" i="9"/>
  <c r="U677" i="9" s="1"/>
  <c r="V677" i="9" s="1"/>
  <c r="S677" i="9"/>
  <c r="P677" i="9"/>
  <c r="N677" i="9"/>
  <c r="O677" i="9" s="1"/>
  <c r="M677" i="9"/>
  <c r="K677" i="9"/>
  <c r="T676" i="9"/>
  <c r="S676" i="9"/>
  <c r="P676" i="9"/>
  <c r="N676" i="9"/>
  <c r="O676" i="9" s="1"/>
  <c r="M676" i="9"/>
  <c r="K676" i="9"/>
  <c r="T675" i="9"/>
  <c r="S675" i="9"/>
  <c r="P675" i="9"/>
  <c r="O675" i="9"/>
  <c r="N675" i="9"/>
  <c r="M675" i="9"/>
  <c r="K675" i="9"/>
  <c r="S674" i="9"/>
  <c r="L674" i="9"/>
  <c r="K674" i="9"/>
  <c r="T673" i="9"/>
  <c r="S673" i="9"/>
  <c r="P673" i="9"/>
  <c r="N673" i="9"/>
  <c r="O673" i="9" s="1"/>
  <c r="M673" i="9"/>
  <c r="K673" i="9"/>
  <c r="U672" i="9"/>
  <c r="T672" i="9"/>
  <c r="S672" i="9"/>
  <c r="P672" i="9"/>
  <c r="N672" i="9"/>
  <c r="O672" i="9" s="1"/>
  <c r="M672" i="9"/>
  <c r="K672" i="9"/>
  <c r="T671" i="9"/>
  <c r="U671" i="9" s="1"/>
  <c r="V671" i="9" s="1"/>
  <c r="S671" i="9"/>
  <c r="P671" i="9"/>
  <c r="N671" i="9"/>
  <c r="O671" i="9" s="1"/>
  <c r="M671" i="9"/>
  <c r="K671" i="9"/>
  <c r="T670" i="9"/>
  <c r="U670" i="9" s="1"/>
  <c r="V670" i="9" s="1"/>
  <c r="S670" i="9"/>
  <c r="P670" i="9"/>
  <c r="N670" i="9"/>
  <c r="O670" i="9" s="1"/>
  <c r="M670" i="9"/>
  <c r="K670" i="9"/>
  <c r="T669" i="9"/>
  <c r="S669" i="9"/>
  <c r="P669" i="9"/>
  <c r="N669" i="9"/>
  <c r="O669" i="9" s="1"/>
  <c r="M669" i="9"/>
  <c r="K669" i="9"/>
  <c r="U668" i="9"/>
  <c r="T668" i="9"/>
  <c r="S668" i="9"/>
  <c r="P668" i="9"/>
  <c r="O668" i="9"/>
  <c r="N668" i="9"/>
  <c r="M668" i="9"/>
  <c r="K668" i="9"/>
  <c r="T667" i="9"/>
  <c r="S667" i="9"/>
  <c r="P667" i="9"/>
  <c r="N667" i="9"/>
  <c r="O667" i="9" s="1"/>
  <c r="M667" i="9"/>
  <c r="K667" i="9"/>
  <c r="T666" i="9"/>
  <c r="U666" i="9" s="1"/>
  <c r="V666" i="9" s="1"/>
  <c r="S666" i="9"/>
  <c r="P666" i="9"/>
  <c r="N666" i="9"/>
  <c r="O666" i="9" s="1"/>
  <c r="M666" i="9"/>
  <c r="K666" i="9"/>
  <c r="T665" i="9"/>
  <c r="S665" i="9"/>
  <c r="M665" i="9"/>
  <c r="L665" i="9"/>
  <c r="K665" i="9"/>
  <c r="U664" i="9"/>
  <c r="T664" i="9"/>
  <c r="V664" i="9" s="1"/>
  <c r="S664" i="9"/>
  <c r="P664" i="9"/>
  <c r="N664" i="9"/>
  <c r="O664" i="9" s="1"/>
  <c r="M664" i="9"/>
  <c r="K664" i="9"/>
  <c r="T663" i="9"/>
  <c r="U663" i="9" s="1"/>
  <c r="V663" i="9" s="1"/>
  <c r="S663" i="9"/>
  <c r="P663" i="9"/>
  <c r="N663" i="9"/>
  <c r="O663" i="9" s="1"/>
  <c r="M663" i="9"/>
  <c r="K663" i="9"/>
  <c r="T662" i="9"/>
  <c r="S662" i="9"/>
  <c r="P662" i="9"/>
  <c r="N662" i="9"/>
  <c r="O662" i="9" s="1"/>
  <c r="M662" i="9"/>
  <c r="K662" i="9"/>
  <c r="S661" i="9"/>
  <c r="N661" i="9"/>
  <c r="O661" i="9" s="1"/>
  <c r="L661" i="9"/>
  <c r="M661" i="9" s="1"/>
  <c r="K661" i="9"/>
  <c r="T660" i="9"/>
  <c r="U660" i="9" s="1"/>
  <c r="V660" i="9" s="1"/>
  <c r="S660" i="9"/>
  <c r="P660" i="9"/>
  <c r="N660" i="9"/>
  <c r="O660" i="9" s="1"/>
  <c r="M660" i="9"/>
  <c r="K660" i="9"/>
  <c r="T659" i="9"/>
  <c r="S659" i="9"/>
  <c r="P659" i="9"/>
  <c r="N659" i="9"/>
  <c r="O659" i="9" s="1"/>
  <c r="M659" i="9"/>
  <c r="K659" i="9"/>
  <c r="T658" i="9"/>
  <c r="U658" i="9" s="1"/>
  <c r="S658" i="9"/>
  <c r="P658" i="9"/>
  <c r="N658" i="9"/>
  <c r="O658" i="9" s="1"/>
  <c r="M658" i="9"/>
  <c r="K658" i="9"/>
  <c r="S657" i="9"/>
  <c r="L657" i="9"/>
  <c r="P657" i="9" s="1"/>
  <c r="K657" i="9"/>
  <c r="T656" i="9"/>
  <c r="S656" i="9"/>
  <c r="N656" i="9"/>
  <c r="O656" i="9" s="1"/>
  <c r="M656" i="9"/>
  <c r="L656" i="9"/>
  <c r="P656" i="9" s="1"/>
  <c r="K656" i="9"/>
  <c r="S655" i="9"/>
  <c r="L655" i="9"/>
  <c r="K655" i="9"/>
  <c r="S654" i="9"/>
  <c r="M654" i="9"/>
  <c r="L654" i="9"/>
  <c r="K654" i="9"/>
  <c r="S653" i="9"/>
  <c r="L653" i="9"/>
  <c r="P653" i="9" s="1"/>
  <c r="K653" i="9"/>
  <c r="T652" i="9"/>
  <c r="S652" i="9"/>
  <c r="N652" i="9"/>
  <c r="O652" i="9" s="1"/>
  <c r="M652" i="9"/>
  <c r="L652" i="9"/>
  <c r="P652" i="9" s="1"/>
  <c r="K652" i="9"/>
  <c r="S651" i="9"/>
  <c r="L651" i="9"/>
  <c r="P651" i="9" s="1"/>
  <c r="K651" i="9"/>
  <c r="T650" i="9"/>
  <c r="S650" i="9"/>
  <c r="P650" i="9"/>
  <c r="N650" i="9"/>
  <c r="O650" i="9" s="1"/>
  <c r="M650" i="9"/>
  <c r="K650" i="9"/>
  <c r="U649" i="9"/>
  <c r="T649" i="9"/>
  <c r="S649" i="9"/>
  <c r="P649" i="9"/>
  <c r="N649" i="9"/>
  <c r="O649" i="9" s="1"/>
  <c r="M649" i="9"/>
  <c r="K649" i="9"/>
  <c r="S648" i="9"/>
  <c r="L648" i="9"/>
  <c r="P648" i="9" s="1"/>
  <c r="K648" i="9"/>
  <c r="T647" i="9"/>
  <c r="S647" i="9"/>
  <c r="P647" i="9"/>
  <c r="N647" i="9"/>
  <c r="O647" i="9" s="1"/>
  <c r="M647" i="9"/>
  <c r="K647" i="9"/>
  <c r="S646" i="9"/>
  <c r="L646" i="9"/>
  <c r="K646" i="9"/>
  <c r="T645" i="9"/>
  <c r="U645" i="9" s="1"/>
  <c r="V645" i="9" s="1"/>
  <c r="S645" i="9"/>
  <c r="P645" i="9"/>
  <c r="N645" i="9"/>
  <c r="O645" i="9" s="1"/>
  <c r="M645" i="9"/>
  <c r="K645" i="9"/>
  <c r="T644" i="9"/>
  <c r="S644" i="9"/>
  <c r="P644" i="9"/>
  <c r="N644" i="9"/>
  <c r="O644" i="9" s="1"/>
  <c r="M644" i="9"/>
  <c r="K644" i="9"/>
  <c r="T643" i="9"/>
  <c r="U643" i="9" s="1"/>
  <c r="S643" i="9"/>
  <c r="P643" i="9"/>
  <c r="O643" i="9"/>
  <c r="N643" i="9"/>
  <c r="M643" i="9"/>
  <c r="K643" i="9"/>
  <c r="T642" i="9"/>
  <c r="S642" i="9"/>
  <c r="P642" i="9"/>
  <c r="O642" i="9"/>
  <c r="N642" i="9"/>
  <c r="M642" i="9"/>
  <c r="K642" i="9"/>
  <c r="T641" i="9"/>
  <c r="U641" i="9" s="1"/>
  <c r="V641" i="9" s="1"/>
  <c r="S641" i="9"/>
  <c r="P641" i="9"/>
  <c r="N641" i="9"/>
  <c r="O641" i="9" s="1"/>
  <c r="M641" i="9"/>
  <c r="K641" i="9"/>
  <c r="T640" i="9"/>
  <c r="S640" i="9"/>
  <c r="P640" i="9"/>
  <c r="N640" i="9"/>
  <c r="O640" i="9" s="1"/>
  <c r="M640" i="9"/>
  <c r="K640" i="9"/>
  <c r="S639" i="9"/>
  <c r="L639" i="9"/>
  <c r="K639" i="9"/>
  <c r="T638" i="9"/>
  <c r="U638" i="9" s="1"/>
  <c r="V638" i="9" s="1"/>
  <c r="S638" i="9"/>
  <c r="P638" i="9"/>
  <c r="N638" i="9"/>
  <c r="O638" i="9" s="1"/>
  <c r="M638" i="9"/>
  <c r="K638" i="9"/>
  <c r="T637" i="9"/>
  <c r="S637" i="9"/>
  <c r="P637" i="9"/>
  <c r="N637" i="9"/>
  <c r="O637" i="9" s="1"/>
  <c r="M637" i="9"/>
  <c r="K637" i="9"/>
  <c r="T636" i="9"/>
  <c r="U636" i="9" s="1"/>
  <c r="S636" i="9"/>
  <c r="P636" i="9"/>
  <c r="O636" i="9"/>
  <c r="N636" i="9"/>
  <c r="M636" i="9"/>
  <c r="K636" i="9"/>
  <c r="T635" i="9"/>
  <c r="S635" i="9"/>
  <c r="P635" i="9"/>
  <c r="O635" i="9"/>
  <c r="N635" i="9"/>
  <c r="M635" i="9"/>
  <c r="K635" i="9"/>
  <c r="T634" i="9"/>
  <c r="U634" i="9" s="1"/>
  <c r="V634" i="9" s="1"/>
  <c r="S634" i="9"/>
  <c r="P634" i="9"/>
  <c r="N634" i="9"/>
  <c r="O634" i="9" s="1"/>
  <c r="M634" i="9"/>
  <c r="K634" i="9"/>
  <c r="T633" i="9"/>
  <c r="S633" i="9"/>
  <c r="N633" i="9"/>
  <c r="O633" i="9" s="1"/>
  <c r="L633" i="9"/>
  <c r="P633" i="9" s="1"/>
  <c r="K633" i="9"/>
  <c r="T632" i="9"/>
  <c r="S632" i="9"/>
  <c r="P632" i="9"/>
  <c r="N632" i="9"/>
  <c r="O632" i="9" s="1"/>
  <c r="M632" i="9"/>
  <c r="K632" i="9"/>
  <c r="T631" i="9"/>
  <c r="U631" i="9" s="1"/>
  <c r="V631" i="9" s="1"/>
  <c r="S631" i="9"/>
  <c r="P631" i="9"/>
  <c r="N631" i="9"/>
  <c r="O631" i="9" s="1"/>
  <c r="M631" i="9"/>
  <c r="K631" i="9"/>
  <c r="T630" i="9"/>
  <c r="S630" i="9"/>
  <c r="P630" i="9"/>
  <c r="N630" i="9"/>
  <c r="O630" i="9" s="1"/>
  <c r="M630" i="9"/>
  <c r="K630" i="9"/>
  <c r="S629" i="9"/>
  <c r="L629" i="9"/>
  <c r="M629" i="9" s="1"/>
  <c r="K629" i="9"/>
  <c r="S628" i="9"/>
  <c r="L628" i="9"/>
  <c r="K628" i="9"/>
  <c r="U627" i="9"/>
  <c r="T627" i="9"/>
  <c r="S627" i="9"/>
  <c r="P627" i="9"/>
  <c r="N627" i="9"/>
  <c r="O627" i="9" s="1"/>
  <c r="M627" i="9"/>
  <c r="K627" i="9"/>
  <c r="T626" i="9"/>
  <c r="S626" i="9"/>
  <c r="P626" i="9"/>
  <c r="O626" i="9"/>
  <c r="N626" i="9"/>
  <c r="M626" i="9"/>
  <c r="K626" i="9"/>
  <c r="T625" i="9"/>
  <c r="U625" i="9" s="1"/>
  <c r="V625" i="9" s="1"/>
  <c r="S625" i="9"/>
  <c r="P625" i="9"/>
  <c r="N625" i="9"/>
  <c r="O625" i="9" s="1"/>
  <c r="M625" i="9"/>
  <c r="K625" i="9"/>
  <c r="T624" i="9"/>
  <c r="S624" i="9"/>
  <c r="P624" i="9"/>
  <c r="N624" i="9"/>
  <c r="O624" i="9" s="1"/>
  <c r="M624" i="9"/>
  <c r="K624" i="9"/>
  <c r="U623" i="9"/>
  <c r="T623" i="9"/>
  <c r="S623" i="9"/>
  <c r="P623" i="9"/>
  <c r="N623" i="9"/>
  <c r="O623" i="9" s="1"/>
  <c r="M623" i="9"/>
  <c r="K623" i="9"/>
  <c r="S622" i="9"/>
  <c r="P622" i="9"/>
  <c r="L622" i="9"/>
  <c r="K622" i="9"/>
  <c r="T621" i="9"/>
  <c r="S621" i="9"/>
  <c r="P621" i="9"/>
  <c r="N621" i="9"/>
  <c r="O621" i="9" s="1"/>
  <c r="M621" i="9"/>
  <c r="K621" i="9"/>
  <c r="T620" i="9"/>
  <c r="S620" i="9"/>
  <c r="P620" i="9"/>
  <c r="O620" i="9"/>
  <c r="N620" i="9"/>
  <c r="M620" i="9"/>
  <c r="K620" i="9"/>
  <c r="T619" i="9"/>
  <c r="S619" i="9"/>
  <c r="P619" i="9"/>
  <c r="N619" i="9"/>
  <c r="O619" i="9" s="1"/>
  <c r="M619" i="9"/>
  <c r="K619" i="9"/>
  <c r="T618" i="9"/>
  <c r="U618" i="9" s="1"/>
  <c r="V618" i="9" s="1"/>
  <c r="S618" i="9"/>
  <c r="P618" i="9"/>
  <c r="N618" i="9"/>
  <c r="O618" i="9" s="1"/>
  <c r="M618" i="9"/>
  <c r="K618" i="9"/>
  <c r="T617" i="9"/>
  <c r="S617" i="9"/>
  <c r="P617" i="9"/>
  <c r="N617" i="9"/>
  <c r="O617" i="9" s="1"/>
  <c r="M617" i="9"/>
  <c r="K617" i="9"/>
  <c r="T616" i="9"/>
  <c r="U616" i="9" s="1"/>
  <c r="S616" i="9"/>
  <c r="P616" i="9"/>
  <c r="N616" i="9"/>
  <c r="O616" i="9" s="1"/>
  <c r="M616" i="9"/>
  <c r="K616" i="9"/>
  <c r="T615" i="9"/>
  <c r="S615" i="9"/>
  <c r="P615" i="9"/>
  <c r="O615" i="9"/>
  <c r="N615" i="9"/>
  <c r="M615" i="9"/>
  <c r="K615" i="9"/>
  <c r="T614" i="9"/>
  <c r="U614" i="9" s="1"/>
  <c r="V614" i="9" s="1"/>
  <c r="S614" i="9"/>
  <c r="P614" i="9"/>
  <c r="N614" i="9"/>
  <c r="O614" i="9" s="1"/>
  <c r="M614" i="9"/>
  <c r="K614" i="9"/>
  <c r="T613" i="9"/>
  <c r="S613" i="9"/>
  <c r="P613" i="9"/>
  <c r="N613" i="9"/>
  <c r="O613" i="9" s="1"/>
  <c r="M613" i="9"/>
  <c r="K613" i="9"/>
  <c r="U612" i="9"/>
  <c r="T612" i="9"/>
  <c r="S612" i="9"/>
  <c r="P612" i="9"/>
  <c r="N612" i="9"/>
  <c r="O612" i="9" s="1"/>
  <c r="M612" i="9"/>
  <c r="K612" i="9"/>
  <c r="T611" i="9"/>
  <c r="U611" i="9" s="1"/>
  <c r="V611" i="9" s="1"/>
  <c r="S611" i="9"/>
  <c r="P611" i="9"/>
  <c r="O611" i="9"/>
  <c r="N611" i="9"/>
  <c r="M611" i="9"/>
  <c r="K611" i="9"/>
  <c r="T610" i="9"/>
  <c r="U610" i="9" s="1"/>
  <c r="V610" i="9" s="1"/>
  <c r="S610" i="9"/>
  <c r="P610" i="9"/>
  <c r="N610" i="9"/>
  <c r="O610" i="9" s="1"/>
  <c r="M610" i="9"/>
  <c r="K610" i="9"/>
  <c r="T609" i="9"/>
  <c r="S609" i="9"/>
  <c r="P609" i="9"/>
  <c r="N609" i="9"/>
  <c r="O609" i="9" s="1"/>
  <c r="M609" i="9"/>
  <c r="K609" i="9"/>
  <c r="T608" i="9"/>
  <c r="U608" i="9" s="1"/>
  <c r="S608" i="9"/>
  <c r="P608" i="9"/>
  <c r="N608" i="9"/>
  <c r="O608" i="9" s="1"/>
  <c r="M608" i="9"/>
  <c r="K608" i="9"/>
  <c r="V607" i="9"/>
  <c r="T607" i="9"/>
  <c r="U607" i="9" s="1"/>
  <c r="S607" i="9"/>
  <c r="P607" i="9"/>
  <c r="O607" i="9"/>
  <c r="N607" i="9"/>
  <c r="M607" i="9"/>
  <c r="K607" i="9"/>
  <c r="T606" i="9"/>
  <c r="U606" i="9" s="1"/>
  <c r="V606" i="9" s="1"/>
  <c r="S606" i="9"/>
  <c r="P606" i="9"/>
  <c r="N606" i="9"/>
  <c r="O606" i="9" s="1"/>
  <c r="M606" i="9"/>
  <c r="K606" i="9"/>
  <c r="T605" i="9"/>
  <c r="S605" i="9"/>
  <c r="P605" i="9"/>
  <c r="N605" i="9"/>
  <c r="O605" i="9" s="1"/>
  <c r="M605" i="9"/>
  <c r="K605" i="9"/>
  <c r="S604" i="9"/>
  <c r="L604" i="9"/>
  <c r="K604" i="9"/>
  <c r="T603" i="9"/>
  <c r="U603" i="9" s="1"/>
  <c r="V603" i="9" s="1"/>
  <c r="S603" i="9"/>
  <c r="P603" i="9"/>
  <c r="N603" i="9"/>
  <c r="O603" i="9" s="1"/>
  <c r="M603" i="9"/>
  <c r="K603" i="9"/>
  <c r="S602" i="9"/>
  <c r="L602" i="9"/>
  <c r="K602" i="9"/>
  <c r="U601" i="9"/>
  <c r="V601" i="9" s="1"/>
  <c r="T601" i="9"/>
  <c r="S601" i="9"/>
  <c r="P601" i="9"/>
  <c r="O601" i="9"/>
  <c r="N601" i="9"/>
  <c r="M601" i="9"/>
  <c r="K601" i="9"/>
  <c r="T600" i="9"/>
  <c r="U600" i="9" s="1"/>
  <c r="V600" i="9" s="1"/>
  <c r="S600" i="9"/>
  <c r="P600" i="9"/>
  <c r="N600" i="9"/>
  <c r="O600" i="9" s="1"/>
  <c r="M600" i="9"/>
  <c r="K600" i="9"/>
  <c r="T599" i="9"/>
  <c r="S599" i="9"/>
  <c r="N599" i="9"/>
  <c r="O599" i="9" s="1"/>
  <c r="M599" i="9"/>
  <c r="L599" i="9"/>
  <c r="P599" i="9" s="1"/>
  <c r="K599" i="9"/>
  <c r="S598" i="9"/>
  <c r="L598" i="9"/>
  <c r="K598" i="9"/>
  <c r="S597" i="9"/>
  <c r="L597" i="9"/>
  <c r="K597" i="9"/>
  <c r="S596" i="9"/>
  <c r="P596" i="9"/>
  <c r="L596" i="9"/>
  <c r="K596" i="9"/>
  <c r="T595" i="9"/>
  <c r="S595" i="9"/>
  <c r="N595" i="9"/>
  <c r="O595" i="9" s="1"/>
  <c r="M595" i="9"/>
  <c r="L595" i="9"/>
  <c r="P595" i="9" s="1"/>
  <c r="K595" i="9"/>
  <c r="S594" i="9"/>
  <c r="L594" i="9"/>
  <c r="P594" i="9" s="1"/>
  <c r="K594" i="9"/>
  <c r="T593" i="9"/>
  <c r="S593" i="9"/>
  <c r="M593" i="9"/>
  <c r="L593" i="9"/>
  <c r="K593" i="9"/>
  <c r="T592" i="9"/>
  <c r="U592" i="9" s="1"/>
  <c r="S592" i="9"/>
  <c r="P592" i="9"/>
  <c r="N592" i="9"/>
  <c r="O592" i="9" s="1"/>
  <c r="M592" i="9"/>
  <c r="K592" i="9"/>
  <c r="S591" i="9"/>
  <c r="M591" i="9"/>
  <c r="L591" i="9"/>
  <c r="P591" i="9" s="1"/>
  <c r="K591" i="9"/>
  <c r="T590" i="9"/>
  <c r="S590" i="9"/>
  <c r="P590" i="9"/>
  <c r="N590" i="9"/>
  <c r="O590" i="9" s="1"/>
  <c r="M590" i="9"/>
  <c r="K590" i="9"/>
  <c r="S589" i="9"/>
  <c r="L589" i="9"/>
  <c r="P589" i="9" s="1"/>
  <c r="K589" i="9"/>
  <c r="S588" i="9"/>
  <c r="L588" i="9"/>
  <c r="P588" i="9" s="1"/>
  <c r="K588" i="9"/>
  <c r="U587" i="9"/>
  <c r="V587" i="9" s="1"/>
  <c r="T587" i="9"/>
  <c r="S587" i="9"/>
  <c r="P587" i="9"/>
  <c r="O587" i="9"/>
  <c r="N587" i="9"/>
  <c r="M587" i="9"/>
  <c r="K587" i="9"/>
  <c r="T586" i="9"/>
  <c r="U586" i="9" s="1"/>
  <c r="V586" i="9" s="1"/>
  <c r="S586" i="9"/>
  <c r="P586" i="9"/>
  <c r="N586" i="9"/>
  <c r="O586" i="9" s="1"/>
  <c r="M586" i="9"/>
  <c r="K586" i="9"/>
  <c r="T585" i="9"/>
  <c r="S585" i="9"/>
  <c r="P585" i="9"/>
  <c r="N585" i="9"/>
  <c r="O585" i="9" s="1"/>
  <c r="M585" i="9"/>
  <c r="K585" i="9"/>
  <c r="U584" i="9"/>
  <c r="T584" i="9"/>
  <c r="S584" i="9"/>
  <c r="P584" i="9"/>
  <c r="O584" i="9"/>
  <c r="N584" i="9"/>
  <c r="M584" i="9"/>
  <c r="K584" i="9"/>
  <c r="S583" i="9"/>
  <c r="L583" i="9"/>
  <c r="P583" i="9" s="1"/>
  <c r="K583" i="9"/>
  <c r="T582" i="9"/>
  <c r="S582" i="9"/>
  <c r="P582" i="9"/>
  <c r="N582" i="9"/>
  <c r="O582" i="9" s="1"/>
  <c r="M582" i="9"/>
  <c r="K582" i="9"/>
  <c r="T581" i="9"/>
  <c r="U581" i="9" s="1"/>
  <c r="S581" i="9"/>
  <c r="P581" i="9"/>
  <c r="O581" i="9"/>
  <c r="N581" i="9"/>
  <c r="M581" i="9"/>
  <c r="K581" i="9"/>
  <c r="T580" i="9"/>
  <c r="S580" i="9"/>
  <c r="P580" i="9"/>
  <c r="N580" i="9"/>
  <c r="O580" i="9" s="1"/>
  <c r="M580" i="9"/>
  <c r="K580" i="9"/>
  <c r="S579" i="9"/>
  <c r="L579" i="9"/>
  <c r="P579" i="9" s="1"/>
  <c r="K579" i="9"/>
  <c r="T578" i="9"/>
  <c r="S578" i="9"/>
  <c r="P578" i="9"/>
  <c r="N578" i="9"/>
  <c r="O578" i="9" s="1"/>
  <c r="M578" i="9"/>
  <c r="K578" i="9"/>
  <c r="S577" i="9"/>
  <c r="L577" i="9"/>
  <c r="P577" i="9" s="1"/>
  <c r="K577" i="9"/>
  <c r="T576" i="9"/>
  <c r="S576" i="9"/>
  <c r="P576" i="9"/>
  <c r="N576" i="9"/>
  <c r="O576" i="9" s="1"/>
  <c r="M576" i="9"/>
  <c r="K576" i="9"/>
  <c r="U575" i="9"/>
  <c r="T575" i="9"/>
  <c r="S575" i="9"/>
  <c r="P575" i="9"/>
  <c r="N575" i="9"/>
  <c r="O575" i="9" s="1"/>
  <c r="M575" i="9"/>
  <c r="K575" i="9"/>
  <c r="V574" i="9"/>
  <c r="U574" i="9"/>
  <c r="T574" i="9"/>
  <c r="S574" i="9"/>
  <c r="P574" i="9"/>
  <c r="N574" i="9"/>
  <c r="O574" i="9" s="1"/>
  <c r="M574" i="9"/>
  <c r="K574" i="9"/>
  <c r="T573" i="9"/>
  <c r="U573" i="9" s="1"/>
  <c r="V573" i="9" s="1"/>
  <c r="S573" i="9"/>
  <c r="P573" i="9"/>
  <c r="N573" i="9"/>
  <c r="O573" i="9" s="1"/>
  <c r="M573" i="9"/>
  <c r="K573" i="9"/>
  <c r="T572" i="9"/>
  <c r="S572" i="9"/>
  <c r="P572" i="9"/>
  <c r="N572" i="9"/>
  <c r="O572" i="9" s="1"/>
  <c r="M572" i="9"/>
  <c r="K572" i="9"/>
  <c r="U571" i="9"/>
  <c r="T571" i="9"/>
  <c r="S571" i="9"/>
  <c r="P571" i="9"/>
  <c r="O571" i="9"/>
  <c r="N571" i="9"/>
  <c r="M571" i="9"/>
  <c r="K571" i="9"/>
  <c r="S570" i="9"/>
  <c r="L570" i="9"/>
  <c r="P570" i="9" s="1"/>
  <c r="K570" i="9"/>
  <c r="T569" i="9"/>
  <c r="S569" i="9"/>
  <c r="P569" i="9"/>
  <c r="N569" i="9"/>
  <c r="O569" i="9" s="1"/>
  <c r="M569" i="9"/>
  <c r="K569" i="9"/>
  <c r="T568" i="9"/>
  <c r="U568" i="9" s="1"/>
  <c r="S568" i="9"/>
  <c r="O568" i="9"/>
  <c r="N568" i="9"/>
  <c r="L568" i="9"/>
  <c r="M568" i="9" s="1"/>
  <c r="K568" i="9"/>
  <c r="S567" i="9"/>
  <c r="M567" i="9"/>
  <c r="L567" i="9"/>
  <c r="P567" i="9" s="1"/>
  <c r="K567" i="9"/>
  <c r="U566" i="9"/>
  <c r="T566" i="9"/>
  <c r="S566" i="9"/>
  <c r="P566" i="9"/>
  <c r="O566" i="9"/>
  <c r="N566" i="9"/>
  <c r="M566" i="9"/>
  <c r="K566" i="9"/>
  <c r="S565" i="9"/>
  <c r="L565" i="9"/>
  <c r="K565" i="9"/>
  <c r="S564" i="9"/>
  <c r="L564" i="9"/>
  <c r="K564" i="9"/>
  <c r="S563" i="9"/>
  <c r="L563" i="9"/>
  <c r="P563" i="9" s="1"/>
  <c r="K563" i="9"/>
  <c r="T562" i="9"/>
  <c r="S562" i="9"/>
  <c r="N562" i="9"/>
  <c r="O562" i="9" s="1"/>
  <c r="M562" i="9"/>
  <c r="L562" i="9"/>
  <c r="P562" i="9" s="1"/>
  <c r="K562" i="9"/>
  <c r="S561" i="9"/>
  <c r="L561" i="9"/>
  <c r="K561" i="9"/>
  <c r="S560" i="9"/>
  <c r="N560" i="9"/>
  <c r="O560" i="9" s="1"/>
  <c r="M560" i="9"/>
  <c r="L560" i="9"/>
  <c r="K560" i="9"/>
  <c r="T559" i="9"/>
  <c r="U559" i="9" s="1"/>
  <c r="S559" i="9"/>
  <c r="P559" i="9"/>
  <c r="O559" i="9"/>
  <c r="N559" i="9"/>
  <c r="M559" i="9"/>
  <c r="K559" i="9"/>
  <c r="S558" i="9"/>
  <c r="M558" i="9"/>
  <c r="L558" i="9"/>
  <c r="P558" i="9" s="1"/>
  <c r="K558" i="9"/>
  <c r="T557" i="9"/>
  <c r="S557" i="9"/>
  <c r="P557" i="9"/>
  <c r="O557" i="9"/>
  <c r="N557" i="9"/>
  <c r="M557" i="9"/>
  <c r="K557" i="9"/>
  <c r="S556" i="9"/>
  <c r="L556" i="9"/>
  <c r="P556" i="9" s="1"/>
  <c r="K556" i="9"/>
  <c r="S555" i="9"/>
  <c r="N555" i="9"/>
  <c r="O555" i="9" s="1"/>
  <c r="M555" i="9"/>
  <c r="L555" i="9"/>
  <c r="P555" i="9" s="1"/>
  <c r="K555" i="9"/>
  <c r="T554" i="9"/>
  <c r="U554" i="9" s="1"/>
  <c r="S554" i="9"/>
  <c r="P554" i="9"/>
  <c r="N554" i="9"/>
  <c r="O554" i="9" s="1"/>
  <c r="M554" i="9"/>
  <c r="K554" i="9"/>
  <c r="T553" i="9"/>
  <c r="U553" i="9" s="1"/>
  <c r="V553" i="9" s="1"/>
  <c r="S553" i="9"/>
  <c r="P553" i="9"/>
  <c r="N553" i="9"/>
  <c r="O553" i="9" s="1"/>
  <c r="M553" i="9"/>
  <c r="K553" i="9"/>
  <c r="T552" i="9"/>
  <c r="S552" i="9"/>
  <c r="P552" i="9"/>
  <c r="N552" i="9"/>
  <c r="O552" i="9" s="1"/>
  <c r="M552" i="9"/>
  <c r="K552" i="9"/>
  <c r="U551" i="9"/>
  <c r="T551" i="9"/>
  <c r="S551" i="9"/>
  <c r="P551" i="9"/>
  <c r="N551" i="9"/>
  <c r="O551" i="9" s="1"/>
  <c r="M551" i="9"/>
  <c r="K551" i="9"/>
  <c r="U550" i="9"/>
  <c r="V550" i="9" s="1"/>
  <c r="T550" i="9"/>
  <c r="S550" i="9"/>
  <c r="P550" i="9"/>
  <c r="O550" i="9"/>
  <c r="N550" i="9"/>
  <c r="M550" i="9"/>
  <c r="K550" i="9"/>
  <c r="T549" i="9"/>
  <c r="U549" i="9" s="1"/>
  <c r="V549" i="9" s="1"/>
  <c r="S549" i="9"/>
  <c r="P549" i="9"/>
  <c r="N549" i="9"/>
  <c r="O549" i="9" s="1"/>
  <c r="M549" i="9"/>
  <c r="K549" i="9"/>
  <c r="T548" i="9"/>
  <c r="S548" i="9"/>
  <c r="P548" i="9"/>
  <c r="N548" i="9"/>
  <c r="O548" i="9" s="1"/>
  <c r="M548" i="9"/>
  <c r="K548" i="9"/>
  <c r="T547" i="9"/>
  <c r="U547" i="9" s="1"/>
  <c r="S547" i="9"/>
  <c r="P547" i="9"/>
  <c r="O547" i="9"/>
  <c r="N547" i="9"/>
  <c r="M547" i="9"/>
  <c r="K547" i="9"/>
  <c r="U546" i="9"/>
  <c r="V546" i="9" s="1"/>
  <c r="T546" i="9"/>
  <c r="S546" i="9"/>
  <c r="P546" i="9"/>
  <c r="N546" i="9"/>
  <c r="O546" i="9" s="1"/>
  <c r="M546" i="9"/>
  <c r="K546" i="9"/>
  <c r="S545" i="9"/>
  <c r="L545" i="9"/>
  <c r="P545" i="9" s="1"/>
  <c r="K545" i="9"/>
  <c r="S544" i="9"/>
  <c r="L544" i="9"/>
  <c r="K544" i="9"/>
  <c r="T543" i="9"/>
  <c r="U543" i="9" s="1"/>
  <c r="V543" i="9" s="1"/>
  <c r="S543" i="9"/>
  <c r="P543" i="9"/>
  <c r="N543" i="9"/>
  <c r="O543" i="9" s="1"/>
  <c r="M543" i="9"/>
  <c r="K543" i="9"/>
  <c r="T542" i="9"/>
  <c r="S542" i="9"/>
  <c r="P542" i="9"/>
  <c r="N542" i="9"/>
  <c r="O542" i="9" s="1"/>
  <c r="M542" i="9"/>
  <c r="K542" i="9"/>
  <c r="S541" i="9"/>
  <c r="L541" i="9"/>
  <c r="K541" i="9"/>
  <c r="S540" i="9"/>
  <c r="L540" i="9"/>
  <c r="P540" i="9" s="1"/>
  <c r="K540" i="9"/>
  <c r="U539" i="9"/>
  <c r="T539" i="9"/>
  <c r="S539" i="9"/>
  <c r="P539" i="9"/>
  <c r="N539" i="9"/>
  <c r="O539" i="9" s="1"/>
  <c r="M539" i="9"/>
  <c r="K539" i="9"/>
  <c r="S538" i="9"/>
  <c r="L538" i="9"/>
  <c r="K538" i="9"/>
  <c r="T537" i="9"/>
  <c r="S537" i="9"/>
  <c r="N537" i="9"/>
  <c r="O537" i="9" s="1"/>
  <c r="L537" i="9"/>
  <c r="K537" i="9"/>
  <c r="S536" i="9"/>
  <c r="L536" i="9"/>
  <c r="P536" i="9" s="1"/>
  <c r="K536" i="9"/>
  <c r="S535" i="9"/>
  <c r="L535" i="9"/>
  <c r="K535" i="9"/>
  <c r="S534" i="9"/>
  <c r="L534" i="9"/>
  <c r="K534" i="9"/>
  <c r="T533" i="9"/>
  <c r="S533" i="9"/>
  <c r="P533" i="9"/>
  <c r="N533" i="9"/>
  <c r="O533" i="9" s="1"/>
  <c r="M533" i="9"/>
  <c r="K533" i="9"/>
  <c r="T532" i="9"/>
  <c r="U532" i="9" s="1"/>
  <c r="S532" i="9"/>
  <c r="N532" i="9"/>
  <c r="O532" i="9" s="1"/>
  <c r="L532" i="9"/>
  <c r="M532" i="9" s="1"/>
  <c r="K532" i="9"/>
  <c r="T531" i="9"/>
  <c r="U531" i="9" s="1"/>
  <c r="V531" i="9" s="1"/>
  <c r="S531" i="9"/>
  <c r="P531" i="9"/>
  <c r="N531" i="9"/>
  <c r="O531" i="9" s="1"/>
  <c r="M531" i="9"/>
  <c r="K531" i="9"/>
  <c r="T530" i="9"/>
  <c r="S530" i="9"/>
  <c r="N530" i="9"/>
  <c r="O530" i="9" s="1"/>
  <c r="M530" i="9"/>
  <c r="L530" i="9"/>
  <c r="P530" i="9" s="1"/>
  <c r="K530" i="9"/>
  <c r="S529" i="9"/>
  <c r="L529" i="9"/>
  <c r="P529" i="9" s="1"/>
  <c r="K529" i="9"/>
  <c r="T528" i="9"/>
  <c r="S528" i="9"/>
  <c r="P528" i="9"/>
  <c r="N528" i="9"/>
  <c r="O528" i="9" s="1"/>
  <c r="M528" i="9"/>
  <c r="K528" i="9"/>
  <c r="U527" i="9"/>
  <c r="T527" i="9"/>
  <c r="S527" i="9"/>
  <c r="P527" i="9"/>
  <c r="N527" i="9"/>
  <c r="O527" i="9" s="1"/>
  <c r="M527" i="9"/>
  <c r="K527" i="9"/>
  <c r="U526" i="9"/>
  <c r="V526" i="9" s="1"/>
  <c r="T526" i="9"/>
  <c r="S526" i="9"/>
  <c r="P526" i="9"/>
  <c r="N526" i="9"/>
  <c r="O526" i="9" s="1"/>
  <c r="M526" i="9"/>
  <c r="K526" i="9"/>
  <c r="T525" i="9"/>
  <c r="U525" i="9" s="1"/>
  <c r="V525" i="9" s="1"/>
  <c r="S525" i="9"/>
  <c r="P525" i="9"/>
  <c r="N525" i="9"/>
  <c r="O525" i="9" s="1"/>
  <c r="M525" i="9"/>
  <c r="K525" i="9"/>
  <c r="T524" i="9"/>
  <c r="S524" i="9"/>
  <c r="P524" i="9"/>
  <c r="N524" i="9"/>
  <c r="O524" i="9" s="1"/>
  <c r="M524" i="9"/>
  <c r="K524" i="9"/>
  <c r="T523" i="9"/>
  <c r="S523" i="9"/>
  <c r="P523" i="9"/>
  <c r="O523" i="9"/>
  <c r="N523" i="9"/>
  <c r="M523" i="9"/>
  <c r="K523" i="9"/>
  <c r="U522" i="9"/>
  <c r="T522" i="9"/>
  <c r="V522" i="9" s="1"/>
  <c r="S522" i="9"/>
  <c r="P522" i="9"/>
  <c r="N522" i="9"/>
  <c r="O522" i="9" s="1"/>
  <c r="M522" i="9"/>
  <c r="K522" i="9"/>
  <c r="T521" i="9"/>
  <c r="U521" i="9" s="1"/>
  <c r="V521" i="9" s="1"/>
  <c r="S521" i="9"/>
  <c r="P521" i="9"/>
  <c r="N521" i="9"/>
  <c r="O521" i="9" s="1"/>
  <c r="M521" i="9"/>
  <c r="K521" i="9"/>
  <c r="T520" i="9"/>
  <c r="S520" i="9"/>
  <c r="P520" i="9"/>
  <c r="N520" i="9"/>
  <c r="O520" i="9" s="1"/>
  <c r="M520" i="9"/>
  <c r="K520" i="9"/>
  <c r="T519" i="9"/>
  <c r="U519" i="9" s="1"/>
  <c r="S519" i="9"/>
  <c r="P519" i="9"/>
  <c r="N519" i="9"/>
  <c r="O519" i="9" s="1"/>
  <c r="M519" i="9"/>
  <c r="K519" i="9"/>
  <c r="T518" i="9"/>
  <c r="S518" i="9"/>
  <c r="P518" i="9"/>
  <c r="O518" i="9"/>
  <c r="N518" i="9"/>
  <c r="M518" i="9"/>
  <c r="K518" i="9"/>
  <c r="T517" i="9"/>
  <c r="U517" i="9" s="1"/>
  <c r="V517" i="9" s="1"/>
  <c r="S517" i="9"/>
  <c r="P517" i="9"/>
  <c r="N517" i="9"/>
  <c r="O517" i="9" s="1"/>
  <c r="M517" i="9"/>
  <c r="K517" i="9"/>
  <c r="T516" i="9"/>
  <c r="S516" i="9"/>
  <c r="P516" i="9"/>
  <c r="N516" i="9"/>
  <c r="O516" i="9" s="1"/>
  <c r="M516" i="9"/>
  <c r="K516" i="9"/>
  <c r="U515" i="9"/>
  <c r="T515" i="9"/>
  <c r="S515" i="9"/>
  <c r="P515" i="9"/>
  <c r="N515" i="9"/>
  <c r="O515" i="9" s="1"/>
  <c r="M515" i="9"/>
  <c r="K515" i="9"/>
  <c r="V514" i="9"/>
  <c r="T514" i="9"/>
  <c r="U514" i="9" s="1"/>
  <c r="S514" i="9"/>
  <c r="P514" i="9"/>
  <c r="O514" i="9"/>
  <c r="N514" i="9"/>
  <c r="M514" i="9"/>
  <c r="K514" i="9"/>
  <c r="S513" i="9"/>
  <c r="M513" i="9"/>
  <c r="L513" i="9"/>
  <c r="P513" i="9" s="1"/>
  <c r="K513" i="9"/>
  <c r="T512" i="9"/>
  <c r="U512" i="9" s="1"/>
  <c r="S512" i="9"/>
  <c r="P512" i="9"/>
  <c r="N512" i="9"/>
  <c r="O512" i="9" s="1"/>
  <c r="M512" i="9"/>
  <c r="K512" i="9"/>
  <c r="S511" i="9"/>
  <c r="P511" i="9"/>
  <c r="L511" i="9"/>
  <c r="K511" i="9"/>
  <c r="T510" i="9"/>
  <c r="S510" i="9"/>
  <c r="P510" i="9"/>
  <c r="N510" i="9"/>
  <c r="O510" i="9" s="1"/>
  <c r="M510" i="9"/>
  <c r="K510" i="9"/>
  <c r="T509" i="9"/>
  <c r="S509" i="9"/>
  <c r="P509" i="9"/>
  <c r="O509" i="9"/>
  <c r="N509" i="9"/>
  <c r="M509" i="9"/>
  <c r="K509" i="9"/>
  <c r="U508" i="9"/>
  <c r="T508" i="9"/>
  <c r="V508" i="9" s="1"/>
  <c r="S508" i="9"/>
  <c r="P508" i="9"/>
  <c r="N508" i="9"/>
  <c r="O508" i="9" s="1"/>
  <c r="M508" i="9"/>
  <c r="K508" i="9"/>
  <c r="T507" i="9"/>
  <c r="U507" i="9" s="1"/>
  <c r="V507" i="9" s="1"/>
  <c r="S507" i="9"/>
  <c r="P507" i="9"/>
  <c r="N507" i="9"/>
  <c r="O507" i="9" s="1"/>
  <c r="M507" i="9"/>
  <c r="K507" i="9"/>
  <c r="T506" i="9"/>
  <c r="S506" i="9"/>
  <c r="P506" i="9"/>
  <c r="N506" i="9"/>
  <c r="O506" i="9" s="1"/>
  <c r="M506" i="9"/>
  <c r="K506" i="9"/>
  <c r="U505" i="9"/>
  <c r="T505" i="9"/>
  <c r="S505" i="9"/>
  <c r="P505" i="9"/>
  <c r="N505" i="9"/>
  <c r="O505" i="9" s="1"/>
  <c r="M505" i="9"/>
  <c r="K505" i="9"/>
  <c r="T504" i="9"/>
  <c r="S504" i="9"/>
  <c r="P504" i="9"/>
  <c r="N504" i="9"/>
  <c r="O504" i="9" s="1"/>
  <c r="M504" i="9"/>
  <c r="K504" i="9"/>
  <c r="T503" i="9"/>
  <c r="U503" i="9" s="1"/>
  <c r="V503" i="9" s="1"/>
  <c r="S503" i="9"/>
  <c r="P503" i="9"/>
  <c r="N503" i="9"/>
  <c r="O503" i="9" s="1"/>
  <c r="M503" i="9"/>
  <c r="K503" i="9"/>
  <c r="T502" i="9"/>
  <c r="S502" i="9"/>
  <c r="P502" i="9"/>
  <c r="N502" i="9"/>
  <c r="O502" i="9" s="1"/>
  <c r="M502" i="9"/>
  <c r="K502" i="9"/>
  <c r="U501" i="9"/>
  <c r="T501" i="9"/>
  <c r="S501" i="9"/>
  <c r="P501" i="9"/>
  <c r="N501" i="9"/>
  <c r="O501" i="9" s="1"/>
  <c r="M501" i="9"/>
  <c r="K501" i="9"/>
  <c r="U500" i="9"/>
  <c r="T500" i="9"/>
  <c r="V500" i="9" s="1"/>
  <c r="S500" i="9"/>
  <c r="P500" i="9"/>
  <c r="O500" i="9"/>
  <c r="N500" i="9"/>
  <c r="M500" i="9"/>
  <c r="K500" i="9"/>
  <c r="T499" i="9"/>
  <c r="U499" i="9" s="1"/>
  <c r="V499" i="9" s="1"/>
  <c r="S499" i="9"/>
  <c r="P499" i="9"/>
  <c r="N499" i="9"/>
  <c r="O499" i="9" s="1"/>
  <c r="M499" i="9"/>
  <c r="K499" i="9"/>
  <c r="T498" i="9"/>
  <c r="S498" i="9"/>
  <c r="P498" i="9"/>
  <c r="N498" i="9"/>
  <c r="O498" i="9" s="1"/>
  <c r="M498" i="9"/>
  <c r="K498" i="9"/>
  <c r="T497" i="9"/>
  <c r="U497" i="9" s="1"/>
  <c r="S497" i="9"/>
  <c r="P497" i="9"/>
  <c r="O497" i="9"/>
  <c r="N497" i="9"/>
  <c r="M497" i="9"/>
  <c r="K497" i="9"/>
  <c r="T496" i="9"/>
  <c r="S496" i="9"/>
  <c r="P496" i="9"/>
  <c r="O496" i="9"/>
  <c r="N496" i="9"/>
  <c r="M496" i="9"/>
  <c r="K496" i="9"/>
  <c r="T495" i="9"/>
  <c r="U495" i="9" s="1"/>
  <c r="V495" i="9" s="1"/>
  <c r="S495" i="9"/>
  <c r="P495" i="9"/>
  <c r="N495" i="9"/>
  <c r="O495" i="9" s="1"/>
  <c r="M495" i="9"/>
  <c r="K495" i="9"/>
  <c r="T494" i="9"/>
  <c r="S494" i="9"/>
  <c r="P494" i="9"/>
  <c r="N494" i="9"/>
  <c r="O494" i="9" s="1"/>
  <c r="M494" i="9"/>
  <c r="K494" i="9"/>
  <c r="T493" i="9"/>
  <c r="S493" i="9"/>
  <c r="P493" i="9"/>
  <c r="N493" i="9"/>
  <c r="O493" i="9" s="1"/>
  <c r="M493" i="9"/>
  <c r="K493" i="9"/>
  <c r="V492" i="9"/>
  <c r="U492" i="9"/>
  <c r="T492" i="9"/>
  <c r="S492" i="9"/>
  <c r="P492" i="9"/>
  <c r="O492" i="9"/>
  <c r="N492" i="9"/>
  <c r="M492" i="9"/>
  <c r="K492" i="9"/>
  <c r="U491" i="9"/>
  <c r="T491" i="9"/>
  <c r="V491" i="9" s="1"/>
  <c r="S491" i="9"/>
  <c r="P491" i="9"/>
  <c r="N491" i="9"/>
  <c r="O491" i="9" s="1"/>
  <c r="M491" i="9"/>
  <c r="K491" i="9"/>
  <c r="S490" i="9"/>
  <c r="L490" i="9"/>
  <c r="K490" i="9"/>
  <c r="U489" i="9"/>
  <c r="V489" i="9" s="1"/>
  <c r="T489" i="9"/>
  <c r="S489" i="9"/>
  <c r="P489" i="9"/>
  <c r="O489" i="9"/>
  <c r="N489" i="9"/>
  <c r="M489" i="9"/>
  <c r="K489" i="9"/>
  <c r="T488" i="9"/>
  <c r="S488" i="9"/>
  <c r="P488" i="9"/>
  <c r="N488" i="9"/>
  <c r="O488" i="9" s="1"/>
  <c r="M488" i="9"/>
  <c r="K488" i="9"/>
  <c r="T487" i="9"/>
  <c r="S487" i="9"/>
  <c r="P487" i="9"/>
  <c r="N487" i="9"/>
  <c r="O487" i="9" s="1"/>
  <c r="M487" i="9"/>
  <c r="K487" i="9"/>
  <c r="U486" i="9"/>
  <c r="T486" i="9"/>
  <c r="S486" i="9"/>
  <c r="M486" i="9"/>
  <c r="L486" i="9"/>
  <c r="P486" i="9" s="1"/>
  <c r="K486" i="9"/>
  <c r="U485" i="9"/>
  <c r="T485" i="9"/>
  <c r="S485" i="9"/>
  <c r="P485" i="9"/>
  <c r="O485" i="9"/>
  <c r="N485" i="9"/>
  <c r="M485" i="9"/>
  <c r="K485" i="9"/>
  <c r="S484" i="9"/>
  <c r="L484" i="9"/>
  <c r="K484" i="9"/>
  <c r="S483" i="9"/>
  <c r="P483" i="9"/>
  <c r="L483" i="9"/>
  <c r="K483" i="9"/>
  <c r="T482" i="9"/>
  <c r="S482" i="9"/>
  <c r="P482" i="9"/>
  <c r="N482" i="9"/>
  <c r="O482" i="9" s="1"/>
  <c r="M482" i="9"/>
  <c r="K482" i="9"/>
  <c r="T481" i="9"/>
  <c r="S481" i="9"/>
  <c r="O481" i="9"/>
  <c r="N481" i="9"/>
  <c r="L481" i="9"/>
  <c r="P481" i="9" s="1"/>
  <c r="K481" i="9"/>
  <c r="S480" i="9"/>
  <c r="M480" i="9"/>
  <c r="L480" i="9"/>
  <c r="P480" i="9" s="1"/>
  <c r="K480" i="9"/>
  <c r="U479" i="9"/>
  <c r="T479" i="9"/>
  <c r="S479" i="9"/>
  <c r="N479" i="9"/>
  <c r="O479" i="9" s="1"/>
  <c r="L479" i="9"/>
  <c r="P479" i="9" s="1"/>
  <c r="K479" i="9"/>
  <c r="S478" i="9"/>
  <c r="M478" i="9"/>
  <c r="L478" i="9"/>
  <c r="P478" i="9" s="1"/>
  <c r="K478" i="9"/>
  <c r="T477" i="9"/>
  <c r="S477" i="9"/>
  <c r="P477" i="9"/>
  <c r="O477" i="9"/>
  <c r="N477" i="9"/>
  <c r="M477" i="9"/>
  <c r="K477" i="9"/>
  <c r="T476" i="9"/>
  <c r="S476" i="9"/>
  <c r="P476" i="9"/>
  <c r="O476" i="9"/>
  <c r="N476" i="9"/>
  <c r="M476" i="9"/>
  <c r="K476" i="9"/>
  <c r="U475" i="9"/>
  <c r="T475" i="9"/>
  <c r="V475" i="9" s="1"/>
  <c r="S475" i="9"/>
  <c r="P475" i="9"/>
  <c r="O475" i="9"/>
  <c r="N475" i="9"/>
  <c r="M475" i="9"/>
  <c r="K475" i="9"/>
  <c r="T474" i="9"/>
  <c r="S474" i="9"/>
  <c r="P474" i="9"/>
  <c r="N474" i="9"/>
  <c r="O474" i="9" s="1"/>
  <c r="M474" i="9"/>
  <c r="K474" i="9"/>
  <c r="T473" i="9"/>
  <c r="S473" i="9"/>
  <c r="P473" i="9"/>
  <c r="N473" i="9"/>
  <c r="O473" i="9" s="1"/>
  <c r="M473" i="9"/>
  <c r="K473" i="9"/>
  <c r="T472" i="9"/>
  <c r="U472" i="9" s="1"/>
  <c r="V472" i="9" s="1"/>
  <c r="S472" i="9"/>
  <c r="P472" i="9"/>
  <c r="O472" i="9"/>
  <c r="N472" i="9"/>
  <c r="M472" i="9"/>
  <c r="K472" i="9"/>
  <c r="T471" i="9"/>
  <c r="S471" i="9"/>
  <c r="P471" i="9"/>
  <c r="O471" i="9"/>
  <c r="N471" i="9"/>
  <c r="M471" i="9"/>
  <c r="K471" i="9"/>
  <c r="T470" i="9"/>
  <c r="S470" i="9"/>
  <c r="P470" i="9"/>
  <c r="N470" i="9"/>
  <c r="O470" i="9" s="1"/>
  <c r="M470" i="9"/>
  <c r="K470" i="9"/>
  <c r="U469" i="9"/>
  <c r="T469" i="9"/>
  <c r="S469" i="9"/>
  <c r="P469" i="9"/>
  <c r="N469" i="9"/>
  <c r="O469" i="9" s="1"/>
  <c r="M469" i="9"/>
  <c r="K469" i="9"/>
  <c r="T468" i="9"/>
  <c r="S468" i="9"/>
  <c r="P468" i="9"/>
  <c r="N468" i="9"/>
  <c r="O468" i="9" s="1"/>
  <c r="M468" i="9"/>
  <c r="K468" i="9"/>
  <c r="T467" i="9"/>
  <c r="S467" i="9"/>
  <c r="P467" i="9"/>
  <c r="O467" i="9"/>
  <c r="N467" i="9"/>
  <c r="M467" i="9"/>
  <c r="K467" i="9"/>
  <c r="T466" i="9"/>
  <c r="S466" i="9"/>
  <c r="P466" i="9"/>
  <c r="N466" i="9"/>
  <c r="O466" i="9" s="1"/>
  <c r="M466" i="9"/>
  <c r="K466" i="9"/>
  <c r="T465" i="9"/>
  <c r="S465" i="9"/>
  <c r="P465" i="9"/>
  <c r="O465" i="9"/>
  <c r="N465" i="9"/>
  <c r="M465" i="9"/>
  <c r="K465" i="9"/>
  <c r="U464" i="9"/>
  <c r="T464" i="9"/>
  <c r="V464" i="9" s="1"/>
  <c r="S464" i="9"/>
  <c r="P464" i="9"/>
  <c r="N464" i="9"/>
  <c r="O464" i="9" s="1"/>
  <c r="M464" i="9"/>
  <c r="K464" i="9"/>
  <c r="U463" i="9"/>
  <c r="T463" i="9"/>
  <c r="V463" i="9" s="1"/>
  <c r="S463" i="9"/>
  <c r="P463" i="9"/>
  <c r="N463" i="9"/>
  <c r="O463" i="9" s="1"/>
  <c r="M463" i="9"/>
  <c r="K463" i="9"/>
  <c r="T462" i="9"/>
  <c r="S462" i="9"/>
  <c r="P462" i="9"/>
  <c r="N462" i="9"/>
  <c r="O462" i="9" s="1"/>
  <c r="M462" i="9"/>
  <c r="K462" i="9"/>
  <c r="T461" i="9"/>
  <c r="S461" i="9"/>
  <c r="P461" i="9"/>
  <c r="O461" i="9"/>
  <c r="N461" i="9"/>
  <c r="M461" i="9"/>
  <c r="K461" i="9"/>
  <c r="T460" i="9"/>
  <c r="U460" i="9" s="1"/>
  <c r="V460" i="9" s="1"/>
  <c r="S460" i="9"/>
  <c r="P460" i="9"/>
  <c r="O460" i="9"/>
  <c r="N460" i="9"/>
  <c r="M460" i="9"/>
  <c r="K460" i="9"/>
  <c r="V459" i="9"/>
  <c r="T459" i="9"/>
  <c r="U459" i="9" s="1"/>
  <c r="S459" i="9"/>
  <c r="P459" i="9"/>
  <c r="O459" i="9"/>
  <c r="N459" i="9"/>
  <c r="M459" i="9"/>
  <c r="K459" i="9"/>
  <c r="T458" i="9"/>
  <c r="S458" i="9"/>
  <c r="P458" i="9"/>
  <c r="N458" i="9"/>
  <c r="O458" i="9" s="1"/>
  <c r="M458" i="9"/>
  <c r="K458" i="9"/>
  <c r="S457" i="9"/>
  <c r="M457" i="9"/>
  <c r="L457" i="9"/>
  <c r="P457" i="9" s="1"/>
  <c r="K457" i="9"/>
  <c r="S456" i="9"/>
  <c r="L456" i="9"/>
  <c r="P456" i="9" s="1"/>
  <c r="K456" i="9"/>
  <c r="U455" i="9"/>
  <c r="T455" i="9"/>
  <c r="S455" i="9"/>
  <c r="P455" i="9"/>
  <c r="N455" i="9"/>
  <c r="O455" i="9" s="1"/>
  <c r="M455" i="9"/>
  <c r="K455" i="9"/>
  <c r="S454" i="9"/>
  <c r="L454" i="9"/>
  <c r="K454" i="9"/>
  <c r="T453" i="9"/>
  <c r="S453" i="9"/>
  <c r="N453" i="9"/>
  <c r="O453" i="9" s="1"/>
  <c r="M453" i="9"/>
  <c r="L453" i="9"/>
  <c r="P453" i="9" s="1"/>
  <c r="K453" i="9"/>
  <c r="S452" i="9"/>
  <c r="P452" i="9"/>
  <c r="L452" i="9"/>
  <c r="K452" i="9"/>
  <c r="T451" i="9"/>
  <c r="S451" i="9"/>
  <c r="N451" i="9"/>
  <c r="O451" i="9" s="1"/>
  <c r="M451" i="9"/>
  <c r="L451" i="9"/>
  <c r="P451" i="9" s="1"/>
  <c r="K451" i="9"/>
  <c r="S450" i="9"/>
  <c r="L450" i="9"/>
  <c r="K450" i="9"/>
  <c r="T449" i="9"/>
  <c r="S449" i="9"/>
  <c r="P449" i="9"/>
  <c r="N449" i="9"/>
  <c r="O449" i="9" s="1"/>
  <c r="M449" i="9"/>
  <c r="K449" i="9"/>
  <c r="S448" i="9"/>
  <c r="N448" i="9"/>
  <c r="O448" i="9" s="1"/>
  <c r="L448" i="9"/>
  <c r="P448" i="9" s="1"/>
  <c r="K448" i="9"/>
  <c r="S447" i="9"/>
  <c r="M447" i="9"/>
  <c r="L447" i="9"/>
  <c r="P447" i="9" s="1"/>
  <c r="K447" i="9"/>
  <c r="S446" i="9"/>
  <c r="L446" i="9"/>
  <c r="P446" i="9" s="1"/>
  <c r="K446" i="9"/>
  <c r="T445" i="9"/>
  <c r="U445" i="9" s="1"/>
  <c r="V445" i="9" s="1"/>
  <c r="S445" i="9"/>
  <c r="P445" i="9"/>
  <c r="N445" i="9"/>
  <c r="O445" i="9" s="1"/>
  <c r="M445" i="9"/>
  <c r="K445" i="9"/>
  <c r="T444" i="9"/>
  <c r="S444" i="9"/>
  <c r="P444" i="9"/>
  <c r="N444" i="9"/>
  <c r="O444" i="9" s="1"/>
  <c r="M444" i="9"/>
  <c r="K444" i="9"/>
  <c r="U443" i="9"/>
  <c r="T443" i="9"/>
  <c r="S443" i="9"/>
  <c r="L443" i="9"/>
  <c r="P443" i="9" s="1"/>
  <c r="K443" i="9"/>
  <c r="S442" i="9"/>
  <c r="L442" i="9"/>
  <c r="P442" i="9" s="1"/>
  <c r="K442" i="9"/>
  <c r="T441" i="9"/>
  <c r="U441" i="9" s="1"/>
  <c r="S441" i="9"/>
  <c r="P441" i="9"/>
  <c r="N441" i="9"/>
  <c r="O441" i="9" s="1"/>
  <c r="M441" i="9"/>
  <c r="K441" i="9"/>
  <c r="S440" i="9"/>
  <c r="L440" i="9"/>
  <c r="P440" i="9" s="1"/>
  <c r="K440" i="9"/>
  <c r="T439" i="9"/>
  <c r="S439" i="9"/>
  <c r="P439" i="9"/>
  <c r="N439" i="9"/>
  <c r="O439" i="9" s="1"/>
  <c r="M439" i="9"/>
  <c r="K439" i="9"/>
  <c r="T438" i="9"/>
  <c r="U438" i="9" s="1"/>
  <c r="S438" i="9"/>
  <c r="P438" i="9"/>
  <c r="O438" i="9"/>
  <c r="N438" i="9"/>
  <c r="M438" i="9"/>
  <c r="K438" i="9"/>
  <c r="T437" i="9"/>
  <c r="U437" i="9" s="1"/>
  <c r="V437" i="9" s="1"/>
  <c r="S437" i="9"/>
  <c r="P437" i="9"/>
  <c r="N437" i="9"/>
  <c r="O437" i="9" s="1"/>
  <c r="M437" i="9"/>
  <c r="K437" i="9"/>
  <c r="T436" i="9"/>
  <c r="U436" i="9" s="1"/>
  <c r="V436" i="9" s="1"/>
  <c r="S436" i="9"/>
  <c r="P436" i="9"/>
  <c r="N436" i="9"/>
  <c r="O436" i="9" s="1"/>
  <c r="M436" i="9"/>
  <c r="K436" i="9"/>
  <c r="T435" i="9"/>
  <c r="S435" i="9"/>
  <c r="P435" i="9"/>
  <c r="N435" i="9"/>
  <c r="O435" i="9" s="1"/>
  <c r="M435" i="9"/>
  <c r="K435" i="9"/>
  <c r="U434" i="9"/>
  <c r="T434" i="9"/>
  <c r="S434" i="9"/>
  <c r="P434" i="9"/>
  <c r="N434" i="9"/>
  <c r="O434" i="9" s="1"/>
  <c r="M434" i="9"/>
  <c r="K434" i="9"/>
  <c r="S433" i="9"/>
  <c r="L433" i="9"/>
  <c r="P433" i="9" s="1"/>
  <c r="K433" i="9"/>
  <c r="T432" i="9"/>
  <c r="S432" i="9"/>
  <c r="P432" i="9"/>
  <c r="N432" i="9"/>
  <c r="O432" i="9" s="1"/>
  <c r="M432" i="9"/>
  <c r="K432" i="9"/>
  <c r="U431" i="9"/>
  <c r="T431" i="9"/>
  <c r="S431" i="9"/>
  <c r="P431" i="9"/>
  <c r="O431" i="9"/>
  <c r="N431" i="9"/>
  <c r="M431" i="9"/>
  <c r="K431" i="9"/>
  <c r="S430" i="9"/>
  <c r="P430" i="9"/>
  <c r="L430" i="9"/>
  <c r="K430" i="9"/>
  <c r="T429" i="9"/>
  <c r="S429" i="9"/>
  <c r="P429" i="9"/>
  <c r="N429" i="9"/>
  <c r="O429" i="9" s="1"/>
  <c r="M429" i="9"/>
  <c r="K429" i="9"/>
  <c r="T428" i="9"/>
  <c r="S428" i="9"/>
  <c r="O428" i="9"/>
  <c r="N428" i="9"/>
  <c r="L428" i="9"/>
  <c r="P428" i="9" s="1"/>
  <c r="K428" i="9"/>
  <c r="T427" i="9"/>
  <c r="U427" i="9" s="1"/>
  <c r="V427" i="9" s="1"/>
  <c r="S427" i="9"/>
  <c r="P427" i="9"/>
  <c r="N427" i="9"/>
  <c r="O427" i="9" s="1"/>
  <c r="M427" i="9"/>
  <c r="K427" i="9"/>
  <c r="T426" i="9"/>
  <c r="S426" i="9"/>
  <c r="P426" i="9"/>
  <c r="N426" i="9"/>
  <c r="O426" i="9" s="1"/>
  <c r="M426" i="9"/>
  <c r="K426" i="9"/>
  <c r="U425" i="9"/>
  <c r="T425" i="9"/>
  <c r="S425" i="9"/>
  <c r="P425" i="9"/>
  <c r="O425" i="9"/>
  <c r="N425" i="9"/>
  <c r="M425" i="9"/>
  <c r="K425" i="9"/>
  <c r="V424" i="9"/>
  <c r="T424" i="9"/>
  <c r="U424" i="9" s="1"/>
  <c r="S424" i="9"/>
  <c r="P424" i="9"/>
  <c r="O424" i="9"/>
  <c r="N424" i="9"/>
  <c r="M424" i="9"/>
  <c r="K424" i="9"/>
  <c r="T423" i="9"/>
  <c r="U423" i="9" s="1"/>
  <c r="V423" i="9" s="1"/>
  <c r="S423" i="9"/>
  <c r="P423" i="9"/>
  <c r="N423" i="9"/>
  <c r="O423" i="9" s="1"/>
  <c r="M423" i="9"/>
  <c r="K423" i="9"/>
  <c r="T422" i="9"/>
  <c r="S422" i="9"/>
  <c r="P422" i="9"/>
  <c r="N422" i="9"/>
  <c r="O422" i="9" s="1"/>
  <c r="M422" i="9"/>
  <c r="K422" i="9"/>
  <c r="T421" i="9"/>
  <c r="U421" i="9" s="1"/>
  <c r="S421" i="9"/>
  <c r="M421" i="9"/>
  <c r="L421" i="9"/>
  <c r="P421" i="9" s="1"/>
  <c r="K421" i="9"/>
  <c r="T420" i="9"/>
  <c r="S420" i="9"/>
  <c r="P420" i="9"/>
  <c r="O420" i="9"/>
  <c r="N420" i="9"/>
  <c r="M420" i="9"/>
  <c r="K420" i="9"/>
  <c r="T419" i="9"/>
  <c r="S419" i="9"/>
  <c r="P419" i="9"/>
  <c r="N419" i="9"/>
  <c r="O419" i="9" s="1"/>
  <c r="M419" i="9"/>
  <c r="K419" i="9"/>
  <c r="U418" i="9"/>
  <c r="T418" i="9"/>
  <c r="S418" i="9"/>
  <c r="P418" i="9"/>
  <c r="O418" i="9"/>
  <c r="N418" i="9"/>
  <c r="M418" i="9"/>
  <c r="K418" i="9"/>
  <c r="T417" i="9"/>
  <c r="S417" i="9"/>
  <c r="P417" i="9"/>
  <c r="N417" i="9"/>
  <c r="O417" i="9" s="1"/>
  <c r="M417" i="9"/>
  <c r="K417" i="9"/>
  <c r="T416" i="9"/>
  <c r="U416" i="9" s="1"/>
  <c r="V416" i="9" s="1"/>
  <c r="S416" i="9"/>
  <c r="P416" i="9"/>
  <c r="N416" i="9"/>
  <c r="O416" i="9" s="1"/>
  <c r="M416" i="9"/>
  <c r="K416" i="9"/>
  <c r="T415" i="9"/>
  <c r="S415" i="9"/>
  <c r="P415" i="9"/>
  <c r="N415" i="9"/>
  <c r="O415" i="9" s="1"/>
  <c r="M415" i="9"/>
  <c r="K415" i="9"/>
  <c r="T414" i="9"/>
  <c r="U414" i="9" s="1"/>
  <c r="S414" i="9"/>
  <c r="P414" i="9"/>
  <c r="N414" i="9"/>
  <c r="O414" i="9" s="1"/>
  <c r="M414" i="9"/>
  <c r="K414" i="9"/>
  <c r="S413" i="9"/>
  <c r="P413" i="9"/>
  <c r="L413" i="9"/>
  <c r="K413" i="9"/>
  <c r="S412" i="9"/>
  <c r="M412" i="9"/>
  <c r="L412" i="9"/>
  <c r="P412" i="9" s="1"/>
  <c r="K412" i="9"/>
  <c r="V411" i="9"/>
  <c r="U411" i="9"/>
  <c r="T411" i="9"/>
  <c r="S411" i="9"/>
  <c r="P411" i="9"/>
  <c r="O411" i="9"/>
  <c r="N411" i="9"/>
  <c r="M411" i="9"/>
  <c r="K411" i="9"/>
  <c r="T410" i="9"/>
  <c r="U410" i="9" s="1"/>
  <c r="V410" i="9" s="1"/>
  <c r="S410" i="9"/>
  <c r="P410" i="9"/>
  <c r="N410" i="9"/>
  <c r="O410" i="9" s="1"/>
  <c r="M410" i="9"/>
  <c r="K410" i="9"/>
  <c r="T409" i="9"/>
  <c r="S409" i="9"/>
  <c r="P409" i="9"/>
  <c r="N409" i="9"/>
  <c r="O409" i="9" s="1"/>
  <c r="M409" i="9"/>
  <c r="K409" i="9"/>
  <c r="U408" i="9"/>
  <c r="T408" i="9"/>
  <c r="S408" i="9"/>
  <c r="P408" i="9"/>
  <c r="O408" i="9"/>
  <c r="N408" i="9"/>
  <c r="M408" i="9"/>
  <c r="K408" i="9"/>
  <c r="S407" i="9"/>
  <c r="L407" i="9"/>
  <c r="P407" i="9" s="1"/>
  <c r="K407" i="9"/>
  <c r="T406" i="9"/>
  <c r="S406" i="9"/>
  <c r="P406" i="9"/>
  <c r="N406" i="9"/>
  <c r="O406" i="9" s="1"/>
  <c r="M406" i="9"/>
  <c r="K406" i="9"/>
  <c r="T405" i="9"/>
  <c r="S405" i="9"/>
  <c r="P405" i="9"/>
  <c r="N405" i="9"/>
  <c r="O405" i="9" s="1"/>
  <c r="M405" i="9"/>
  <c r="K405" i="9"/>
  <c r="S404" i="9"/>
  <c r="L404" i="9"/>
  <c r="P404" i="9" s="1"/>
  <c r="K404" i="9"/>
  <c r="T403" i="9"/>
  <c r="S403" i="9"/>
  <c r="P403" i="9"/>
  <c r="N403" i="9"/>
  <c r="O403" i="9" s="1"/>
  <c r="M403" i="9"/>
  <c r="K403" i="9"/>
  <c r="T402" i="9"/>
  <c r="U402" i="9" s="1"/>
  <c r="S402" i="9"/>
  <c r="P402" i="9"/>
  <c r="N402" i="9"/>
  <c r="O402" i="9" s="1"/>
  <c r="M402" i="9"/>
  <c r="K402" i="9"/>
  <c r="V401" i="9"/>
  <c r="T401" i="9"/>
  <c r="U401" i="9" s="1"/>
  <c r="S401" i="9"/>
  <c r="P401" i="9"/>
  <c r="N401" i="9"/>
  <c r="O401" i="9" s="1"/>
  <c r="M401" i="9"/>
  <c r="K401" i="9"/>
  <c r="T400" i="9"/>
  <c r="U400" i="9" s="1"/>
  <c r="V400" i="9" s="1"/>
  <c r="S400" i="9"/>
  <c r="P400" i="9"/>
  <c r="N400" i="9"/>
  <c r="O400" i="9" s="1"/>
  <c r="M400" i="9"/>
  <c r="K400" i="9"/>
  <c r="T399" i="9"/>
  <c r="S399" i="9"/>
  <c r="P399" i="9"/>
  <c r="N399" i="9"/>
  <c r="O399" i="9" s="1"/>
  <c r="M399" i="9"/>
  <c r="K399" i="9"/>
  <c r="U398" i="9"/>
  <c r="T398" i="9"/>
  <c r="S398" i="9"/>
  <c r="N398" i="9"/>
  <c r="O398" i="9" s="1"/>
  <c r="L398" i="9"/>
  <c r="P398" i="9" s="1"/>
  <c r="K398" i="9"/>
  <c r="T397" i="9"/>
  <c r="S397" i="9"/>
  <c r="P397" i="9"/>
  <c r="N397" i="9"/>
  <c r="O397" i="9" s="1"/>
  <c r="M397" i="9"/>
  <c r="K397" i="9"/>
  <c r="T396" i="9"/>
  <c r="S396" i="9"/>
  <c r="P396" i="9"/>
  <c r="N396" i="9"/>
  <c r="O396" i="9" s="1"/>
  <c r="M396" i="9"/>
  <c r="K396" i="9"/>
  <c r="T395" i="9"/>
  <c r="S395" i="9"/>
  <c r="P395" i="9"/>
  <c r="N395" i="9"/>
  <c r="O395" i="9" s="1"/>
  <c r="M395" i="9"/>
  <c r="K395" i="9"/>
  <c r="T394" i="9"/>
  <c r="U394" i="9" s="1"/>
  <c r="V394" i="9" s="1"/>
  <c r="S394" i="9"/>
  <c r="P394" i="9"/>
  <c r="N394" i="9"/>
  <c r="O394" i="9" s="1"/>
  <c r="M394" i="9"/>
  <c r="K394" i="9"/>
  <c r="S393" i="9"/>
  <c r="L393" i="9"/>
  <c r="K393" i="9"/>
  <c r="S392" i="9"/>
  <c r="M392" i="9"/>
  <c r="L392" i="9"/>
  <c r="P392" i="9" s="1"/>
  <c r="K392" i="9"/>
  <c r="S391" i="9"/>
  <c r="P391" i="9"/>
  <c r="L391" i="9"/>
  <c r="K391" i="9"/>
  <c r="T390" i="9"/>
  <c r="U390" i="9" s="1"/>
  <c r="S390" i="9"/>
  <c r="P390" i="9"/>
  <c r="N390" i="9"/>
  <c r="O390" i="9" s="1"/>
  <c r="M390" i="9"/>
  <c r="K390" i="9"/>
  <c r="U389" i="9"/>
  <c r="T389" i="9"/>
  <c r="S389" i="9"/>
  <c r="P389" i="9"/>
  <c r="O389" i="9"/>
  <c r="N389" i="9"/>
  <c r="M389" i="9"/>
  <c r="K389" i="9"/>
  <c r="T388" i="9"/>
  <c r="U388" i="9" s="1"/>
  <c r="V388" i="9" s="1"/>
  <c r="S388" i="9"/>
  <c r="P388" i="9"/>
  <c r="N388" i="9"/>
  <c r="O388" i="9" s="1"/>
  <c r="M388" i="9"/>
  <c r="K388" i="9"/>
  <c r="T387" i="9"/>
  <c r="S387" i="9"/>
  <c r="P387" i="9"/>
  <c r="N387" i="9"/>
  <c r="O387" i="9" s="1"/>
  <c r="M387" i="9"/>
  <c r="K387" i="9"/>
  <c r="U386" i="9"/>
  <c r="T386" i="9"/>
  <c r="S386" i="9"/>
  <c r="P386" i="9"/>
  <c r="O386" i="9"/>
  <c r="N386" i="9"/>
  <c r="M386" i="9"/>
  <c r="K386" i="9"/>
  <c r="V385" i="9"/>
  <c r="T385" i="9"/>
  <c r="U385" i="9" s="1"/>
  <c r="S385" i="9"/>
  <c r="P385" i="9"/>
  <c r="N385" i="9"/>
  <c r="O385" i="9" s="1"/>
  <c r="M385" i="9"/>
  <c r="K385" i="9"/>
  <c r="S384" i="9"/>
  <c r="P384" i="9"/>
  <c r="M384" i="9"/>
  <c r="L384" i="9"/>
  <c r="K384" i="9"/>
  <c r="T383" i="9"/>
  <c r="S383" i="9"/>
  <c r="P383" i="9"/>
  <c r="N383" i="9"/>
  <c r="O383" i="9" s="1"/>
  <c r="M383" i="9"/>
  <c r="K383" i="9"/>
  <c r="S382" i="9"/>
  <c r="L382" i="9"/>
  <c r="P382" i="9" s="1"/>
  <c r="K382" i="9"/>
  <c r="T381" i="9"/>
  <c r="S381" i="9"/>
  <c r="P381" i="9"/>
  <c r="N381" i="9"/>
  <c r="O381" i="9" s="1"/>
  <c r="M381" i="9"/>
  <c r="K381" i="9"/>
  <c r="T380" i="9"/>
  <c r="U380" i="9" s="1"/>
  <c r="S380" i="9"/>
  <c r="P380" i="9"/>
  <c r="N380" i="9"/>
  <c r="O380" i="9" s="1"/>
  <c r="M380" i="9"/>
  <c r="K380" i="9"/>
  <c r="S379" i="9"/>
  <c r="L379" i="9"/>
  <c r="P379" i="9" s="1"/>
  <c r="K379" i="9"/>
  <c r="S378" i="9"/>
  <c r="L378" i="9"/>
  <c r="K378" i="9"/>
  <c r="S377" i="9"/>
  <c r="L377" i="9"/>
  <c r="K377" i="9"/>
  <c r="S376" i="9"/>
  <c r="N376" i="9"/>
  <c r="O376" i="9" s="1"/>
  <c r="L376" i="9"/>
  <c r="P376" i="9" s="1"/>
  <c r="K376" i="9"/>
  <c r="S375" i="9"/>
  <c r="L375" i="9"/>
  <c r="P375" i="9" s="1"/>
  <c r="K375" i="9"/>
  <c r="T374" i="9"/>
  <c r="S374" i="9"/>
  <c r="N374" i="9"/>
  <c r="O374" i="9" s="1"/>
  <c r="L374" i="9"/>
  <c r="P374" i="9" s="1"/>
  <c r="K374" i="9"/>
  <c r="S373" i="9"/>
  <c r="L373" i="9"/>
  <c r="P373" i="9" s="1"/>
  <c r="K373" i="9"/>
  <c r="T372" i="9"/>
  <c r="S372" i="9"/>
  <c r="N372" i="9"/>
  <c r="O372" i="9" s="1"/>
  <c r="L372" i="9"/>
  <c r="P372" i="9" s="1"/>
  <c r="K372" i="9"/>
  <c r="S371" i="9"/>
  <c r="P371" i="9"/>
  <c r="L371" i="9"/>
  <c r="K371" i="9"/>
  <c r="T370" i="9"/>
  <c r="S370" i="9"/>
  <c r="P370" i="9"/>
  <c r="N370" i="9"/>
  <c r="O370" i="9" s="1"/>
  <c r="M370" i="9"/>
  <c r="K370" i="9"/>
  <c r="T369" i="9"/>
  <c r="U369" i="9" s="1"/>
  <c r="S369" i="9"/>
  <c r="P369" i="9"/>
  <c r="N369" i="9"/>
  <c r="O369" i="9" s="1"/>
  <c r="M369" i="9"/>
  <c r="K369" i="9"/>
  <c r="S368" i="9"/>
  <c r="L368" i="9"/>
  <c r="K368" i="9"/>
  <c r="T367" i="9"/>
  <c r="S367" i="9"/>
  <c r="N367" i="9"/>
  <c r="O367" i="9" s="1"/>
  <c r="M367" i="9"/>
  <c r="L367" i="9"/>
  <c r="P367" i="9" s="1"/>
  <c r="K367" i="9"/>
  <c r="S366" i="9"/>
  <c r="L366" i="9"/>
  <c r="P366" i="9" s="1"/>
  <c r="K366" i="9"/>
  <c r="T365" i="9"/>
  <c r="S365" i="9"/>
  <c r="N365" i="9"/>
  <c r="O365" i="9" s="1"/>
  <c r="L365" i="9"/>
  <c r="P365" i="9" s="1"/>
  <c r="K365" i="9"/>
  <c r="S364" i="9"/>
  <c r="L364" i="9"/>
  <c r="P364" i="9" s="1"/>
  <c r="K364" i="9"/>
  <c r="S363" i="9"/>
  <c r="N363" i="9"/>
  <c r="O363" i="9" s="1"/>
  <c r="L363" i="9"/>
  <c r="K363" i="9"/>
  <c r="S362" i="9"/>
  <c r="L362" i="9"/>
  <c r="P362" i="9" s="1"/>
  <c r="K362" i="9"/>
  <c r="T361" i="9"/>
  <c r="S361" i="9"/>
  <c r="P361" i="9"/>
  <c r="N361" i="9"/>
  <c r="O361" i="9" s="1"/>
  <c r="M361" i="9"/>
  <c r="K361" i="9"/>
  <c r="T360" i="9"/>
  <c r="U360" i="9" s="1"/>
  <c r="S360" i="9"/>
  <c r="L360" i="9"/>
  <c r="M360" i="9" s="1"/>
  <c r="K360" i="9"/>
  <c r="T359" i="9"/>
  <c r="U359" i="9" s="1"/>
  <c r="S359" i="9"/>
  <c r="P359" i="9"/>
  <c r="N359" i="9"/>
  <c r="O359" i="9" s="1"/>
  <c r="M359" i="9"/>
  <c r="K359" i="9"/>
  <c r="T358" i="9"/>
  <c r="S358" i="9"/>
  <c r="M358" i="9"/>
  <c r="L358" i="9"/>
  <c r="P358" i="9" s="1"/>
  <c r="K358" i="9"/>
  <c r="S357" i="9"/>
  <c r="L357" i="9"/>
  <c r="P357" i="9" s="1"/>
  <c r="K357" i="9"/>
  <c r="T356" i="9"/>
  <c r="S356" i="9"/>
  <c r="N356" i="9"/>
  <c r="O356" i="9" s="1"/>
  <c r="L356" i="9"/>
  <c r="P356" i="9" s="1"/>
  <c r="K356" i="9"/>
  <c r="S355" i="9"/>
  <c r="L355" i="9"/>
  <c r="P355" i="9" s="1"/>
  <c r="K355" i="9"/>
  <c r="T354" i="9"/>
  <c r="S354" i="9"/>
  <c r="P354" i="9"/>
  <c r="N354" i="9"/>
  <c r="O354" i="9" s="1"/>
  <c r="M354" i="9"/>
  <c r="K354" i="9"/>
  <c r="T353" i="9"/>
  <c r="S353" i="9"/>
  <c r="P353" i="9"/>
  <c r="N353" i="9"/>
  <c r="O353" i="9" s="1"/>
  <c r="M353" i="9"/>
  <c r="K353" i="9"/>
  <c r="S352" i="9"/>
  <c r="P352" i="9"/>
  <c r="L352" i="9"/>
  <c r="K352" i="9"/>
  <c r="T351" i="9"/>
  <c r="S351" i="9"/>
  <c r="P351" i="9"/>
  <c r="N351" i="9"/>
  <c r="O351" i="9" s="1"/>
  <c r="M351" i="9"/>
  <c r="K351" i="9"/>
  <c r="T350" i="9"/>
  <c r="U350" i="9" s="1"/>
  <c r="S350" i="9"/>
  <c r="P350" i="9"/>
  <c r="N350" i="9"/>
  <c r="O350" i="9" s="1"/>
  <c r="M350" i="9"/>
  <c r="K350" i="9"/>
  <c r="S349" i="9"/>
  <c r="P349" i="9"/>
  <c r="L349" i="9"/>
  <c r="K349" i="9"/>
  <c r="T348" i="9"/>
  <c r="S348" i="9"/>
  <c r="P348" i="9"/>
  <c r="N348" i="9"/>
  <c r="O348" i="9" s="1"/>
  <c r="M348" i="9"/>
  <c r="K348" i="9"/>
  <c r="T347" i="9"/>
  <c r="U347" i="9" s="1"/>
  <c r="S347" i="9"/>
  <c r="P347" i="9"/>
  <c r="N347" i="9"/>
  <c r="O347" i="9" s="1"/>
  <c r="M347" i="9"/>
  <c r="K347" i="9"/>
  <c r="S346" i="9"/>
  <c r="L346" i="9"/>
  <c r="K346" i="9"/>
  <c r="S345" i="9"/>
  <c r="L345" i="9"/>
  <c r="N345" i="9" s="1"/>
  <c r="O345" i="9" s="1"/>
  <c r="K345" i="9"/>
  <c r="S344" i="9"/>
  <c r="M344" i="9"/>
  <c r="L344" i="9"/>
  <c r="P344" i="9" s="1"/>
  <c r="K344" i="9"/>
  <c r="S343" i="9"/>
  <c r="N343" i="9"/>
  <c r="O343" i="9" s="1"/>
  <c r="L343" i="9"/>
  <c r="K343" i="9"/>
  <c r="S342" i="9"/>
  <c r="M342" i="9"/>
  <c r="L342" i="9"/>
  <c r="P342" i="9" s="1"/>
  <c r="K342" i="9"/>
  <c r="T341" i="9"/>
  <c r="S341" i="9"/>
  <c r="P341" i="9"/>
  <c r="N341" i="9"/>
  <c r="O341" i="9" s="1"/>
  <c r="M341" i="9"/>
  <c r="K341" i="9"/>
  <c r="T340" i="9"/>
  <c r="U340" i="9" s="1"/>
  <c r="V340" i="9" s="1"/>
  <c r="S340" i="9"/>
  <c r="P340" i="9"/>
  <c r="N340" i="9"/>
  <c r="O340" i="9" s="1"/>
  <c r="M340" i="9"/>
  <c r="K340" i="9"/>
  <c r="T339" i="9"/>
  <c r="U339" i="9" s="1"/>
  <c r="V339" i="9" s="1"/>
  <c r="S339" i="9"/>
  <c r="P339" i="9"/>
  <c r="O339" i="9"/>
  <c r="N339" i="9"/>
  <c r="M339" i="9"/>
  <c r="K339" i="9"/>
  <c r="T338" i="9"/>
  <c r="S338" i="9"/>
  <c r="P338" i="9"/>
  <c r="N338" i="9"/>
  <c r="O338" i="9" s="1"/>
  <c r="M338" i="9"/>
  <c r="K338" i="9"/>
  <c r="T337" i="9"/>
  <c r="S337" i="9"/>
  <c r="O337" i="9"/>
  <c r="N337" i="9"/>
  <c r="M337" i="9"/>
  <c r="L337" i="9"/>
  <c r="P337" i="9" s="1"/>
  <c r="K337" i="9"/>
  <c r="T336" i="9"/>
  <c r="U336" i="9" s="1"/>
  <c r="V336" i="9" s="1"/>
  <c r="S336" i="9"/>
  <c r="P336" i="9"/>
  <c r="O336" i="9"/>
  <c r="N336" i="9"/>
  <c r="M336" i="9"/>
  <c r="K336" i="9"/>
  <c r="T335" i="9"/>
  <c r="S335" i="9"/>
  <c r="P335" i="9"/>
  <c r="N335" i="9"/>
  <c r="O335" i="9" s="1"/>
  <c r="M335" i="9"/>
  <c r="K335" i="9"/>
  <c r="T334" i="9"/>
  <c r="S334" i="9"/>
  <c r="P334" i="9"/>
  <c r="N334" i="9"/>
  <c r="O334" i="9" s="1"/>
  <c r="M334" i="9"/>
  <c r="K334" i="9"/>
  <c r="T333" i="9"/>
  <c r="U333" i="9" s="1"/>
  <c r="V333" i="9" s="1"/>
  <c r="S333" i="9"/>
  <c r="P333" i="9"/>
  <c r="N333" i="9"/>
  <c r="O333" i="9" s="1"/>
  <c r="M333" i="9"/>
  <c r="K333" i="9"/>
  <c r="U332" i="9"/>
  <c r="V332" i="9" s="1"/>
  <c r="T332" i="9"/>
  <c r="S332" i="9"/>
  <c r="P332" i="9"/>
  <c r="N332" i="9"/>
  <c r="O332" i="9" s="1"/>
  <c r="M332" i="9"/>
  <c r="K332" i="9"/>
  <c r="S331" i="9"/>
  <c r="L331" i="9"/>
  <c r="K331" i="9"/>
  <c r="S330" i="9"/>
  <c r="L330" i="9"/>
  <c r="T330" i="9" s="1"/>
  <c r="K330" i="9"/>
  <c r="S329" i="9"/>
  <c r="L329" i="9"/>
  <c r="M329" i="9" s="1"/>
  <c r="K329" i="9"/>
  <c r="S328" i="9"/>
  <c r="L328" i="9"/>
  <c r="T328" i="9" s="1"/>
  <c r="K328" i="9"/>
  <c r="T327" i="9"/>
  <c r="S327" i="9"/>
  <c r="P327" i="9"/>
  <c r="N327" i="9"/>
  <c r="O327" i="9" s="1"/>
  <c r="M327" i="9"/>
  <c r="K327" i="9"/>
  <c r="T326" i="9"/>
  <c r="S326" i="9"/>
  <c r="P326" i="9"/>
  <c r="N326" i="9"/>
  <c r="O326" i="9" s="1"/>
  <c r="M326" i="9"/>
  <c r="K326" i="9"/>
  <c r="T325" i="9"/>
  <c r="U325" i="9" s="1"/>
  <c r="V325" i="9" s="1"/>
  <c r="S325" i="9"/>
  <c r="P325" i="9"/>
  <c r="N325" i="9"/>
  <c r="O325" i="9" s="1"/>
  <c r="M325" i="9"/>
  <c r="K325" i="9"/>
  <c r="T324" i="9"/>
  <c r="U324" i="9" s="1"/>
  <c r="V324" i="9" s="1"/>
  <c r="S324" i="9"/>
  <c r="P324" i="9"/>
  <c r="N324" i="9"/>
  <c r="O324" i="9" s="1"/>
  <c r="M324" i="9"/>
  <c r="K324" i="9"/>
  <c r="T323" i="9"/>
  <c r="S323" i="9"/>
  <c r="P323" i="9"/>
  <c r="N323" i="9"/>
  <c r="O323" i="9" s="1"/>
  <c r="M323" i="9"/>
  <c r="K323" i="9"/>
  <c r="U322" i="9"/>
  <c r="T322" i="9"/>
  <c r="S322" i="9"/>
  <c r="P322" i="9"/>
  <c r="O322" i="9"/>
  <c r="N322" i="9"/>
  <c r="M322" i="9"/>
  <c r="K322" i="9"/>
  <c r="S321" i="9"/>
  <c r="L321" i="9"/>
  <c r="P321" i="9" s="1"/>
  <c r="K321" i="9"/>
  <c r="T320" i="9"/>
  <c r="S320" i="9"/>
  <c r="P320" i="9"/>
  <c r="N320" i="9"/>
  <c r="O320" i="9" s="1"/>
  <c r="M320" i="9"/>
  <c r="K320" i="9"/>
  <c r="T319" i="9"/>
  <c r="S319" i="9"/>
  <c r="P319" i="9"/>
  <c r="O319" i="9"/>
  <c r="N319" i="9"/>
  <c r="M319" i="9"/>
  <c r="K319" i="9"/>
  <c r="T318" i="9"/>
  <c r="U318" i="9" s="1"/>
  <c r="V318" i="9" s="1"/>
  <c r="S318" i="9"/>
  <c r="P318" i="9"/>
  <c r="N318" i="9"/>
  <c r="O318" i="9" s="1"/>
  <c r="M318" i="9"/>
  <c r="K318" i="9"/>
  <c r="S317" i="9"/>
  <c r="L317" i="9"/>
  <c r="P317" i="9" s="1"/>
  <c r="K317" i="9"/>
  <c r="T316" i="9"/>
  <c r="S316" i="9"/>
  <c r="P316" i="9"/>
  <c r="O316" i="9"/>
  <c r="N316" i="9"/>
  <c r="M316" i="9"/>
  <c r="K316" i="9"/>
  <c r="T315" i="9"/>
  <c r="U315" i="9" s="1"/>
  <c r="V315" i="9" s="1"/>
  <c r="S315" i="9"/>
  <c r="P315" i="9"/>
  <c r="N315" i="9"/>
  <c r="O315" i="9" s="1"/>
  <c r="M315" i="9"/>
  <c r="K315" i="9"/>
  <c r="T314" i="9"/>
  <c r="U314" i="9" s="1"/>
  <c r="V314" i="9" s="1"/>
  <c r="S314" i="9"/>
  <c r="P314" i="9"/>
  <c r="N314" i="9"/>
  <c r="O314" i="9" s="1"/>
  <c r="M314" i="9"/>
  <c r="K314" i="9"/>
  <c r="T313" i="9"/>
  <c r="S313" i="9"/>
  <c r="P313" i="9"/>
  <c r="N313" i="9"/>
  <c r="O313" i="9" s="1"/>
  <c r="M313" i="9"/>
  <c r="K313" i="9"/>
  <c r="T312" i="9"/>
  <c r="S312" i="9"/>
  <c r="L312" i="9"/>
  <c r="P312" i="9" s="1"/>
  <c r="K312" i="9"/>
  <c r="T311" i="9"/>
  <c r="U311" i="9" s="1"/>
  <c r="V311" i="9" s="1"/>
  <c r="S311" i="9"/>
  <c r="P311" i="9"/>
  <c r="N311" i="9"/>
  <c r="O311" i="9" s="1"/>
  <c r="M311" i="9"/>
  <c r="K311" i="9"/>
  <c r="T310" i="9"/>
  <c r="S310" i="9"/>
  <c r="P310" i="9"/>
  <c r="N310" i="9"/>
  <c r="O310" i="9" s="1"/>
  <c r="M310" i="9"/>
  <c r="K310" i="9"/>
  <c r="T309" i="9"/>
  <c r="S309" i="9"/>
  <c r="P309" i="9"/>
  <c r="N309" i="9"/>
  <c r="O309" i="9" s="1"/>
  <c r="M309" i="9"/>
  <c r="K309" i="9"/>
  <c r="T308" i="9"/>
  <c r="U308" i="9" s="1"/>
  <c r="V308" i="9" s="1"/>
  <c r="S308" i="9"/>
  <c r="P308" i="9"/>
  <c r="N308" i="9"/>
  <c r="O308" i="9" s="1"/>
  <c r="M308" i="9"/>
  <c r="K308" i="9"/>
  <c r="U307" i="9"/>
  <c r="V307" i="9" s="1"/>
  <c r="T307" i="9"/>
  <c r="S307" i="9"/>
  <c r="P307" i="9"/>
  <c r="N307" i="9"/>
  <c r="O307" i="9" s="1"/>
  <c r="M307" i="9"/>
  <c r="K307" i="9"/>
  <c r="S306" i="9"/>
  <c r="L306" i="9"/>
  <c r="N306" i="9" s="1"/>
  <c r="O306" i="9" s="1"/>
  <c r="K306" i="9"/>
  <c r="T305" i="9"/>
  <c r="U305" i="9" s="1"/>
  <c r="V305" i="9" s="1"/>
  <c r="S305" i="9"/>
  <c r="P305" i="9"/>
  <c r="N305" i="9"/>
  <c r="O305" i="9" s="1"/>
  <c r="M305" i="9"/>
  <c r="K305" i="9"/>
  <c r="T304" i="9"/>
  <c r="U304" i="9" s="1"/>
  <c r="V304" i="9" s="1"/>
  <c r="S304" i="9"/>
  <c r="P304" i="9"/>
  <c r="N304" i="9"/>
  <c r="O304" i="9" s="1"/>
  <c r="M304" i="9"/>
  <c r="K304" i="9"/>
  <c r="T303" i="9"/>
  <c r="S303" i="9"/>
  <c r="P303" i="9"/>
  <c r="N303" i="9"/>
  <c r="O303" i="9" s="1"/>
  <c r="M303" i="9"/>
  <c r="K303" i="9"/>
  <c r="U302" i="9"/>
  <c r="T302" i="9"/>
  <c r="S302" i="9"/>
  <c r="P302" i="9"/>
  <c r="O302" i="9"/>
  <c r="N302" i="9"/>
  <c r="M302" i="9"/>
  <c r="K302" i="9"/>
  <c r="T301" i="9"/>
  <c r="U301" i="9" s="1"/>
  <c r="V301" i="9" s="1"/>
  <c r="S301" i="9"/>
  <c r="P301" i="9"/>
  <c r="N301" i="9"/>
  <c r="O301" i="9" s="1"/>
  <c r="M301" i="9"/>
  <c r="K301" i="9"/>
  <c r="S300" i="9"/>
  <c r="L300" i="9"/>
  <c r="P300" i="9" s="1"/>
  <c r="K300" i="9"/>
  <c r="U299" i="9"/>
  <c r="T299" i="9"/>
  <c r="S299" i="9"/>
  <c r="P299" i="9"/>
  <c r="N299" i="9"/>
  <c r="O299" i="9" s="1"/>
  <c r="M299" i="9"/>
  <c r="K299" i="9"/>
  <c r="T298" i="9"/>
  <c r="U298" i="9" s="1"/>
  <c r="V298" i="9" s="1"/>
  <c r="S298" i="9"/>
  <c r="P298" i="9"/>
  <c r="N298" i="9"/>
  <c r="O298" i="9" s="1"/>
  <c r="M298" i="9"/>
  <c r="K298" i="9"/>
  <c r="T297" i="9"/>
  <c r="U297" i="9" s="1"/>
  <c r="V297" i="9" s="1"/>
  <c r="S297" i="9"/>
  <c r="P297" i="9"/>
  <c r="N297" i="9"/>
  <c r="O297" i="9" s="1"/>
  <c r="M297" i="9"/>
  <c r="K297" i="9"/>
  <c r="T296" i="9"/>
  <c r="S296" i="9"/>
  <c r="N296" i="9"/>
  <c r="O296" i="9" s="1"/>
  <c r="L296" i="9"/>
  <c r="M296" i="9" s="1"/>
  <c r="K296" i="9"/>
  <c r="S295" i="9"/>
  <c r="L295" i="9"/>
  <c r="T295" i="9" s="1"/>
  <c r="K295" i="9"/>
  <c r="T294" i="9"/>
  <c r="S294" i="9"/>
  <c r="N294" i="9"/>
  <c r="O294" i="9" s="1"/>
  <c r="L294" i="9"/>
  <c r="M294" i="9" s="1"/>
  <c r="K294" i="9"/>
  <c r="T293" i="9"/>
  <c r="U293" i="9" s="1"/>
  <c r="V293" i="9" s="1"/>
  <c r="S293" i="9"/>
  <c r="P293" i="9"/>
  <c r="N293" i="9"/>
  <c r="O293" i="9" s="1"/>
  <c r="M293" i="9"/>
  <c r="K293" i="9"/>
  <c r="T292" i="9"/>
  <c r="U292" i="9" s="1"/>
  <c r="V292" i="9" s="1"/>
  <c r="S292" i="9"/>
  <c r="P292" i="9"/>
  <c r="O292" i="9"/>
  <c r="N292" i="9"/>
  <c r="M292" i="9"/>
  <c r="K292" i="9"/>
  <c r="T291" i="9"/>
  <c r="S291" i="9"/>
  <c r="P291" i="9"/>
  <c r="N291" i="9"/>
  <c r="O291" i="9" s="1"/>
  <c r="M291" i="9"/>
  <c r="K291" i="9"/>
  <c r="T290" i="9"/>
  <c r="S290" i="9"/>
  <c r="P290" i="9"/>
  <c r="N290" i="9"/>
  <c r="O290" i="9" s="1"/>
  <c r="M290" i="9"/>
  <c r="K290" i="9"/>
  <c r="S289" i="9"/>
  <c r="L289" i="9"/>
  <c r="P289" i="9" s="1"/>
  <c r="K289" i="9"/>
  <c r="T288" i="9"/>
  <c r="S288" i="9"/>
  <c r="P288" i="9"/>
  <c r="N288" i="9"/>
  <c r="O288" i="9" s="1"/>
  <c r="M288" i="9"/>
  <c r="K288" i="9"/>
  <c r="U287" i="9"/>
  <c r="T287" i="9"/>
  <c r="S287" i="9"/>
  <c r="P287" i="9"/>
  <c r="O287" i="9"/>
  <c r="N287" i="9"/>
  <c r="M287" i="9"/>
  <c r="K287" i="9"/>
  <c r="S286" i="9"/>
  <c r="L286" i="9"/>
  <c r="T286" i="9" s="1"/>
  <c r="K286" i="9"/>
  <c r="T285" i="9"/>
  <c r="S285" i="9"/>
  <c r="P285" i="9"/>
  <c r="N285" i="9"/>
  <c r="O285" i="9" s="1"/>
  <c r="M285" i="9"/>
  <c r="K285" i="9"/>
  <c r="T284" i="9"/>
  <c r="S284" i="9"/>
  <c r="N284" i="9"/>
  <c r="O284" i="9" s="1"/>
  <c r="M284" i="9"/>
  <c r="L284" i="9"/>
  <c r="P284" i="9" s="1"/>
  <c r="K284" i="9"/>
  <c r="T283" i="9"/>
  <c r="U283" i="9" s="1"/>
  <c r="V283" i="9" s="1"/>
  <c r="S283" i="9"/>
  <c r="P283" i="9"/>
  <c r="N283" i="9"/>
  <c r="O283" i="9" s="1"/>
  <c r="M283" i="9"/>
  <c r="K283" i="9"/>
  <c r="T282" i="9"/>
  <c r="S282" i="9"/>
  <c r="L282" i="9"/>
  <c r="M282" i="9" s="1"/>
  <c r="K282" i="9"/>
  <c r="T281" i="9"/>
  <c r="U281" i="9" s="1"/>
  <c r="V281" i="9" s="1"/>
  <c r="S281" i="9"/>
  <c r="P281" i="9"/>
  <c r="N281" i="9"/>
  <c r="O281" i="9" s="1"/>
  <c r="M281" i="9"/>
  <c r="K281" i="9"/>
  <c r="S280" i="9"/>
  <c r="L280" i="9"/>
  <c r="P280" i="9" s="1"/>
  <c r="K280" i="9"/>
  <c r="U279" i="9"/>
  <c r="T279" i="9"/>
  <c r="S279" i="9"/>
  <c r="P279" i="9"/>
  <c r="O279" i="9"/>
  <c r="N279" i="9"/>
  <c r="M279" i="9"/>
  <c r="K279" i="9"/>
  <c r="S278" i="9"/>
  <c r="L278" i="9"/>
  <c r="T278" i="9" s="1"/>
  <c r="K278" i="9"/>
  <c r="S277" i="9"/>
  <c r="L277" i="9"/>
  <c r="M277" i="9" s="1"/>
  <c r="K277" i="9"/>
  <c r="S276" i="9"/>
  <c r="L276" i="9"/>
  <c r="P276" i="9" s="1"/>
  <c r="K276" i="9"/>
  <c r="S275" i="9"/>
  <c r="N275" i="9"/>
  <c r="O275" i="9" s="1"/>
  <c r="L275" i="9"/>
  <c r="K275" i="9"/>
  <c r="S274" i="9"/>
  <c r="L274" i="9"/>
  <c r="P274" i="9" s="1"/>
  <c r="K274" i="9"/>
  <c r="T273" i="9"/>
  <c r="S273" i="9"/>
  <c r="P273" i="9"/>
  <c r="N273" i="9"/>
  <c r="O273" i="9" s="1"/>
  <c r="M273" i="9"/>
  <c r="K273" i="9"/>
  <c r="U272" i="9"/>
  <c r="T272" i="9"/>
  <c r="S272" i="9"/>
  <c r="P272" i="9"/>
  <c r="N272" i="9"/>
  <c r="O272" i="9" s="1"/>
  <c r="M272" i="9"/>
  <c r="K272" i="9"/>
  <c r="T271" i="9"/>
  <c r="U271" i="9" s="1"/>
  <c r="V271" i="9" s="1"/>
  <c r="S271" i="9"/>
  <c r="P271" i="9"/>
  <c r="N271" i="9"/>
  <c r="O271" i="9" s="1"/>
  <c r="M271" i="9"/>
  <c r="K271" i="9"/>
  <c r="T270" i="9"/>
  <c r="U270" i="9" s="1"/>
  <c r="V270" i="9" s="1"/>
  <c r="S270" i="9"/>
  <c r="P270" i="9"/>
  <c r="N270" i="9"/>
  <c r="O270" i="9" s="1"/>
  <c r="M270" i="9"/>
  <c r="K270" i="9"/>
  <c r="T269" i="9"/>
  <c r="S269" i="9"/>
  <c r="P269" i="9"/>
  <c r="N269" i="9"/>
  <c r="O269" i="9" s="1"/>
  <c r="M269" i="9"/>
  <c r="K269" i="9"/>
  <c r="T268" i="9"/>
  <c r="S268" i="9"/>
  <c r="P268" i="9"/>
  <c r="N268" i="9"/>
  <c r="O268" i="9" s="1"/>
  <c r="M268" i="9"/>
  <c r="K268" i="9"/>
  <c r="T267" i="9"/>
  <c r="U267" i="9" s="1"/>
  <c r="V267" i="9" s="1"/>
  <c r="S267" i="9"/>
  <c r="P267" i="9"/>
  <c r="N267" i="9"/>
  <c r="O267" i="9" s="1"/>
  <c r="M267" i="9"/>
  <c r="K267" i="9"/>
  <c r="T266" i="9"/>
  <c r="U266" i="9" s="1"/>
  <c r="V266" i="9" s="1"/>
  <c r="S266" i="9"/>
  <c r="P266" i="9"/>
  <c r="O266" i="9"/>
  <c r="N266" i="9"/>
  <c r="M266" i="9"/>
  <c r="K266" i="9"/>
  <c r="T265" i="9"/>
  <c r="S265" i="9"/>
  <c r="P265" i="9"/>
  <c r="N265" i="9"/>
  <c r="O265" i="9" s="1"/>
  <c r="M265" i="9"/>
  <c r="K265" i="9"/>
  <c r="T264" i="9"/>
  <c r="S264" i="9"/>
  <c r="P264" i="9"/>
  <c r="N264" i="9"/>
  <c r="O264" i="9" s="1"/>
  <c r="M264" i="9"/>
  <c r="K264" i="9"/>
  <c r="T263" i="9"/>
  <c r="U263" i="9" s="1"/>
  <c r="V263" i="9" s="1"/>
  <c r="S263" i="9"/>
  <c r="P263" i="9"/>
  <c r="N263" i="9"/>
  <c r="O263" i="9" s="1"/>
  <c r="M263" i="9"/>
  <c r="K263" i="9"/>
  <c r="S262" i="9"/>
  <c r="M262" i="9"/>
  <c r="L262" i="9"/>
  <c r="P262" i="9" s="1"/>
  <c r="K262" i="9"/>
  <c r="T261" i="9"/>
  <c r="S261" i="9"/>
  <c r="P261" i="9"/>
  <c r="N261" i="9"/>
  <c r="O261" i="9" s="1"/>
  <c r="M261" i="9"/>
  <c r="K261" i="9"/>
  <c r="S260" i="9"/>
  <c r="L260" i="9"/>
  <c r="T260" i="9" s="1"/>
  <c r="K260" i="9"/>
  <c r="T259" i="9"/>
  <c r="S259" i="9"/>
  <c r="N259" i="9"/>
  <c r="O259" i="9" s="1"/>
  <c r="L259" i="9"/>
  <c r="M259" i="9" s="1"/>
  <c r="K259" i="9"/>
  <c r="T258" i="9"/>
  <c r="U258" i="9" s="1"/>
  <c r="V258" i="9" s="1"/>
  <c r="S258" i="9"/>
  <c r="P258" i="9"/>
  <c r="N258" i="9"/>
  <c r="O258" i="9" s="1"/>
  <c r="M258" i="9"/>
  <c r="K258" i="9"/>
  <c r="S257" i="9"/>
  <c r="M257" i="9"/>
  <c r="L257" i="9"/>
  <c r="P257" i="9" s="1"/>
  <c r="K257" i="9"/>
  <c r="T256" i="9"/>
  <c r="S256" i="9"/>
  <c r="P256" i="9"/>
  <c r="N256" i="9"/>
  <c r="O256" i="9" s="1"/>
  <c r="M256" i="9"/>
  <c r="K256" i="9"/>
  <c r="S255" i="9"/>
  <c r="P255" i="9"/>
  <c r="L255" i="9"/>
  <c r="T255" i="9" s="1"/>
  <c r="K255" i="9"/>
  <c r="T254" i="9"/>
  <c r="S254" i="9"/>
  <c r="P254" i="9"/>
  <c r="N254" i="9"/>
  <c r="O254" i="9" s="1"/>
  <c r="M254" i="9"/>
  <c r="K254" i="9"/>
  <c r="T253" i="9"/>
  <c r="S253" i="9"/>
  <c r="P253" i="9"/>
  <c r="N253" i="9"/>
  <c r="O253" i="9" s="1"/>
  <c r="M253" i="9"/>
  <c r="K253" i="9"/>
  <c r="T252" i="9"/>
  <c r="U252" i="9" s="1"/>
  <c r="V252" i="9" s="1"/>
  <c r="S252" i="9"/>
  <c r="P252" i="9"/>
  <c r="N252" i="9"/>
  <c r="O252" i="9" s="1"/>
  <c r="M252" i="9"/>
  <c r="K252" i="9"/>
  <c r="T251" i="9"/>
  <c r="U251" i="9" s="1"/>
  <c r="V251" i="9" s="1"/>
  <c r="S251" i="9"/>
  <c r="P251" i="9"/>
  <c r="N251" i="9"/>
  <c r="O251" i="9" s="1"/>
  <c r="M251" i="9"/>
  <c r="K251" i="9"/>
  <c r="T250" i="9"/>
  <c r="S250" i="9"/>
  <c r="P250" i="9"/>
  <c r="N250" i="9"/>
  <c r="O250" i="9" s="1"/>
  <c r="M250" i="9"/>
  <c r="K250" i="9"/>
  <c r="T249" i="9"/>
  <c r="S249" i="9"/>
  <c r="P249" i="9"/>
  <c r="N249" i="9"/>
  <c r="O249" i="9" s="1"/>
  <c r="M249" i="9"/>
  <c r="K249" i="9"/>
  <c r="S248" i="9"/>
  <c r="L248" i="9"/>
  <c r="P248" i="9" s="1"/>
  <c r="K248" i="9"/>
  <c r="T247" i="9"/>
  <c r="S247" i="9"/>
  <c r="P247" i="9"/>
  <c r="N247" i="9"/>
  <c r="O247" i="9" s="1"/>
  <c r="M247" i="9"/>
  <c r="K247" i="9"/>
  <c r="U246" i="9"/>
  <c r="T246" i="9"/>
  <c r="S246" i="9"/>
  <c r="P246" i="9"/>
  <c r="N246" i="9"/>
  <c r="O246" i="9" s="1"/>
  <c r="M246" i="9"/>
  <c r="K246" i="9"/>
  <c r="T245" i="9"/>
  <c r="U245" i="9" s="1"/>
  <c r="V245" i="9" s="1"/>
  <c r="S245" i="9"/>
  <c r="P245" i="9"/>
  <c r="N245" i="9"/>
  <c r="O245" i="9" s="1"/>
  <c r="M245" i="9"/>
  <c r="K245" i="9"/>
  <c r="S244" i="9"/>
  <c r="M244" i="9"/>
  <c r="L244" i="9"/>
  <c r="P244" i="9" s="1"/>
  <c r="K244" i="9"/>
  <c r="U243" i="9"/>
  <c r="T243" i="9"/>
  <c r="S243" i="9"/>
  <c r="P243" i="9"/>
  <c r="N243" i="9"/>
  <c r="O243" i="9" s="1"/>
  <c r="M243" i="9"/>
  <c r="K243" i="9"/>
  <c r="T242" i="9"/>
  <c r="U242" i="9" s="1"/>
  <c r="V242" i="9" s="1"/>
  <c r="S242" i="9"/>
  <c r="P242" i="9"/>
  <c r="N242" i="9"/>
  <c r="O242" i="9" s="1"/>
  <c r="M242" i="9"/>
  <c r="K242" i="9"/>
  <c r="U241" i="9"/>
  <c r="V241" i="9" s="1"/>
  <c r="T241" i="9"/>
  <c r="S241" i="9"/>
  <c r="P241" i="9"/>
  <c r="N241" i="9"/>
  <c r="O241" i="9" s="1"/>
  <c r="M241" i="9"/>
  <c r="K241" i="9"/>
  <c r="T240" i="9"/>
  <c r="S240" i="9"/>
  <c r="P240" i="9"/>
  <c r="N240" i="9"/>
  <c r="O240" i="9" s="1"/>
  <c r="M240" i="9"/>
  <c r="K240" i="9"/>
  <c r="S239" i="9"/>
  <c r="N239" i="9"/>
  <c r="O239" i="9" s="1"/>
  <c r="L239" i="9"/>
  <c r="K239" i="9"/>
  <c r="S238" i="9"/>
  <c r="L238" i="9"/>
  <c r="P238" i="9" s="1"/>
  <c r="K238" i="9"/>
  <c r="T237" i="9"/>
  <c r="S237" i="9"/>
  <c r="P237" i="9"/>
  <c r="N237" i="9"/>
  <c r="O237" i="9" s="1"/>
  <c r="M237" i="9"/>
  <c r="K237" i="9"/>
  <c r="T236" i="9"/>
  <c r="U236" i="9" s="1"/>
  <c r="V236" i="9" s="1"/>
  <c r="S236" i="9"/>
  <c r="P236" i="9"/>
  <c r="N236" i="9"/>
  <c r="O236" i="9" s="1"/>
  <c r="M236" i="9"/>
  <c r="K236" i="9"/>
  <c r="T235" i="9"/>
  <c r="U235" i="9" s="1"/>
  <c r="V235" i="9" s="1"/>
  <c r="S235" i="9"/>
  <c r="P235" i="9"/>
  <c r="N235" i="9"/>
  <c r="O235" i="9" s="1"/>
  <c r="M235" i="9"/>
  <c r="K235" i="9"/>
  <c r="T234" i="9"/>
  <c r="S234" i="9"/>
  <c r="P234" i="9"/>
  <c r="N234" i="9"/>
  <c r="O234" i="9" s="1"/>
  <c r="M234" i="9"/>
  <c r="K234" i="9"/>
  <c r="T233" i="9"/>
  <c r="S233" i="9"/>
  <c r="P233" i="9"/>
  <c r="O233" i="9"/>
  <c r="N233" i="9"/>
  <c r="M233" i="9"/>
  <c r="K233" i="9"/>
  <c r="T232" i="9"/>
  <c r="U232" i="9" s="1"/>
  <c r="V232" i="9" s="1"/>
  <c r="S232" i="9"/>
  <c r="P232" i="9"/>
  <c r="N232" i="9"/>
  <c r="O232" i="9" s="1"/>
  <c r="M232" i="9"/>
  <c r="K232" i="9"/>
  <c r="T231" i="9"/>
  <c r="U231" i="9" s="1"/>
  <c r="V231" i="9" s="1"/>
  <c r="S231" i="9"/>
  <c r="P231" i="9"/>
  <c r="O231" i="9"/>
  <c r="N231" i="9"/>
  <c r="M231" i="9"/>
  <c r="K231" i="9"/>
  <c r="T230" i="9"/>
  <c r="S230" i="9"/>
  <c r="P230" i="9"/>
  <c r="N230" i="9"/>
  <c r="O230" i="9" s="1"/>
  <c r="M230" i="9"/>
  <c r="K230" i="9"/>
  <c r="U229" i="9"/>
  <c r="T229" i="9"/>
  <c r="S229" i="9"/>
  <c r="P229" i="9"/>
  <c r="N229" i="9"/>
  <c r="O229" i="9" s="1"/>
  <c r="M229" i="9"/>
  <c r="K229" i="9"/>
  <c r="T228" i="9"/>
  <c r="U228" i="9" s="1"/>
  <c r="V228" i="9" s="1"/>
  <c r="S228" i="9"/>
  <c r="P228" i="9"/>
  <c r="N228" i="9"/>
  <c r="O228" i="9" s="1"/>
  <c r="M228" i="9"/>
  <c r="K228" i="9"/>
  <c r="U227" i="9"/>
  <c r="V227" i="9" s="1"/>
  <c r="T227" i="9"/>
  <c r="S227" i="9"/>
  <c r="P227" i="9"/>
  <c r="N227" i="9"/>
  <c r="O227" i="9" s="1"/>
  <c r="M227" i="9"/>
  <c r="K227" i="9"/>
  <c r="T226" i="9"/>
  <c r="S226" i="9"/>
  <c r="P226" i="9"/>
  <c r="N226" i="9"/>
  <c r="O226" i="9" s="1"/>
  <c r="M226" i="9"/>
  <c r="K226" i="9"/>
  <c r="T225" i="9"/>
  <c r="S225" i="9"/>
  <c r="P225" i="9"/>
  <c r="O225" i="9"/>
  <c r="N225" i="9"/>
  <c r="M225" i="9"/>
  <c r="K225" i="9"/>
  <c r="T224" i="9"/>
  <c r="U224" i="9" s="1"/>
  <c r="V224" i="9" s="1"/>
  <c r="S224" i="9"/>
  <c r="P224" i="9"/>
  <c r="N224" i="9"/>
  <c r="O224" i="9" s="1"/>
  <c r="M224" i="9"/>
  <c r="K224" i="9"/>
  <c r="T223" i="9"/>
  <c r="U223" i="9" s="1"/>
  <c r="V223" i="9" s="1"/>
  <c r="S223" i="9"/>
  <c r="P223" i="9"/>
  <c r="N223" i="9"/>
  <c r="O223" i="9" s="1"/>
  <c r="M223" i="9"/>
  <c r="K223" i="9"/>
  <c r="T222" i="9"/>
  <c r="S222" i="9"/>
  <c r="P222" i="9"/>
  <c r="N222" i="9"/>
  <c r="O222" i="9" s="1"/>
  <c r="M222" i="9"/>
  <c r="K222" i="9"/>
  <c r="T221" i="9"/>
  <c r="S221" i="9"/>
  <c r="P221" i="9"/>
  <c r="O221" i="9"/>
  <c r="N221" i="9"/>
  <c r="M221" i="9"/>
  <c r="K221" i="9"/>
  <c r="T220" i="9"/>
  <c r="U220" i="9" s="1"/>
  <c r="V220" i="9" s="1"/>
  <c r="S220" i="9"/>
  <c r="P220" i="9"/>
  <c r="N220" i="9"/>
  <c r="O220" i="9" s="1"/>
  <c r="M220" i="9"/>
  <c r="K220" i="9"/>
  <c r="T219" i="9"/>
  <c r="U219" i="9" s="1"/>
  <c r="V219" i="9" s="1"/>
  <c r="S219" i="9"/>
  <c r="P219" i="9"/>
  <c r="O219" i="9"/>
  <c r="N219" i="9"/>
  <c r="M219" i="9"/>
  <c r="K219" i="9"/>
  <c r="T218" i="9"/>
  <c r="S218" i="9"/>
  <c r="P218" i="9"/>
  <c r="N218" i="9"/>
  <c r="O218" i="9" s="1"/>
  <c r="M218" i="9"/>
  <c r="K218" i="9"/>
  <c r="U217" i="9"/>
  <c r="T217" i="9"/>
  <c r="S217" i="9"/>
  <c r="P217" i="9"/>
  <c r="N217" i="9"/>
  <c r="O217" i="9" s="1"/>
  <c r="M217" i="9"/>
  <c r="K217" i="9"/>
  <c r="T216" i="9"/>
  <c r="U216" i="9" s="1"/>
  <c r="V216" i="9" s="1"/>
  <c r="S216" i="9"/>
  <c r="P216" i="9"/>
  <c r="N216" i="9"/>
  <c r="O216" i="9" s="1"/>
  <c r="M216" i="9"/>
  <c r="K216" i="9"/>
  <c r="S215" i="9"/>
  <c r="L215" i="9"/>
  <c r="P215" i="9" s="1"/>
  <c r="K215" i="9"/>
  <c r="T214" i="9"/>
  <c r="S214" i="9"/>
  <c r="P214" i="9"/>
  <c r="N214" i="9"/>
  <c r="O214" i="9" s="1"/>
  <c r="M214" i="9"/>
  <c r="K214" i="9"/>
  <c r="T213" i="9"/>
  <c r="U213" i="9" s="1"/>
  <c r="V213" i="9" s="1"/>
  <c r="S213" i="9"/>
  <c r="P213" i="9"/>
  <c r="N213" i="9"/>
  <c r="O213" i="9" s="1"/>
  <c r="M213" i="9"/>
  <c r="K213" i="9"/>
  <c r="U212" i="9"/>
  <c r="V212" i="9" s="1"/>
  <c r="T212" i="9"/>
  <c r="S212" i="9"/>
  <c r="P212" i="9"/>
  <c r="O212" i="9"/>
  <c r="N212" i="9"/>
  <c r="M212" i="9"/>
  <c r="K212" i="9"/>
  <c r="T211" i="9"/>
  <c r="S211" i="9"/>
  <c r="P211" i="9"/>
  <c r="N211" i="9"/>
  <c r="O211" i="9" s="1"/>
  <c r="M211" i="9"/>
  <c r="K211" i="9"/>
  <c r="T210" i="9"/>
  <c r="S210" i="9"/>
  <c r="P210" i="9"/>
  <c r="O210" i="9"/>
  <c r="N210" i="9"/>
  <c r="M210" i="9"/>
  <c r="K210" i="9"/>
  <c r="T209" i="9"/>
  <c r="U209" i="9" s="1"/>
  <c r="V209" i="9" s="1"/>
  <c r="S209" i="9"/>
  <c r="P209" i="9"/>
  <c r="N209" i="9"/>
  <c r="O209" i="9" s="1"/>
  <c r="M209" i="9"/>
  <c r="K209" i="9"/>
  <c r="S208" i="9"/>
  <c r="L208" i="9"/>
  <c r="P208" i="9" s="1"/>
  <c r="K208" i="9"/>
  <c r="T207" i="9"/>
  <c r="S207" i="9"/>
  <c r="P207" i="9"/>
  <c r="O207" i="9"/>
  <c r="N207" i="9"/>
  <c r="M207" i="9"/>
  <c r="K207" i="9"/>
  <c r="T206" i="9"/>
  <c r="U206" i="9" s="1"/>
  <c r="V206" i="9" s="1"/>
  <c r="S206" i="9"/>
  <c r="P206" i="9"/>
  <c r="N206" i="9"/>
  <c r="O206" i="9" s="1"/>
  <c r="M206" i="9"/>
  <c r="K206" i="9"/>
  <c r="T205" i="9"/>
  <c r="U205" i="9" s="1"/>
  <c r="V205" i="9" s="1"/>
  <c r="S205" i="9"/>
  <c r="P205" i="9"/>
  <c r="N205" i="9"/>
  <c r="O205" i="9" s="1"/>
  <c r="M205" i="9"/>
  <c r="K205" i="9"/>
  <c r="T204" i="9"/>
  <c r="S204" i="9"/>
  <c r="P204" i="9"/>
  <c r="N204" i="9"/>
  <c r="O204" i="9" s="1"/>
  <c r="M204" i="9"/>
  <c r="K204" i="9"/>
  <c r="U203" i="9"/>
  <c r="T203" i="9"/>
  <c r="S203" i="9"/>
  <c r="O203" i="9"/>
  <c r="N203" i="9"/>
  <c r="L203" i="9"/>
  <c r="P203" i="9" s="1"/>
  <c r="K203" i="9"/>
  <c r="T202" i="9"/>
  <c r="U202" i="9" s="1"/>
  <c r="V202" i="9" s="1"/>
  <c r="S202" i="9"/>
  <c r="P202" i="9"/>
  <c r="N202" i="9"/>
  <c r="O202" i="9" s="1"/>
  <c r="M202" i="9"/>
  <c r="K202" i="9"/>
  <c r="T201" i="9"/>
  <c r="S201" i="9"/>
  <c r="P201" i="9"/>
  <c r="N201" i="9"/>
  <c r="O201" i="9" s="1"/>
  <c r="M201" i="9"/>
  <c r="K201" i="9"/>
  <c r="T200" i="9"/>
  <c r="S200" i="9"/>
  <c r="P200" i="9"/>
  <c r="N200" i="9"/>
  <c r="O200" i="9" s="1"/>
  <c r="M200" i="9"/>
  <c r="K200" i="9"/>
  <c r="T199" i="9"/>
  <c r="U199" i="9" s="1"/>
  <c r="V199" i="9" s="1"/>
  <c r="S199" i="9"/>
  <c r="P199" i="9"/>
  <c r="N199" i="9"/>
  <c r="O199" i="9" s="1"/>
  <c r="M199" i="9"/>
  <c r="K199" i="9"/>
  <c r="T198" i="9"/>
  <c r="U198" i="9" s="1"/>
  <c r="V198" i="9" s="1"/>
  <c r="S198" i="9"/>
  <c r="P198" i="9"/>
  <c r="O198" i="9"/>
  <c r="N198" i="9"/>
  <c r="M198" i="9"/>
  <c r="K198" i="9"/>
  <c r="T197" i="9"/>
  <c r="S197" i="9"/>
  <c r="P197" i="9"/>
  <c r="N197" i="9"/>
  <c r="O197" i="9" s="1"/>
  <c r="M197" i="9"/>
  <c r="K197" i="9"/>
  <c r="T196" i="9"/>
  <c r="S196" i="9"/>
  <c r="P196" i="9"/>
  <c r="O196" i="9"/>
  <c r="N196" i="9"/>
  <c r="M196" i="9"/>
  <c r="K196" i="9"/>
  <c r="T195" i="9"/>
  <c r="U195" i="9" s="1"/>
  <c r="V195" i="9" s="1"/>
  <c r="S195" i="9"/>
  <c r="P195" i="9"/>
  <c r="N195" i="9"/>
  <c r="O195" i="9" s="1"/>
  <c r="M195" i="9"/>
  <c r="K195" i="9"/>
  <c r="S194" i="9"/>
  <c r="L194" i="9"/>
  <c r="P194" i="9" s="1"/>
  <c r="K194" i="9"/>
  <c r="S193" i="9"/>
  <c r="L193" i="9"/>
  <c r="K193" i="9"/>
  <c r="S192" i="9"/>
  <c r="L192" i="9"/>
  <c r="P192" i="9" s="1"/>
  <c r="K192" i="9"/>
  <c r="T191" i="9"/>
  <c r="S191" i="9"/>
  <c r="P191" i="9"/>
  <c r="O191" i="9"/>
  <c r="N191" i="9"/>
  <c r="M191" i="9"/>
  <c r="K191" i="9"/>
  <c r="T190" i="9"/>
  <c r="U190" i="9" s="1"/>
  <c r="V190" i="9" s="1"/>
  <c r="S190" i="9"/>
  <c r="P190" i="9"/>
  <c r="N190" i="9"/>
  <c r="O190" i="9" s="1"/>
  <c r="M190" i="9"/>
  <c r="K190" i="9"/>
  <c r="U189" i="9"/>
  <c r="V189" i="9" s="1"/>
  <c r="T189" i="9"/>
  <c r="S189" i="9"/>
  <c r="P189" i="9"/>
  <c r="O189" i="9"/>
  <c r="N189" i="9"/>
  <c r="M189" i="9"/>
  <c r="K189" i="9"/>
  <c r="T188" i="9"/>
  <c r="S188" i="9"/>
  <c r="P188" i="9"/>
  <c r="N188" i="9"/>
  <c r="O188" i="9" s="1"/>
  <c r="M188" i="9"/>
  <c r="K188" i="9"/>
  <c r="U187" i="9"/>
  <c r="T187" i="9"/>
  <c r="S187" i="9"/>
  <c r="P187" i="9"/>
  <c r="O187" i="9"/>
  <c r="N187" i="9"/>
  <c r="M187" i="9"/>
  <c r="K187" i="9"/>
  <c r="T186" i="9"/>
  <c r="U186" i="9" s="1"/>
  <c r="V186" i="9" s="1"/>
  <c r="S186" i="9"/>
  <c r="P186" i="9"/>
  <c r="N186" i="9"/>
  <c r="O186" i="9" s="1"/>
  <c r="M186" i="9"/>
  <c r="K186" i="9"/>
  <c r="U185" i="9"/>
  <c r="V185" i="9" s="1"/>
  <c r="T185" i="9"/>
  <c r="S185" i="9"/>
  <c r="P185" i="9"/>
  <c r="O185" i="9"/>
  <c r="N185" i="9"/>
  <c r="M185" i="9"/>
  <c r="K185" i="9"/>
  <c r="T184" i="9"/>
  <c r="S184" i="9"/>
  <c r="P184" i="9"/>
  <c r="N184" i="9"/>
  <c r="O184" i="9" s="1"/>
  <c r="M184" i="9"/>
  <c r="K184" i="9"/>
  <c r="S183" i="9"/>
  <c r="L183" i="9"/>
  <c r="P183" i="9" s="1"/>
  <c r="K183" i="9"/>
  <c r="T182" i="9"/>
  <c r="U182" i="9" s="1"/>
  <c r="V182" i="9" s="1"/>
  <c r="S182" i="9"/>
  <c r="P182" i="9"/>
  <c r="O182" i="9"/>
  <c r="N182" i="9"/>
  <c r="M182" i="9"/>
  <c r="K182" i="9"/>
  <c r="T181" i="9"/>
  <c r="S181" i="9"/>
  <c r="P181" i="9"/>
  <c r="N181" i="9"/>
  <c r="O181" i="9" s="1"/>
  <c r="M181" i="9"/>
  <c r="K181" i="9"/>
  <c r="U180" i="9"/>
  <c r="T180" i="9"/>
  <c r="S180" i="9"/>
  <c r="L180" i="9"/>
  <c r="P180" i="9" s="1"/>
  <c r="K180" i="9"/>
  <c r="S179" i="9"/>
  <c r="L179" i="9"/>
  <c r="K179" i="9"/>
  <c r="T178" i="9"/>
  <c r="U178" i="9" s="1"/>
  <c r="S178" i="9"/>
  <c r="L178" i="9"/>
  <c r="P178" i="9" s="1"/>
  <c r="K178" i="9"/>
  <c r="S177" i="9"/>
  <c r="L177" i="9"/>
  <c r="K177" i="9"/>
  <c r="U176" i="9"/>
  <c r="T176" i="9"/>
  <c r="S176" i="9"/>
  <c r="L176" i="9"/>
  <c r="P176" i="9" s="1"/>
  <c r="K176" i="9"/>
  <c r="S175" i="9"/>
  <c r="L175" i="9"/>
  <c r="K175" i="9"/>
  <c r="U174" i="9"/>
  <c r="T174" i="9"/>
  <c r="S174" i="9"/>
  <c r="L174" i="9"/>
  <c r="P174" i="9" s="1"/>
  <c r="K174" i="9"/>
  <c r="T173" i="9"/>
  <c r="U173" i="9" s="1"/>
  <c r="V173" i="9" s="1"/>
  <c r="S173" i="9"/>
  <c r="P173" i="9"/>
  <c r="N173" i="9"/>
  <c r="O173" i="9" s="1"/>
  <c r="M173" i="9"/>
  <c r="K173" i="9"/>
  <c r="S172" i="9"/>
  <c r="L172" i="9"/>
  <c r="M172" i="9" s="1"/>
  <c r="K172" i="9"/>
  <c r="S171" i="9"/>
  <c r="L171" i="9"/>
  <c r="P171" i="9" s="1"/>
  <c r="K171" i="9"/>
  <c r="T170" i="9"/>
  <c r="S170" i="9"/>
  <c r="P170" i="9"/>
  <c r="N170" i="9"/>
  <c r="O170" i="9" s="1"/>
  <c r="M170" i="9"/>
  <c r="K170" i="9"/>
  <c r="S169" i="9"/>
  <c r="M169" i="9"/>
  <c r="L169" i="9"/>
  <c r="N169" i="9" s="1"/>
  <c r="O169" i="9" s="1"/>
  <c r="K169" i="9"/>
  <c r="S168" i="9"/>
  <c r="L168" i="9"/>
  <c r="P168" i="9" s="1"/>
  <c r="K168" i="9"/>
  <c r="S167" i="9"/>
  <c r="M167" i="9"/>
  <c r="L167" i="9"/>
  <c r="K167" i="9"/>
  <c r="S166" i="9"/>
  <c r="L166" i="9"/>
  <c r="P166" i="9" s="1"/>
  <c r="K166" i="9"/>
  <c r="S165" i="9"/>
  <c r="L165" i="9"/>
  <c r="P165" i="9" s="1"/>
  <c r="K165" i="9"/>
  <c r="S164" i="9"/>
  <c r="L164" i="9"/>
  <c r="P164" i="9" s="1"/>
  <c r="K164" i="9"/>
  <c r="T163" i="9"/>
  <c r="S163" i="9"/>
  <c r="N163" i="9"/>
  <c r="O163" i="9" s="1"/>
  <c r="L163" i="9"/>
  <c r="P163" i="9" s="1"/>
  <c r="K163" i="9"/>
  <c r="S162" i="9"/>
  <c r="L162" i="9"/>
  <c r="P162" i="9" s="1"/>
  <c r="K162" i="9"/>
  <c r="T161" i="9"/>
  <c r="S161" i="9"/>
  <c r="P161" i="9"/>
  <c r="N161" i="9"/>
  <c r="O161" i="9" s="1"/>
  <c r="M161" i="9"/>
  <c r="K161" i="9"/>
  <c r="S160" i="9"/>
  <c r="L160" i="9"/>
  <c r="T160" i="9" s="1"/>
  <c r="K160" i="9"/>
  <c r="S159" i="9"/>
  <c r="N159" i="9"/>
  <c r="O159" i="9" s="1"/>
  <c r="L159" i="9"/>
  <c r="K159" i="9"/>
  <c r="S158" i="9"/>
  <c r="L158" i="9"/>
  <c r="T158" i="9" s="1"/>
  <c r="K158" i="9"/>
  <c r="T157" i="9"/>
  <c r="S157" i="9"/>
  <c r="P157" i="9"/>
  <c r="N157" i="9"/>
  <c r="O157" i="9" s="1"/>
  <c r="M157" i="9"/>
  <c r="K157" i="9"/>
  <c r="T156" i="9"/>
  <c r="S156" i="9"/>
  <c r="P156" i="9"/>
  <c r="O156" i="9"/>
  <c r="N156" i="9"/>
  <c r="M156" i="9"/>
  <c r="K156" i="9"/>
  <c r="T155" i="9"/>
  <c r="U155" i="9" s="1"/>
  <c r="V155" i="9" s="1"/>
  <c r="S155" i="9"/>
  <c r="P155" i="9"/>
  <c r="N155" i="9"/>
  <c r="O155" i="9" s="1"/>
  <c r="M155" i="9"/>
  <c r="K155" i="9"/>
  <c r="T154" i="9"/>
  <c r="U154" i="9" s="1"/>
  <c r="V154" i="9" s="1"/>
  <c r="S154" i="9"/>
  <c r="P154" i="9"/>
  <c r="N154" i="9"/>
  <c r="O154" i="9" s="1"/>
  <c r="M154" i="9"/>
  <c r="K154" i="9"/>
  <c r="T153" i="9"/>
  <c r="S153" i="9"/>
  <c r="P153" i="9"/>
  <c r="N153" i="9"/>
  <c r="O153" i="9" s="1"/>
  <c r="M153" i="9"/>
  <c r="K153" i="9"/>
  <c r="T152" i="9"/>
  <c r="S152" i="9"/>
  <c r="L152" i="9"/>
  <c r="K152" i="9"/>
  <c r="T151" i="9"/>
  <c r="U151" i="9" s="1"/>
  <c r="V151" i="9" s="1"/>
  <c r="S151" i="9"/>
  <c r="P151" i="9"/>
  <c r="N151" i="9"/>
  <c r="O151" i="9" s="1"/>
  <c r="M151" i="9"/>
  <c r="K151" i="9"/>
  <c r="S150" i="9"/>
  <c r="N150" i="9"/>
  <c r="O150" i="9" s="1"/>
  <c r="L150" i="9"/>
  <c r="K150" i="9"/>
  <c r="S149" i="9"/>
  <c r="L149" i="9"/>
  <c r="T149" i="9" s="1"/>
  <c r="K149" i="9"/>
  <c r="T148" i="9"/>
  <c r="S148" i="9"/>
  <c r="L148" i="9"/>
  <c r="M148" i="9" s="1"/>
  <c r="K148" i="9"/>
  <c r="T147" i="9"/>
  <c r="U147" i="9" s="1"/>
  <c r="V147" i="9" s="1"/>
  <c r="S147" i="9"/>
  <c r="P147" i="9"/>
  <c r="N147" i="9"/>
  <c r="O147" i="9" s="1"/>
  <c r="M147" i="9"/>
  <c r="K147" i="9"/>
  <c r="U146" i="9"/>
  <c r="V146" i="9" s="1"/>
  <c r="T146" i="9"/>
  <c r="S146" i="9"/>
  <c r="P146" i="9"/>
  <c r="O146" i="9"/>
  <c r="N146" i="9"/>
  <c r="M146" i="9"/>
  <c r="K146" i="9"/>
  <c r="S145" i="9"/>
  <c r="L145" i="9"/>
  <c r="M145" i="9" s="1"/>
  <c r="K145" i="9"/>
  <c r="S144" i="9"/>
  <c r="L144" i="9"/>
  <c r="T144" i="9" s="1"/>
  <c r="K144" i="9"/>
  <c r="S143" i="9"/>
  <c r="L143" i="9"/>
  <c r="K143" i="9"/>
  <c r="S142" i="9"/>
  <c r="L142" i="9"/>
  <c r="P142" i="9" s="1"/>
  <c r="K142" i="9"/>
  <c r="T141" i="9"/>
  <c r="S141" i="9"/>
  <c r="N141" i="9"/>
  <c r="O141" i="9" s="1"/>
  <c r="L141" i="9"/>
  <c r="M141" i="9" s="1"/>
  <c r="K141" i="9"/>
  <c r="S140" i="9"/>
  <c r="L140" i="9"/>
  <c r="T140" i="9" s="1"/>
  <c r="K140" i="9"/>
  <c r="T139" i="9"/>
  <c r="S139" i="9"/>
  <c r="N139" i="9"/>
  <c r="O139" i="9" s="1"/>
  <c r="L139" i="9"/>
  <c r="M139" i="9" s="1"/>
  <c r="K139" i="9"/>
  <c r="S138" i="9"/>
  <c r="L138" i="9"/>
  <c r="P138" i="9" s="1"/>
  <c r="K138" i="9"/>
  <c r="S137" i="9"/>
  <c r="L137" i="9"/>
  <c r="K137" i="9"/>
  <c r="S136" i="9"/>
  <c r="L136" i="9"/>
  <c r="T136" i="9" s="1"/>
  <c r="K136" i="9"/>
  <c r="T135" i="9"/>
  <c r="S135" i="9"/>
  <c r="N135" i="9"/>
  <c r="O135" i="9" s="1"/>
  <c r="L135" i="9"/>
  <c r="M135" i="9" s="1"/>
  <c r="K135" i="9"/>
  <c r="S134" i="9"/>
  <c r="L134" i="9"/>
  <c r="T134" i="9" s="1"/>
  <c r="K134" i="9"/>
  <c r="T133" i="9"/>
  <c r="S133" i="9"/>
  <c r="L133" i="9"/>
  <c r="M133" i="9" s="1"/>
  <c r="K133" i="9"/>
  <c r="S132" i="9"/>
  <c r="L132" i="9"/>
  <c r="T132" i="9" s="1"/>
  <c r="K132" i="9"/>
  <c r="S131" i="9"/>
  <c r="L131" i="9"/>
  <c r="K131" i="9"/>
  <c r="S130" i="9"/>
  <c r="L130" i="9"/>
  <c r="T130" i="9" s="1"/>
  <c r="K130" i="9"/>
  <c r="T129" i="9"/>
  <c r="S129" i="9"/>
  <c r="N129" i="9"/>
  <c r="O129" i="9" s="1"/>
  <c r="L129" i="9"/>
  <c r="M129" i="9" s="1"/>
  <c r="K129" i="9"/>
  <c r="T128" i="9"/>
  <c r="U128" i="9" s="1"/>
  <c r="V128" i="9" s="1"/>
  <c r="S128" i="9"/>
  <c r="P128" i="9"/>
  <c r="N128" i="9"/>
  <c r="O128" i="9" s="1"/>
  <c r="M128" i="9"/>
  <c r="K128" i="9"/>
  <c r="S127" i="9"/>
  <c r="L127" i="9"/>
  <c r="P127" i="9" s="1"/>
  <c r="K127" i="9"/>
  <c r="T126" i="9"/>
  <c r="S126" i="9"/>
  <c r="P126" i="9"/>
  <c r="N126" i="9"/>
  <c r="O126" i="9" s="1"/>
  <c r="M126" i="9"/>
  <c r="K126" i="9"/>
  <c r="T125" i="9"/>
  <c r="U125" i="9" s="1"/>
  <c r="V125" i="9" s="1"/>
  <c r="S125" i="9"/>
  <c r="P125" i="9"/>
  <c r="N125" i="9"/>
  <c r="O125" i="9" s="1"/>
  <c r="M125" i="9"/>
  <c r="K125" i="9"/>
  <c r="S124" i="9"/>
  <c r="L124" i="9"/>
  <c r="K124" i="9"/>
  <c r="T123" i="9"/>
  <c r="S123" i="9"/>
  <c r="P123" i="9"/>
  <c r="N123" i="9"/>
  <c r="O123" i="9" s="1"/>
  <c r="M123" i="9"/>
  <c r="K123" i="9"/>
  <c r="T122" i="9"/>
  <c r="U122" i="9" s="1"/>
  <c r="V122" i="9" s="1"/>
  <c r="S122" i="9"/>
  <c r="P122" i="9"/>
  <c r="N122" i="9"/>
  <c r="O122" i="9" s="1"/>
  <c r="M122" i="9"/>
  <c r="K122" i="9"/>
  <c r="T121" i="9"/>
  <c r="U121" i="9" s="1"/>
  <c r="V121" i="9" s="1"/>
  <c r="S121" i="9"/>
  <c r="P121" i="9"/>
  <c r="N121" i="9"/>
  <c r="O121" i="9" s="1"/>
  <c r="M121" i="9"/>
  <c r="K121" i="9"/>
  <c r="T120" i="9"/>
  <c r="S120" i="9"/>
  <c r="P120" i="9"/>
  <c r="N120" i="9"/>
  <c r="O120" i="9" s="1"/>
  <c r="M120" i="9"/>
  <c r="K120" i="9"/>
  <c r="U119" i="9"/>
  <c r="T119" i="9"/>
  <c r="S119" i="9"/>
  <c r="P119" i="9"/>
  <c r="N119" i="9"/>
  <c r="O119" i="9" s="1"/>
  <c r="M119" i="9"/>
  <c r="K119" i="9"/>
  <c r="S118" i="9"/>
  <c r="L118" i="9"/>
  <c r="P118" i="9" s="1"/>
  <c r="K118" i="9"/>
  <c r="T117" i="9"/>
  <c r="S117" i="9"/>
  <c r="P117" i="9"/>
  <c r="N117" i="9"/>
  <c r="O117" i="9" s="1"/>
  <c r="M117" i="9"/>
  <c r="K117" i="9"/>
  <c r="T116" i="9"/>
  <c r="S116" i="9"/>
  <c r="P116" i="9"/>
  <c r="N116" i="9"/>
  <c r="O116" i="9" s="1"/>
  <c r="M116" i="9"/>
  <c r="K116" i="9"/>
  <c r="T115" i="9"/>
  <c r="U115" i="9" s="1"/>
  <c r="V115" i="9" s="1"/>
  <c r="S115" i="9"/>
  <c r="P115" i="9"/>
  <c r="N115" i="9"/>
  <c r="O115" i="9" s="1"/>
  <c r="M115" i="9"/>
  <c r="K115" i="9"/>
  <c r="T114" i="9"/>
  <c r="U114" i="9" s="1"/>
  <c r="V114" i="9" s="1"/>
  <c r="S114" i="9"/>
  <c r="P114" i="9"/>
  <c r="N114" i="9"/>
  <c r="O114" i="9" s="1"/>
  <c r="M114" i="9"/>
  <c r="K114" i="9"/>
  <c r="T113" i="9"/>
  <c r="S113" i="9"/>
  <c r="P113" i="9"/>
  <c r="N113" i="9"/>
  <c r="O113" i="9" s="1"/>
  <c r="M113" i="9"/>
  <c r="K113" i="9"/>
  <c r="T112" i="9"/>
  <c r="S112" i="9"/>
  <c r="P112" i="9"/>
  <c r="O112" i="9"/>
  <c r="N112" i="9"/>
  <c r="M112" i="9"/>
  <c r="K112" i="9"/>
  <c r="T111" i="9"/>
  <c r="U111" i="9" s="1"/>
  <c r="V111" i="9" s="1"/>
  <c r="S111" i="9"/>
  <c r="P111" i="9"/>
  <c r="N111" i="9"/>
  <c r="O111" i="9" s="1"/>
  <c r="M111" i="9"/>
  <c r="K111" i="9"/>
  <c r="S110" i="9"/>
  <c r="M110" i="9"/>
  <c r="L110" i="9"/>
  <c r="P110" i="9" s="1"/>
  <c r="K110" i="9"/>
  <c r="U109" i="9"/>
  <c r="T109" i="9"/>
  <c r="S109" i="9"/>
  <c r="P109" i="9"/>
  <c r="N109" i="9"/>
  <c r="O109" i="9" s="1"/>
  <c r="M109" i="9"/>
  <c r="K109" i="9"/>
  <c r="T108" i="9"/>
  <c r="U108" i="9" s="1"/>
  <c r="V108" i="9" s="1"/>
  <c r="S108" i="9"/>
  <c r="P108" i="9"/>
  <c r="N108" i="9"/>
  <c r="O108" i="9" s="1"/>
  <c r="M108" i="9"/>
  <c r="K108" i="9"/>
  <c r="T107" i="9"/>
  <c r="U107" i="9" s="1"/>
  <c r="V107" i="9" s="1"/>
  <c r="S107" i="9"/>
  <c r="P107" i="9"/>
  <c r="N107" i="9"/>
  <c r="O107" i="9" s="1"/>
  <c r="M107" i="9"/>
  <c r="K107" i="9"/>
  <c r="T106" i="9"/>
  <c r="S106" i="9"/>
  <c r="P106" i="9"/>
  <c r="N106" i="9"/>
  <c r="O106" i="9" s="1"/>
  <c r="M106" i="9"/>
  <c r="K106" i="9"/>
  <c r="T105" i="9"/>
  <c r="S105" i="9"/>
  <c r="P105" i="9"/>
  <c r="O105" i="9"/>
  <c r="N105" i="9"/>
  <c r="M105" i="9"/>
  <c r="K105" i="9"/>
  <c r="S104" i="9"/>
  <c r="L104" i="9"/>
  <c r="P104" i="9" s="1"/>
  <c r="K104" i="9"/>
  <c r="T103" i="9"/>
  <c r="S103" i="9"/>
  <c r="P103" i="9"/>
  <c r="N103" i="9"/>
  <c r="O103" i="9" s="1"/>
  <c r="M103" i="9"/>
  <c r="K103" i="9"/>
  <c r="U102" i="9"/>
  <c r="T102" i="9"/>
  <c r="S102" i="9"/>
  <c r="P102" i="9"/>
  <c r="N102" i="9"/>
  <c r="O102" i="9" s="1"/>
  <c r="M102" i="9"/>
  <c r="K102" i="9"/>
  <c r="T101" i="9"/>
  <c r="U101" i="9" s="1"/>
  <c r="V101" i="9" s="1"/>
  <c r="S101" i="9"/>
  <c r="P101" i="9"/>
  <c r="N101" i="9"/>
  <c r="O101" i="9" s="1"/>
  <c r="M101" i="9"/>
  <c r="K101" i="9"/>
  <c r="T100" i="9"/>
  <c r="U100" i="9" s="1"/>
  <c r="V100" i="9" s="1"/>
  <c r="S100" i="9"/>
  <c r="P100" i="9"/>
  <c r="N100" i="9"/>
  <c r="O100" i="9" s="1"/>
  <c r="M100" i="9"/>
  <c r="K100" i="9"/>
  <c r="S99" i="9"/>
  <c r="L99" i="9"/>
  <c r="K99" i="9"/>
  <c r="T98" i="9"/>
  <c r="U98" i="9" s="1"/>
  <c r="V98" i="9" s="1"/>
  <c r="S98" i="9"/>
  <c r="P98" i="9"/>
  <c r="N98" i="9"/>
  <c r="O98" i="9" s="1"/>
  <c r="M98" i="9"/>
  <c r="K98" i="9"/>
  <c r="T97" i="9"/>
  <c r="U97" i="9" s="1"/>
  <c r="V97" i="9" s="1"/>
  <c r="S97" i="9"/>
  <c r="P97" i="9"/>
  <c r="O97" i="9"/>
  <c r="N97" i="9"/>
  <c r="M97" i="9"/>
  <c r="K97" i="9"/>
  <c r="T96" i="9"/>
  <c r="S96" i="9"/>
  <c r="P96" i="9"/>
  <c r="N96" i="9"/>
  <c r="O96" i="9" s="1"/>
  <c r="M96" i="9"/>
  <c r="K96" i="9"/>
  <c r="T95" i="9"/>
  <c r="S95" i="9"/>
  <c r="P95" i="9"/>
  <c r="O95" i="9"/>
  <c r="N95" i="9"/>
  <c r="M95" i="9"/>
  <c r="K95" i="9"/>
  <c r="S94" i="9"/>
  <c r="L94" i="9"/>
  <c r="T94" i="9" s="1"/>
  <c r="K94" i="9"/>
  <c r="T93" i="9"/>
  <c r="S93" i="9"/>
  <c r="P93" i="9"/>
  <c r="N93" i="9"/>
  <c r="O93" i="9" s="1"/>
  <c r="M93" i="9"/>
  <c r="K93" i="9"/>
  <c r="T92" i="9"/>
  <c r="S92" i="9"/>
  <c r="P92" i="9"/>
  <c r="N92" i="9"/>
  <c r="O92" i="9" s="1"/>
  <c r="M92" i="9"/>
  <c r="K92" i="9"/>
  <c r="T91" i="9"/>
  <c r="U91" i="9" s="1"/>
  <c r="V91" i="9" s="1"/>
  <c r="S91" i="9"/>
  <c r="P91" i="9"/>
  <c r="N91" i="9"/>
  <c r="O91" i="9" s="1"/>
  <c r="M91" i="9"/>
  <c r="K91" i="9"/>
  <c r="T90" i="9"/>
  <c r="U90" i="9" s="1"/>
  <c r="V90" i="9" s="1"/>
  <c r="S90" i="9"/>
  <c r="P90" i="9"/>
  <c r="N90" i="9"/>
  <c r="O90" i="9" s="1"/>
  <c r="M90" i="9"/>
  <c r="K90" i="9"/>
  <c r="T89" i="9"/>
  <c r="S89" i="9"/>
  <c r="P89" i="9"/>
  <c r="N89" i="9"/>
  <c r="O89" i="9" s="1"/>
  <c r="M89" i="9"/>
  <c r="K89" i="9"/>
  <c r="T88" i="9"/>
  <c r="S88" i="9"/>
  <c r="P88" i="9"/>
  <c r="N88" i="9"/>
  <c r="O88" i="9" s="1"/>
  <c r="M88" i="9"/>
  <c r="K88" i="9"/>
  <c r="S87" i="9"/>
  <c r="L87" i="9"/>
  <c r="T87" i="9" s="1"/>
  <c r="K87" i="9"/>
  <c r="T86" i="9"/>
  <c r="S86" i="9"/>
  <c r="P86" i="9"/>
  <c r="N86" i="9"/>
  <c r="O86" i="9" s="1"/>
  <c r="M86" i="9"/>
  <c r="K86" i="9"/>
  <c r="U85" i="9"/>
  <c r="T85" i="9"/>
  <c r="S85" i="9"/>
  <c r="P85" i="9"/>
  <c r="O85" i="9"/>
  <c r="N85" i="9"/>
  <c r="M85" i="9"/>
  <c r="K85" i="9"/>
  <c r="T84" i="9"/>
  <c r="U84" i="9" s="1"/>
  <c r="V84" i="9" s="1"/>
  <c r="S84" i="9"/>
  <c r="P84" i="9"/>
  <c r="N84" i="9"/>
  <c r="O84" i="9" s="1"/>
  <c r="M84" i="9"/>
  <c r="K84" i="9"/>
  <c r="U83" i="9"/>
  <c r="V83" i="9" s="1"/>
  <c r="T83" i="9"/>
  <c r="S83" i="9"/>
  <c r="P83" i="9"/>
  <c r="N83" i="9"/>
  <c r="O83" i="9" s="1"/>
  <c r="M83" i="9"/>
  <c r="K83" i="9"/>
  <c r="T82" i="9"/>
  <c r="S82" i="9"/>
  <c r="N82" i="9"/>
  <c r="O82" i="9" s="1"/>
  <c r="L82" i="9"/>
  <c r="M82" i="9" s="1"/>
  <c r="K82" i="9"/>
  <c r="S81" i="9"/>
  <c r="L81" i="9"/>
  <c r="N81" i="9" s="1"/>
  <c r="O81" i="9" s="1"/>
  <c r="K81" i="9"/>
  <c r="T80" i="9"/>
  <c r="S80" i="9"/>
  <c r="N80" i="9"/>
  <c r="O80" i="9" s="1"/>
  <c r="L80" i="9"/>
  <c r="M80" i="9" s="1"/>
  <c r="K80" i="9"/>
  <c r="T79" i="9"/>
  <c r="U79" i="9" s="1"/>
  <c r="V79" i="9" s="1"/>
  <c r="S79" i="9"/>
  <c r="P79" i="9"/>
  <c r="N79" i="9"/>
  <c r="O79" i="9" s="1"/>
  <c r="M79" i="9"/>
  <c r="K79" i="9"/>
  <c r="T78" i="9"/>
  <c r="U78" i="9" s="1"/>
  <c r="V78" i="9" s="1"/>
  <c r="S78" i="9"/>
  <c r="P78" i="9"/>
  <c r="N78" i="9"/>
  <c r="O78" i="9" s="1"/>
  <c r="M78" i="9"/>
  <c r="K78" i="9"/>
  <c r="T77" i="9"/>
  <c r="S77" i="9"/>
  <c r="P77" i="9"/>
  <c r="N77" i="9"/>
  <c r="O77" i="9" s="1"/>
  <c r="M77" i="9"/>
  <c r="K77" i="9"/>
  <c r="T76" i="9"/>
  <c r="S76" i="9"/>
  <c r="P76" i="9"/>
  <c r="N76" i="9"/>
  <c r="O76" i="9" s="1"/>
  <c r="M76" i="9"/>
  <c r="K76" i="9"/>
  <c r="S75" i="9"/>
  <c r="L75" i="9"/>
  <c r="T75" i="9" s="1"/>
  <c r="K75" i="9"/>
  <c r="T74" i="9"/>
  <c r="S74" i="9"/>
  <c r="N74" i="9"/>
  <c r="O74" i="9" s="1"/>
  <c r="L74" i="9"/>
  <c r="M74" i="9" s="1"/>
  <c r="K74" i="9"/>
  <c r="T73" i="9"/>
  <c r="U73" i="9" s="1"/>
  <c r="V73" i="9" s="1"/>
  <c r="S73" i="9"/>
  <c r="P73" i="9"/>
  <c r="N73" i="9"/>
  <c r="O73" i="9" s="1"/>
  <c r="M73" i="9"/>
  <c r="K73" i="9"/>
  <c r="T72" i="9"/>
  <c r="U72" i="9" s="1"/>
  <c r="V72" i="9" s="1"/>
  <c r="S72" i="9"/>
  <c r="P72" i="9"/>
  <c r="N72" i="9"/>
  <c r="O72" i="9" s="1"/>
  <c r="M72" i="9"/>
  <c r="K72" i="9"/>
  <c r="T71" i="9"/>
  <c r="S71" i="9"/>
  <c r="P71" i="9"/>
  <c r="N71" i="9"/>
  <c r="O71" i="9" s="1"/>
  <c r="M71" i="9"/>
  <c r="K71" i="9"/>
  <c r="T70" i="9"/>
  <c r="S70" i="9"/>
  <c r="P70" i="9"/>
  <c r="N70" i="9"/>
  <c r="O70" i="9" s="1"/>
  <c r="M70" i="9"/>
  <c r="K70" i="9"/>
  <c r="T69" i="9"/>
  <c r="U69" i="9" s="1"/>
  <c r="V69" i="9" s="1"/>
  <c r="S69" i="9"/>
  <c r="P69" i="9"/>
  <c r="N69" i="9"/>
  <c r="O69" i="9" s="1"/>
  <c r="M69" i="9"/>
  <c r="K69" i="9"/>
  <c r="S68" i="9"/>
  <c r="L68" i="9"/>
  <c r="P68" i="9" s="1"/>
  <c r="K68" i="9"/>
  <c r="T67" i="9"/>
  <c r="S67" i="9"/>
  <c r="P67" i="9"/>
  <c r="O67" i="9"/>
  <c r="N67" i="9"/>
  <c r="M67" i="9"/>
  <c r="K67" i="9"/>
  <c r="T66" i="9"/>
  <c r="U66" i="9" s="1"/>
  <c r="V66" i="9" s="1"/>
  <c r="S66" i="9"/>
  <c r="P66" i="9"/>
  <c r="N66" i="9"/>
  <c r="O66" i="9" s="1"/>
  <c r="M66" i="9"/>
  <c r="K66" i="9"/>
  <c r="T65" i="9"/>
  <c r="U65" i="9" s="1"/>
  <c r="V65" i="9" s="1"/>
  <c r="S65" i="9"/>
  <c r="P65" i="9"/>
  <c r="N65" i="9"/>
  <c r="O65" i="9" s="1"/>
  <c r="M65" i="9"/>
  <c r="K65" i="9"/>
  <c r="T64" i="9"/>
  <c r="S64" i="9"/>
  <c r="P64" i="9"/>
  <c r="N64" i="9"/>
  <c r="O64" i="9" s="1"/>
  <c r="M64" i="9"/>
  <c r="K64" i="9"/>
  <c r="T63" i="9"/>
  <c r="S63" i="9"/>
  <c r="P63" i="9"/>
  <c r="N63" i="9"/>
  <c r="O63" i="9" s="1"/>
  <c r="M63" i="9"/>
  <c r="K63" i="9"/>
  <c r="T62" i="9"/>
  <c r="U62" i="9" s="1"/>
  <c r="V62" i="9" s="1"/>
  <c r="S62" i="9"/>
  <c r="P62" i="9"/>
  <c r="N62" i="9"/>
  <c r="O62" i="9" s="1"/>
  <c r="M62" i="9"/>
  <c r="K62" i="9"/>
  <c r="T61" i="9"/>
  <c r="U61" i="9" s="1"/>
  <c r="V61" i="9" s="1"/>
  <c r="S61" i="9"/>
  <c r="P61" i="9"/>
  <c r="N61" i="9"/>
  <c r="O61" i="9" s="1"/>
  <c r="M61" i="9"/>
  <c r="K61" i="9"/>
  <c r="T60" i="9"/>
  <c r="S60" i="9"/>
  <c r="P60" i="9"/>
  <c r="N60" i="9"/>
  <c r="O60" i="9" s="1"/>
  <c r="M60" i="9"/>
  <c r="K60" i="9"/>
  <c r="T59" i="9"/>
  <c r="U59" i="9" s="1"/>
  <c r="S59" i="9"/>
  <c r="O59" i="9"/>
  <c r="N59" i="9"/>
  <c r="M59" i="9"/>
  <c r="L59" i="9"/>
  <c r="P59" i="9" s="1"/>
  <c r="K59" i="9"/>
  <c r="T58" i="9"/>
  <c r="U58" i="9" s="1"/>
  <c r="V58" i="9" s="1"/>
  <c r="S58" i="9"/>
  <c r="P58" i="9"/>
  <c r="N58" i="9"/>
  <c r="O58" i="9" s="1"/>
  <c r="M58" i="9"/>
  <c r="K58" i="9"/>
  <c r="T57" i="9"/>
  <c r="S57" i="9"/>
  <c r="P57" i="9"/>
  <c r="N57" i="9"/>
  <c r="O57" i="9" s="1"/>
  <c r="M57" i="9"/>
  <c r="K57" i="9"/>
  <c r="T56" i="9"/>
  <c r="S56" i="9"/>
  <c r="P56" i="9"/>
  <c r="N56" i="9"/>
  <c r="O56" i="9" s="1"/>
  <c r="M56" i="9"/>
  <c r="K56" i="9"/>
  <c r="T55" i="9"/>
  <c r="U55" i="9" s="1"/>
  <c r="V55" i="9" s="1"/>
  <c r="S55" i="9"/>
  <c r="P55" i="9"/>
  <c r="N55" i="9"/>
  <c r="O55" i="9" s="1"/>
  <c r="M55" i="9"/>
  <c r="K55" i="9"/>
  <c r="T54" i="9"/>
  <c r="U54" i="9" s="1"/>
  <c r="V54" i="9" s="1"/>
  <c r="S54" i="9"/>
  <c r="P54" i="9"/>
  <c r="N54" i="9"/>
  <c r="O54" i="9" s="1"/>
  <c r="M54" i="9"/>
  <c r="K54" i="9"/>
  <c r="T53" i="9"/>
  <c r="S53" i="9"/>
  <c r="P53" i="9"/>
  <c r="N53" i="9"/>
  <c r="O53" i="9" s="1"/>
  <c r="M53" i="9"/>
  <c r="K53" i="9"/>
  <c r="U52" i="9"/>
  <c r="T52" i="9"/>
  <c r="S52" i="9"/>
  <c r="P52" i="9"/>
  <c r="N52" i="9"/>
  <c r="O52" i="9" s="1"/>
  <c r="M52" i="9"/>
  <c r="K52" i="9"/>
  <c r="T51" i="9"/>
  <c r="U51" i="9" s="1"/>
  <c r="V51" i="9" s="1"/>
  <c r="S51" i="9"/>
  <c r="P51" i="9"/>
  <c r="N51" i="9"/>
  <c r="O51" i="9" s="1"/>
  <c r="M51" i="9"/>
  <c r="K51" i="9"/>
  <c r="S50" i="9"/>
  <c r="M50" i="9"/>
  <c r="L50" i="9"/>
  <c r="P50" i="9" s="1"/>
  <c r="K50" i="9"/>
  <c r="T49" i="9"/>
  <c r="S49" i="9"/>
  <c r="M49" i="9"/>
  <c r="L49" i="9"/>
  <c r="P49" i="9" s="1"/>
  <c r="K49" i="9"/>
  <c r="S48" i="9"/>
  <c r="M48" i="9"/>
  <c r="L48" i="9"/>
  <c r="P48" i="9" s="1"/>
  <c r="K48" i="9"/>
  <c r="U47" i="9"/>
  <c r="T47" i="9"/>
  <c r="S47" i="9"/>
  <c r="M47" i="9"/>
  <c r="L47" i="9"/>
  <c r="P47" i="9" s="1"/>
  <c r="K47" i="9"/>
  <c r="S46" i="9"/>
  <c r="M46" i="9"/>
  <c r="L46" i="9"/>
  <c r="P46" i="9" s="1"/>
  <c r="K46" i="9"/>
  <c r="U45" i="9"/>
  <c r="T45" i="9"/>
  <c r="S45" i="9"/>
  <c r="M45" i="9"/>
  <c r="L45" i="9"/>
  <c r="P45" i="9" s="1"/>
  <c r="K45" i="9"/>
  <c r="T44" i="9"/>
  <c r="U44" i="9" s="1"/>
  <c r="V44" i="9" s="1"/>
  <c r="S44" i="9"/>
  <c r="P44" i="9"/>
  <c r="N44" i="9"/>
  <c r="O44" i="9" s="1"/>
  <c r="M44" i="9"/>
  <c r="K44" i="9"/>
  <c r="T43" i="9"/>
  <c r="S43" i="9"/>
  <c r="P43" i="9"/>
  <c r="N43" i="9"/>
  <c r="O43" i="9" s="1"/>
  <c r="L43" i="9"/>
  <c r="M43" i="9" s="1"/>
  <c r="K43" i="9"/>
  <c r="T42" i="9"/>
  <c r="U42" i="9" s="1"/>
  <c r="V42" i="9" s="1"/>
  <c r="S42" i="9"/>
  <c r="P42" i="9"/>
  <c r="N42" i="9"/>
  <c r="O42" i="9" s="1"/>
  <c r="M42" i="9"/>
  <c r="K42" i="9"/>
  <c r="U41" i="9"/>
  <c r="V41" i="9" s="1"/>
  <c r="T41" i="9"/>
  <c r="S41" i="9"/>
  <c r="P41" i="9"/>
  <c r="N41" i="9"/>
  <c r="O41" i="9" s="1"/>
  <c r="M41" i="9"/>
  <c r="K41" i="9"/>
  <c r="T40" i="9"/>
  <c r="S40" i="9"/>
  <c r="P40" i="9"/>
  <c r="N40" i="9"/>
  <c r="O40" i="9" s="1"/>
  <c r="M40" i="9"/>
  <c r="K40" i="9"/>
  <c r="T39" i="9"/>
  <c r="S39" i="9"/>
  <c r="M39" i="9"/>
  <c r="L39" i="9"/>
  <c r="K39" i="9"/>
  <c r="S38" i="9"/>
  <c r="L38" i="9"/>
  <c r="P38" i="9" s="1"/>
  <c r="K38" i="9"/>
  <c r="T37" i="9"/>
  <c r="S37" i="9"/>
  <c r="P37" i="9"/>
  <c r="N37" i="9"/>
  <c r="O37" i="9" s="1"/>
  <c r="M37" i="9"/>
  <c r="K37" i="9"/>
  <c r="S36" i="9"/>
  <c r="L36" i="9"/>
  <c r="N36" i="9" s="1"/>
  <c r="O36" i="9" s="1"/>
  <c r="K36" i="9"/>
  <c r="T35" i="9"/>
  <c r="S35" i="9"/>
  <c r="P35" i="9"/>
  <c r="N35" i="9"/>
  <c r="O35" i="9" s="1"/>
  <c r="M35" i="9"/>
  <c r="K35" i="9"/>
  <c r="S34" i="9"/>
  <c r="L34" i="9"/>
  <c r="K34" i="9"/>
  <c r="U33" i="9"/>
  <c r="V33" i="9" s="1"/>
  <c r="T33" i="9"/>
  <c r="S33" i="9"/>
  <c r="P33" i="9"/>
  <c r="N33" i="9"/>
  <c r="O33" i="9" s="1"/>
  <c r="M33" i="9"/>
  <c r="K33" i="9"/>
  <c r="S32" i="9"/>
  <c r="N32" i="9"/>
  <c r="O32" i="9" s="1"/>
  <c r="L32" i="9"/>
  <c r="K32" i="9"/>
  <c r="S31" i="9"/>
  <c r="L31" i="9"/>
  <c r="T31" i="9" s="1"/>
  <c r="K31" i="9"/>
  <c r="T30" i="9"/>
  <c r="S30" i="9"/>
  <c r="P30" i="9"/>
  <c r="N30" i="9"/>
  <c r="O30" i="9" s="1"/>
  <c r="M30" i="9"/>
  <c r="K30" i="9"/>
  <c r="U29" i="9"/>
  <c r="T29" i="9"/>
  <c r="S29" i="9"/>
  <c r="P29" i="9"/>
  <c r="O29" i="9"/>
  <c r="N29" i="9"/>
  <c r="M29" i="9"/>
  <c r="K29" i="9"/>
  <c r="T28" i="9"/>
  <c r="U28" i="9" s="1"/>
  <c r="V28" i="9" s="1"/>
  <c r="S28" i="9"/>
  <c r="P28" i="9"/>
  <c r="N28" i="9"/>
  <c r="O28" i="9" s="1"/>
  <c r="M28" i="9"/>
  <c r="K28" i="9"/>
  <c r="U27" i="9"/>
  <c r="V27" i="9" s="1"/>
  <c r="T27" i="9"/>
  <c r="S27" i="9"/>
  <c r="P27" i="9"/>
  <c r="N27" i="9"/>
  <c r="O27" i="9" s="1"/>
  <c r="M27" i="9"/>
  <c r="K27" i="9"/>
  <c r="T26" i="9"/>
  <c r="S26" i="9"/>
  <c r="P26" i="9"/>
  <c r="N26" i="9"/>
  <c r="O26" i="9" s="1"/>
  <c r="M26" i="9"/>
  <c r="K26" i="9"/>
  <c r="S25" i="9"/>
  <c r="N25" i="9"/>
  <c r="O25" i="9" s="1"/>
  <c r="M25" i="9"/>
  <c r="L25" i="9"/>
  <c r="K25" i="9"/>
  <c r="T24" i="9"/>
  <c r="U24" i="9" s="1"/>
  <c r="V24" i="9" s="1"/>
  <c r="S24" i="9"/>
  <c r="P24" i="9"/>
  <c r="O24" i="9"/>
  <c r="N24" i="9"/>
  <c r="M24" i="9"/>
  <c r="K24" i="9"/>
  <c r="T23" i="9"/>
  <c r="S23" i="9"/>
  <c r="L23" i="9"/>
  <c r="M23" i="9" s="1"/>
  <c r="K23" i="9"/>
  <c r="S22" i="9"/>
  <c r="L22" i="9"/>
  <c r="N22" i="9" s="1"/>
  <c r="O22" i="9" s="1"/>
  <c r="K22" i="9"/>
  <c r="S21" i="9"/>
  <c r="N21" i="9"/>
  <c r="O21" i="9" s="1"/>
  <c r="L21" i="9"/>
  <c r="K21" i="9"/>
  <c r="S20" i="9"/>
  <c r="L20" i="9"/>
  <c r="T20" i="9" s="1"/>
  <c r="K20" i="9"/>
  <c r="T19" i="9"/>
  <c r="S19" i="9"/>
  <c r="P19" i="9"/>
  <c r="N19" i="9"/>
  <c r="O19" i="9" s="1"/>
  <c r="M19" i="9"/>
  <c r="K19" i="9"/>
  <c r="U18" i="9"/>
  <c r="T18" i="9"/>
  <c r="S18" i="9"/>
  <c r="P18" i="9"/>
  <c r="O18" i="9"/>
  <c r="N18" i="9"/>
  <c r="M18" i="9"/>
  <c r="K18" i="9"/>
  <c r="T17" i="9"/>
  <c r="U17" i="9" s="1"/>
  <c r="V17" i="9" s="1"/>
  <c r="S17" i="9"/>
  <c r="P17" i="9"/>
  <c r="N17" i="9"/>
  <c r="O17" i="9" s="1"/>
  <c r="M17" i="9"/>
  <c r="K17" i="9"/>
  <c r="S16" i="9"/>
  <c r="L16" i="9"/>
  <c r="P16" i="9" s="1"/>
  <c r="K16" i="9"/>
  <c r="T15" i="9"/>
  <c r="U15" i="9" s="1"/>
  <c r="S15" i="9"/>
  <c r="P15" i="9"/>
  <c r="O15" i="9"/>
  <c r="N15" i="9"/>
  <c r="M15" i="9"/>
  <c r="K15" i="9"/>
  <c r="S14" i="9"/>
  <c r="L14" i="9"/>
  <c r="T14" i="9" s="1"/>
  <c r="K14" i="9"/>
  <c r="S13" i="9"/>
  <c r="L13" i="9"/>
  <c r="K13" i="9"/>
  <c r="T12" i="9"/>
  <c r="U12" i="9" s="1"/>
  <c r="V12" i="9" s="1"/>
  <c r="S12" i="9"/>
  <c r="P12" i="9"/>
  <c r="N12" i="9"/>
  <c r="O12" i="9" s="1"/>
  <c r="M12" i="9"/>
  <c r="K12" i="9"/>
  <c r="S11" i="9"/>
  <c r="L11" i="9"/>
  <c r="P11" i="9" s="1"/>
  <c r="K11" i="9"/>
  <c r="S10" i="9"/>
  <c r="N10" i="9"/>
  <c r="O10" i="9" s="1"/>
  <c r="L10" i="9"/>
  <c r="K10" i="9"/>
  <c r="S9" i="9"/>
  <c r="L9" i="9"/>
  <c r="P9" i="9" s="1"/>
  <c r="K9" i="9"/>
  <c r="U8" i="9"/>
  <c r="T8" i="9"/>
  <c r="S8" i="9"/>
  <c r="P8" i="9"/>
  <c r="O8" i="9"/>
  <c r="N8" i="9"/>
  <c r="M8" i="9"/>
  <c r="K8" i="9"/>
  <c r="S7" i="9"/>
  <c r="L7" i="9"/>
  <c r="N7" i="9" s="1"/>
  <c r="O7" i="9" s="1"/>
  <c r="K7" i="9"/>
  <c r="T6" i="9"/>
  <c r="S6" i="9"/>
  <c r="P6" i="9"/>
  <c r="N6" i="9"/>
  <c r="O6" i="9" s="1"/>
  <c r="M6" i="9"/>
  <c r="K6" i="9"/>
  <c r="T5" i="9"/>
  <c r="S5" i="9"/>
  <c r="P5" i="9"/>
  <c r="N5" i="9"/>
  <c r="O5" i="9" s="1"/>
  <c r="M5" i="9"/>
  <c r="K5" i="9"/>
  <c r="S4" i="9"/>
  <c r="P4" i="9"/>
  <c r="L4" i="9"/>
  <c r="T4" i="9" s="1"/>
  <c r="K4" i="9"/>
  <c r="T3" i="9"/>
  <c r="S3" i="9"/>
  <c r="P3" i="9"/>
  <c r="N3" i="9"/>
  <c r="O3" i="9" s="1"/>
  <c r="M3" i="9"/>
  <c r="K3" i="9"/>
  <c r="T2" i="9"/>
  <c r="S2" i="9"/>
  <c r="P2" i="9"/>
  <c r="N2" i="9"/>
  <c r="O2" i="9" s="1"/>
  <c r="M2" i="9"/>
  <c r="K2" i="9"/>
  <c r="P628" i="9" l="1"/>
  <c r="M628" i="9"/>
  <c r="M826" i="9"/>
  <c r="T826" i="9"/>
  <c r="N826" i="9"/>
  <c r="O826" i="9" s="1"/>
  <c r="U309" i="9"/>
  <c r="V309" i="9" s="1"/>
  <c r="M38" i="9"/>
  <c r="P2183" i="9"/>
  <c r="N2183" i="9"/>
  <c r="O2183" i="9" s="1"/>
  <c r="M2183" i="9"/>
  <c r="T2183" i="9"/>
  <c r="U2183" i="9" s="1"/>
  <c r="V2183" i="9" s="1"/>
  <c r="V578" i="9"/>
  <c r="U578" i="9"/>
  <c r="U253" i="9"/>
  <c r="V253" i="9" s="1"/>
  <c r="U420" i="9"/>
  <c r="V420" i="9" s="1"/>
  <c r="U488" i="9"/>
  <c r="V488" i="9" s="1"/>
  <c r="V724" i="9"/>
  <c r="V921" i="9"/>
  <c r="M99" i="9"/>
  <c r="T99" i="9"/>
  <c r="M131" i="9"/>
  <c r="T131" i="9"/>
  <c r="N131" i="9"/>
  <c r="O131" i="9" s="1"/>
  <c r="P980" i="9"/>
  <c r="T980" i="9"/>
  <c r="N980" i="9"/>
  <c r="O980" i="9" s="1"/>
  <c r="U471" i="9"/>
  <c r="V471" i="9" s="1"/>
  <c r="M646" i="9"/>
  <c r="T646" i="9"/>
  <c r="N646" i="9"/>
  <c r="O646" i="9" s="1"/>
  <c r="M2250" i="9"/>
  <c r="P2250" i="9"/>
  <c r="U196" i="9"/>
  <c r="V196" i="9" s="1"/>
  <c r="P564" i="9"/>
  <c r="N564" i="9"/>
  <c r="O564" i="9" s="1"/>
  <c r="T564" i="9"/>
  <c r="U564" i="9" s="1"/>
  <c r="V564" i="9" s="1"/>
  <c r="M564" i="9"/>
  <c r="N99" i="9"/>
  <c r="O99" i="9" s="1"/>
  <c r="U123" i="9"/>
  <c r="V123" i="9" s="1"/>
  <c r="V760" i="9"/>
  <c r="U760" i="9"/>
  <c r="U766" i="9"/>
  <c r="V766" i="9" s="1"/>
  <c r="M13" i="9"/>
  <c r="T13" i="9"/>
  <c r="N13" i="9"/>
  <c r="O13" i="9" s="1"/>
  <c r="V49" i="9"/>
  <c r="U95" i="9"/>
  <c r="V95" i="9" s="1"/>
  <c r="P34" i="9"/>
  <c r="T34" i="9"/>
  <c r="N34" i="9"/>
  <c r="O34" i="9" s="1"/>
  <c r="U49" i="9"/>
  <c r="V29" i="9"/>
  <c r="M32" i="9"/>
  <c r="T32" i="9"/>
  <c r="M34" i="9"/>
  <c r="V47" i="9"/>
  <c r="P378" i="9"/>
  <c r="T378" i="9"/>
  <c r="N378" i="9"/>
  <c r="O378" i="9" s="1"/>
  <c r="M378" i="9"/>
  <c r="M540" i="9"/>
  <c r="N1697" i="9"/>
  <c r="O1697" i="9" s="1"/>
  <c r="T1697" i="9"/>
  <c r="P1697" i="9"/>
  <c r="M1697" i="9"/>
  <c r="V441" i="9"/>
  <c r="V203" i="9"/>
  <c r="V272" i="9"/>
  <c r="M275" i="9"/>
  <c r="T275" i="9"/>
  <c r="U275" i="9" s="1"/>
  <c r="V275" i="9" s="1"/>
  <c r="P1578" i="9"/>
  <c r="M1578" i="9"/>
  <c r="T1578" i="9"/>
  <c r="P1597" i="9"/>
  <c r="T1597" i="9"/>
  <c r="N1597" i="9"/>
  <c r="O1597" i="9" s="1"/>
  <c r="M1597" i="9"/>
  <c r="V45" i="9"/>
  <c r="U112" i="9"/>
  <c r="V112" i="9" s="1"/>
  <c r="P167" i="9"/>
  <c r="T167" i="9"/>
  <c r="N167" i="9"/>
  <c r="O167" i="9" s="1"/>
  <c r="P490" i="9"/>
  <c r="T490" i="9"/>
  <c r="N490" i="9"/>
  <c r="O490" i="9" s="1"/>
  <c r="M490" i="9"/>
  <c r="P535" i="9"/>
  <c r="T535" i="9"/>
  <c r="N535" i="9"/>
  <c r="O535" i="9" s="1"/>
  <c r="M535" i="9"/>
  <c r="U685" i="9"/>
  <c r="V685" i="9" s="1"/>
  <c r="V868" i="9"/>
  <c r="P10" i="9"/>
  <c r="T10" i="9"/>
  <c r="V92" i="9"/>
  <c r="U92" i="9"/>
  <c r="V156" i="9"/>
  <c r="P177" i="9"/>
  <c r="M177" i="9"/>
  <c r="P239" i="9"/>
  <c r="T239" i="9"/>
  <c r="U580" i="9"/>
  <c r="V580" i="9" s="1"/>
  <c r="U5" i="9"/>
  <c r="V5" i="9" s="1"/>
  <c r="M10" i="9"/>
  <c r="U37" i="9"/>
  <c r="V37" i="9" s="1"/>
  <c r="U63" i="9"/>
  <c r="V63" i="9" s="1"/>
  <c r="V102" i="9"/>
  <c r="M137" i="9"/>
  <c r="T137" i="9"/>
  <c r="N137" i="9"/>
  <c r="O137" i="9" s="1"/>
  <c r="U156" i="9"/>
  <c r="M159" i="9"/>
  <c r="T159" i="9"/>
  <c r="V161" i="9"/>
  <c r="U161" i="9"/>
  <c r="V174" i="9"/>
  <c r="V180" i="9"/>
  <c r="M239" i="9"/>
  <c r="U264" i="9"/>
  <c r="V264" i="9" s="1"/>
  <c r="M280" i="9"/>
  <c r="U284" i="9"/>
  <c r="V284" i="9" s="1"/>
  <c r="P330" i="9"/>
  <c r="U334" i="9"/>
  <c r="V334" i="9" s="1"/>
  <c r="M356" i="9"/>
  <c r="V418" i="9"/>
  <c r="U477" i="9"/>
  <c r="V477" i="9" s="1"/>
  <c r="V486" i="9"/>
  <c r="U518" i="9"/>
  <c r="V518" i="9" s="1"/>
  <c r="V720" i="9"/>
  <c r="U720" i="9"/>
  <c r="M810" i="9"/>
  <c r="T810" i="9"/>
  <c r="U897" i="9"/>
  <c r="V897" i="9" s="1"/>
  <c r="M1143" i="9"/>
  <c r="T1143" i="9"/>
  <c r="M331" i="9"/>
  <c r="T331" i="9"/>
  <c r="N331" i="9"/>
  <c r="O331" i="9" s="1"/>
  <c r="V706" i="9"/>
  <c r="M1321" i="9"/>
  <c r="T1321" i="9"/>
  <c r="P124" i="9"/>
  <c r="M124" i="9"/>
  <c r="M300" i="9"/>
  <c r="V509" i="9"/>
  <c r="U509" i="9"/>
  <c r="P597" i="9"/>
  <c r="N597" i="9"/>
  <c r="O597" i="9" s="1"/>
  <c r="T597" i="9"/>
  <c r="U597" i="9" s="1"/>
  <c r="V597" i="9" s="1"/>
  <c r="U642" i="9"/>
  <c r="V642" i="9" s="1"/>
  <c r="P746" i="9"/>
  <c r="T746" i="9"/>
  <c r="N746" i="9"/>
  <c r="O746" i="9" s="1"/>
  <c r="M746" i="9"/>
  <c r="U890" i="9"/>
  <c r="V890" i="9" s="1"/>
  <c r="U991" i="9"/>
  <c r="V991" i="9" s="1"/>
  <c r="N1321" i="9"/>
  <c r="O1321" i="9" s="1"/>
  <c r="P1338" i="9"/>
  <c r="M1338" i="9"/>
  <c r="T1338" i="9"/>
  <c r="U1338" i="9" s="1"/>
  <c r="V1338" i="9" s="1"/>
  <c r="N1338" i="9"/>
  <c r="O1338" i="9" s="1"/>
  <c r="V2" i="9"/>
  <c r="M68" i="9"/>
  <c r="N145" i="9"/>
  <c r="O145" i="9" s="1"/>
  <c r="P343" i="9"/>
  <c r="T343" i="9"/>
  <c r="V417" i="9"/>
  <c r="U417" i="9"/>
  <c r="M442" i="9"/>
  <c r="U468" i="9"/>
  <c r="V468" i="9" s="1"/>
  <c r="U504" i="9"/>
  <c r="V504" i="9" s="1"/>
  <c r="M597" i="9"/>
  <c r="M639" i="9"/>
  <c r="T639" i="9"/>
  <c r="M680" i="9"/>
  <c r="M744" i="9"/>
  <c r="U868" i="9"/>
  <c r="U938" i="9"/>
  <c r="V938" i="9" s="1"/>
  <c r="N1252" i="9"/>
  <c r="O1252" i="9" s="1"/>
  <c r="M1257" i="9"/>
  <c r="V1275" i="9"/>
  <c r="V1310" i="9"/>
  <c r="P175" i="9"/>
  <c r="M175" i="9"/>
  <c r="P345" i="9"/>
  <c r="T345" i="9"/>
  <c r="V978" i="9"/>
  <c r="M2210" i="9"/>
  <c r="T2210" i="9"/>
  <c r="N2210" i="9"/>
  <c r="O2210" i="9" s="1"/>
  <c r="M345" i="9"/>
  <c r="U620" i="9"/>
  <c r="V620" i="9" s="1"/>
  <c r="V822" i="9"/>
  <c r="V105" i="9"/>
  <c r="N165" i="9"/>
  <c r="O165" i="9" s="1"/>
  <c r="U2" i="9"/>
  <c r="M11" i="9"/>
  <c r="N23" i="9"/>
  <c r="O23" i="9" s="1"/>
  <c r="P25" i="9"/>
  <c r="T25" i="9"/>
  <c r="P39" i="9"/>
  <c r="N39" i="9"/>
  <c r="O39" i="9" s="1"/>
  <c r="V52" i="9"/>
  <c r="U105" i="9"/>
  <c r="M150" i="9"/>
  <c r="T150" i="9"/>
  <c r="U150" i="9" s="1"/>
  <c r="V150" i="9" s="1"/>
  <c r="P152" i="9"/>
  <c r="N152" i="9"/>
  <c r="O152" i="9" s="1"/>
  <c r="M152" i="9"/>
  <c r="M163" i="9"/>
  <c r="V302" i="9"/>
  <c r="V322" i="9"/>
  <c r="M343" i="9"/>
  <c r="M365" i="9"/>
  <c r="V485" i="9"/>
  <c r="N639" i="9"/>
  <c r="O639" i="9" s="1"/>
  <c r="V678" i="9"/>
  <c r="U727" i="9"/>
  <c r="V727" i="9" s="1"/>
  <c r="V780" i="9"/>
  <c r="U918" i="9"/>
  <c r="V918" i="9" s="1"/>
  <c r="P1273" i="9"/>
  <c r="V1524" i="9"/>
  <c r="P1539" i="9"/>
  <c r="T1539" i="9"/>
  <c r="N1539" i="9"/>
  <c r="O1539" i="9" s="1"/>
  <c r="M1539" i="9"/>
  <c r="V70" i="9"/>
  <c r="V76" i="9"/>
  <c r="V88" i="9"/>
  <c r="V116" i="9"/>
  <c r="U116" i="9"/>
  <c r="T145" i="9"/>
  <c r="P179" i="9"/>
  <c r="M179" i="9"/>
  <c r="P193" i="9"/>
  <c r="T193" i="9"/>
  <c r="V221" i="9"/>
  <c r="V312" i="9"/>
  <c r="V397" i="9"/>
  <c r="V434" i="9"/>
  <c r="V615" i="9"/>
  <c r="U858" i="9"/>
  <c r="V858" i="9" s="1"/>
  <c r="P1017" i="9"/>
  <c r="T1017" i="9"/>
  <c r="T1252" i="9"/>
  <c r="V178" i="9"/>
  <c r="M306" i="9"/>
  <c r="T306" i="9"/>
  <c r="U306" i="9" s="1"/>
  <c r="M456" i="9"/>
  <c r="V554" i="9"/>
  <c r="V875" i="9"/>
  <c r="M9" i="9"/>
  <c r="M16" i="9"/>
  <c r="U70" i="9"/>
  <c r="U76" i="9"/>
  <c r="U88" i="9"/>
  <c r="V152" i="9"/>
  <c r="T165" i="9"/>
  <c r="V176" i="9"/>
  <c r="M193" i="9"/>
  <c r="U221" i="9"/>
  <c r="U312" i="9"/>
  <c r="M544" i="9"/>
  <c r="T544" i="9"/>
  <c r="U615" i="9"/>
  <c r="U635" i="9"/>
  <c r="V635" i="9" s="1"/>
  <c r="U861" i="9"/>
  <c r="V861" i="9" s="1"/>
  <c r="U963" i="9"/>
  <c r="V963" i="9" s="1"/>
  <c r="M1017" i="9"/>
  <c r="U1059" i="9"/>
  <c r="V1059" i="9"/>
  <c r="V1217" i="9"/>
  <c r="V39" i="9"/>
  <c r="V56" i="9"/>
  <c r="M127" i="9"/>
  <c r="N133" i="9"/>
  <c r="O133" i="9" s="1"/>
  <c r="U152" i="9"/>
  <c r="P158" i="9"/>
  <c r="N193" i="9"/>
  <c r="O193" i="9" s="1"/>
  <c r="U210" i="9"/>
  <c r="V210" i="9" s="1"/>
  <c r="U290" i="9"/>
  <c r="V290" i="9" s="1"/>
  <c r="U337" i="9"/>
  <c r="V337" i="9" s="1"/>
  <c r="P363" i="9"/>
  <c r="T363" i="9"/>
  <c r="U363" i="9" s="1"/>
  <c r="V363" i="9" s="1"/>
  <c r="U465" i="9"/>
  <c r="V465" i="9" s="1"/>
  <c r="V481" i="9"/>
  <c r="V523" i="9"/>
  <c r="U523" i="9"/>
  <c r="N544" i="9"/>
  <c r="O544" i="9" s="1"/>
  <c r="V736" i="9"/>
  <c r="U798" i="9"/>
  <c r="V798" i="9" s="1"/>
  <c r="P801" i="9"/>
  <c r="T801" i="9"/>
  <c r="N801" i="9"/>
  <c r="O801" i="9" s="1"/>
  <c r="M801" i="9"/>
  <c r="N1017" i="9"/>
  <c r="O1017" i="9" s="1"/>
  <c r="U1035" i="9"/>
  <c r="V1035" i="9" s="1"/>
  <c r="P1437" i="9"/>
  <c r="T1437" i="9"/>
  <c r="N1437" i="9"/>
  <c r="O1437" i="9" s="1"/>
  <c r="M1437" i="9"/>
  <c r="V1838" i="9"/>
  <c r="V15" i="9"/>
  <c r="M165" i="9"/>
  <c r="U233" i="9"/>
  <c r="V233" i="9" s="1"/>
  <c r="U706" i="9"/>
  <c r="V59" i="9"/>
  <c r="V18" i="9"/>
  <c r="M21" i="9"/>
  <c r="T21" i="9"/>
  <c r="U39" i="9"/>
  <c r="N45" i="9"/>
  <c r="O45" i="9" s="1"/>
  <c r="N47" i="9"/>
  <c r="O47" i="9" s="1"/>
  <c r="N49" i="9"/>
  <c r="O49" i="9" s="1"/>
  <c r="U56" i="9"/>
  <c r="V119" i="9"/>
  <c r="M143" i="9"/>
  <c r="T143" i="9"/>
  <c r="U143" i="9" s="1"/>
  <c r="V143" i="9" s="1"/>
  <c r="N143" i="9"/>
  <c r="O143" i="9" s="1"/>
  <c r="V163" i="9"/>
  <c r="U163" i="9"/>
  <c r="P169" i="9"/>
  <c r="T169" i="9"/>
  <c r="V187" i="9"/>
  <c r="V316" i="9"/>
  <c r="U316" i="9"/>
  <c r="M363" i="9"/>
  <c r="V389" i="9"/>
  <c r="U428" i="9"/>
  <c r="V428" i="9" s="1"/>
  <c r="V443" i="9"/>
  <c r="V467" i="9"/>
  <c r="V479" i="9"/>
  <c r="U481" i="9"/>
  <c r="P484" i="9"/>
  <c r="T484" i="9"/>
  <c r="N484" i="9"/>
  <c r="O484" i="9" s="1"/>
  <c r="M484" i="9"/>
  <c r="U496" i="9"/>
  <c r="V496" i="9" s="1"/>
  <c r="V539" i="9"/>
  <c r="V627" i="9"/>
  <c r="U667" i="9"/>
  <c r="V667" i="9" s="1"/>
  <c r="V912" i="9"/>
  <c r="P917" i="9"/>
  <c r="M917" i="9"/>
  <c r="U947" i="9"/>
  <c r="V947" i="9" s="1"/>
  <c r="V1015" i="9"/>
  <c r="M1429" i="9"/>
  <c r="T1429" i="9"/>
  <c r="M1911" i="9"/>
  <c r="P1911" i="9"/>
  <c r="V200" i="9"/>
  <c r="V214" i="9"/>
  <c r="V246" i="9"/>
  <c r="V584" i="9"/>
  <c r="U725" i="9"/>
  <c r="V725" i="9" s="1"/>
  <c r="P962" i="9"/>
  <c r="T962" i="9"/>
  <c r="N962" i="9"/>
  <c r="O962" i="9" s="1"/>
  <c r="M962" i="9"/>
  <c r="P973" i="9"/>
  <c r="T973" i="9"/>
  <c r="U973" i="9" s="1"/>
  <c r="U1039" i="9"/>
  <c r="V1039" i="9"/>
  <c r="P1427" i="9"/>
  <c r="T1427" i="9"/>
  <c r="N1427" i="9"/>
  <c r="O1427" i="9" s="1"/>
  <c r="M1427" i="9"/>
  <c r="P1637" i="9"/>
  <c r="N1637" i="9"/>
  <c r="O1637" i="9" s="1"/>
  <c r="M1637" i="9"/>
  <c r="U2074" i="9"/>
  <c r="V2074" i="9"/>
  <c r="M2102" i="9"/>
  <c r="N2102" i="9"/>
  <c r="O2102" i="9" s="1"/>
  <c r="T2102" i="9"/>
  <c r="M2233" i="9"/>
  <c r="N2233" i="9"/>
  <c r="O2233" i="9" s="1"/>
  <c r="T2233" i="9"/>
  <c r="U200" i="9"/>
  <c r="U214" i="9"/>
  <c r="V341" i="9"/>
  <c r="M376" i="9"/>
  <c r="U467" i="9"/>
  <c r="V501" i="9"/>
  <c r="V551" i="9"/>
  <c r="V571" i="9"/>
  <c r="M588" i="9"/>
  <c r="U626" i="9"/>
  <c r="V626" i="9" s="1"/>
  <c r="P654" i="9"/>
  <c r="N654" i="9"/>
  <c r="O654" i="9" s="1"/>
  <c r="U740" i="9"/>
  <c r="V740" i="9" s="1"/>
  <c r="M742" i="9"/>
  <c r="U748" i="9"/>
  <c r="V748" i="9" s="1"/>
  <c r="V750" i="9"/>
  <c r="U759" i="9"/>
  <c r="V759" i="9" s="1"/>
  <c r="N777" i="9"/>
  <c r="O777" i="9" s="1"/>
  <c r="V804" i="9"/>
  <c r="U804" i="9"/>
  <c r="U828" i="9"/>
  <c r="V828" i="9" s="1"/>
  <c r="V832" i="9"/>
  <c r="U832" i="9"/>
  <c r="M968" i="9"/>
  <c r="M973" i="9"/>
  <c r="P1290" i="9"/>
  <c r="T1290" i="9"/>
  <c r="M183" i="9"/>
  <c r="V191" i="9"/>
  <c r="V225" i="9"/>
  <c r="U341" i="9"/>
  <c r="U397" i="9"/>
  <c r="N412" i="9"/>
  <c r="O412" i="9" s="1"/>
  <c r="V425" i="9"/>
  <c r="M446" i="9"/>
  <c r="M448" i="9"/>
  <c r="V461" i="9"/>
  <c r="V473" i="9"/>
  <c r="U476" i="9"/>
  <c r="V476" i="9" s="1"/>
  <c r="V515" i="9"/>
  <c r="M541" i="9"/>
  <c r="T541" i="9"/>
  <c r="U541" i="9" s="1"/>
  <c r="V557" i="9"/>
  <c r="U557" i="9"/>
  <c r="V559" i="9"/>
  <c r="N588" i="9"/>
  <c r="O588" i="9" s="1"/>
  <c r="U590" i="9"/>
  <c r="V590" i="9" s="1"/>
  <c r="V592" i="9"/>
  <c r="M604" i="9"/>
  <c r="N604" i="9"/>
  <c r="O604" i="9" s="1"/>
  <c r="V612" i="9"/>
  <c r="V689" i="9"/>
  <c r="V696" i="9"/>
  <c r="V703" i="9"/>
  <c r="U710" i="9"/>
  <c r="V710" i="9" s="1"/>
  <c r="P728" i="9"/>
  <c r="T728" i="9"/>
  <c r="V819" i="9"/>
  <c r="V905" i="9"/>
  <c r="M992" i="9"/>
  <c r="T992" i="9"/>
  <c r="N992" i="9"/>
  <c r="O992" i="9" s="1"/>
  <c r="P1014" i="9"/>
  <c r="T1014" i="9"/>
  <c r="N1014" i="9"/>
  <c r="O1014" i="9" s="1"/>
  <c r="M1014" i="9"/>
  <c r="M1060" i="9"/>
  <c r="T1060" i="9"/>
  <c r="N1060" i="9"/>
  <c r="O1060" i="9" s="1"/>
  <c r="P1346" i="9"/>
  <c r="T1346" i="9"/>
  <c r="N1346" i="9"/>
  <c r="O1346" i="9" s="1"/>
  <c r="P1412" i="9"/>
  <c r="T1412" i="9"/>
  <c r="N1412" i="9"/>
  <c r="O1412" i="9" s="1"/>
  <c r="M1412" i="9"/>
  <c r="U1598" i="9"/>
  <c r="V1598" i="9"/>
  <c r="T1637" i="9"/>
  <c r="P1760" i="9"/>
  <c r="N1760" i="9"/>
  <c r="O1760" i="9" s="1"/>
  <c r="T1760" i="9"/>
  <c r="P1769" i="9"/>
  <c r="T1769" i="9"/>
  <c r="U1769" i="9" s="1"/>
  <c r="V1769" i="9" s="1"/>
  <c r="N1769" i="9"/>
  <c r="O1769" i="9" s="1"/>
  <c r="M1769" i="9"/>
  <c r="V2004" i="9"/>
  <c r="N172" i="9"/>
  <c r="O172" i="9" s="1"/>
  <c r="N183" i="9"/>
  <c r="O183" i="9" s="1"/>
  <c r="U191" i="9"/>
  <c r="U225" i="9"/>
  <c r="U237" i="9"/>
  <c r="V237" i="9" s="1"/>
  <c r="V256" i="9"/>
  <c r="M312" i="9"/>
  <c r="M317" i="9"/>
  <c r="U326" i="9"/>
  <c r="V326" i="9" s="1"/>
  <c r="N329" i="9"/>
  <c r="O329" i="9" s="1"/>
  <c r="V359" i="9"/>
  <c r="M443" i="9"/>
  <c r="N446" i="9"/>
  <c r="O446" i="9" s="1"/>
  <c r="N457" i="9"/>
  <c r="O457" i="9" s="1"/>
  <c r="U461" i="9"/>
  <c r="U473" i="9"/>
  <c r="N541" i="9"/>
  <c r="O541" i="9" s="1"/>
  <c r="M545" i="9"/>
  <c r="M579" i="9"/>
  <c r="P602" i="9"/>
  <c r="M602" i="9"/>
  <c r="U619" i="9"/>
  <c r="V619" i="9" s="1"/>
  <c r="U632" i="9"/>
  <c r="V632" i="9" s="1"/>
  <c r="U675" i="9"/>
  <c r="V675" i="9" s="1"/>
  <c r="M726" i="9"/>
  <c r="M728" i="9"/>
  <c r="P751" i="9"/>
  <c r="N751" i="9"/>
  <c r="O751" i="9" s="1"/>
  <c r="T777" i="9"/>
  <c r="U791" i="9"/>
  <c r="V791" i="9" s="1"/>
  <c r="M815" i="9"/>
  <c r="U819" i="9"/>
  <c r="U905" i="9"/>
  <c r="V960" i="9"/>
  <c r="U960" i="9"/>
  <c r="P1171" i="9"/>
  <c r="T1171" i="9"/>
  <c r="M1203" i="9"/>
  <c r="T1203" i="9"/>
  <c r="U1203" i="9" s="1"/>
  <c r="V1203" i="9" s="1"/>
  <c r="N1290" i="9"/>
  <c r="O1290" i="9" s="1"/>
  <c r="M1346" i="9"/>
  <c r="M1479" i="9"/>
  <c r="T1479" i="9"/>
  <c r="N1479" i="9"/>
  <c r="O1479" i="9" s="1"/>
  <c r="P1488" i="9"/>
  <c r="T1488" i="9"/>
  <c r="M1760" i="9"/>
  <c r="U1952" i="9"/>
  <c r="V1952" i="9" s="1"/>
  <c r="U1999" i="9"/>
  <c r="V1999" i="9" s="1"/>
  <c r="U207" i="9"/>
  <c r="V207" i="9" s="1"/>
  <c r="V268" i="9"/>
  <c r="V109" i="9"/>
  <c r="M174" i="9"/>
  <c r="M176" i="9"/>
  <c r="M178" i="9"/>
  <c r="M180" i="9"/>
  <c r="M215" i="9"/>
  <c r="U256" i="9"/>
  <c r="U268" i="9"/>
  <c r="N277" i="9"/>
  <c r="O277" i="9" s="1"/>
  <c r="V279" i="9"/>
  <c r="V287" i="9"/>
  <c r="V299" i="9"/>
  <c r="N312" i="9"/>
  <c r="O312" i="9" s="1"/>
  <c r="M374" i="9"/>
  <c r="T376" i="9"/>
  <c r="N392" i="9"/>
  <c r="O392" i="9" s="1"/>
  <c r="T412" i="9"/>
  <c r="N421" i="9"/>
  <c r="O421" i="9" s="1"/>
  <c r="N443" i="9"/>
  <c r="O443" i="9" s="1"/>
  <c r="N486" i="9"/>
  <c r="O486" i="9" s="1"/>
  <c r="U493" i="9"/>
  <c r="V493" i="9" s="1"/>
  <c r="T555" i="9"/>
  <c r="U555" i="9" s="1"/>
  <c r="V555" i="9" s="1"/>
  <c r="P560" i="9"/>
  <c r="T560" i="9"/>
  <c r="U560" i="9" s="1"/>
  <c r="V560" i="9" s="1"/>
  <c r="T588" i="9"/>
  <c r="P593" i="9"/>
  <c r="N593" i="9"/>
  <c r="O593" i="9" s="1"/>
  <c r="N602" i="9"/>
  <c r="O602" i="9" s="1"/>
  <c r="N629" i="9"/>
  <c r="O629" i="9" s="1"/>
  <c r="T654" i="9"/>
  <c r="U724" i="9"/>
  <c r="N728" i="9"/>
  <c r="O728" i="9" s="1"/>
  <c r="U731" i="9"/>
  <c r="V731" i="9" s="1"/>
  <c r="P734" i="9"/>
  <c r="M734" i="9"/>
  <c r="V737" i="9"/>
  <c r="M743" i="9"/>
  <c r="T743" i="9"/>
  <c r="M749" i="9"/>
  <c r="M751" i="9"/>
  <c r="V797" i="9"/>
  <c r="N807" i="9"/>
  <c r="O807" i="9" s="1"/>
  <c r="N815" i="9"/>
  <c r="O815" i="9" s="1"/>
  <c r="U876" i="9"/>
  <c r="V876" i="9" s="1"/>
  <c r="V909" i="9"/>
  <c r="U915" i="9"/>
  <c r="V915" i="9" s="1"/>
  <c r="T968" i="9"/>
  <c r="U968" i="9" s="1"/>
  <c r="V1165" i="9"/>
  <c r="M1171" i="9"/>
  <c r="N1203" i="9"/>
  <c r="O1203" i="9" s="1"/>
  <c r="M1344" i="9"/>
  <c r="P1464" i="9"/>
  <c r="M1488" i="9"/>
  <c r="N178" i="9"/>
  <c r="O178" i="9" s="1"/>
  <c r="V319" i="9"/>
  <c r="T329" i="9"/>
  <c r="T604" i="9"/>
  <c r="V681" i="9"/>
  <c r="P811" i="9"/>
  <c r="M811" i="9"/>
  <c r="U843" i="9"/>
  <c r="V843" i="9" s="1"/>
  <c r="U882" i="9"/>
  <c r="V882" i="9" s="1"/>
  <c r="U921" i="9"/>
  <c r="P1048" i="9"/>
  <c r="T1048" i="9"/>
  <c r="V1169" i="9"/>
  <c r="N1171" i="9"/>
  <c r="O1171" i="9" s="1"/>
  <c r="M1471" i="9"/>
  <c r="T1471" i="9"/>
  <c r="U1471" i="9" s="1"/>
  <c r="V1471" i="9" s="1"/>
  <c r="N1488" i="9"/>
  <c r="O1488" i="9" s="1"/>
  <c r="P1777" i="9"/>
  <c r="T1777" i="9"/>
  <c r="N1777" i="9"/>
  <c r="O1777" i="9" s="1"/>
  <c r="M1777" i="9"/>
  <c r="U1924" i="9"/>
  <c r="V1924" i="9" s="1"/>
  <c r="N1934" i="9"/>
  <c r="O1934" i="9" s="1"/>
  <c r="T1934" i="9"/>
  <c r="U1934" i="9" s="1"/>
  <c r="T1979" i="9"/>
  <c r="U1979" i="9" s="1"/>
  <c r="N1979" i="9"/>
  <c r="O1979" i="9" s="1"/>
  <c r="V67" i="9"/>
  <c r="V126" i="9"/>
  <c r="T172" i="9"/>
  <c r="N174" i="9"/>
  <c r="O174" i="9" s="1"/>
  <c r="N176" i="9"/>
  <c r="O176" i="9" s="1"/>
  <c r="N180" i="9"/>
  <c r="O180" i="9" s="1"/>
  <c r="V249" i="9"/>
  <c r="V261" i="9"/>
  <c r="V8" i="9"/>
  <c r="U67" i="9"/>
  <c r="V85" i="9"/>
  <c r="U126" i="9"/>
  <c r="N148" i="9"/>
  <c r="O148" i="9" s="1"/>
  <c r="P160" i="9"/>
  <c r="M162" i="9"/>
  <c r="M164" i="9"/>
  <c r="M166" i="9"/>
  <c r="M168" i="9"/>
  <c r="T183" i="9"/>
  <c r="M192" i="9"/>
  <c r="M194" i="9"/>
  <c r="M203" i="9"/>
  <c r="M208" i="9"/>
  <c r="V217" i="9"/>
  <c r="V229" i="9"/>
  <c r="M238" i="9"/>
  <c r="V243" i="9"/>
  <c r="U249" i="9"/>
  <c r="U261" i="9"/>
  <c r="T277" i="9"/>
  <c r="N282" i="9"/>
  <c r="O282" i="9" s="1"/>
  <c r="U319" i="9"/>
  <c r="N358" i="9"/>
  <c r="O358" i="9" s="1"/>
  <c r="N360" i="9"/>
  <c r="O360" i="9" s="1"/>
  <c r="M372" i="9"/>
  <c r="T392" i="9"/>
  <c r="U392" i="9" s="1"/>
  <c r="M398" i="9"/>
  <c r="M428" i="9"/>
  <c r="T446" i="9"/>
  <c r="U446" i="9" s="1"/>
  <c r="T448" i="9"/>
  <c r="U448" i="9" s="1"/>
  <c r="V455" i="9"/>
  <c r="T457" i="9"/>
  <c r="V469" i="9"/>
  <c r="M479" i="9"/>
  <c r="M481" i="9"/>
  <c r="P537" i="9"/>
  <c r="M537" i="9"/>
  <c r="T602" i="9"/>
  <c r="T629" i="9"/>
  <c r="U629" i="9" s="1"/>
  <c r="M633" i="9"/>
  <c r="T661" i="9"/>
  <c r="P665" i="9"/>
  <c r="N665" i="9"/>
  <c r="O665" i="9" s="1"/>
  <c r="U681" i="9"/>
  <c r="N711" i="9"/>
  <c r="O711" i="9" s="1"/>
  <c r="T751" i="9"/>
  <c r="T815" i="9"/>
  <c r="P860" i="9"/>
  <c r="M860" i="9"/>
  <c r="V864" i="9"/>
  <c r="P904" i="9"/>
  <c r="T904" i="9"/>
  <c r="N904" i="9"/>
  <c r="O904" i="9" s="1"/>
  <c r="M904" i="9"/>
  <c r="P1262" i="9"/>
  <c r="T1262" i="9"/>
  <c r="N1262" i="9"/>
  <c r="O1262" i="9" s="1"/>
  <c r="M1262" i="9"/>
  <c r="N1272" i="9"/>
  <c r="O1272" i="9" s="1"/>
  <c r="P1272" i="9"/>
  <c r="P1678" i="9"/>
  <c r="M1678" i="9"/>
  <c r="T1678" i="9"/>
  <c r="U1678" i="9" s="1"/>
  <c r="V1678" i="9" s="1"/>
  <c r="N1678" i="9"/>
  <c r="O1678" i="9" s="1"/>
  <c r="U1721" i="9"/>
  <c r="V1721" i="9" s="1"/>
  <c r="P1753" i="9"/>
  <c r="M1753" i="9"/>
  <c r="M1208" i="9"/>
  <c r="T1208" i="9"/>
  <c r="N1208" i="9"/>
  <c r="O1208" i="9" s="1"/>
  <c r="P1288" i="9"/>
  <c r="T1288" i="9"/>
  <c r="U1288" i="9" s="1"/>
  <c r="V1288" i="9" s="1"/>
  <c r="N1288" i="9"/>
  <c r="O1288" i="9" s="1"/>
  <c r="P1299" i="9"/>
  <c r="T1299" i="9"/>
  <c r="P1304" i="9"/>
  <c r="T1304" i="9"/>
  <c r="N1304" i="9"/>
  <c r="O1304" i="9" s="1"/>
  <c r="P1519" i="9"/>
  <c r="T1519" i="9"/>
  <c r="N1519" i="9"/>
  <c r="O1519" i="9" s="1"/>
  <c r="M1665" i="9"/>
  <c r="T1665" i="9"/>
  <c r="U1665" i="9" s="1"/>
  <c r="V1665" i="9" s="1"/>
  <c r="P1783" i="9"/>
  <c r="M1783" i="9"/>
  <c r="T1783" i="9"/>
  <c r="U1831" i="9"/>
  <c r="V1831" i="9" s="1"/>
  <c r="V668" i="9"/>
  <c r="V682" i="9"/>
  <c r="V848" i="9"/>
  <c r="U894" i="9"/>
  <c r="V894" i="9" s="1"/>
  <c r="U912" i="9"/>
  <c r="M914" i="9"/>
  <c r="U984" i="9"/>
  <c r="V984" i="9" s="1"/>
  <c r="U1005" i="9"/>
  <c r="V1005" i="9" s="1"/>
  <c r="M1045" i="9"/>
  <c r="N1054" i="9"/>
  <c r="O1054" i="9" s="1"/>
  <c r="P1265" i="9"/>
  <c r="T1265" i="9"/>
  <c r="M1288" i="9"/>
  <c r="M1299" i="9"/>
  <c r="M1304" i="9"/>
  <c r="V1425" i="9"/>
  <c r="M1519" i="9"/>
  <c r="P1628" i="9"/>
  <c r="N1628" i="9"/>
  <c r="O1628" i="9" s="1"/>
  <c r="T1628" i="9"/>
  <c r="U1628" i="9" s="1"/>
  <c r="V1628" i="9" s="1"/>
  <c r="N1665" i="9"/>
  <c r="O1665" i="9" s="1"/>
  <c r="P1680" i="9"/>
  <c r="T1680" i="9"/>
  <c r="M1680" i="9"/>
  <c r="P1738" i="9"/>
  <c r="N1738" i="9"/>
  <c r="O1738" i="9" s="1"/>
  <c r="M1738" i="9"/>
  <c r="N1783" i="9"/>
  <c r="O1783" i="9" s="1"/>
  <c r="P1858" i="9"/>
  <c r="M1916" i="9"/>
  <c r="P2254" i="9"/>
  <c r="T2254" i="9"/>
  <c r="U2254" i="9" s="1"/>
  <c r="V2254" i="9" s="1"/>
  <c r="M2254" i="9"/>
  <c r="N2254" i="9"/>
  <c r="O2254" i="9" s="1"/>
  <c r="N914" i="9"/>
  <c r="O914" i="9" s="1"/>
  <c r="P1243" i="9"/>
  <c r="T1243" i="9"/>
  <c r="N1299" i="9"/>
  <c r="O1299" i="9" s="1"/>
  <c r="P1332" i="9"/>
  <c r="M1332" i="9"/>
  <c r="P1565" i="9"/>
  <c r="T1565" i="9"/>
  <c r="P1618" i="9"/>
  <c r="M1618" i="9"/>
  <c r="P1771" i="9"/>
  <c r="N1771" i="9"/>
  <c r="O1771" i="9" s="1"/>
  <c r="M1771" i="9"/>
  <c r="P1787" i="9"/>
  <c r="T1787" i="9"/>
  <c r="N1787" i="9"/>
  <c r="O1787" i="9" s="1"/>
  <c r="M1787" i="9"/>
  <c r="P1817" i="9"/>
  <c r="M1817" i="9"/>
  <c r="T1817" i="9"/>
  <c r="U1829" i="9"/>
  <c r="V1829" i="9" s="1"/>
  <c r="V1942" i="9"/>
  <c r="U1963" i="9"/>
  <c r="V1963" i="9" s="1"/>
  <c r="P2040" i="9"/>
  <c r="M2040" i="9"/>
  <c r="P2158" i="9"/>
  <c r="M2158" i="9"/>
  <c r="V840" i="9"/>
  <c r="V855" i="9"/>
  <c r="U1179" i="9"/>
  <c r="V1179" i="9"/>
  <c r="P1292" i="9"/>
  <c r="M1292" i="9"/>
  <c r="N1332" i="9"/>
  <c r="O1332" i="9" s="1"/>
  <c r="V1340" i="9"/>
  <c r="U1340" i="9"/>
  <c r="M1445" i="9"/>
  <c r="T1445" i="9"/>
  <c r="U1517" i="9"/>
  <c r="V1517" i="9"/>
  <c r="P1711" i="9"/>
  <c r="T1711" i="9"/>
  <c r="N1711" i="9"/>
  <c r="O1711" i="9" s="1"/>
  <c r="M1711" i="9"/>
  <c r="N1817" i="9"/>
  <c r="O1817" i="9" s="1"/>
  <c r="V1935" i="9"/>
  <c r="U1935" i="9"/>
  <c r="U1942" i="9"/>
  <c r="M2172" i="9"/>
  <c r="T2172" i="9"/>
  <c r="N2172" i="9"/>
  <c r="O2172" i="9" s="1"/>
  <c r="M2236" i="9"/>
  <c r="N2236" i="9"/>
  <c r="O2236" i="9" s="1"/>
  <c r="T2236" i="9"/>
  <c r="U2236" i="9" s="1"/>
  <c r="V2236" i="9" s="1"/>
  <c r="N861" i="9"/>
  <c r="O861" i="9" s="1"/>
  <c r="U864" i="9"/>
  <c r="V891" i="9"/>
  <c r="V896" i="9"/>
  <c r="M898" i="9"/>
  <c r="U909" i="9"/>
  <c r="T914" i="9"/>
  <c r="M916" i="9"/>
  <c r="M945" i="9"/>
  <c r="U967" i="9"/>
  <c r="V967" i="9" s="1"/>
  <c r="N1004" i="9"/>
  <c r="O1004" i="9" s="1"/>
  <c r="T1045" i="9"/>
  <c r="U1045" i="9" s="1"/>
  <c r="V1045" i="9" s="1"/>
  <c r="N1083" i="9"/>
  <c r="O1083" i="9" s="1"/>
  <c r="M1159" i="9"/>
  <c r="T1159" i="9"/>
  <c r="U1159" i="9" s="1"/>
  <c r="V1159" i="9" s="1"/>
  <c r="N1159" i="9"/>
  <c r="O1159" i="9" s="1"/>
  <c r="N1243" i="9"/>
  <c r="O1243" i="9" s="1"/>
  <c r="P1261" i="9"/>
  <c r="M1279" i="9"/>
  <c r="P1414" i="9"/>
  <c r="T1414" i="9"/>
  <c r="N1445" i="9"/>
  <c r="O1445" i="9" s="1"/>
  <c r="N1565" i="9"/>
  <c r="O1565" i="9" s="1"/>
  <c r="P1595" i="9"/>
  <c r="T1595" i="9"/>
  <c r="U1595" i="9" s="1"/>
  <c r="V1595" i="9" s="1"/>
  <c r="N1595" i="9"/>
  <c r="O1595" i="9" s="1"/>
  <c r="M1649" i="9"/>
  <c r="P1842" i="9"/>
  <c r="T1842" i="9"/>
  <c r="N1842" i="9"/>
  <c r="O1842" i="9" s="1"/>
  <c r="M1842" i="9"/>
  <c r="V1940" i="9"/>
  <c r="V1944" i="9"/>
  <c r="U1944" i="9"/>
  <c r="U1959" i="9"/>
  <c r="V1959" i="9" s="1"/>
  <c r="U847" i="9"/>
  <c r="V847" i="9" s="1"/>
  <c r="V869" i="9"/>
  <c r="N898" i="9"/>
  <c r="O898" i="9" s="1"/>
  <c r="N916" i="9"/>
  <c r="O916" i="9" s="1"/>
  <c r="U922" i="9"/>
  <c r="V922" i="9" s="1"/>
  <c r="N945" i="9"/>
  <c r="O945" i="9" s="1"/>
  <c r="N1052" i="9"/>
  <c r="O1052" i="9" s="1"/>
  <c r="V1096" i="9"/>
  <c r="V1136" i="9"/>
  <c r="P1157" i="9"/>
  <c r="T1157" i="9"/>
  <c r="U1157" i="9" s="1"/>
  <c r="V1157" i="9" s="1"/>
  <c r="N1157" i="9"/>
  <c r="O1157" i="9" s="1"/>
  <c r="P1237" i="9"/>
  <c r="T1237" i="9"/>
  <c r="T1332" i="9"/>
  <c r="U1332" i="9" s="1"/>
  <c r="V1332" i="9" s="1"/>
  <c r="V1345" i="9"/>
  <c r="M1390" i="9"/>
  <c r="T1390" i="9"/>
  <c r="N1390" i="9"/>
  <c r="O1390" i="9" s="1"/>
  <c r="M1414" i="9"/>
  <c r="M1595" i="9"/>
  <c r="M1623" i="9"/>
  <c r="T1623" i="9"/>
  <c r="U1623" i="9" s="1"/>
  <c r="M1652" i="9"/>
  <c r="T1652" i="9"/>
  <c r="U1652" i="9" s="1"/>
  <c r="V1652" i="9" s="1"/>
  <c r="U1844" i="9"/>
  <c r="V1844" i="9" s="1"/>
  <c r="T1968" i="9"/>
  <c r="U1968" i="9" s="1"/>
  <c r="N1968" i="9"/>
  <c r="O1968" i="9" s="1"/>
  <c r="M2131" i="9"/>
  <c r="N2131" i="9"/>
  <c r="O2131" i="9" s="1"/>
  <c r="T2131" i="9"/>
  <c r="T2158" i="9"/>
  <c r="V566" i="9"/>
  <c r="V754" i="9"/>
  <c r="V785" i="9"/>
  <c r="U869" i="9"/>
  <c r="M873" i="9"/>
  <c r="V883" i="9"/>
  <c r="N895" i="9"/>
  <c r="O895" i="9" s="1"/>
  <c r="V929" i="9"/>
  <c r="M943" i="9"/>
  <c r="M972" i="9"/>
  <c r="T1004" i="9"/>
  <c r="N1033" i="9"/>
  <c r="O1033" i="9" s="1"/>
  <c r="N1057" i="9"/>
  <c r="O1057" i="9" s="1"/>
  <c r="V1075" i="9"/>
  <c r="T1083" i="9"/>
  <c r="M1157" i="9"/>
  <c r="M1237" i="9"/>
  <c r="T1292" i="9"/>
  <c r="P1297" i="9"/>
  <c r="T1297" i="9"/>
  <c r="N1297" i="9"/>
  <c r="O1297" i="9" s="1"/>
  <c r="M1297" i="9"/>
  <c r="M1375" i="9"/>
  <c r="T1375" i="9"/>
  <c r="N1414" i="9"/>
  <c r="O1414" i="9" s="1"/>
  <c r="P1530" i="9"/>
  <c r="T1530" i="9"/>
  <c r="N1530" i="9"/>
  <c r="O1530" i="9" s="1"/>
  <c r="M1530" i="9"/>
  <c r="N1623" i="9"/>
  <c r="O1623" i="9" s="1"/>
  <c r="N1652" i="9"/>
  <c r="O1652" i="9" s="1"/>
  <c r="M1725" i="9"/>
  <c r="T1725" i="9"/>
  <c r="M1798" i="9"/>
  <c r="T1798" i="9"/>
  <c r="U1798" i="9" s="1"/>
  <c r="V1903" i="9"/>
  <c r="U1903" i="9"/>
  <c r="P2058" i="9"/>
  <c r="T2058" i="9"/>
  <c r="U2058" i="9" s="1"/>
  <c r="V2058" i="9" s="1"/>
  <c r="P2076" i="9"/>
  <c r="T2076" i="9"/>
  <c r="N2076" i="9"/>
  <c r="O2076" i="9" s="1"/>
  <c r="P2215" i="9"/>
  <c r="T2215" i="9"/>
  <c r="N2215" i="9"/>
  <c r="O2215" i="9" s="1"/>
  <c r="M1659" i="9"/>
  <c r="T1659" i="9"/>
  <c r="U1659" i="9" s="1"/>
  <c r="P1707" i="9"/>
  <c r="N1707" i="9"/>
  <c r="O1707" i="9" s="1"/>
  <c r="T1707" i="9"/>
  <c r="P1714" i="9"/>
  <c r="N1714" i="9"/>
  <c r="O1714" i="9" s="1"/>
  <c r="M1714" i="9"/>
  <c r="P1808" i="9"/>
  <c r="N1808" i="9"/>
  <c r="O1808" i="9" s="1"/>
  <c r="M1808" i="9"/>
  <c r="U1822" i="9"/>
  <c r="V1822" i="9"/>
  <c r="M1905" i="9"/>
  <c r="P1905" i="9"/>
  <c r="M2160" i="9"/>
  <c r="T2160" i="9"/>
  <c r="U2160" i="9" s="1"/>
  <c r="N2160" i="9"/>
  <c r="O2160" i="9" s="1"/>
  <c r="U2269" i="9"/>
  <c r="V2269" i="9" s="1"/>
  <c r="P1692" i="9"/>
  <c r="T1692" i="9"/>
  <c r="P1775" i="9"/>
  <c r="M1775" i="9"/>
  <c r="U1800" i="9"/>
  <c r="V1800" i="9"/>
  <c r="M1893" i="9"/>
  <c r="T1893" i="9"/>
  <c r="N1893" i="9"/>
  <c r="O1893" i="9" s="1"/>
  <c r="T1895" i="9"/>
  <c r="U1895" i="9" s="1"/>
  <c r="M1895" i="9"/>
  <c r="V1938" i="9"/>
  <c r="P2067" i="9"/>
  <c r="M2067" i="9"/>
  <c r="M1223" i="9"/>
  <c r="N1250" i="9"/>
  <c r="O1250" i="9" s="1"/>
  <c r="M1260" i="9"/>
  <c r="U1275" i="9"/>
  <c r="U1283" i="9"/>
  <c r="V1283" i="9" s="1"/>
  <c r="V1352" i="9"/>
  <c r="V1377" i="9"/>
  <c r="M1400" i="9"/>
  <c r="V1449" i="9"/>
  <c r="M1463" i="9"/>
  <c r="M1486" i="9"/>
  <c r="N1588" i="9"/>
  <c r="O1588" i="9" s="1"/>
  <c r="M1640" i="9"/>
  <c r="N1663" i="9"/>
  <c r="O1663" i="9" s="1"/>
  <c r="M1692" i="9"/>
  <c r="M1731" i="9"/>
  <c r="N1731" i="9"/>
  <c r="O1731" i="9" s="1"/>
  <c r="N1775" i="9"/>
  <c r="O1775" i="9" s="1"/>
  <c r="P1781" i="9"/>
  <c r="N1781" i="9"/>
  <c r="O1781" i="9" s="1"/>
  <c r="M1781" i="9"/>
  <c r="N1895" i="9"/>
  <c r="O1895" i="9" s="1"/>
  <c r="V1914" i="9"/>
  <c r="V1918" i="9"/>
  <c r="U1918" i="9"/>
  <c r="U1925" i="9"/>
  <c r="V1925" i="9" s="1"/>
  <c r="U1938" i="9"/>
  <c r="U1953" i="9"/>
  <c r="V1953" i="9" s="1"/>
  <c r="P2029" i="9"/>
  <c r="M2029" i="9"/>
  <c r="M2108" i="9"/>
  <c r="T2108" i="9"/>
  <c r="V2108" i="9" s="1"/>
  <c r="N2108" i="9"/>
  <c r="O2108" i="9" s="1"/>
  <c r="P2142" i="9"/>
  <c r="T2142" i="9"/>
  <c r="N2142" i="9"/>
  <c r="O2142" i="9" s="1"/>
  <c r="V1221" i="9"/>
  <c r="N1223" i="9"/>
  <c r="O1223" i="9" s="1"/>
  <c r="V1228" i="9"/>
  <c r="N1260" i="9"/>
  <c r="O1260" i="9" s="1"/>
  <c r="N1400" i="9"/>
  <c r="O1400" i="9" s="1"/>
  <c r="N1463" i="9"/>
  <c r="O1463" i="9" s="1"/>
  <c r="N1486" i="9"/>
  <c r="O1486" i="9" s="1"/>
  <c r="P1626" i="9"/>
  <c r="N1626" i="9"/>
  <c r="O1626" i="9" s="1"/>
  <c r="M1626" i="9"/>
  <c r="M1643" i="9"/>
  <c r="T1643" i="9"/>
  <c r="N1692" i="9"/>
  <c r="O1692" i="9" s="1"/>
  <c r="M1796" i="9"/>
  <c r="N1796" i="9"/>
  <c r="O1796" i="9" s="1"/>
  <c r="T1796" i="9"/>
  <c r="M1832" i="9"/>
  <c r="N1832" i="9"/>
  <c r="O1832" i="9" s="1"/>
  <c r="T1832" i="9"/>
  <c r="U1832" i="9" s="1"/>
  <c r="V1912" i="9"/>
  <c r="V1966" i="9"/>
  <c r="M1977" i="9"/>
  <c r="P1977" i="9"/>
  <c r="V1114" i="9"/>
  <c r="M1126" i="9"/>
  <c r="V1145" i="9"/>
  <c r="N1200" i="9"/>
  <c r="O1200" i="9" s="1"/>
  <c r="T1250" i="9"/>
  <c r="M1266" i="9"/>
  <c r="N1274" i="9"/>
  <c r="O1274" i="9" s="1"/>
  <c r="N1280" i="9"/>
  <c r="O1280" i="9" s="1"/>
  <c r="N1315" i="9"/>
  <c r="O1315" i="9" s="1"/>
  <c r="M1351" i="9"/>
  <c r="M1398" i="9"/>
  <c r="M1448" i="9"/>
  <c r="M1484" i="9"/>
  <c r="M1534" i="9"/>
  <c r="V1631" i="9"/>
  <c r="N1643" i="9"/>
  <c r="O1643" i="9" s="1"/>
  <c r="M1648" i="9"/>
  <c r="N1648" i="9"/>
  <c r="O1648" i="9" s="1"/>
  <c r="N1661" i="9"/>
  <c r="O1661" i="9" s="1"/>
  <c r="T1663" i="9"/>
  <c r="U1663" i="9" s="1"/>
  <c r="V1663" i="9" s="1"/>
  <c r="V1667" i="9"/>
  <c r="P1676" i="9"/>
  <c r="N1676" i="9"/>
  <c r="O1676" i="9" s="1"/>
  <c r="M1676" i="9"/>
  <c r="P1709" i="9"/>
  <c r="T1709" i="9"/>
  <c r="U1715" i="9"/>
  <c r="V1715" i="9"/>
  <c r="U1756" i="9"/>
  <c r="V1756" i="9" s="1"/>
  <c r="V1767" i="9"/>
  <c r="T1775" i="9"/>
  <c r="U1775" i="9" s="1"/>
  <c r="V1775" i="9" s="1"/>
  <c r="P1793" i="9"/>
  <c r="V1874" i="9"/>
  <c r="V1908" i="9"/>
  <c r="P1910" i="9"/>
  <c r="U1912" i="9"/>
  <c r="V1936" i="9"/>
  <c r="P1939" i="9"/>
  <c r="M1939" i="9"/>
  <c r="U1966" i="9"/>
  <c r="V2044" i="9"/>
  <c r="P2082" i="9"/>
  <c r="M2082" i="9"/>
  <c r="T2082" i="9"/>
  <c r="U2082" i="9" s="1"/>
  <c r="M2224" i="9"/>
  <c r="N2224" i="9"/>
  <c r="O2224" i="9" s="1"/>
  <c r="N1126" i="9"/>
  <c r="O1126" i="9" s="1"/>
  <c r="V1139" i="9"/>
  <c r="V1161" i="9"/>
  <c r="V1175" i="9"/>
  <c r="V1182" i="9"/>
  <c r="T1223" i="9"/>
  <c r="T1260" i="9"/>
  <c r="U1260" i="9" s="1"/>
  <c r="V1260" i="9" s="1"/>
  <c r="P1274" i="9"/>
  <c r="N1343" i="9"/>
  <c r="O1343" i="9" s="1"/>
  <c r="N1351" i="9"/>
  <c r="O1351" i="9" s="1"/>
  <c r="N1398" i="9"/>
  <c r="O1398" i="9" s="1"/>
  <c r="T1400" i="9"/>
  <c r="N1448" i="9"/>
  <c r="O1448" i="9" s="1"/>
  <c r="M1454" i="9"/>
  <c r="T1463" i="9"/>
  <c r="N1484" i="9"/>
  <c r="O1484" i="9" s="1"/>
  <c r="T1486" i="9"/>
  <c r="V1556" i="9"/>
  <c r="T1588" i="9"/>
  <c r="U1588" i="9" s="1"/>
  <c r="V1588" i="9" s="1"/>
  <c r="T1626" i="9"/>
  <c r="U1626" i="9" s="1"/>
  <c r="V1626" i="9" s="1"/>
  <c r="N1682" i="9"/>
  <c r="O1682" i="9" s="1"/>
  <c r="T1695" i="9"/>
  <c r="U1695" i="9" s="1"/>
  <c r="P1695" i="9"/>
  <c r="N1695" i="9"/>
  <c r="O1695" i="9" s="1"/>
  <c r="P1773" i="9"/>
  <c r="M1773" i="9"/>
  <c r="T1773" i="9"/>
  <c r="P1785" i="9"/>
  <c r="T1785" i="9"/>
  <c r="N1785" i="9"/>
  <c r="O1785" i="9" s="1"/>
  <c r="U1847" i="9"/>
  <c r="V1847" i="9"/>
  <c r="M1930" i="9"/>
  <c r="P1932" i="9"/>
  <c r="M1969" i="9"/>
  <c r="N1969" i="9"/>
  <c r="O1969" i="9" s="1"/>
  <c r="U1971" i="9"/>
  <c r="V1971" i="9" s="1"/>
  <c r="U2033" i="9"/>
  <c r="V2033" i="9" s="1"/>
  <c r="P2091" i="9"/>
  <c r="T2091" i="9"/>
  <c r="N1101" i="9"/>
  <c r="O1101" i="9" s="1"/>
  <c r="T1200" i="9"/>
  <c r="U1200" i="9" s="1"/>
  <c r="V1200" i="9" s="1"/>
  <c r="V1232" i="9"/>
  <c r="N1278" i="9"/>
  <c r="O1278" i="9" s="1"/>
  <c r="T1280" i="9"/>
  <c r="U1280" i="9" s="1"/>
  <c r="V1280" i="9" s="1"/>
  <c r="T1315" i="9"/>
  <c r="V1333" i="9"/>
  <c r="N1454" i="9"/>
  <c r="O1454" i="9" s="1"/>
  <c r="M1482" i="9"/>
  <c r="V1579" i="9"/>
  <c r="M1591" i="9"/>
  <c r="P1630" i="9"/>
  <c r="T1630" i="9"/>
  <c r="T1676" i="9"/>
  <c r="U1676" i="9" s="1"/>
  <c r="V1676" i="9" s="1"/>
  <c r="N1729" i="9"/>
  <c r="O1729" i="9" s="1"/>
  <c r="V1733" i="9"/>
  <c r="P1740" i="9"/>
  <c r="M1740" i="9"/>
  <c r="T1740" i="9"/>
  <c r="M1752" i="9"/>
  <c r="N1752" i="9"/>
  <c r="O1752" i="9" s="1"/>
  <c r="V1807" i="9"/>
  <c r="M1862" i="9"/>
  <c r="V1900" i="9"/>
  <c r="V1904" i="9"/>
  <c r="T1913" i="9"/>
  <c r="M1913" i="9"/>
  <c r="N1930" i="9"/>
  <c r="O1930" i="9" s="1"/>
  <c r="M1937" i="9"/>
  <c r="P1937" i="9"/>
  <c r="P1969" i="9"/>
  <c r="V1980" i="9"/>
  <c r="U1987" i="9"/>
  <c r="V1987" i="9" s="1"/>
  <c r="V2007" i="9"/>
  <c r="U2021" i="9"/>
  <c r="V2021" i="9"/>
  <c r="V2048" i="9"/>
  <c r="P2080" i="9"/>
  <c r="M2080" i="9"/>
  <c r="M2091" i="9"/>
  <c r="N2120" i="9"/>
  <c r="O2120" i="9" s="1"/>
  <c r="M2208" i="9"/>
  <c r="T2208" i="9"/>
  <c r="N2208" i="9"/>
  <c r="O2208" i="9" s="1"/>
  <c r="U2220" i="9"/>
  <c r="V2220" i="9" s="1"/>
  <c r="T2260" i="9"/>
  <c r="U2260" i="9" s="1"/>
  <c r="M2260" i="9"/>
  <c r="M2259" i="9"/>
  <c r="N1705" i="9"/>
  <c r="O1705" i="9" s="1"/>
  <c r="T1810" i="9"/>
  <c r="T1830" i="9"/>
  <c r="U1830" i="9" s="1"/>
  <c r="V1830" i="9" s="1"/>
  <c r="N1839" i="9"/>
  <c r="O1839" i="9" s="1"/>
  <c r="N2259" i="9"/>
  <c r="O2259" i="9" s="1"/>
  <c r="T1641" i="9"/>
  <c r="T1650" i="9"/>
  <c r="M1685" i="9"/>
  <c r="N1687" i="9"/>
  <c r="O1687" i="9" s="1"/>
  <c r="N1716" i="9"/>
  <c r="O1716" i="9" s="1"/>
  <c r="V1736" i="9"/>
  <c r="T1754" i="9"/>
  <c r="U1754" i="9" s="1"/>
  <c r="V1754" i="9" s="1"/>
  <c r="N1794" i="9"/>
  <c r="O1794" i="9" s="1"/>
  <c r="N1827" i="9"/>
  <c r="O1827" i="9" s="1"/>
  <c r="V1897" i="9"/>
  <c r="U1922" i="9"/>
  <c r="V1922" i="9" s="1"/>
  <c r="V1931" i="9"/>
  <c r="T1955" i="9"/>
  <c r="U1955" i="9" s="1"/>
  <c r="U1962" i="9"/>
  <c r="V1962" i="9" s="1"/>
  <c r="P1970" i="9"/>
  <c r="V1975" i="9"/>
  <c r="V1981" i="9"/>
  <c r="V1995" i="9"/>
  <c r="T2010" i="9"/>
  <c r="V2096" i="9"/>
  <c r="V2153" i="9"/>
  <c r="V2181" i="9"/>
  <c r="M2189" i="9"/>
  <c r="V2194" i="9"/>
  <c r="N2212" i="9"/>
  <c r="O2212" i="9" s="1"/>
  <c r="N2251" i="9"/>
  <c r="O2251" i="9" s="1"/>
  <c r="M2270" i="9"/>
  <c r="V2264" i="9"/>
  <c r="M2265" i="9"/>
  <c r="T2263" i="9"/>
  <c r="M2272" i="9"/>
  <c r="N1810" i="9"/>
  <c r="O1810" i="9" s="1"/>
  <c r="N1830" i="9"/>
  <c r="O1830" i="9" s="1"/>
  <c r="N1849" i="9"/>
  <c r="O1849" i="9" s="1"/>
  <c r="N1955" i="9"/>
  <c r="O1955" i="9" s="1"/>
  <c r="V1984" i="9"/>
  <c r="V2003" i="9"/>
  <c r="N2010" i="9"/>
  <c r="O2010" i="9" s="1"/>
  <c r="V2018" i="9"/>
  <c r="V2031" i="9"/>
  <c r="N2100" i="9"/>
  <c r="O2100" i="9" s="1"/>
  <c r="N2129" i="9"/>
  <c r="O2129" i="9" s="1"/>
  <c r="V103" i="9"/>
  <c r="U149" i="9"/>
  <c r="V149" i="9" s="1"/>
  <c r="U132" i="9"/>
  <c r="V132" i="9" s="1"/>
  <c r="V247" i="9"/>
  <c r="U328" i="9"/>
  <c r="V328" i="9"/>
  <c r="U330" i="9"/>
  <c r="V330" i="9"/>
  <c r="V120" i="9"/>
  <c r="U255" i="9"/>
  <c r="V255" i="9" s="1"/>
  <c r="V273" i="9"/>
  <c r="U75" i="9"/>
  <c r="V75" i="9" s="1"/>
  <c r="U87" i="9"/>
  <c r="V87" i="9"/>
  <c r="U130" i="9"/>
  <c r="V130" i="9" s="1"/>
  <c r="U136" i="9"/>
  <c r="V136" i="9" s="1"/>
  <c r="U144" i="9"/>
  <c r="V144" i="9" s="1"/>
  <c r="U4" i="9"/>
  <c r="V4" i="9"/>
  <c r="U14" i="9"/>
  <c r="V14" i="9" s="1"/>
  <c r="U94" i="9"/>
  <c r="V94" i="9" s="1"/>
  <c r="U158" i="9"/>
  <c r="V158" i="9" s="1"/>
  <c r="U278" i="9"/>
  <c r="V278" i="9" s="1"/>
  <c r="U286" i="9"/>
  <c r="V286" i="9"/>
  <c r="V320" i="9"/>
  <c r="U20" i="9"/>
  <c r="V20" i="9" s="1"/>
  <c r="V26" i="9"/>
  <c r="V96" i="9"/>
  <c r="U134" i="9"/>
  <c r="V134" i="9" s="1"/>
  <c r="U140" i="9"/>
  <c r="V140" i="9"/>
  <c r="U31" i="9"/>
  <c r="V31" i="9" s="1"/>
  <c r="U160" i="9"/>
  <c r="V160" i="9" s="1"/>
  <c r="V170" i="9"/>
  <c r="V184" i="9"/>
  <c r="U260" i="9"/>
  <c r="V260" i="9" s="1"/>
  <c r="U295" i="9"/>
  <c r="V295" i="9" s="1"/>
  <c r="P7" i="9"/>
  <c r="P31" i="9"/>
  <c r="P132" i="9"/>
  <c r="P136" i="9"/>
  <c r="P140" i="9"/>
  <c r="P144" i="9"/>
  <c r="P328" i="9"/>
  <c r="T377" i="9"/>
  <c r="N377" i="9"/>
  <c r="O377" i="9" s="1"/>
  <c r="M377" i="9"/>
  <c r="T393" i="9"/>
  <c r="N393" i="9"/>
  <c r="O393" i="9" s="1"/>
  <c r="U409" i="9"/>
  <c r="V409" i="9" s="1"/>
  <c r="U449" i="9"/>
  <c r="V449" i="9" s="1"/>
  <c r="T454" i="9"/>
  <c r="N454" i="9"/>
  <c r="O454" i="9" s="1"/>
  <c r="M454" i="9"/>
  <c r="U520" i="9"/>
  <c r="V520" i="9" s="1"/>
  <c r="U533" i="9"/>
  <c r="V533" i="9" s="1"/>
  <c r="T538" i="9"/>
  <c r="N538" i="9"/>
  <c r="O538" i="9" s="1"/>
  <c r="M538" i="9"/>
  <c r="U548" i="9"/>
  <c r="V548" i="9" s="1"/>
  <c r="T561" i="9"/>
  <c r="N561" i="9"/>
  <c r="O561" i="9" s="1"/>
  <c r="M561" i="9"/>
  <c r="U644" i="9"/>
  <c r="V644" i="9" s="1"/>
  <c r="U708" i="9"/>
  <c r="V708" i="9" s="1"/>
  <c r="U722" i="9"/>
  <c r="V722" i="9" s="1"/>
  <c r="U751" i="9"/>
  <c r="V751" i="9" s="1"/>
  <c r="T771" i="9"/>
  <c r="N771" i="9"/>
  <c r="O771" i="9" s="1"/>
  <c r="M771" i="9"/>
  <c r="U775" i="9"/>
  <c r="V775" i="9" s="1"/>
  <c r="V795" i="9"/>
  <c r="U795" i="9"/>
  <c r="U866" i="9"/>
  <c r="V866" i="9" s="1"/>
  <c r="V888" i="9"/>
  <c r="U888" i="9"/>
  <c r="V943" i="9"/>
  <c r="U943" i="9"/>
  <c r="U958" i="9"/>
  <c r="V958" i="9" s="1"/>
  <c r="U1211" i="9"/>
  <c r="V1211" i="9" s="1"/>
  <c r="T1247" i="9"/>
  <c r="N1247" i="9"/>
  <c r="O1247" i="9" s="1"/>
  <c r="M1247" i="9"/>
  <c r="P1247" i="9"/>
  <c r="U1265" i="9"/>
  <c r="V1265" i="9" s="1"/>
  <c r="U1306" i="9"/>
  <c r="V1306" i="9" s="1"/>
  <c r="U1322" i="9"/>
  <c r="V1322" i="9" s="1"/>
  <c r="U1335" i="9"/>
  <c r="V1335" i="9" s="1"/>
  <c r="U1419" i="9"/>
  <c r="V1419" i="9" s="1"/>
  <c r="T1446" i="9"/>
  <c r="N1446" i="9"/>
  <c r="O1446" i="9" s="1"/>
  <c r="M1446" i="9"/>
  <c r="P1446" i="9"/>
  <c r="V1457" i="9"/>
  <c r="U1457" i="9"/>
  <c r="U1930" i="9"/>
  <c r="V1930" i="9" s="1"/>
  <c r="U1943" i="9"/>
  <c r="V1943" i="9" s="1"/>
  <c r="U2024" i="9"/>
  <c r="V2024" i="9" s="1"/>
  <c r="U2025" i="9"/>
  <c r="V2025" i="9" s="1"/>
  <c r="T2214" i="9"/>
  <c r="N2214" i="9"/>
  <c r="O2214" i="9" s="1"/>
  <c r="M2214" i="9"/>
  <c r="P2214" i="9"/>
  <c r="U2263" i="9"/>
  <c r="V2263" i="9" s="1"/>
  <c r="U3" i="9"/>
  <c r="V3" i="9" s="1"/>
  <c r="M4" i="9"/>
  <c r="U6" i="9"/>
  <c r="V6" i="9" s="1"/>
  <c r="M7" i="9"/>
  <c r="N9" i="9"/>
  <c r="O9" i="9" s="1"/>
  <c r="T9" i="9"/>
  <c r="N11" i="9"/>
  <c r="O11" i="9" s="1"/>
  <c r="T11" i="9"/>
  <c r="U13" i="9"/>
  <c r="V13" i="9" s="1"/>
  <c r="M14" i="9"/>
  <c r="N16" i="9"/>
  <c r="O16" i="9" s="1"/>
  <c r="T16" i="9"/>
  <c r="U19" i="9"/>
  <c r="V19" i="9" s="1"/>
  <c r="M20" i="9"/>
  <c r="U21" i="9"/>
  <c r="V21" i="9" s="1"/>
  <c r="M22" i="9"/>
  <c r="U23" i="9"/>
  <c r="V23" i="9" s="1"/>
  <c r="U26" i="9"/>
  <c r="U30" i="9"/>
  <c r="V30" i="9" s="1"/>
  <c r="M31" i="9"/>
  <c r="U32" i="9"/>
  <c r="V32" i="9" s="1"/>
  <c r="U35" i="9"/>
  <c r="V35" i="9" s="1"/>
  <c r="M36" i="9"/>
  <c r="N38" i="9"/>
  <c r="O38" i="9" s="1"/>
  <c r="T38" i="9"/>
  <c r="U40" i="9"/>
  <c r="V40" i="9" s="1"/>
  <c r="U43" i="9"/>
  <c r="V43" i="9" s="1"/>
  <c r="N46" i="9"/>
  <c r="O46" i="9" s="1"/>
  <c r="T46" i="9"/>
  <c r="N48" i="9"/>
  <c r="O48" i="9" s="1"/>
  <c r="T48" i="9"/>
  <c r="N50" i="9"/>
  <c r="O50" i="9" s="1"/>
  <c r="T50" i="9"/>
  <c r="U53" i="9"/>
  <c r="V53" i="9" s="1"/>
  <c r="U57" i="9"/>
  <c r="V57" i="9" s="1"/>
  <c r="U60" i="9"/>
  <c r="V60" i="9" s="1"/>
  <c r="U64" i="9"/>
  <c r="V64" i="9" s="1"/>
  <c r="N68" i="9"/>
  <c r="O68" i="9" s="1"/>
  <c r="T68" i="9"/>
  <c r="U71" i="9"/>
  <c r="V71" i="9" s="1"/>
  <c r="U74" i="9"/>
  <c r="V74" i="9" s="1"/>
  <c r="M75" i="9"/>
  <c r="U77" i="9"/>
  <c r="V77" i="9" s="1"/>
  <c r="U80" i="9"/>
  <c r="V80" i="9" s="1"/>
  <c r="M81" i="9"/>
  <c r="U82" i="9"/>
  <c r="V82" i="9" s="1"/>
  <c r="U86" i="9"/>
  <c r="V86" i="9" s="1"/>
  <c r="M87" i="9"/>
  <c r="U89" i="9"/>
  <c r="V89" i="9" s="1"/>
  <c r="U93" i="9"/>
  <c r="V93" i="9" s="1"/>
  <c r="M94" i="9"/>
  <c r="U96" i="9"/>
  <c r="U99" i="9"/>
  <c r="V99" i="9" s="1"/>
  <c r="U103" i="9"/>
  <c r="M104" i="9"/>
  <c r="U106" i="9"/>
  <c r="V106" i="9" s="1"/>
  <c r="N110" i="9"/>
  <c r="O110" i="9" s="1"/>
  <c r="T110" i="9"/>
  <c r="U113" i="9"/>
  <c r="V113" i="9" s="1"/>
  <c r="U117" i="9"/>
  <c r="V117" i="9" s="1"/>
  <c r="M118" i="9"/>
  <c r="U120" i="9"/>
  <c r="N124" i="9"/>
  <c r="O124" i="9" s="1"/>
  <c r="T124" i="9"/>
  <c r="N127" i="9"/>
  <c r="O127" i="9" s="1"/>
  <c r="T127" i="9"/>
  <c r="U129" i="9"/>
  <c r="V129" i="9" s="1"/>
  <c r="M130" i="9"/>
  <c r="U131" i="9"/>
  <c r="V131" i="9" s="1"/>
  <c r="M132" i="9"/>
  <c r="U133" i="9"/>
  <c r="V133" i="9" s="1"/>
  <c r="M134" i="9"/>
  <c r="U135" i="9"/>
  <c r="V135" i="9" s="1"/>
  <c r="M136" i="9"/>
  <c r="U137" i="9"/>
  <c r="V137" i="9" s="1"/>
  <c r="M138" i="9"/>
  <c r="U139" i="9"/>
  <c r="V139" i="9" s="1"/>
  <c r="M140" i="9"/>
  <c r="U141" i="9"/>
  <c r="V141" i="9" s="1"/>
  <c r="M142" i="9"/>
  <c r="M144" i="9"/>
  <c r="U145" i="9"/>
  <c r="V145" i="9" s="1"/>
  <c r="U148" i="9"/>
  <c r="V148" i="9" s="1"/>
  <c r="M149" i="9"/>
  <c r="U153" i="9"/>
  <c r="V153" i="9" s="1"/>
  <c r="U157" i="9"/>
  <c r="V157" i="9" s="1"/>
  <c r="M158" i="9"/>
  <c r="U159" i="9"/>
  <c r="V159" i="9" s="1"/>
  <c r="M160" i="9"/>
  <c r="N162" i="9"/>
  <c r="O162" i="9" s="1"/>
  <c r="T162" i="9"/>
  <c r="N164" i="9"/>
  <c r="O164" i="9" s="1"/>
  <c r="T164" i="9"/>
  <c r="N166" i="9"/>
  <c r="O166" i="9" s="1"/>
  <c r="T166" i="9"/>
  <c r="N168" i="9"/>
  <c r="O168" i="9" s="1"/>
  <c r="T168" i="9"/>
  <c r="U170" i="9"/>
  <c r="M171" i="9"/>
  <c r="U172" i="9"/>
  <c r="V172" i="9" s="1"/>
  <c r="N175" i="9"/>
  <c r="O175" i="9" s="1"/>
  <c r="T175" i="9"/>
  <c r="N177" i="9"/>
  <c r="O177" i="9" s="1"/>
  <c r="T177" i="9"/>
  <c r="N179" i="9"/>
  <c r="O179" i="9" s="1"/>
  <c r="T179" i="9"/>
  <c r="U181" i="9"/>
  <c r="V181" i="9" s="1"/>
  <c r="U184" i="9"/>
  <c r="U188" i="9"/>
  <c r="V188" i="9" s="1"/>
  <c r="N192" i="9"/>
  <c r="O192" i="9" s="1"/>
  <c r="T192" i="9"/>
  <c r="N194" i="9"/>
  <c r="O194" i="9" s="1"/>
  <c r="T194" i="9"/>
  <c r="U197" i="9"/>
  <c r="V197" i="9" s="1"/>
  <c r="U201" i="9"/>
  <c r="V201" i="9" s="1"/>
  <c r="U204" i="9"/>
  <c r="V204" i="9" s="1"/>
  <c r="N208" i="9"/>
  <c r="O208" i="9" s="1"/>
  <c r="T208" i="9"/>
  <c r="U211" i="9"/>
  <c r="V211" i="9" s="1"/>
  <c r="N215" i="9"/>
  <c r="O215" i="9" s="1"/>
  <c r="T215" i="9"/>
  <c r="U218" i="9"/>
  <c r="V218" i="9" s="1"/>
  <c r="U222" i="9"/>
  <c r="V222" i="9" s="1"/>
  <c r="U226" i="9"/>
  <c r="V226" i="9" s="1"/>
  <c r="U230" i="9"/>
  <c r="V230" i="9" s="1"/>
  <c r="U234" i="9"/>
  <c r="V234" i="9" s="1"/>
  <c r="N238" i="9"/>
  <c r="O238" i="9" s="1"/>
  <c r="T238" i="9"/>
  <c r="U240" i="9"/>
  <c r="V240" i="9" s="1"/>
  <c r="N244" i="9"/>
  <c r="O244" i="9" s="1"/>
  <c r="T244" i="9"/>
  <c r="U247" i="9"/>
  <c r="M248" i="9"/>
  <c r="U250" i="9"/>
  <c r="V250" i="9" s="1"/>
  <c r="U254" i="9"/>
  <c r="V254" i="9" s="1"/>
  <c r="M255" i="9"/>
  <c r="N257" i="9"/>
  <c r="O257" i="9" s="1"/>
  <c r="T257" i="9"/>
  <c r="U259" i="9"/>
  <c r="V259" i="9" s="1"/>
  <c r="M260" i="9"/>
  <c r="N262" i="9"/>
  <c r="O262" i="9" s="1"/>
  <c r="T262" i="9"/>
  <c r="U265" i="9"/>
  <c r="V265" i="9" s="1"/>
  <c r="U269" i="9"/>
  <c r="V269" i="9" s="1"/>
  <c r="U273" i="9"/>
  <c r="M274" i="9"/>
  <c r="M276" i="9"/>
  <c r="U277" i="9"/>
  <c r="V277" i="9" s="1"/>
  <c r="M278" i="9"/>
  <c r="N280" i="9"/>
  <c r="O280" i="9" s="1"/>
  <c r="T280" i="9"/>
  <c r="U282" i="9"/>
  <c r="V282" i="9" s="1"/>
  <c r="U285" i="9"/>
  <c r="V285" i="9" s="1"/>
  <c r="M286" i="9"/>
  <c r="U288" i="9"/>
  <c r="V288" i="9" s="1"/>
  <c r="M289" i="9"/>
  <c r="U291" i="9"/>
  <c r="V291" i="9" s="1"/>
  <c r="U294" i="9"/>
  <c r="V294" i="9" s="1"/>
  <c r="M295" i="9"/>
  <c r="U296" i="9"/>
  <c r="V296" i="9" s="1"/>
  <c r="N300" i="9"/>
  <c r="O300" i="9" s="1"/>
  <c r="T300" i="9"/>
  <c r="U303" i="9"/>
  <c r="V303" i="9" s="1"/>
  <c r="U310" i="9"/>
  <c r="V310" i="9" s="1"/>
  <c r="U313" i="9"/>
  <c r="V313" i="9" s="1"/>
  <c r="N317" i="9"/>
  <c r="O317" i="9" s="1"/>
  <c r="T317" i="9"/>
  <c r="U320" i="9"/>
  <c r="M321" i="9"/>
  <c r="U323" i="9"/>
  <c r="V323" i="9" s="1"/>
  <c r="U327" i="9"/>
  <c r="V327" i="9" s="1"/>
  <c r="M328" i="9"/>
  <c r="U329" i="9"/>
  <c r="V329" i="9" s="1"/>
  <c r="M330" i="9"/>
  <c r="U331" i="9"/>
  <c r="V331" i="9" s="1"/>
  <c r="U335" i="9"/>
  <c r="V335" i="9" s="1"/>
  <c r="U338" i="9"/>
  <c r="V338" i="9" s="1"/>
  <c r="N342" i="9"/>
  <c r="O342" i="9" s="1"/>
  <c r="T342" i="9"/>
  <c r="N344" i="9"/>
  <c r="O344" i="9" s="1"/>
  <c r="T344" i="9"/>
  <c r="T349" i="9"/>
  <c r="N349" i="9"/>
  <c r="O349" i="9" s="1"/>
  <c r="M349" i="9"/>
  <c r="V350" i="9"/>
  <c r="U354" i="9"/>
  <c r="V354" i="9" s="1"/>
  <c r="T362" i="9"/>
  <c r="N362" i="9"/>
  <c r="O362" i="9" s="1"/>
  <c r="M362" i="9"/>
  <c r="U365" i="9"/>
  <c r="V365" i="9" s="1"/>
  <c r="T371" i="9"/>
  <c r="N371" i="9"/>
  <c r="O371" i="9" s="1"/>
  <c r="M371" i="9"/>
  <c r="U374" i="9"/>
  <c r="V374" i="9" s="1"/>
  <c r="T379" i="9"/>
  <c r="N379" i="9"/>
  <c r="O379" i="9" s="1"/>
  <c r="M379" i="9"/>
  <c r="V380" i="9"/>
  <c r="T384" i="9"/>
  <c r="N384" i="9"/>
  <c r="O384" i="9" s="1"/>
  <c r="V386" i="9"/>
  <c r="M393" i="9"/>
  <c r="U395" i="9"/>
  <c r="V395" i="9" s="1"/>
  <c r="V402" i="9"/>
  <c r="U406" i="9"/>
  <c r="V406" i="9" s="1"/>
  <c r="V408" i="9"/>
  <c r="U412" i="9"/>
  <c r="V412" i="9" s="1"/>
  <c r="V414" i="9"/>
  <c r="V419" i="9"/>
  <c r="U419" i="9"/>
  <c r="V421" i="9"/>
  <c r="T430" i="9"/>
  <c r="N430" i="9"/>
  <c r="O430" i="9" s="1"/>
  <c r="M430" i="9"/>
  <c r="V435" i="9"/>
  <c r="U435" i="9"/>
  <c r="U444" i="9"/>
  <c r="V444" i="9" s="1"/>
  <c r="V446" i="9"/>
  <c r="V448" i="9"/>
  <c r="T452" i="9"/>
  <c r="N452" i="9"/>
  <c r="O452" i="9" s="1"/>
  <c r="M452" i="9"/>
  <c r="P454" i="9"/>
  <c r="V458" i="9"/>
  <c r="U458" i="9"/>
  <c r="V462" i="9"/>
  <c r="U462" i="9"/>
  <c r="U466" i="9"/>
  <c r="V466" i="9" s="1"/>
  <c r="U470" i="9"/>
  <c r="V470" i="9" s="1"/>
  <c r="V474" i="9"/>
  <c r="U474" i="9"/>
  <c r="U482" i="9"/>
  <c r="V482" i="9" s="1"/>
  <c r="V497" i="9"/>
  <c r="U502" i="9"/>
  <c r="V502" i="9" s="1"/>
  <c r="T511" i="9"/>
  <c r="N511" i="9"/>
  <c r="O511" i="9" s="1"/>
  <c r="M511" i="9"/>
  <c r="V519" i="9"/>
  <c r="U524" i="9"/>
  <c r="V524" i="9" s="1"/>
  <c r="U530" i="9"/>
  <c r="V530" i="9" s="1"/>
  <c r="V532" i="9"/>
  <c r="T536" i="9"/>
  <c r="N536" i="9"/>
  <c r="O536" i="9" s="1"/>
  <c r="M536" i="9"/>
  <c r="P538" i="9"/>
  <c r="V541" i="9"/>
  <c r="V547" i="9"/>
  <c r="U552" i="9"/>
  <c r="V552" i="9" s="1"/>
  <c r="P561" i="9"/>
  <c r="U562" i="9"/>
  <c r="V562" i="9" s="1"/>
  <c r="U572" i="9"/>
  <c r="V572" i="9" s="1"/>
  <c r="U585" i="9"/>
  <c r="V585" i="9" s="1"/>
  <c r="U595" i="9"/>
  <c r="V595" i="9" s="1"/>
  <c r="V608" i="9"/>
  <c r="U613" i="9"/>
  <c r="V613" i="9" s="1"/>
  <c r="T622" i="9"/>
  <c r="N622" i="9"/>
  <c r="O622" i="9" s="1"/>
  <c r="M622" i="9"/>
  <c r="V636" i="9"/>
  <c r="V643" i="9"/>
  <c r="T648" i="9"/>
  <c r="N648" i="9"/>
  <c r="O648" i="9" s="1"/>
  <c r="M648" i="9"/>
  <c r="V652" i="9"/>
  <c r="U652" i="9"/>
  <c r="T657" i="9"/>
  <c r="N657" i="9"/>
  <c r="O657" i="9" s="1"/>
  <c r="M657" i="9"/>
  <c r="U662" i="9"/>
  <c r="V662" i="9" s="1"/>
  <c r="V672" i="9"/>
  <c r="V679" i="9"/>
  <c r="U683" i="9"/>
  <c r="V683" i="9" s="1"/>
  <c r="V707" i="9"/>
  <c r="U711" i="9"/>
  <c r="V711" i="9" s="1"/>
  <c r="V721" i="9"/>
  <c r="T733" i="9"/>
  <c r="N733" i="9"/>
  <c r="O733" i="9" s="1"/>
  <c r="M733" i="9"/>
  <c r="V741" i="9"/>
  <c r="T762" i="9"/>
  <c r="N762" i="9"/>
  <c r="O762" i="9" s="1"/>
  <c r="M762" i="9"/>
  <c r="P771" i="9"/>
  <c r="U772" i="9"/>
  <c r="V772" i="9" s="1"/>
  <c r="V774" i="9"/>
  <c r="V781" i="9"/>
  <c r="U786" i="9"/>
  <c r="V786" i="9" s="1"/>
  <c r="U792" i="9"/>
  <c r="V792" i="9" s="1"/>
  <c r="V794" i="9"/>
  <c r="V799" i="9"/>
  <c r="U799" i="9"/>
  <c r="V805" i="9"/>
  <c r="U805" i="9"/>
  <c r="V807" i="9"/>
  <c r="T816" i="9"/>
  <c r="N816" i="9"/>
  <c r="O816" i="9" s="1"/>
  <c r="M816" i="9"/>
  <c r="V820" i="9"/>
  <c r="U820" i="9"/>
  <c r="U833" i="9"/>
  <c r="V833" i="9" s="1"/>
  <c r="V844" i="9"/>
  <c r="U849" i="9"/>
  <c r="V849" i="9" s="1"/>
  <c r="V859" i="9"/>
  <c r="V865" i="9"/>
  <c r="U870" i="9"/>
  <c r="V870" i="9" s="1"/>
  <c r="T878" i="9"/>
  <c r="N878" i="9"/>
  <c r="O878" i="9" s="1"/>
  <c r="M878" i="9"/>
  <c r="V887" i="9"/>
  <c r="U892" i="9"/>
  <c r="V892" i="9" s="1"/>
  <c r="U1007" i="9"/>
  <c r="V1007" i="9" s="1"/>
  <c r="U1054" i="9"/>
  <c r="V1054" i="9" s="1"/>
  <c r="U1090" i="9"/>
  <c r="V1090" i="9" s="1"/>
  <c r="U1129" i="9"/>
  <c r="V1129" i="9" s="1"/>
  <c r="T1192" i="9"/>
  <c r="N1192" i="9"/>
  <c r="O1192" i="9" s="1"/>
  <c r="M1192" i="9"/>
  <c r="P1192" i="9"/>
  <c r="T1251" i="9"/>
  <c r="N1251" i="9"/>
  <c r="O1251" i="9" s="1"/>
  <c r="M1251" i="9"/>
  <c r="P1251" i="9"/>
  <c r="U1409" i="9"/>
  <c r="V1409" i="9" s="1"/>
  <c r="U1411" i="9"/>
  <c r="V1411" i="9" s="1"/>
  <c r="P14" i="9"/>
  <c r="P22" i="9"/>
  <c r="P81" i="9"/>
  <c r="P87" i="9"/>
  <c r="P94" i="9"/>
  <c r="P130" i="9"/>
  <c r="P134" i="9"/>
  <c r="P149" i="9"/>
  <c r="P260" i="9"/>
  <c r="P278" i="9"/>
  <c r="P286" i="9"/>
  <c r="P295" i="9"/>
  <c r="T346" i="9"/>
  <c r="N346" i="9"/>
  <c r="O346" i="9" s="1"/>
  <c r="M346" i="9"/>
  <c r="V360" i="9"/>
  <c r="T368" i="9"/>
  <c r="N368" i="9"/>
  <c r="O368" i="9" s="1"/>
  <c r="M368" i="9"/>
  <c r="U372" i="9"/>
  <c r="V372" i="9" s="1"/>
  <c r="U422" i="9"/>
  <c r="V422" i="9" s="1"/>
  <c r="T433" i="9"/>
  <c r="N433" i="9"/>
  <c r="O433" i="9" s="1"/>
  <c r="M433" i="9"/>
  <c r="T440" i="9"/>
  <c r="N440" i="9"/>
  <c r="O440" i="9" s="1"/>
  <c r="M440" i="9"/>
  <c r="V484" i="9"/>
  <c r="U484" i="9"/>
  <c r="T556" i="9"/>
  <c r="N556" i="9"/>
  <c r="O556" i="9" s="1"/>
  <c r="M556" i="9"/>
  <c r="T577" i="9"/>
  <c r="N577" i="9"/>
  <c r="O577" i="9" s="1"/>
  <c r="M577" i="9"/>
  <c r="T589" i="9"/>
  <c r="N589" i="9"/>
  <c r="O589" i="9" s="1"/>
  <c r="M589" i="9"/>
  <c r="T594" i="9"/>
  <c r="N594" i="9"/>
  <c r="O594" i="9" s="1"/>
  <c r="M594" i="9"/>
  <c r="U609" i="9"/>
  <c r="V609" i="9" s="1"/>
  <c r="U673" i="9"/>
  <c r="V673" i="9" s="1"/>
  <c r="U746" i="9"/>
  <c r="V746" i="9" s="1"/>
  <c r="U782" i="9"/>
  <c r="V782" i="9" s="1"/>
  <c r="U845" i="9"/>
  <c r="V845" i="9" s="1"/>
  <c r="U976" i="9"/>
  <c r="V976" i="9" s="1"/>
  <c r="U1000" i="9"/>
  <c r="V1000" i="9" s="1"/>
  <c r="U1050" i="9"/>
  <c r="V1050" i="9" s="1"/>
  <c r="U1101" i="9"/>
  <c r="V1101" i="9" s="1"/>
  <c r="N4" i="9"/>
  <c r="O4" i="9" s="1"/>
  <c r="T7" i="9"/>
  <c r="P13" i="9"/>
  <c r="N14" i="9"/>
  <c r="O14" i="9" s="1"/>
  <c r="N20" i="9"/>
  <c r="O20" i="9" s="1"/>
  <c r="T22" i="9"/>
  <c r="N31" i="9"/>
  <c r="O31" i="9" s="1"/>
  <c r="T36" i="9"/>
  <c r="P74" i="9"/>
  <c r="N75" i="9"/>
  <c r="O75" i="9" s="1"/>
  <c r="T81" i="9"/>
  <c r="P82" i="9"/>
  <c r="N87" i="9"/>
  <c r="O87" i="9" s="1"/>
  <c r="N94" i="9"/>
  <c r="O94" i="9" s="1"/>
  <c r="P99" i="9"/>
  <c r="N104" i="9"/>
  <c r="O104" i="9" s="1"/>
  <c r="T104" i="9"/>
  <c r="N118" i="9"/>
  <c r="O118" i="9" s="1"/>
  <c r="T118" i="9"/>
  <c r="P129" i="9"/>
  <c r="N130" i="9"/>
  <c r="O130" i="9" s="1"/>
  <c r="P131" i="9"/>
  <c r="N132" i="9"/>
  <c r="O132" i="9" s="1"/>
  <c r="P133" i="9"/>
  <c r="N134" i="9"/>
  <c r="O134" i="9" s="1"/>
  <c r="P135" i="9"/>
  <c r="N136" i="9"/>
  <c r="O136" i="9" s="1"/>
  <c r="P137" i="9"/>
  <c r="N138" i="9"/>
  <c r="O138" i="9" s="1"/>
  <c r="T138" i="9"/>
  <c r="P139" i="9"/>
  <c r="N140" i="9"/>
  <c r="O140" i="9" s="1"/>
  <c r="P141" i="9"/>
  <c r="N142" i="9"/>
  <c r="O142" i="9" s="1"/>
  <c r="T142" i="9"/>
  <c r="P143" i="9"/>
  <c r="N144" i="9"/>
  <c r="O144" i="9" s="1"/>
  <c r="P145" i="9"/>
  <c r="P148" i="9"/>
  <c r="N149" i="9"/>
  <c r="O149" i="9" s="1"/>
  <c r="P150" i="9"/>
  <c r="N158" i="9"/>
  <c r="O158" i="9" s="1"/>
  <c r="P159" i="9"/>
  <c r="N160" i="9"/>
  <c r="O160" i="9" s="1"/>
  <c r="N171" i="9"/>
  <c r="O171" i="9" s="1"/>
  <c r="T171" i="9"/>
  <c r="P172" i="9"/>
  <c r="N248" i="9"/>
  <c r="O248" i="9" s="1"/>
  <c r="T248" i="9"/>
  <c r="N255" i="9"/>
  <c r="O255" i="9" s="1"/>
  <c r="P259" i="9"/>
  <c r="N260" i="9"/>
  <c r="O260" i="9" s="1"/>
  <c r="N274" i="9"/>
  <c r="O274" i="9" s="1"/>
  <c r="T274" i="9"/>
  <c r="P275" i="9"/>
  <c r="N276" i="9"/>
  <c r="O276" i="9" s="1"/>
  <c r="T276" i="9"/>
  <c r="P277" i="9"/>
  <c r="N278" i="9"/>
  <c r="O278" i="9" s="1"/>
  <c r="P282" i="9"/>
  <c r="N286" i="9"/>
  <c r="O286" i="9" s="1"/>
  <c r="N289" i="9"/>
  <c r="O289" i="9" s="1"/>
  <c r="T289" i="9"/>
  <c r="P294" i="9"/>
  <c r="N295" i="9"/>
  <c r="O295" i="9" s="1"/>
  <c r="P296" i="9"/>
  <c r="P306" i="9"/>
  <c r="N321" i="9"/>
  <c r="O321" i="9" s="1"/>
  <c r="T321" i="9"/>
  <c r="N328" i="9"/>
  <c r="O328" i="9" s="1"/>
  <c r="P329" i="9"/>
  <c r="N330" i="9"/>
  <c r="O330" i="9" s="1"/>
  <c r="P331" i="9"/>
  <c r="U345" i="9"/>
  <c r="V345" i="9" s="1"/>
  <c r="P346" i="9"/>
  <c r="T352" i="9"/>
  <c r="N352" i="9"/>
  <c r="O352" i="9" s="1"/>
  <c r="M352" i="9"/>
  <c r="U356" i="9"/>
  <c r="V356" i="9" s="1"/>
  <c r="T364" i="9"/>
  <c r="N364" i="9"/>
  <c r="O364" i="9" s="1"/>
  <c r="M364" i="9"/>
  <c r="U367" i="9"/>
  <c r="V367" i="9" s="1"/>
  <c r="P368" i="9"/>
  <c r="T373" i="9"/>
  <c r="N373" i="9"/>
  <c r="O373" i="9" s="1"/>
  <c r="M373" i="9"/>
  <c r="U376" i="9"/>
  <c r="V376" i="9" s="1"/>
  <c r="P377" i="9"/>
  <c r="T382" i="9"/>
  <c r="N382" i="9"/>
  <c r="O382" i="9" s="1"/>
  <c r="M382" i="9"/>
  <c r="T391" i="9"/>
  <c r="N391" i="9"/>
  <c r="O391" i="9" s="1"/>
  <c r="P393" i="9"/>
  <c r="U399" i="9"/>
  <c r="V399" i="9" s="1"/>
  <c r="T404" i="9"/>
  <c r="N404" i="9"/>
  <c r="O404" i="9" s="1"/>
  <c r="M404" i="9"/>
  <c r="U432" i="9"/>
  <c r="V432" i="9" s="1"/>
  <c r="U439" i="9"/>
  <c r="V439" i="9" s="1"/>
  <c r="T450" i="9"/>
  <c r="N450" i="9"/>
  <c r="O450" i="9" s="1"/>
  <c r="M450" i="9"/>
  <c r="U453" i="9"/>
  <c r="V453" i="9" s="1"/>
  <c r="V506" i="9"/>
  <c r="U506" i="9"/>
  <c r="U528" i="9"/>
  <c r="V528" i="9" s="1"/>
  <c r="T534" i="9"/>
  <c r="N534" i="9"/>
  <c r="O534" i="9" s="1"/>
  <c r="M534" i="9"/>
  <c r="U537" i="9"/>
  <c r="V537" i="9" s="1"/>
  <c r="T565" i="9"/>
  <c r="N565" i="9"/>
  <c r="O565" i="9" s="1"/>
  <c r="M565" i="9"/>
  <c r="V569" i="9"/>
  <c r="U569" i="9"/>
  <c r="U576" i="9"/>
  <c r="V576" i="9" s="1"/>
  <c r="U582" i="9"/>
  <c r="V582" i="9" s="1"/>
  <c r="U588" i="9"/>
  <c r="V588" i="9" s="1"/>
  <c r="U593" i="9"/>
  <c r="V593" i="9" s="1"/>
  <c r="T598" i="9"/>
  <c r="N598" i="9"/>
  <c r="O598" i="9" s="1"/>
  <c r="M598" i="9"/>
  <c r="U617" i="9"/>
  <c r="V617" i="9" s="1"/>
  <c r="U624" i="9"/>
  <c r="V624" i="9" s="1"/>
  <c r="U630" i="9"/>
  <c r="V630" i="9" s="1"/>
  <c r="U650" i="9"/>
  <c r="V650" i="9" s="1"/>
  <c r="T655" i="9"/>
  <c r="N655" i="9"/>
  <c r="O655" i="9" s="1"/>
  <c r="M655" i="9"/>
  <c r="U659" i="9"/>
  <c r="V659" i="9" s="1"/>
  <c r="U665" i="9"/>
  <c r="V665" i="9" s="1"/>
  <c r="T674" i="9"/>
  <c r="N674" i="9"/>
  <c r="O674" i="9" s="1"/>
  <c r="M674" i="9"/>
  <c r="U686" i="9"/>
  <c r="V686" i="9" s="1"/>
  <c r="U693" i="9"/>
  <c r="V693" i="9" s="1"/>
  <c r="U700" i="9"/>
  <c r="V700" i="9" s="1"/>
  <c r="U715" i="9"/>
  <c r="V715" i="9" s="1"/>
  <c r="U728" i="9"/>
  <c r="V728" i="9" s="1"/>
  <c r="U734" i="9"/>
  <c r="V734" i="9" s="1"/>
  <c r="T747" i="9"/>
  <c r="N747" i="9"/>
  <c r="O747" i="9" s="1"/>
  <c r="M747" i="9"/>
  <c r="V763" i="9"/>
  <c r="U763" i="9"/>
  <c r="U770" i="9"/>
  <c r="V770" i="9" s="1"/>
  <c r="T814" i="9"/>
  <c r="N814" i="9"/>
  <c r="O814" i="9" s="1"/>
  <c r="M814" i="9"/>
  <c r="U817" i="9"/>
  <c r="V817" i="9" s="1"/>
  <c r="U824" i="9"/>
  <c r="V824" i="9" s="1"/>
  <c r="U830" i="9"/>
  <c r="V830" i="9" s="1"/>
  <c r="U837" i="9"/>
  <c r="V837" i="9" s="1"/>
  <c r="U873" i="9"/>
  <c r="V873" i="9" s="1"/>
  <c r="U880" i="9"/>
  <c r="V880" i="9" s="1"/>
  <c r="T900" i="9"/>
  <c r="N900" i="9"/>
  <c r="O900" i="9" s="1"/>
  <c r="M900" i="9"/>
  <c r="P900" i="9"/>
  <c r="U901" i="9"/>
  <c r="V901" i="9" s="1"/>
  <c r="U904" i="9"/>
  <c r="V904" i="9" s="1"/>
  <c r="U910" i="9"/>
  <c r="V910" i="9" s="1"/>
  <c r="U928" i="9"/>
  <c r="V928" i="9" s="1"/>
  <c r="U936" i="9"/>
  <c r="V936" i="9" s="1"/>
  <c r="T970" i="9"/>
  <c r="N970" i="9"/>
  <c r="O970" i="9" s="1"/>
  <c r="M970" i="9"/>
  <c r="P970" i="9"/>
  <c r="U971" i="9"/>
  <c r="V971" i="9" s="1"/>
  <c r="V992" i="9"/>
  <c r="U992" i="9"/>
  <c r="V1038" i="9"/>
  <c r="U1108" i="9"/>
  <c r="V1108" i="9" s="1"/>
  <c r="U1240" i="9"/>
  <c r="V1240" i="9" s="1"/>
  <c r="U1242" i="9"/>
  <c r="V1242" i="9" s="1"/>
  <c r="U1248" i="9"/>
  <c r="V1248" i="9" s="1"/>
  <c r="U1269" i="9"/>
  <c r="V1269" i="9" s="1"/>
  <c r="T1298" i="9"/>
  <c r="N1298" i="9"/>
  <c r="O1298" i="9" s="1"/>
  <c r="M1298" i="9"/>
  <c r="P1298" i="9"/>
  <c r="U1600" i="9"/>
  <c r="V1600" i="9" s="1"/>
  <c r="U1641" i="9"/>
  <c r="V1641" i="9" s="1"/>
  <c r="U1650" i="9"/>
  <c r="V1650" i="9" s="1"/>
  <c r="T1681" i="9"/>
  <c r="N1681" i="9"/>
  <c r="O1681" i="9" s="1"/>
  <c r="P1681" i="9"/>
  <c r="M1681" i="9"/>
  <c r="U1687" i="9"/>
  <c r="V1687" i="9" s="1"/>
  <c r="P20" i="9"/>
  <c r="P36" i="9"/>
  <c r="P75" i="9"/>
  <c r="V347" i="9"/>
  <c r="U351" i="9"/>
  <c r="V351" i="9" s="1"/>
  <c r="T357" i="9"/>
  <c r="N357" i="9"/>
  <c r="O357" i="9" s="1"/>
  <c r="M357" i="9"/>
  <c r="V369" i="9"/>
  <c r="V381" i="9"/>
  <c r="U381" i="9"/>
  <c r="V387" i="9"/>
  <c r="U387" i="9"/>
  <c r="U403" i="9"/>
  <c r="V403" i="9" s="1"/>
  <c r="U415" i="9"/>
  <c r="V415" i="9" s="1"/>
  <c r="V498" i="9"/>
  <c r="U498" i="9"/>
  <c r="T529" i="9"/>
  <c r="N529" i="9"/>
  <c r="O529" i="9" s="1"/>
  <c r="M529" i="9"/>
  <c r="U542" i="9"/>
  <c r="V542" i="9" s="1"/>
  <c r="T570" i="9"/>
  <c r="N570" i="9"/>
  <c r="O570" i="9" s="1"/>
  <c r="M570" i="9"/>
  <c r="T583" i="9"/>
  <c r="N583" i="9"/>
  <c r="O583" i="9" s="1"/>
  <c r="M583" i="9"/>
  <c r="U637" i="9"/>
  <c r="V637" i="9" s="1"/>
  <c r="T651" i="9"/>
  <c r="N651" i="9"/>
  <c r="O651" i="9" s="1"/>
  <c r="M651" i="9"/>
  <c r="V654" i="9"/>
  <c r="U654" i="9"/>
  <c r="V808" i="9"/>
  <c r="U808" i="9"/>
  <c r="U813" i="9"/>
  <c r="V813" i="9" s="1"/>
  <c r="T818" i="9"/>
  <c r="N818" i="9"/>
  <c r="O818" i="9" s="1"/>
  <c r="M818" i="9"/>
  <c r="T831" i="9"/>
  <c r="N831" i="9"/>
  <c r="O831" i="9" s="1"/>
  <c r="M831" i="9"/>
  <c r="V965" i="9"/>
  <c r="U965" i="9"/>
  <c r="V998" i="9"/>
  <c r="U998" i="9"/>
  <c r="U1060" i="9"/>
  <c r="V1060" i="9" s="1"/>
  <c r="P21" i="9"/>
  <c r="P23" i="9"/>
  <c r="P32" i="9"/>
  <c r="P80" i="9"/>
  <c r="U348" i="9"/>
  <c r="V348" i="9" s="1"/>
  <c r="U353" i="9"/>
  <c r="V353" i="9" s="1"/>
  <c r="T355" i="9"/>
  <c r="N355" i="9"/>
  <c r="O355" i="9" s="1"/>
  <c r="M355" i="9"/>
  <c r="U358" i="9"/>
  <c r="V358" i="9" s="1"/>
  <c r="U361" i="9"/>
  <c r="V361" i="9" s="1"/>
  <c r="T366" i="9"/>
  <c r="N366" i="9"/>
  <c r="O366" i="9" s="1"/>
  <c r="M366" i="9"/>
  <c r="U370" i="9"/>
  <c r="V370" i="9" s="1"/>
  <c r="T375" i="9"/>
  <c r="N375" i="9"/>
  <c r="O375" i="9" s="1"/>
  <c r="M375" i="9"/>
  <c r="U383" i="9"/>
  <c r="V383" i="9" s="1"/>
  <c r="V390" i="9"/>
  <c r="M391" i="9"/>
  <c r="U396" i="9"/>
  <c r="V396" i="9" s="1"/>
  <c r="V398" i="9"/>
  <c r="U405" i="9"/>
  <c r="V405" i="9" s="1"/>
  <c r="T407" i="9"/>
  <c r="N407" i="9"/>
  <c r="O407" i="9" s="1"/>
  <c r="M407" i="9"/>
  <c r="T413" i="9"/>
  <c r="N413" i="9"/>
  <c r="O413" i="9" s="1"/>
  <c r="M413" i="9"/>
  <c r="U426" i="9"/>
  <c r="V426" i="9" s="1"/>
  <c r="U429" i="9"/>
  <c r="V429" i="9" s="1"/>
  <c r="V431" i="9"/>
  <c r="V438" i="9"/>
  <c r="P450" i="9"/>
  <c r="U451" i="9"/>
  <c r="V451" i="9" s="1"/>
  <c r="T483" i="9"/>
  <c r="N483" i="9"/>
  <c r="O483" i="9" s="1"/>
  <c r="M483" i="9"/>
  <c r="U487" i="9"/>
  <c r="V487" i="9" s="1"/>
  <c r="U490" i="9"/>
  <c r="V490" i="9" s="1"/>
  <c r="U494" i="9"/>
  <c r="V494" i="9" s="1"/>
  <c r="V505" i="9"/>
  <c r="U510" i="9"/>
  <c r="V510" i="9" s="1"/>
  <c r="V512" i="9"/>
  <c r="U516" i="9"/>
  <c r="V516" i="9" s="1"/>
  <c r="V527" i="9"/>
  <c r="P534" i="9"/>
  <c r="U535" i="9"/>
  <c r="V535" i="9" s="1"/>
  <c r="T563" i="9"/>
  <c r="N563" i="9"/>
  <c r="O563" i="9" s="1"/>
  <c r="M563" i="9"/>
  <c r="P565" i="9"/>
  <c r="V568" i="9"/>
  <c r="V575" i="9"/>
  <c r="V581" i="9"/>
  <c r="T596" i="9"/>
  <c r="N596" i="9"/>
  <c r="O596" i="9" s="1"/>
  <c r="M596" i="9"/>
  <c r="P598" i="9"/>
  <c r="U599" i="9"/>
  <c r="V599" i="9" s="1"/>
  <c r="U605" i="9"/>
  <c r="V605" i="9" s="1"/>
  <c r="V616" i="9"/>
  <c r="U621" i="9"/>
  <c r="V621" i="9" s="1"/>
  <c r="V623" i="9"/>
  <c r="V629" i="9"/>
  <c r="U633" i="9"/>
  <c r="V633" i="9" s="1"/>
  <c r="U640" i="9"/>
  <c r="V640" i="9" s="1"/>
  <c r="U647" i="9"/>
  <c r="V647" i="9" s="1"/>
  <c r="V649" i="9"/>
  <c r="T653" i="9"/>
  <c r="N653" i="9"/>
  <c r="O653" i="9" s="1"/>
  <c r="M653" i="9"/>
  <c r="P655" i="9"/>
  <c r="U656" i="9"/>
  <c r="V656" i="9" s="1"/>
  <c r="V658" i="9"/>
  <c r="U669" i="9"/>
  <c r="V669" i="9" s="1"/>
  <c r="P674" i="9"/>
  <c r="U676" i="9"/>
  <c r="V676" i="9" s="1"/>
  <c r="V690" i="9"/>
  <c r="U690" i="9"/>
  <c r="V692" i="9"/>
  <c r="U697" i="9"/>
  <c r="V697" i="9" s="1"/>
  <c r="V699" i="9"/>
  <c r="U704" i="9"/>
  <c r="V704" i="9" s="1"/>
  <c r="V714" i="9"/>
  <c r="U718" i="9"/>
  <c r="V718" i="9" s="1"/>
  <c r="U732" i="9"/>
  <c r="V732" i="9" s="1"/>
  <c r="U738" i="9"/>
  <c r="V738" i="9" s="1"/>
  <c r="P747" i="9"/>
  <c r="V757" i="9"/>
  <c r="U761" i="9"/>
  <c r="V761" i="9" s="1"/>
  <c r="U767" i="9"/>
  <c r="V767" i="9" s="1"/>
  <c r="V769" i="9"/>
  <c r="T773" i="9"/>
  <c r="N773" i="9"/>
  <c r="O773" i="9" s="1"/>
  <c r="M773" i="9"/>
  <c r="U778" i="9"/>
  <c r="V778" i="9" s="1"/>
  <c r="V789" i="9"/>
  <c r="T793" i="9"/>
  <c r="N793" i="9"/>
  <c r="O793" i="9" s="1"/>
  <c r="M793" i="9"/>
  <c r="T800" i="9"/>
  <c r="N800" i="9"/>
  <c r="O800" i="9" s="1"/>
  <c r="M800" i="9"/>
  <c r="P814" i="9"/>
  <c r="U815" i="9"/>
  <c r="V815" i="9" s="1"/>
  <c r="V823" i="9"/>
  <c r="V829" i="9"/>
  <c r="V836" i="9"/>
  <c r="V841" i="9"/>
  <c r="U841" i="9"/>
  <c r="V852" i="9"/>
  <c r="U856" i="9"/>
  <c r="V856" i="9" s="1"/>
  <c r="U862" i="9"/>
  <c r="V862" i="9" s="1"/>
  <c r="U877" i="9"/>
  <c r="V877" i="9" s="1"/>
  <c r="V879" i="9"/>
  <c r="U884" i="9"/>
  <c r="V884" i="9" s="1"/>
  <c r="U908" i="9"/>
  <c r="V908" i="9" s="1"/>
  <c r="T953" i="9"/>
  <c r="N953" i="9"/>
  <c r="O953" i="9" s="1"/>
  <c r="M953" i="9"/>
  <c r="P953" i="9"/>
  <c r="U954" i="9"/>
  <c r="V954" i="9" s="1"/>
  <c r="U982" i="9"/>
  <c r="V982" i="9" s="1"/>
  <c r="U1027" i="9"/>
  <c r="V1027" i="9" s="1"/>
  <c r="T1053" i="9"/>
  <c r="N1053" i="9"/>
  <c r="O1053" i="9" s="1"/>
  <c r="M1053" i="9"/>
  <c r="P1053" i="9"/>
  <c r="V1080" i="9"/>
  <c r="U1080" i="9"/>
  <c r="U1122" i="9"/>
  <c r="V1122" i="9" s="1"/>
  <c r="U1198" i="9"/>
  <c r="V1198" i="9" s="1"/>
  <c r="U1234" i="9"/>
  <c r="V1234" i="9" s="1"/>
  <c r="U1252" i="9"/>
  <c r="V1252" i="9" s="1"/>
  <c r="U1267" i="9"/>
  <c r="V1267" i="9" s="1"/>
  <c r="P360" i="9"/>
  <c r="N442" i="9"/>
  <c r="O442" i="9" s="1"/>
  <c r="T442" i="9"/>
  <c r="N447" i="9"/>
  <c r="O447" i="9" s="1"/>
  <c r="T447" i="9"/>
  <c r="N456" i="9"/>
  <c r="O456" i="9" s="1"/>
  <c r="T456" i="9"/>
  <c r="N478" i="9"/>
  <c r="O478" i="9" s="1"/>
  <c r="T478" i="9"/>
  <c r="N480" i="9"/>
  <c r="O480" i="9" s="1"/>
  <c r="T480" i="9"/>
  <c r="N513" i="9"/>
  <c r="O513" i="9" s="1"/>
  <c r="T513" i="9"/>
  <c r="P532" i="9"/>
  <c r="N540" i="9"/>
  <c r="O540" i="9" s="1"/>
  <c r="T540" i="9"/>
  <c r="P541" i="9"/>
  <c r="P544" i="9"/>
  <c r="N545" i="9"/>
  <c r="O545" i="9" s="1"/>
  <c r="T545" i="9"/>
  <c r="N558" i="9"/>
  <c r="O558" i="9" s="1"/>
  <c r="T558" i="9"/>
  <c r="N567" i="9"/>
  <c r="O567" i="9" s="1"/>
  <c r="T567" i="9"/>
  <c r="P568" i="9"/>
  <c r="N579" i="9"/>
  <c r="O579" i="9" s="1"/>
  <c r="T579" i="9"/>
  <c r="N591" i="9"/>
  <c r="O591" i="9" s="1"/>
  <c r="T591" i="9"/>
  <c r="P604" i="9"/>
  <c r="N628" i="9"/>
  <c r="O628" i="9" s="1"/>
  <c r="T628" i="9"/>
  <c r="P629" i="9"/>
  <c r="P639" i="9"/>
  <c r="P646" i="9"/>
  <c r="P661" i="9"/>
  <c r="N680" i="9"/>
  <c r="O680" i="9" s="1"/>
  <c r="T680" i="9"/>
  <c r="P692" i="9"/>
  <c r="P699" i="9"/>
  <c r="N726" i="9"/>
  <c r="O726" i="9" s="1"/>
  <c r="T726" i="9"/>
  <c r="N742" i="9"/>
  <c r="O742" i="9" s="1"/>
  <c r="T742" i="9"/>
  <c r="P743" i="9"/>
  <c r="N744" i="9"/>
  <c r="O744" i="9" s="1"/>
  <c r="T744" i="9"/>
  <c r="N749" i="9"/>
  <c r="O749" i="9" s="1"/>
  <c r="T749" i="9"/>
  <c r="N755" i="9"/>
  <c r="O755" i="9" s="1"/>
  <c r="T755" i="9"/>
  <c r="N758" i="9"/>
  <c r="O758" i="9" s="1"/>
  <c r="T758" i="9"/>
  <c r="P769" i="9"/>
  <c r="P777" i="9"/>
  <c r="N790" i="9"/>
  <c r="O790" i="9" s="1"/>
  <c r="T790" i="9"/>
  <c r="P791" i="9"/>
  <c r="P807" i="9"/>
  <c r="P810" i="9"/>
  <c r="N811" i="9"/>
  <c r="O811" i="9" s="1"/>
  <c r="T811" i="9"/>
  <c r="P826" i="9"/>
  <c r="N827" i="9"/>
  <c r="O827" i="9" s="1"/>
  <c r="T827" i="9"/>
  <c r="N853" i="9"/>
  <c r="O853" i="9" s="1"/>
  <c r="T853" i="9"/>
  <c r="N860" i="9"/>
  <c r="O860" i="9" s="1"/>
  <c r="T860" i="9"/>
  <c r="P861" i="9"/>
  <c r="T903" i="9"/>
  <c r="N903" i="9"/>
  <c r="O903" i="9" s="1"/>
  <c r="M903" i="9"/>
  <c r="U920" i="9"/>
  <c r="V920" i="9" s="1"/>
  <c r="U924" i="9"/>
  <c r="V924" i="9" s="1"/>
  <c r="U945" i="9"/>
  <c r="V945" i="9" s="1"/>
  <c r="U949" i="9"/>
  <c r="V949" i="9" s="1"/>
  <c r="T974" i="9"/>
  <c r="N974" i="9"/>
  <c r="O974" i="9" s="1"/>
  <c r="V986" i="9"/>
  <c r="U986" i="9"/>
  <c r="V988" i="9"/>
  <c r="U1001" i="9"/>
  <c r="V1001" i="9" s="1"/>
  <c r="V1003" i="9"/>
  <c r="U1011" i="9"/>
  <c r="V1011" i="9" s="1"/>
  <c r="U1031" i="9"/>
  <c r="V1031" i="9" s="1"/>
  <c r="U1041" i="9"/>
  <c r="V1041" i="9" s="1"/>
  <c r="T1065" i="9"/>
  <c r="N1065" i="9"/>
  <c r="O1065" i="9" s="1"/>
  <c r="M1065" i="9"/>
  <c r="T1071" i="9"/>
  <c r="N1071" i="9"/>
  <c r="O1071" i="9" s="1"/>
  <c r="M1071" i="9"/>
  <c r="U1077" i="9"/>
  <c r="V1077" i="9" s="1"/>
  <c r="U1087" i="9"/>
  <c r="V1087" i="9" s="1"/>
  <c r="V1133" i="9"/>
  <c r="U1140" i="9"/>
  <c r="V1140" i="9" s="1"/>
  <c r="U1151" i="9"/>
  <c r="V1151" i="9" s="1"/>
  <c r="V1153" i="9"/>
  <c r="U1167" i="9"/>
  <c r="V1167" i="9" s="1"/>
  <c r="U1194" i="9"/>
  <c r="V1194" i="9" s="1"/>
  <c r="T1207" i="9"/>
  <c r="N1207" i="9"/>
  <c r="O1207" i="9" s="1"/>
  <c r="M1207" i="9"/>
  <c r="U1208" i="9"/>
  <c r="V1208" i="9" s="1"/>
  <c r="U1230" i="9"/>
  <c r="V1230" i="9" s="1"/>
  <c r="V1243" i="9"/>
  <c r="M1271" i="9"/>
  <c r="P1271" i="9"/>
  <c r="T1271" i="9"/>
  <c r="N1271" i="9"/>
  <c r="O1271" i="9" s="1"/>
  <c r="T1285" i="9"/>
  <c r="N1285" i="9"/>
  <c r="O1285" i="9" s="1"/>
  <c r="M1285" i="9"/>
  <c r="P1285" i="9"/>
  <c r="U1312" i="9"/>
  <c r="V1312" i="9" s="1"/>
  <c r="U1328" i="9"/>
  <c r="V1328" i="9" s="1"/>
  <c r="T1347" i="9"/>
  <c r="N1347" i="9"/>
  <c r="O1347" i="9" s="1"/>
  <c r="M1347" i="9"/>
  <c r="P1347" i="9"/>
  <c r="U1348" i="9"/>
  <c r="V1348" i="9" s="1"/>
  <c r="U1362" i="9"/>
  <c r="V1362" i="9" s="1"/>
  <c r="U1401" i="9"/>
  <c r="V1401" i="9" s="1"/>
  <c r="T1592" i="9"/>
  <c r="N1592" i="9"/>
  <c r="O1592" i="9" s="1"/>
  <c r="M1592" i="9"/>
  <c r="P1592" i="9"/>
  <c r="U899" i="9"/>
  <c r="V899" i="9" s="1"/>
  <c r="U907" i="9"/>
  <c r="V907" i="9" s="1"/>
  <c r="T917" i="9"/>
  <c r="N917" i="9"/>
  <c r="O917" i="9" s="1"/>
  <c r="V919" i="9"/>
  <c r="V923" i="9"/>
  <c r="U927" i="9"/>
  <c r="V927" i="9" s="1"/>
  <c r="U932" i="9"/>
  <c r="V932" i="9" s="1"/>
  <c r="U935" i="9"/>
  <c r="V935" i="9" s="1"/>
  <c r="U940" i="9"/>
  <c r="V940" i="9" s="1"/>
  <c r="T944" i="9"/>
  <c r="N944" i="9"/>
  <c r="O944" i="9" s="1"/>
  <c r="M944" i="9"/>
  <c r="V948" i="9"/>
  <c r="U952" i="9"/>
  <c r="V952" i="9" s="1"/>
  <c r="U969" i="9"/>
  <c r="V969" i="9" s="1"/>
  <c r="M974" i="9"/>
  <c r="U989" i="9"/>
  <c r="V989" i="9" s="1"/>
  <c r="T993" i="9"/>
  <c r="N993" i="9"/>
  <c r="O993" i="9" s="1"/>
  <c r="M993" i="9"/>
  <c r="V1008" i="9"/>
  <c r="U1020" i="9"/>
  <c r="V1020" i="9" s="1"/>
  <c r="V1022" i="9"/>
  <c r="U1037" i="9"/>
  <c r="V1037" i="9" s="1"/>
  <c r="T1051" i="9"/>
  <c r="N1051" i="9"/>
  <c r="O1051" i="9" s="1"/>
  <c r="M1051" i="9"/>
  <c r="U1052" i="9"/>
  <c r="V1052" i="9" s="1"/>
  <c r="U1057" i="9"/>
  <c r="V1057" i="9" s="1"/>
  <c r="P1065" i="9"/>
  <c r="U1067" i="9"/>
  <c r="V1067" i="9" s="1"/>
  <c r="V1069" i="9"/>
  <c r="P1071" i="9"/>
  <c r="U1073" i="9"/>
  <c r="V1073" i="9" s="1"/>
  <c r="U1098" i="9"/>
  <c r="V1098" i="9" s="1"/>
  <c r="T1130" i="9"/>
  <c r="N1130" i="9"/>
  <c r="O1130" i="9" s="1"/>
  <c r="M1130" i="9"/>
  <c r="U1134" i="9"/>
  <c r="V1134" i="9" s="1"/>
  <c r="U1147" i="9"/>
  <c r="V1147" i="9" s="1"/>
  <c r="V1154" i="9"/>
  <c r="U1154" i="9"/>
  <c r="V1156" i="9"/>
  <c r="U1163" i="9"/>
  <c r="V1163" i="9" s="1"/>
  <c r="U1177" i="9"/>
  <c r="V1177" i="9" s="1"/>
  <c r="U1184" i="9"/>
  <c r="V1184" i="9" s="1"/>
  <c r="V1186" i="9"/>
  <c r="U1191" i="9"/>
  <c r="V1191" i="9" s="1"/>
  <c r="T1199" i="9"/>
  <c r="N1199" i="9"/>
  <c r="O1199" i="9" s="1"/>
  <c r="M1199" i="9"/>
  <c r="T1204" i="9"/>
  <c r="N1204" i="9"/>
  <c r="O1204" i="9" s="1"/>
  <c r="M1204" i="9"/>
  <c r="U1219" i="9"/>
  <c r="V1219" i="9" s="1"/>
  <c r="U1226" i="9"/>
  <c r="V1226" i="9" s="1"/>
  <c r="T1235" i="9"/>
  <c r="N1235" i="9"/>
  <c r="O1235" i="9" s="1"/>
  <c r="M1235" i="9"/>
  <c r="U1246" i="9"/>
  <c r="V1246" i="9" s="1"/>
  <c r="T1249" i="9"/>
  <c r="N1249" i="9"/>
  <c r="O1249" i="9" s="1"/>
  <c r="M1249" i="9"/>
  <c r="U1250" i="9"/>
  <c r="V1250" i="9" s="1"/>
  <c r="T1253" i="9"/>
  <c r="N1253" i="9"/>
  <c r="O1253" i="9" s="1"/>
  <c r="M1253" i="9"/>
  <c r="P1270" i="9"/>
  <c r="N1270" i="9"/>
  <c r="O1270" i="9" s="1"/>
  <c r="T1270" i="9"/>
  <c r="M1270" i="9"/>
  <c r="U1278" i="9"/>
  <c r="V1278" i="9" s="1"/>
  <c r="U1281" i="9"/>
  <c r="V1281" i="9" s="1"/>
  <c r="T1293" i="9"/>
  <c r="N1293" i="9"/>
  <c r="O1293" i="9" s="1"/>
  <c r="M1293" i="9"/>
  <c r="P1293" i="9"/>
  <c r="U1294" i="9"/>
  <c r="V1294" i="9" s="1"/>
  <c r="U1315" i="9"/>
  <c r="V1315" i="9" s="1"/>
  <c r="U1443" i="9"/>
  <c r="V1443" i="9" s="1"/>
  <c r="U1574" i="9"/>
  <c r="V1574" i="9" s="1"/>
  <c r="V1727" i="9"/>
  <c r="U1727" i="9"/>
  <c r="V895" i="9"/>
  <c r="V898" i="9"/>
  <c r="V902" i="9"/>
  <c r="U902" i="9"/>
  <c r="U911" i="9"/>
  <c r="V911" i="9" s="1"/>
  <c r="U914" i="9"/>
  <c r="V914" i="9" s="1"/>
  <c r="V916" i="9"/>
  <c r="V931" i="9"/>
  <c r="V939" i="9"/>
  <c r="T950" i="9"/>
  <c r="N950" i="9"/>
  <c r="O950" i="9" s="1"/>
  <c r="M950" i="9"/>
  <c r="V951" i="9"/>
  <c r="U955" i="9"/>
  <c r="V955" i="9" s="1"/>
  <c r="U959" i="9"/>
  <c r="V959" i="9" s="1"/>
  <c r="U962" i="9"/>
  <c r="V962" i="9" s="1"/>
  <c r="U966" i="9"/>
  <c r="V966" i="9" s="1"/>
  <c r="T972" i="9"/>
  <c r="N972" i="9"/>
  <c r="O972" i="9" s="1"/>
  <c r="V981" i="9"/>
  <c r="U995" i="9"/>
  <c r="V995" i="9" s="1"/>
  <c r="V997" i="9"/>
  <c r="T1012" i="9"/>
  <c r="N1012" i="9"/>
  <c r="O1012" i="9" s="1"/>
  <c r="M1012" i="9"/>
  <c r="U1023" i="9"/>
  <c r="V1023" i="9" s="1"/>
  <c r="T1032" i="9"/>
  <c r="N1032" i="9"/>
  <c r="O1032" i="9" s="1"/>
  <c r="M1032" i="9"/>
  <c r="V1033" i="9"/>
  <c r="U1033" i="9"/>
  <c r="V1049" i="9"/>
  <c r="V1064" i="9"/>
  <c r="U1064" i="9"/>
  <c r="V1070" i="9"/>
  <c r="U1070" i="9"/>
  <c r="T1078" i="9"/>
  <c r="N1078" i="9"/>
  <c r="O1078" i="9" s="1"/>
  <c r="M1078" i="9"/>
  <c r="T1088" i="9"/>
  <c r="N1088" i="9"/>
  <c r="O1088" i="9" s="1"/>
  <c r="M1088" i="9"/>
  <c r="U1094" i="9"/>
  <c r="V1094" i="9" s="1"/>
  <c r="V1105" i="9"/>
  <c r="U1105" i="9"/>
  <c r="V1107" i="9"/>
  <c r="U1112" i="9"/>
  <c r="V1112" i="9" s="1"/>
  <c r="U1119" i="9"/>
  <c r="V1119" i="9" s="1"/>
  <c r="V1121" i="9"/>
  <c r="U1143" i="9"/>
  <c r="V1143" i="9" s="1"/>
  <c r="U1187" i="9"/>
  <c r="V1187" i="9" s="1"/>
  <c r="U1206" i="9"/>
  <c r="V1206" i="9" s="1"/>
  <c r="T1209" i="9"/>
  <c r="N1209" i="9"/>
  <c r="O1209" i="9" s="1"/>
  <c r="M1209" i="9"/>
  <c r="U1215" i="9"/>
  <c r="V1215" i="9" s="1"/>
  <c r="V1254" i="9"/>
  <c r="U1256" i="9"/>
  <c r="V1256" i="9" s="1"/>
  <c r="U1258" i="9"/>
  <c r="V1258" i="9" s="1"/>
  <c r="U1262" i="9"/>
  <c r="V1262" i="9" s="1"/>
  <c r="T1302" i="9"/>
  <c r="N1302" i="9"/>
  <c r="O1302" i="9" s="1"/>
  <c r="P1302" i="9"/>
  <c r="M1302" i="9"/>
  <c r="U1319" i="9"/>
  <c r="V1319" i="9" s="1"/>
  <c r="U1343" i="9"/>
  <c r="V1343" i="9" s="1"/>
  <c r="T1370" i="9"/>
  <c r="N1370" i="9"/>
  <c r="O1370" i="9" s="1"/>
  <c r="M1370" i="9"/>
  <c r="P1370" i="9"/>
  <c r="V1382" i="9"/>
  <c r="U1382" i="9"/>
  <c r="V1394" i="9"/>
  <c r="U1394" i="9"/>
  <c r="U1552" i="9"/>
  <c r="V1552" i="9" s="1"/>
  <c r="T1624" i="9"/>
  <c r="N1624" i="9"/>
  <c r="O1624" i="9" s="1"/>
  <c r="P1624" i="9"/>
  <c r="M1624" i="9"/>
  <c r="P981" i="9"/>
  <c r="P988" i="9"/>
  <c r="P997" i="9"/>
  <c r="P1000" i="9"/>
  <c r="P1003" i="9"/>
  <c r="P1022" i="9"/>
  <c r="P1049" i="9"/>
  <c r="P1069" i="9"/>
  <c r="P1107" i="9"/>
  <c r="P1121" i="9"/>
  <c r="P1133" i="9"/>
  <c r="P1153" i="9"/>
  <c r="P1156" i="9"/>
  <c r="P1186" i="9"/>
  <c r="P1242" i="9"/>
  <c r="T1287" i="9"/>
  <c r="N1287" i="9"/>
  <c r="O1287" i="9" s="1"/>
  <c r="M1287" i="9"/>
  <c r="U1290" i="9"/>
  <c r="V1290" i="9" s="1"/>
  <c r="T1300" i="9"/>
  <c r="N1300" i="9"/>
  <c r="O1300" i="9" s="1"/>
  <c r="M1300" i="9"/>
  <c r="V1301" i="9"/>
  <c r="T1305" i="9"/>
  <c r="N1305" i="9"/>
  <c r="O1305" i="9" s="1"/>
  <c r="M1305" i="9"/>
  <c r="V1309" i="9"/>
  <c r="U1309" i="9"/>
  <c r="T1317" i="9"/>
  <c r="N1317" i="9"/>
  <c r="O1317" i="9" s="1"/>
  <c r="M1317" i="9"/>
  <c r="V1318" i="9"/>
  <c r="U1325" i="9"/>
  <c r="V1325" i="9" s="1"/>
  <c r="T1337" i="9"/>
  <c r="N1337" i="9"/>
  <c r="O1337" i="9" s="1"/>
  <c r="M1337" i="9"/>
  <c r="U1358" i="9"/>
  <c r="V1358" i="9" s="1"/>
  <c r="T1367" i="9"/>
  <c r="N1367" i="9"/>
  <c r="O1367" i="9" s="1"/>
  <c r="M1367" i="9"/>
  <c r="U1372" i="9"/>
  <c r="V1372" i="9" s="1"/>
  <c r="U1390" i="9"/>
  <c r="V1390" i="9" s="1"/>
  <c r="V1399" i="9"/>
  <c r="U1402" i="9"/>
  <c r="V1402" i="9" s="1"/>
  <c r="T1405" i="9"/>
  <c r="N1405" i="9"/>
  <c r="O1405" i="9" s="1"/>
  <c r="M1405" i="9"/>
  <c r="V1406" i="9"/>
  <c r="U1406" i="9"/>
  <c r="V1433" i="9"/>
  <c r="U1433" i="9"/>
  <c r="U1440" i="9"/>
  <c r="V1440" i="9" s="1"/>
  <c r="V1448" i="9"/>
  <c r="U1475" i="9"/>
  <c r="V1475" i="9" s="1"/>
  <c r="T1478" i="9"/>
  <c r="N1478" i="9"/>
  <c r="O1478" i="9" s="1"/>
  <c r="P1478" i="9"/>
  <c r="M1478" i="9"/>
  <c r="U1495" i="9"/>
  <c r="V1495" i="9" s="1"/>
  <c r="T1540" i="9"/>
  <c r="N1540" i="9"/>
  <c r="O1540" i="9" s="1"/>
  <c r="M1540" i="9"/>
  <c r="P1540" i="9"/>
  <c r="U1541" i="9"/>
  <c r="V1541" i="9" s="1"/>
  <c r="U1558" i="9"/>
  <c r="V1558" i="9" s="1"/>
  <c r="T1569" i="9"/>
  <c r="N1569" i="9"/>
  <c r="O1569" i="9" s="1"/>
  <c r="P1569" i="9"/>
  <c r="M1569" i="9"/>
  <c r="U1621" i="9"/>
  <c r="V1621" i="9" s="1"/>
  <c r="U1644" i="9"/>
  <c r="V1644" i="9" s="1"/>
  <c r="T1653" i="9"/>
  <c r="N1653" i="9"/>
  <c r="O1653" i="9" s="1"/>
  <c r="P1653" i="9"/>
  <c r="M1653" i="9"/>
  <c r="T1658" i="9"/>
  <c r="N1658" i="9"/>
  <c r="O1658" i="9" s="1"/>
  <c r="P1658" i="9"/>
  <c r="M1658" i="9"/>
  <c r="T1673" i="9"/>
  <c r="N1673" i="9"/>
  <c r="O1673" i="9" s="1"/>
  <c r="P1673" i="9"/>
  <c r="M1673" i="9"/>
  <c r="T1759" i="9"/>
  <c r="N1759" i="9"/>
  <c r="O1759" i="9" s="1"/>
  <c r="M1759" i="9"/>
  <c r="P1759" i="9"/>
  <c r="U1906" i="9"/>
  <c r="V1906" i="9" s="1"/>
  <c r="U1923" i="9"/>
  <c r="V1923" i="9"/>
  <c r="U977" i="9"/>
  <c r="V977" i="9" s="1"/>
  <c r="U980" i="9"/>
  <c r="V980" i="9" s="1"/>
  <c r="M981" i="9"/>
  <c r="U983" i="9"/>
  <c r="V983" i="9" s="1"/>
  <c r="U987" i="9"/>
  <c r="V987" i="9" s="1"/>
  <c r="M988" i="9"/>
  <c r="U990" i="9"/>
  <c r="V990" i="9" s="1"/>
  <c r="P992" i="9"/>
  <c r="U996" i="9"/>
  <c r="V996" i="9" s="1"/>
  <c r="M997" i="9"/>
  <c r="U999" i="9"/>
  <c r="V999" i="9" s="1"/>
  <c r="M1000" i="9"/>
  <c r="U1002" i="9"/>
  <c r="V1002" i="9" s="1"/>
  <c r="M1003" i="9"/>
  <c r="U1004" i="9"/>
  <c r="V1004" i="9" s="1"/>
  <c r="U1008" i="9"/>
  <c r="U1014" i="9"/>
  <c r="V1014" i="9" s="1"/>
  <c r="U1017" i="9"/>
  <c r="V1017" i="9" s="1"/>
  <c r="U1021" i="9"/>
  <c r="V1021" i="9" s="1"/>
  <c r="M1022" i="9"/>
  <c r="U1024" i="9"/>
  <c r="V1024" i="9" s="1"/>
  <c r="U1028" i="9"/>
  <c r="V1028" i="9" s="1"/>
  <c r="P1033" i="9"/>
  <c r="U1034" i="9"/>
  <c r="V1034" i="9" s="1"/>
  <c r="U1038" i="9"/>
  <c r="U1042" i="9"/>
  <c r="V1042" i="9" s="1"/>
  <c r="U1048" i="9"/>
  <c r="V1048" i="9" s="1"/>
  <c r="M1049" i="9"/>
  <c r="P1052" i="9"/>
  <c r="P1054" i="9"/>
  <c r="U1055" i="9"/>
  <c r="V1055" i="9" s="1"/>
  <c r="P1057" i="9"/>
  <c r="U1058" i="9"/>
  <c r="V1058" i="9" s="1"/>
  <c r="P1060" i="9"/>
  <c r="U1061" i="9"/>
  <c r="V1061" i="9" s="1"/>
  <c r="U1068" i="9"/>
  <c r="V1068" i="9" s="1"/>
  <c r="M1069" i="9"/>
  <c r="U1074" i="9"/>
  <c r="V1074" i="9" s="1"/>
  <c r="U1081" i="9"/>
  <c r="V1081" i="9" s="1"/>
  <c r="P1083" i="9"/>
  <c r="U1084" i="9"/>
  <c r="V1084" i="9" s="1"/>
  <c r="U1091" i="9"/>
  <c r="V1091" i="9" s="1"/>
  <c r="U1095" i="9"/>
  <c r="V1095" i="9" s="1"/>
  <c r="U1099" i="9"/>
  <c r="V1099" i="9" s="1"/>
  <c r="P1101" i="9"/>
  <c r="U1102" i="9"/>
  <c r="V1102" i="9" s="1"/>
  <c r="U1106" i="9"/>
  <c r="V1106" i="9" s="1"/>
  <c r="M1107" i="9"/>
  <c r="U1109" i="9"/>
  <c r="V1109" i="9" s="1"/>
  <c r="U1113" i="9"/>
  <c r="V1113" i="9" s="1"/>
  <c r="U1116" i="9"/>
  <c r="V1116" i="9" s="1"/>
  <c r="U1120" i="9"/>
  <c r="V1120" i="9" s="1"/>
  <c r="M1121" i="9"/>
  <c r="U1123" i="9"/>
  <c r="V1123" i="9" s="1"/>
  <c r="U1126" i="9"/>
  <c r="V1126" i="9" s="1"/>
  <c r="U1132" i="9"/>
  <c r="V1132" i="9" s="1"/>
  <c r="M1133" i="9"/>
  <c r="U1135" i="9"/>
  <c r="V1135" i="9" s="1"/>
  <c r="U1138" i="9"/>
  <c r="V1138" i="9" s="1"/>
  <c r="P1140" i="9"/>
  <c r="U1141" i="9"/>
  <c r="V1141" i="9" s="1"/>
  <c r="P1143" i="9"/>
  <c r="U1144" i="9"/>
  <c r="V1144" i="9" s="1"/>
  <c r="U1148" i="9"/>
  <c r="V1148" i="9" s="1"/>
  <c r="U1152" i="9"/>
  <c r="V1152" i="9" s="1"/>
  <c r="M1153" i="9"/>
  <c r="U1155" i="9"/>
  <c r="V1155" i="9" s="1"/>
  <c r="M1156" i="9"/>
  <c r="P1159" i="9"/>
  <c r="U1160" i="9"/>
  <c r="V1160" i="9" s="1"/>
  <c r="U1164" i="9"/>
  <c r="V1164" i="9" s="1"/>
  <c r="U1168" i="9"/>
  <c r="V1168" i="9" s="1"/>
  <c r="U1174" i="9"/>
  <c r="V1174" i="9" s="1"/>
  <c r="U1178" i="9"/>
  <c r="V1178" i="9" s="1"/>
  <c r="U1181" i="9"/>
  <c r="V1181" i="9" s="1"/>
  <c r="U1185" i="9"/>
  <c r="V1185" i="9" s="1"/>
  <c r="M1186" i="9"/>
  <c r="U1188" i="9"/>
  <c r="V1188" i="9" s="1"/>
  <c r="U1195" i="9"/>
  <c r="V1195" i="9" s="1"/>
  <c r="P1200" i="9"/>
  <c r="U1201" i="9"/>
  <c r="V1201" i="9" s="1"/>
  <c r="P1203" i="9"/>
  <c r="P1208" i="9"/>
  <c r="U1212" i="9"/>
  <c r="V1212" i="9" s="1"/>
  <c r="U1216" i="9"/>
  <c r="V1216" i="9" s="1"/>
  <c r="U1220" i="9"/>
  <c r="V1220" i="9" s="1"/>
  <c r="U1223" i="9"/>
  <c r="V1223" i="9" s="1"/>
  <c r="U1227" i="9"/>
  <c r="V1227" i="9" s="1"/>
  <c r="U1231" i="9"/>
  <c r="V1231" i="9" s="1"/>
  <c r="U1237" i="9"/>
  <c r="V1237" i="9" s="1"/>
  <c r="U1241" i="9"/>
  <c r="V1241" i="9" s="1"/>
  <c r="M1242" i="9"/>
  <c r="U1243" i="9"/>
  <c r="P1248" i="9"/>
  <c r="P1250" i="9"/>
  <c r="P1252" i="9"/>
  <c r="M1272" i="9"/>
  <c r="T1272" i="9"/>
  <c r="N1273" i="9"/>
  <c r="O1273" i="9" s="1"/>
  <c r="T1273" i="9"/>
  <c r="T1277" i="9"/>
  <c r="N1277" i="9"/>
  <c r="O1277" i="9" s="1"/>
  <c r="U1284" i="9"/>
  <c r="V1284" i="9" s="1"/>
  <c r="T1289" i="9"/>
  <c r="N1289" i="9"/>
  <c r="O1289" i="9" s="1"/>
  <c r="M1289" i="9"/>
  <c r="U1297" i="9"/>
  <c r="V1297" i="9" s="1"/>
  <c r="U1301" i="9"/>
  <c r="T1307" i="9"/>
  <c r="N1307" i="9"/>
  <c r="O1307" i="9" s="1"/>
  <c r="M1307" i="9"/>
  <c r="U1318" i="9"/>
  <c r="U1321" i="9"/>
  <c r="V1321" i="9" s="1"/>
  <c r="T1323" i="9"/>
  <c r="N1323" i="9"/>
  <c r="O1323" i="9" s="1"/>
  <c r="M1323" i="9"/>
  <c r="T1342" i="9"/>
  <c r="N1342" i="9"/>
  <c r="O1342" i="9" s="1"/>
  <c r="U1346" i="9"/>
  <c r="V1346" i="9" s="1"/>
  <c r="U1354" i="9"/>
  <c r="V1354" i="9" s="1"/>
  <c r="P1367" i="9"/>
  <c r="U1369" i="9"/>
  <c r="V1369" i="9" s="1"/>
  <c r="U1379" i="9"/>
  <c r="V1379" i="9" s="1"/>
  <c r="T1383" i="9"/>
  <c r="N1383" i="9"/>
  <c r="O1383" i="9" s="1"/>
  <c r="M1383" i="9"/>
  <c r="U1384" i="9"/>
  <c r="V1384" i="9" s="1"/>
  <c r="V1386" i="9"/>
  <c r="V1400" i="9"/>
  <c r="P1405" i="9"/>
  <c r="V1415" i="9"/>
  <c r="U1429" i="9"/>
  <c r="V1429" i="9" s="1"/>
  <c r="T1444" i="9"/>
  <c r="N1444" i="9"/>
  <c r="O1444" i="9" s="1"/>
  <c r="M1444" i="9"/>
  <c r="U1445" i="9"/>
  <c r="V1445" i="9" s="1"/>
  <c r="U1451" i="9"/>
  <c r="V1451" i="9" s="1"/>
  <c r="V1453" i="9"/>
  <c r="T1458" i="9"/>
  <c r="N1458" i="9"/>
  <c r="O1458" i="9" s="1"/>
  <c r="M1458" i="9"/>
  <c r="U1482" i="9"/>
  <c r="V1482" i="9" s="1"/>
  <c r="T1487" i="9"/>
  <c r="N1487" i="9"/>
  <c r="O1487" i="9" s="1"/>
  <c r="M1487" i="9"/>
  <c r="P1487" i="9"/>
  <c r="U1503" i="9"/>
  <c r="V1503" i="9" s="1"/>
  <c r="U1533" i="9"/>
  <c r="V1533" i="9" s="1"/>
  <c r="U1536" i="9"/>
  <c r="V1536" i="9" s="1"/>
  <c r="U1562" i="9"/>
  <c r="V1562" i="9" s="1"/>
  <c r="U1610" i="9"/>
  <c r="V1610" i="9" s="1"/>
  <c r="U1635" i="9"/>
  <c r="V1635" i="9" s="1"/>
  <c r="U1666" i="9"/>
  <c r="V1666" i="9" s="1"/>
  <c r="U1686" i="9"/>
  <c r="V1686" i="9"/>
  <c r="U1688" i="9"/>
  <c r="V1688" i="9" s="1"/>
  <c r="N981" i="9"/>
  <c r="O981" i="9" s="1"/>
  <c r="N988" i="9"/>
  <c r="O988" i="9" s="1"/>
  <c r="N997" i="9"/>
  <c r="O997" i="9" s="1"/>
  <c r="N1000" i="9"/>
  <c r="O1000" i="9" s="1"/>
  <c r="N1003" i="9"/>
  <c r="O1003" i="9" s="1"/>
  <c r="N1022" i="9"/>
  <c r="O1022" i="9" s="1"/>
  <c r="N1049" i="9"/>
  <c r="O1049" i="9" s="1"/>
  <c r="N1069" i="9"/>
  <c r="O1069" i="9" s="1"/>
  <c r="N1107" i="9"/>
  <c r="O1107" i="9" s="1"/>
  <c r="N1121" i="9"/>
  <c r="O1121" i="9" s="1"/>
  <c r="N1133" i="9"/>
  <c r="O1133" i="9" s="1"/>
  <c r="N1153" i="9"/>
  <c r="O1153" i="9" s="1"/>
  <c r="N1156" i="9"/>
  <c r="O1156" i="9" s="1"/>
  <c r="N1186" i="9"/>
  <c r="O1186" i="9" s="1"/>
  <c r="N1242" i="9"/>
  <c r="O1242" i="9" s="1"/>
  <c r="M1254" i="9"/>
  <c r="N1255" i="9"/>
  <c r="O1255" i="9" s="1"/>
  <c r="T1255" i="9"/>
  <c r="T1257" i="9"/>
  <c r="N1257" i="9"/>
  <c r="O1257" i="9" s="1"/>
  <c r="T1259" i="9"/>
  <c r="N1259" i="9"/>
  <c r="O1259" i="9" s="1"/>
  <c r="T1261" i="9"/>
  <c r="N1261" i="9"/>
  <c r="O1261" i="9" s="1"/>
  <c r="T1266" i="9"/>
  <c r="N1266" i="9"/>
  <c r="O1266" i="9" s="1"/>
  <c r="T1268" i="9"/>
  <c r="N1268" i="9"/>
  <c r="O1268" i="9" s="1"/>
  <c r="M1274" i="9"/>
  <c r="V1274" i="9"/>
  <c r="V1276" i="9"/>
  <c r="M1277" i="9"/>
  <c r="T1279" i="9"/>
  <c r="N1279" i="9"/>
  <c r="O1279" i="9" s="1"/>
  <c r="U1286" i="9"/>
  <c r="V1286" i="9" s="1"/>
  <c r="P1287" i="9"/>
  <c r="T1291" i="9"/>
  <c r="N1291" i="9"/>
  <c r="O1291" i="9" s="1"/>
  <c r="M1291" i="9"/>
  <c r="T1295" i="9"/>
  <c r="N1295" i="9"/>
  <c r="O1295" i="9" s="1"/>
  <c r="U1299" i="9"/>
  <c r="V1299" i="9" s="1"/>
  <c r="P1300" i="9"/>
  <c r="V1304" i="9"/>
  <c r="U1304" i="9"/>
  <c r="P1305" i="9"/>
  <c r="U1308" i="9"/>
  <c r="V1308" i="9" s="1"/>
  <c r="U1313" i="9"/>
  <c r="V1313" i="9" s="1"/>
  <c r="U1316" i="9"/>
  <c r="V1316" i="9" s="1"/>
  <c r="P1317" i="9"/>
  <c r="U1324" i="9"/>
  <c r="V1324" i="9" s="1"/>
  <c r="U1329" i="9"/>
  <c r="V1329" i="9" s="1"/>
  <c r="V1336" i="9"/>
  <c r="U1336" i="9"/>
  <c r="P1337" i="9"/>
  <c r="V1341" i="9"/>
  <c r="M1342" i="9"/>
  <c r="T1344" i="9"/>
  <c r="N1344" i="9"/>
  <c r="O1344" i="9" s="1"/>
  <c r="T1349" i="9"/>
  <c r="N1349" i="9"/>
  <c r="O1349" i="9" s="1"/>
  <c r="U1366" i="9"/>
  <c r="V1366" i="9" s="1"/>
  <c r="U1375" i="9"/>
  <c r="V1375" i="9" s="1"/>
  <c r="P1383" i="9"/>
  <c r="U1387" i="9"/>
  <c r="V1387" i="9" s="1"/>
  <c r="T1403" i="9"/>
  <c r="N1403" i="9"/>
  <c r="O1403" i="9" s="1"/>
  <c r="M1403" i="9"/>
  <c r="U1404" i="9"/>
  <c r="V1404" i="9" s="1"/>
  <c r="T1407" i="9"/>
  <c r="N1407" i="9"/>
  <c r="O1407" i="9" s="1"/>
  <c r="M1407" i="9"/>
  <c r="V1413" i="9"/>
  <c r="V1423" i="9"/>
  <c r="U1423" i="9"/>
  <c r="T1441" i="9"/>
  <c r="N1441" i="9"/>
  <c r="O1441" i="9" s="1"/>
  <c r="M1441" i="9"/>
  <c r="P1444" i="9"/>
  <c r="P1458" i="9"/>
  <c r="U1461" i="9"/>
  <c r="V1461" i="9" s="1"/>
  <c r="U1463" i="9"/>
  <c r="V1463" i="9" s="1"/>
  <c r="U1465" i="9"/>
  <c r="V1465" i="9" s="1"/>
  <c r="U1467" i="9"/>
  <c r="V1467" i="9"/>
  <c r="T1470" i="9"/>
  <c r="N1470" i="9"/>
  <c r="O1470" i="9" s="1"/>
  <c r="P1470" i="9"/>
  <c r="M1470" i="9"/>
  <c r="T1509" i="9"/>
  <c r="N1509" i="9"/>
  <c r="O1509" i="9" s="1"/>
  <c r="P1509" i="9"/>
  <c r="M1509" i="9"/>
  <c r="U1511" i="9"/>
  <c r="V1511" i="9" s="1"/>
  <c r="U1526" i="9"/>
  <c r="V1526" i="9" s="1"/>
  <c r="U1581" i="9"/>
  <c r="V1581" i="9" s="1"/>
  <c r="T1613" i="9"/>
  <c r="N1613" i="9"/>
  <c r="O1613" i="9" s="1"/>
  <c r="P1613" i="9"/>
  <c r="M1613" i="9"/>
  <c r="T1720" i="9"/>
  <c r="N1720" i="9"/>
  <c r="O1720" i="9" s="1"/>
  <c r="P1720" i="9"/>
  <c r="M1720" i="9"/>
  <c r="U1746" i="9"/>
  <c r="V1746" i="9" s="1"/>
  <c r="T1755" i="9"/>
  <c r="N1755" i="9"/>
  <c r="O1755" i="9" s="1"/>
  <c r="P1755" i="9"/>
  <c r="M1755" i="9"/>
  <c r="P1386" i="9"/>
  <c r="P1399" i="9"/>
  <c r="P1401" i="9"/>
  <c r="P1411" i="9"/>
  <c r="P1413" i="9"/>
  <c r="P1415" i="9"/>
  <c r="P1453" i="9"/>
  <c r="V1466" i="9"/>
  <c r="T1472" i="9"/>
  <c r="N1472" i="9"/>
  <c r="O1472" i="9" s="1"/>
  <c r="T1480" i="9"/>
  <c r="N1480" i="9"/>
  <c r="O1480" i="9" s="1"/>
  <c r="U1484" i="9"/>
  <c r="V1484" i="9" s="1"/>
  <c r="U1492" i="9"/>
  <c r="V1492" i="9" s="1"/>
  <c r="T1500" i="9"/>
  <c r="N1500" i="9"/>
  <c r="O1500" i="9" s="1"/>
  <c r="T1506" i="9"/>
  <c r="N1506" i="9"/>
  <c r="O1506" i="9" s="1"/>
  <c r="U1516" i="9"/>
  <c r="V1516" i="9" s="1"/>
  <c r="U1523" i="9"/>
  <c r="V1523" i="9" s="1"/>
  <c r="U1530" i="9"/>
  <c r="V1530" i="9" s="1"/>
  <c r="T1546" i="9"/>
  <c r="N1546" i="9"/>
  <c r="O1546" i="9" s="1"/>
  <c r="U1555" i="9"/>
  <c r="V1555" i="9" s="1"/>
  <c r="T1560" i="9"/>
  <c r="N1560" i="9"/>
  <c r="O1560" i="9" s="1"/>
  <c r="M1560" i="9"/>
  <c r="V1561" i="9"/>
  <c r="V1571" i="9"/>
  <c r="U1571" i="9"/>
  <c r="U1578" i="9"/>
  <c r="V1578" i="9" s="1"/>
  <c r="U1586" i="9"/>
  <c r="V1586" i="9" s="1"/>
  <c r="V1589" i="9"/>
  <c r="U1589" i="9"/>
  <c r="T1594" i="9"/>
  <c r="N1594" i="9"/>
  <c r="O1594" i="9" s="1"/>
  <c r="M1594" i="9"/>
  <c r="U1597" i="9"/>
  <c r="V1597" i="9" s="1"/>
  <c r="U1604" i="9"/>
  <c r="V1604" i="9" s="1"/>
  <c r="T1608" i="9"/>
  <c r="N1608" i="9"/>
  <c r="O1608" i="9" s="1"/>
  <c r="M1608" i="9"/>
  <c r="U1615" i="9"/>
  <c r="V1615" i="9" s="1"/>
  <c r="T1619" i="9"/>
  <c r="N1619" i="9"/>
  <c r="O1619" i="9" s="1"/>
  <c r="M1619" i="9"/>
  <c r="T1627" i="9"/>
  <c r="N1627" i="9"/>
  <c r="O1627" i="9" s="1"/>
  <c r="M1627" i="9"/>
  <c r="U1630" i="9"/>
  <c r="V1630" i="9" s="1"/>
  <c r="T1633" i="9"/>
  <c r="N1633" i="9"/>
  <c r="O1633" i="9" s="1"/>
  <c r="V1637" i="9"/>
  <c r="U1637" i="9"/>
  <c r="T1647" i="9"/>
  <c r="N1647" i="9"/>
  <c r="O1647" i="9" s="1"/>
  <c r="T1655" i="9"/>
  <c r="N1655" i="9"/>
  <c r="O1655" i="9" s="1"/>
  <c r="T1660" i="9"/>
  <c r="N1660" i="9"/>
  <c r="O1660" i="9" s="1"/>
  <c r="U1674" i="9"/>
  <c r="V1674" i="9" s="1"/>
  <c r="T1679" i="9"/>
  <c r="N1679" i="9"/>
  <c r="O1679" i="9" s="1"/>
  <c r="P1679" i="9"/>
  <c r="U1682" i="9"/>
  <c r="V1682" i="9" s="1"/>
  <c r="U1699" i="9"/>
  <c r="V1699" i="9" s="1"/>
  <c r="T1704" i="9"/>
  <c r="N1704" i="9"/>
  <c r="O1704" i="9" s="1"/>
  <c r="M1704" i="9"/>
  <c r="P1704" i="9"/>
  <c r="U1705" i="9"/>
  <c r="V1705" i="9" s="1"/>
  <c r="T1710" i="9"/>
  <c r="N1710" i="9"/>
  <c r="O1710" i="9" s="1"/>
  <c r="M1710" i="9"/>
  <c r="P1710" i="9"/>
  <c r="V1725" i="9"/>
  <c r="T1730" i="9"/>
  <c r="N1730" i="9"/>
  <c r="O1730" i="9" s="1"/>
  <c r="P1730" i="9"/>
  <c r="M1730" i="9"/>
  <c r="U1738" i="9"/>
  <c r="V1738" i="9" s="1"/>
  <c r="U1763" i="9"/>
  <c r="V1763" i="9" s="1"/>
  <c r="U1766" i="9"/>
  <c r="V1766" i="9" s="1"/>
  <c r="T1770" i="9"/>
  <c r="N1770" i="9"/>
  <c r="O1770" i="9" s="1"/>
  <c r="M1770" i="9"/>
  <c r="P1770" i="9"/>
  <c r="U1771" i="9"/>
  <c r="V1771" i="9" s="1"/>
  <c r="T1776" i="9"/>
  <c r="N1776" i="9"/>
  <c r="O1776" i="9" s="1"/>
  <c r="M1776" i="9"/>
  <c r="P1776" i="9"/>
  <c r="T1778" i="9"/>
  <c r="N1778" i="9"/>
  <c r="O1778" i="9" s="1"/>
  <c r="M1778" i="9"/>
  <c r="P1778" i="9"/>
  <c r="U1779" i="9"/>
  <c r="V1779" i="9" s="1"/>
  <c r="T1784" i="9"/>
  <c r="N1784" i="9"/>
  <c r="O1784" i="9" s="1"/>
  <c r="M1784" i="9"/>
  <c r="P1784" i="9"/>
  <c r="T1786" i="9"/>
  <c r="N1786" i="9"/>
  <c r="O1786" i="9" s="1"/>
  <c r="M1786" i="9"/>
  <c r="P1786" i="9"/>
  <c r="U1787" i="9"/>
  <c r="V1787" i="9" s="1"/>
  <c r="U1788" i="9"/>
  <c r="V1788" i="9" s="1"/>
  <c r="U1887" i="9"/>
  <c r="V1887" i="9" s="1"/>
  <c r="U2017" i="9"/>
  <c r="V2017" i="9" s="1"/>
  <c r="U2123" i="9"/>
  <c r="V2123" i="9" s="1"/>
  <c r="P1278" i="9"/>
  <c r="P1280" i="9"/>
  <c r="P1315" i="9"/>
  <c r="P1321" i="9"/>
  <c r="P1343" i="9"/>
  <c r="U1351" i="9"/>
  <c r="V1351" i="9" s="1"/>
  <c r="U1355" i="9"/>
  <c r="V1355" i="9" s="1"/>
  <c r="U1359" i="9"/>
  <c r="V1359" i="9" s="1"/>
  <c r="U1363" i="9"/>
  <c r="V1363" i="9" s="1"/>
  <c r="U1373" i="9"/>
  <c r="V1373" i="9" s="1"/>
  <c r="P1375" i="9"/>
  <c r="U1376" i="9"/>
  <c r="V1376" i="9" s="1"/>
  <c r="U1380" i="9"/>
  <c r="V1380" i="9" s="1"/>
  <c r="P1382" i="9"/>
  <c r="P1384" i="9"/>
  <c r="U1385" i="9"/>
  <c r="V1385" i="9" s="1"/>
  <c r="M1386" i="9"/>
  <c r="U1388" i="9"/>
  <c r="V1388" i="9" s="1"/>
  <c r="P1390" i="9"/>
  <c r="U1391" i="9"/>
  <c r="V1391" i="9" s="1"/>
  <c r="U1395" i="9"/>
  <c r="V1395" i="9" s="1"/>
  <c r="U1398" i="9"/>
  <c r="V1398" i="9" s="1"/>
  <c r="M1399" i="9"/>
  <c r="U1400" i="9"/>
  <c r="M1401" i="9"/>
  <c r="P1404" i="9"/>
  <c r="P1406" i="9"/>
  <c r="U1410" i="9"/>
  <c r="V1410" i="9" s="1"/>
  <c r="M1411" i="9"/>
  <c r="U1412" i="9"/>
  <c r="V1412" i="9" s="1"/>
  <c r="M1413" i="9"/>
  <c r="U1414" i="9"/>
  <c r="V1414" i="9" s="1"/>
  <c r="M1415" i="9"/>
  <c r="U1416" i="9"/>
  <c r="V1416" i="9" s="1"/>
  <c r="U1420" i="9"/>
  <c r="V1420" i="9" s="1"/>
  <c r="U1424" i="9"/>
  <c r="V1424" i="9" s="1"/>
  <c r="U1427" i="9"/>
  <c r="V1427" i="9" s="1"/>
  <c r="P1429" i="9"/>
  <c r="U1430" i="9"/>
  <c r="V1430" i="9" s="1"/>
  <c r="U1434" i="9"/>
  <c r="V1434" i="9" s="1"/>
  <c r="U1437" i="9"/>
  <c r="V1437" i="9" s="1"/>
  <c r="P1445" i="9"/>
  <c r="U1448" i="9"/>
  <c r="U1452" i="9"/>
  <c r="V1452" i="9" s="1"/>
  <c r="M1453" i="9"/>
  <c r="U1454" i="9"/>
  <c r="V1454" i="9" s="1"/>
  <c r="U1466" i="9"/>
  <c r="U1469" i="9"/>
  <c r="V1469" i="9" s="1"/>
  <c r="M1472" i="9"/>
  <c r="T1474" i="9"/>
  <c r="N1474" i="9"/>
  <c r="O1474" i="9" s="1"/>
  <c r="U1477" i="9"/>
  <c r="V1477" i="9" s="1"/>
  <c r="M1480" i="9"/>
  <c r="T1483" i="9"/>
  <c r="N1483" i="9"/>
  <c r="O1483" i="9" s="1"/>
  <c r="M1483" i="9"/>
  <c r="U1486" i="9"/>
  <c r="V1486" i="9" s="1"/>
  <c r="M1500" i="9"/>
  <c r="U1502" i="9"/>
  <c r="V1502" i="9" s="1"/>
  <c r="T1504" i="9"/>
  <c r="N1504" i="9"/>
  <c r="O1504" i="9" s="1"/>
  <c r="M1504" i="9"/>
  <c r="M1506" i="9"/>
  <c r="U1508" i="9"/>
  <c r="V1508" i="9" s="1"/>
  <c r="U1535" i="9"/>
  <c r="V1535" i="9" s="1"/>
  <c r="V1539" i="9"/>
  <c r="U1539" i="9"/>
  <c r="M1546" i="9"/>
  <c r="U1548" i="9"/>
  <c r="V1548" i="9" s="1"/>
  <c r="U1551" i="9"/>
  <c r="V1551" i="9" s="1"/>
  <c r="T1553" i="9"/>
  <c r="N1553" i="9"/>
  <c r="O1553" i="9" s="1"/>
  <c r="M1553" i="9"/>
  <c r="U1561" i="9"/>
  <c r="U1568" i="9"/>
  <c r="V1568" i="9" s="1"/>
  <c r="V1591" i="9"/>
  <c r="U1591" i="9"/>
  <c r="T1596" i="9"/>
  <c r="N1596" i="9"/>
  <c r="O1596" i="9" s="1"/>
  <c r="M1596" i="9"/>
  <c r="U1609" i="9"/>
  <c r="V1609" i="9" s="1"/>
  <c r="U1612" i="9"/>
  <c r="V1612" i="9" s="1"/>
  <c r="U1620" i="9"/>
  <c r="V1620" i="9" s="1"/>
  <c r="T1629" i="9"/>
  <c r="N1629" i="9"/>
  <c r="O1629" i="9" s="1"/>
  <c r="M1629" i="9"/>
  <c r="V1632" i="9"/>
  <c r="M1633" i="9"/>
  <c r="T1636" i="9"/>
  <c r="N1636" i="9"/>
  <c r="O1636" i="9" s="1"/>
  <c r="M1636" i="9"/>
  <c r="T1640" i="9"/>
  <c r="N1640" i="9"/>
  <c r="O1640" i="9" s="1"/>
  <c r="U1643" i="9"/>
  <c r="V1643" i="9" s="1"/>
  <c r="T1645" i="9"/>
  <c r="N1645" i="9"/>
  <c r="O1645" i="9" s="1"/>
  <c r="M1645" i="9"/>
  <c r="V1646" i="9"/>
  <c r="M1647" i="9"/>
  <c r="T1649" i="9"/>
  <c r="N1649" i="9"/>
  <c r="O1649" i="9" s="1"/>
  <c r="V1654" i="9"/>
  <c r="M1655" i="9"/>
  <c r="U1657" i="9"/>
  <c r="V1657" i="9" s="1"/>
  <c r="V1659" i="9"/>
  <c r="M1660" i="9"/>
  <c r="T1662" i="9"/>
  <c r="N1662" i="9"/>
  <c r="O1662" i="9" s="1"/>
  <c r="U1672" i="9"/>
  <c r="V1672" i="9" s="1"/>
  <c r="T1677" i="9"/>
  <c r="N1677" i="9"/>
  <c r="O1677" i="9" s="1"/>
  <c r="P1677" i="9"/>
  <c r="M1679" i="9"/>
  <c r="U1680" i="9"/>
  <c r="V1680" i="9" s="1"/>
  <c r="U1685" i="9"/>
  <c r="V1685" i="9" s="1"/>
  <c r="T1693" i="9"/>
  <c r="N1693" i="9"/>
  <c r="O1693" i="9" s="1"/>
  <c r="M1693" i="9"/>
  <c r="P1699" i="9"/>
  <c r="N1699" i="9"/>
  <c r="O1699" i="9" s="1"/>
  <c r="T1702" i="9"/>
  <c r="N1702" i="9"/>
  <c r="O1702" i="9" s="1"/>
  <c r="M1702" i="9"/>
  <c r="T1717" i="9"/>
  <c r="N1717" i="9"/>
  <c r="O1717" i="9" s="1"/>
  <c r="P1717" i="9"/>
  <c r="M1717" i="9"/>
  <c r="U1719" i="9"/>
  <c r="V1719" i="9" s="1"/>
  <c r="U1725" i="9"/>
  <c r="T1728" i="9"/>
  <c r="N1728" i="9"/>
  <c r="O1728" i="9" s="1"/>
  <c r="P1728" i="9"/>
  <c r="T1747" i="9"/>
  <c r="N1747" i="9"/>
  <c r="O1747" i="9" s="1"/>
  <c r="P1747" i="9"/>
  <c r="U1749" i="9"/>
  <c r="V1749" i="9" s="1"/>
  <c r="U1805" i="9"/>
  <c r="V1805" i="9" s="1"/>
  <c r="V1842" i="9"/>
  <c r="U1842" i="9"/>
  <c r="T1855" i="9"/>
  <c r="N1855" i="9"/>
  <c r="O1855" i="9" s="1"/>
  <c r="P1855" i="9"/>
  <c r="U2011" i="9"/>
  <c r="V2011" i="9"/>
  <c r="N1386" i="9"/>
  <c r="O1386" i="9" s="1"/>
  <c r="N1399" i="9"/>
  <c r="O1399" i="9" s="1"/>
  <c r="N1401" i="9"/>
  <c r="O1401" i="9" s="1"/>
  <c r="N1411" i="9"/>
  <c r="O1411" i="9" s="1"/>
  <c r="N1413" i="9"/>
  <c r="O1413" i="9" s="1"/>
  <c r="N1415" i="9"/>
  <c r="O1415" i="9" s="1"/>
  <c r="N1453" i="9"/>
  <c r="O1453" i="9" s="1"/>
  <c r="T1462" i="9"/>
  <c r="N1462" i="9"/>
  <c r="O1462" i="9" s="1"/>
  <c r="T1464" i="9"/>
  <c r="N1464" i="9"/>
  <c r="O1464" i="9" s="1"/>
  <c r="P1472" i="9"/>
  <c r="V1473" i="9"/>
  <c r="M1474" i="9"/>
  <c r="T1476" i="9"/>
  <c r="N1476" i="9"/>
  <c r="O1476" i="9" s="1"/>
  <c r="U1479" i="9"/>
  <c r="V1479" i="9" s="1"/>
  <c r="P1480" i="9"/>
  <c r="T1485" i="9"/>
  <c r="N1485" i="9"/>
  <c r="O1485" i="9" s="1"/>
  <c r="M1485" i="9"/>
  <c r="U1488" i="9"/>
  <c r="V1488" i="9" s="1"/>
  <c r="U1491" i="9"/>
  <c r="V1491" i="9" s="1"/>
  <c r="U1496" i="9"/>
  <c r="V1496" i="9" s="1"/>
  <c r="U1499" i="9"/>
  <c r="V1499" i="9" s="1"/>
  <c r="P1500" i="9"/>
  <c r="U1505" i="9"/>
  <c r="V1505" i="9" s="1"/>
  <c r="P1506" i="9"/>
  <c r="V1512" i="9"/>
  <c r="U1512" i="9"/>
  <c r="U1515" i="9"/>
  <c r="V1515" i="9" s="1"/>
  <c r="U1519" i="9"/>
  <c r="V1519" i="9" s="1"/>
  <c r="U1522" i="9"/>
  <c r="V1522" i="9" s="1"/>
  <c r="V1527" i="9"/>
  <c r="U1527" i="9"/>
  <c r="T1534" i="9"/>
  <c r="N1534" i="9"/>
  <c r="O1534" i="9" s="1"/>
  <c r="U1542" i="9"/>
  <c r="V1542" i="9" s="1"/>
  <c r="U1545" i="9"/>
  <c r="V1545" i="9" s="1"/>
  <c r="P1546" i="9"/>
  <c r="V1547" i="9"/>
  <c r="U1554" i="9"/>
  <c r="V1554" i="9" s="1"/>
  <c r="V1559" i="9"/>
  <c r="U1559" i="9"/>
  <c r="P1560" i="9"/>
  <c r="U1570" i="9"/>
  <c r="V1570" i="9" s="1"/>
  <c r="U1575" i="9"/>
  <c r="V1575" i="9" s="1"/>
  <c r="U1582" i="9"/>
  <c r="V1582" i="9" s="1"/>
  <c r="U1585" i="9"/>
  <c r="V1585" i="9" s="1"/>
  <c r="T1590" i="9"/>
  <c r="N1590" i="9"/>
  <c r="O1590" i="9" s="1"/>
  <c r="M1590" i="9"/>
  <c r="U1593" i="9"/>
  <c r="V1593" i="9" s="1"/>
  <c r="P1594" i="9"/>
  <c r="U1601" i="9"/>
  <c r="V1601" i="9" s="1"/>
  <c r="U1607" i="9"/>
  <c r="V1607" i="9" s="1"/>
  <c r="P1608" i="9"/>
  <c r="U1614" i="9"/>
  <c r="V1614" i="9" s="1"/>
  <c r="V1618" i="9"/>
  <c r="U1618" i="9"/>
  <c r="P1619" i="9"/>
  <c r="P1627" i="9"/>
  <c r="P1633" i="9"/>
  <c r="T1638" i="9"/>
  <c r="N1638" i="9"/>
  <c r="O1638" i="9" s="1"/>
  <c r="M1638" i="9"/>
  <c r="V1639" i="9"/>
  <c r="T1642" i="9"/>
  <c r="N1642" i="9"/>
  <c r="O1642" i="9" s="1"/>
  <c r="P1647" i="9"/>
  <c r="V1648" i="9"/>
  <c r="T1651" i="9"/>
  <c r="N1651" i="9"/>
  <c r="O1651" i="9" s="1"/>
  <c r="P1655" i="9"/>
  <c r="P1660" i="9"/>
  <c r="V1661" i="9"/>
  <c r="T1664" i="9"/>
  <c r="N1664" i="9"/>
  <c r="O1664" i="9" s="1"/>
  <c r="V1669" i="9"/>
  <c r="V1671" i="9"/>
  <c r="T1675" i="9"/>
  <c r="N1675" i="9"/>
  <c r="O1675" i="9" s="1"/>
  <c r="P1675" i="9"/>
  <c r="P1688" i="9"/>
  <c r="N1688" i="9"/>
  <c r="O1688" i="9" s="1"/>
  <c r="T1691" i="9"/>
  <c r="N1691" i="9"/>
  <c r="O1691" i="9" s="1"/>
  <c r="M1691" i="9"/>
  <c r="V1698" i="9"/>
  <c r="U1707" i="9"/>
  <c r="V1707" i="9" s="1"/>
  <c r="U1714" i="9"/>
  <c r="V1714" i="9" s="1"/>
  <c r="V1722" i="9"/>
  <c r="V1740" i="9"/>
  <c r="U1740" i="9"/>
  <c r="V1752" i="9"/>
  <c r="V1757" i="9"/>
  <c r="U1762" i="9"/>
  <c r="V1762" i="9" s="1"/>
  <c r="U1773" i="9"/>
  <c r="V1773" i="9" s="1"/>
  <c r="U1781" i="9"/>
  <c r="V1781" i="9" s="1"/>
  <c r="T1795" i="9"/>
  <c r="N1795" i="9"/>
  <c r="O1795" i="9" s="1"/>
  <c r="P1795" i="9"/>
  <c r="T1803" i="9"/>
  <c r="N1803" i="9"/>
  <c r="O1803" i="9" s="1"/>
  <c r="P1803" i="9"/>
  <c r="M1803" i="9"/>
  <c r="V1827" i="9"/>
  <c r="U1851" i="9"/>
  <c r="V1851" i="9" s="1"/>
  <c r="U1865" i="9"/>
  <c r="V1865" i="9" s="1"/>
  <c r="U1873" i="9"/>
  <c r="V1873" i="9" s="1"/>
  <c r="V1881" i="9"/>
  <c r="U1881" i="9"/>
  <c r="U1933" i="9"/>
  <c r="V1933" i="9" s="1"/>
  <c r="V1955" i="9"/>
  <c r="U1960" i="9"/>
  <c r="V1960" i="9"/>
  <c r="U1961" i="9"/>
  <c r="V1961" i="9"/>
  <c r="U1978" i="9"/>
  <c r="V1978" i="9"/>
  <c r="P1471" i="9"/>
  <c r="P1473" i="9"/>
  <c r="P1475" i="9"/>
  <c r="P1477" i="9"/>
  <c r="P1479" i="9"/>
  <c r="P1535" i="9"/>
  <c r="P1547" i="9"/>
  <c r="P1570" i="9"/>
  <c r="P1588" i="9"/>
  <c r="P1612" i="9"/>
  <c r="P1614" i="9"/>
  <c r="P1623" i="9"/>
  <c r="P1632" i="9"/>
  <c r="P1641" i="9"/>
  <c r="P1643" i="9"/>
  <c r="P1648" i="9"/>
  <c r="P1650" i="9"/>
  <c r="P1652" i="9"/>
  <c r="P1654" i="9"/>
  <c r="P1659" i="9"/>
  <c r="P1661" i="9"/>
  <c r="P1663" i="9"/>
  <c r="P1665" i="9"/>
  <c r="V1701" i="9"/>
  <c r="T1706" i="9"/>
  <c r="N1706" i="9"/>
  <c r="O1706" i="9" s="1"/>
  <c r="M1706" i="9"/>
  <c r="U1709" i="9"/>
  <c r="V1709" i="9" s="1"/>
  <c r="U1732" i="9"/>
  <c r="V1732" i="9" s="1"/>
  <c r="U1735" i="9"/>
  <c r="V1735" i="9" s="1"/>
  <c r="T1739" i="9"/>
  <c r="N1739" i="9"/>
  <c r="O1739" i="9" s="1"/>
  <c r="M1739" i="9"/>
  <c r="U1743" i="9"/>
  <c r="V1743" i="9" s="1"/>
  <c r="T1764" i="9"/>
  <c r="N1764" i="9"/>
  <c r="O1764" i="9" s="1"/>
  <c r="M1764" i="9"/>
  <c r="T1772" i="9"/>
  <c r="N1772" i="9"/>
  <c r="O1772" i="9" s="1"/>
  <c r="M1772" i="9"/>
  <c r="T1780" i="9"/>
  <c r="N1780" i="9"/>
  <c r="O1780" i="9" s="1"/>
  <c r="M1780" i="9"/>
  <c r="M1788" i="9"/>
  <c r="P1788" i="9"/>
  <c r="V1794" i="9"/>
  <c r="U1794" i="9"/>
  <c r="U1836" i="9"/>
  <c r="V1836" i="9" s="1"/>
  <c r="U1849" i="9"/>
  <c r="V1849" i="9" s="1"/>
  <c r="U1854" i="9"/>
  <c r="V1854" i="9" s="1"/>
  <c r="T1861" i="9"/>
  <c r="N1861" i="9"/>
  <c r="O1861" i="9" s="1"/>
  <c r="M1861" i="9"/>
  <c r="P1861" i="9"/>
  <c r="U1901" i="9"/>
  <c r="V1901" i="9"/>
  <c r="U1902" i="9"/>
  <c r="V1902" i="9" s="1"/>
  <c r="U1917" i="9"/>
  <c r="V1917" i="9"/>
  <c r="U1974" i="9"/>
  <c r="V1974" i="9"/>
  <c r="U2000" i="9"/>
  <c r="V2000" i="9"/>
  <c r="U2035" i="9"/>
  <c r="V2035" i="9" s="1"/>
  <c r="U2046" i="9"/>
  <c r="V2046" i="9" s="1"/>
  <c r="T2059" i="9"/>
  <c r="N2059" i="9"/>
  <c r="O2059" i="9" s="1"/>
  <c r="M2059" i="9"/>
  <c r="T1670" i="9"/>
  <c r="N1670" i="9"/>
  <c r="O1670" i="9" s="1"/>
  <c r="U1690" i="9"/>
  <c r="V1690" i="9" s="1"/>
  <c r="U1692" i="9"/>
  <c r="V1692" i="9" s="1"/>
  <c r="M1695" i="9"/>
  <c r="N1696" i="9"/>
  <c r="O1696" i="9" s="1"/>
  <c r="T1696" i="9"/>
  <c r="U1701" i="9"/>
  <c r="U1703" i="9"/>
  <c r="V1703" i="9" s="1"/>
  <c r="T1708" i="9"/>
  <c r="N1708" i="9"/>
  <c r="O1708" i="9" s="1"/>
  <c r="M1708" i="9"/>
  <c r="U1716" i="9"/>
  <c r="V1716" i="9" s="1"/>
  <c r="U1723" i="9"/>
  <c r="V1723" i="9" s="1"/>
  <c r="T1726" i="9"/>
  <c r="N1726" i="9"/>
  <c r="O1726" i="9" s="1"/>
  <c r="U1729" i="9"/>
  <c r="V1729" i="9" s="1"/>
  <c r="V1731" i="9"/>
  <c r="V1734" i="9"/>
  <c r="T1741" i="9"/>
  <c r="N1741" i="9"/>
  <c r="O1741" i="9" s="1"/>
  <c r="M1741" i="9"/>
  <c r="V1742" i="9"/>
  <c r="U1750" i="9"/>
  <c r="V1750" i="9" s="1"/>
  <c r="T1753" i="9"/>
  <c r="N1753" i="9"/>
  <c r="O1753" i="9" s="1"/>
  <c r="U1758" i="9"/>
  <c r="V1758" i="9" s="1"/>
  <c r="U1765" i="9"/>
  <c r="V1765" i="9" s="1"/>
  <c r="T1774" i="9"/>
  <c r="N1774" i="9"/>
  <c r="O1774" i="9" s="1"/>
  <c r="M1774" i="9"/>
  <c r="U1777" i="9"/>
  <c r="V1777" i="9" s="1"/>
  <c r="T1782" i="9"/>
  <c r="N1782" i="9"/>
  <c r="O1782" i="9" s="1"/>
  <c r="M1782" i="9"/>
  <c r="U1785" i="9"/>
  <c r="V1785" i="9" s="1"/>
  <c r="N1788" i="9"/>
  <c r="O1788" i="9" s="1"/>
  <c r="N1789" i="9"/>
  <c r="O1789" i="9" s="1"/>
  <c r="T1789" i="9"/>
  <c r="M1789" i="9"/>
  <c r="M1790" i="9"/>
  <c r="T1790" i="9"/>
  <c r="N1790" i="9"/>
  <c r="O1790" i="9" s="1"/>
  <c r="V1792" i="9"/>
  <c r="T1797" i="9"/>
  <c r="N1797" i="9"/>
  <c r="O1797" i="9" s="1"/>
  <c r="P1797" i="9"/>
  <c r="M1797" i="9"/>
  <c r="U1802" i="9"/>
  <c r="V1802" i="9" s="1"/>
  <c r="T1809" i="9"/>
  <c r="N1809" i="9"/>
  <c r="O1809" i="9" s="1"/>
  <c r="M1809" i="9"/>
  <c r="P1809" i="9"/>
  <c r="U1814" i="9"/>
  <c r="V1814" i="9" s="1"/>
  <c r="U1821" i="9"/>
  <c r="V1821" i="9" s="1"/>
  <c r="U1824" i="9"/>
  <c r="V1824" i="9" s="1"/>
  <c r="V1852" i="9"/>
  <c r="U1852" i="9"/>
  <c r="V1857" i="9"/>
  <c r="V1868" i="9"/>
  <c r="V1876" i="9"/>
  <c r="U1888" i="9"/>
  <c r="V1888" i="9" s="1"/>
  <c r="U1913" i="9"/>
  <c r="V1913" i="9" s="1"/>
  <c r="U1967" i="9"/>
  <c r="V1967" i="9"/>
  <c r="V1988" i="9"/>
  <c r="M1992" i="9"/>
  <c r="P1992" i="9"/>
  <c r="N1992" i="9"/>
  <c r="O1992" i="9" s="1"/>
  <c r="T1992" i="9"/>
  <c r="V1994" i="9"/>
  <c r="V2030" i="9"/>
  <c r="U2050" i="9"/>
  <c r="V2050" i="9" s="1"/>
  <c r="P2059" i="9"/>
  <c r="P1716" i="9"/>
  <c r="P1725" i="9"/>
  <c r="P1727" i="9"/>
  <c r="P1729" i="9"/>
  <c r="P1731" i="9"/>
  <c r="P1734" i="9"/>
  <c r="P1752" i="9"/>
  <c r="P1754" i="9"/>
  <c r="P1762" i="9"/>
  <c r="T1791" i="9"/>
  <c r="N1791" i="9"/>
  <c r="O1791" i="9" s="1"/>
  <c r="V1796" i="9"/>
  <c r="U1799" i="9"/>
  <c r="V1799" i="9" s="1"/>
  <c r="U1808" i="9"/>
  <c r="V1808" i="9" s="1"/>
  <c r="U1833" i="9"/>
  <c r="V1833" i="9" s="1"/>
  <c r="U1839" i="9"/>
  <c r="V1839" i="9" s="1"/>
  <c r="U1846" i="9"/>
  <c r="V1846" i="9" s="1"/>
  <c r="U1860" i="9"/>
  <c r="V1860" i="9" s="1"/>
  <c r="U1884" i="9"/>
  <c r="V1884" i="9" s="1"/>
  <c r="T1892" i="9"/>
  <c r="N1892" i="9"/>
  <c r="O1892" i="9" s="1"/>
  <c r="M1902" i="9"/>
  <c r="P1902" i="9"/>
  <c r="U1951" i="9"/>
  <c r="V1951" i="9"/>
  <c r="M1961" i="9"/>
  <c r="P1961" i="9"/>
  <c r="U1985" i="9"/>
  <c r="V1985" i="9"/>
  <c r="U2008" i="9"/>
  <c r="V2008" i="9"/>
  <c r="M2024" i="9"/>
  <c r="P2024" i="9"/>
  <c r="N2024" i="9"/>
  <c r="O2024" i="9" s="1"/>
  <c r="M2025" i="9"/>
  <c r="P2025" i="9"/>
  <c r="V2086" i="9"/>
  <c r="V2100" i="9"/>
  <c r="M1791" i="9"/>
  <c r="T1793" i="9"/>
  <c r="N1793" i="9"/>
  <c r="O1793" i="9" s="1"/>
  <c r="U1796" i="9"/>
  <c r="V1798" i="9"/>
  <c r="T1806" i="9"/>
  <c r="N1806" i="9"/>
  <c r="O1806" i="9" s="1"/>
  <c r="U1810" i="9"/>
  <c r="V1810" i="9" s="1"/>
  <c r="U1813" i="9"/>
  <c r="V1813" i="9" s="1"/>
  <c r="U1820" i="9"/>
  <c r="V1820" i="9" s="1"/>
  <c r="U1825" i="9"/>
  <c r="V1825" i="9" s="1"/>
  <c r="T1828" i="9"/>
  <c r="N1828" i="9"/>
  <c r="O1828" i="9" s="1"/>
  <c r="V1845" i="9"/>
  <c r="T1858" i="9"/>
  <c r="N1858" i="9"/>
  <c r="O1858" i="9" s="1"/>
  <c r="U1862" i="9"/>
  <c r="V1862" i="9" s="1"/>
  <c r="U1869" i="9"/>
  <c r="V1869" i="9" s="1"/>
  <c r="U1872" i="9"/>
  <c r="V1872" i="9" s="1"/>
  <c r="U1877" i="9"/>
  <c r="V1877" i="9" s="1"/>
  <c r="U1880" i="9"/>
  <c r="V1880" i="9" s="1"/>
  <c r="T1882" i="9"/>
  <c r="N1882" i="9"/>
  <c r="O1882" i="9" s="1"/>
  <c r="M1882" i="9"/>
  <c r="V1883" i="9"/>
  <c r="V1891" i="9"/>
  <c r="M1892" i="9"/>
  <c r="N1902" i="9"/>
  <c r="O1902" i="9" s="1"/>
  <c r="M1906" i="9"/>
  <c r="P1906" i="9"/>
  <c r="N1906" i="9"/>
  <c r="O1906" i="9" s="1"/>
  <c r="V1926" i="9"/>
  <c r="U1928" i="9"/>
  <c r="V1928" i="9" s="1"/>
  <c r="M1933" i="9"/>
  <c r="P1933" i="9"/>
  <c r="N1933" i="9"/>
  <c r="O1933" i="9" s="1"/>
  <c r="M1934" i="9"/>
  <c r="P1934" i="9"/>
  <c r="V1934" i="9"/>
  <c r="V1945" i="9"/>
  <c r="N1961" i="9"/>
  <c r="O1961" i="9" s="1"/>
  <c r="M1968" i="9"/>
  <c r="P1968" i="9"/>
  <c r="V1968" i="9"/>
  <c r="U1972" i="9"/>
  <c r="V1972" i="9" s="1"/>
  <c r="M1978" i="9"/>
  <c r="P1978" i="9"/>
  <c r="N1978" i="9"/>
  <c r="O1978" i="9" s="1"/>
  <c r="M1979" i="9"/>
  <c r="P1979" i="9"/>
  <c r="V1979" i="9"/>
  <c r="V2002" i="9"/>
  <c r="V2019" i="9"/>
  <c r="N2025" i="9"/>
  <c r="O2025" i="9" s="1"/>
  <c r="U2063" i="9"/>
  <c r="V2063" i="9" s="1"/>
  <c r="U2069" i="9"/>
  <c r="V2069" i="9" s="1"/>
  <c r="P1792" i="9"/>
  <c r="P1794" i="9"/>
  <c r="P1796" i="9"/>
  <c r="P1798" i="9"/>
  <c r="P1827" i="9"/>
  <c r="P1832" i="9"/>
  <c r="P1851" i="9"/>
  <c r="P1854" i="9"/>
  <c r="P1893" i="9"/>
  <c r="T1899" i="9"/>
  <c r="T1905" i="9"/>
  <c r="T1911" i="9"/>
  <c r="U1916" i="9"/>
  <c r="V1916" i="9" s="1"/>
  <c r="T1932" i="9"/>
  <c r="T1937" i="9"/>
  <c r="T1941" i="9"/>
  <c r="T1970" i="9"/>
  <c r="T1977" i="9"/>
  <c r="U2043" i="9"/>
  <c r="V2043" i="9" s="1"/>
  <c r="U2054" i="9"/>
  <c r="V2054" i="9" s="1"/>
  <c r="U2073" i="9"/>
  <c r="V2073" i="9" s="1"/>
  <c r="T2077" i="9"/>
  <c r="N2077" i="9"/>
  <c r="O2077" i="9" s="1"/>
  <c r="M2077" i="9"/>
  <c r="P2077" i="9"/>
  <c r="U2078" i="9"/>
  <c r="V2078" i="9" s="1"/>
  <c r="U2111" i="9"/>
  <c r="V2111" i="9" s="1"/>
  <c r="U2113" i="9"/>
  <c r="V2113" i="9" s="1"/>
  <c r="T2140" i="9"/>
  <c r="N2140" i="9"/>
  <c r="O2140" i="9" s="1"/>
  <c r="M2140" i="9"/>
  <c r="P2140" i="9"/>
  <c r="U2163" i="9"/>
  <c r="V2163" i="9" s="1"/>
  <c r="T1898" i="9"/>
  <c r="N1899" i="9"/>
  <c r="O1899" i="9" s="1"/>
  <c r="N1905" i="9"/>
  <c r="O1905" i="9" s="1"/>
  <c r="T1910" i="9"/>
  <c r="N1911" i="9"/>
  <c r="O1911" i="9" s="1"/>
  <c r="V1915" i="9"/>
  <c r="V1920" i="9"/>
  <c r="V1921" i="9"/>
  <c r="U1927" i="9"/>
  <c r="V1927" i="9" s="1"/>
  <c r="N1932" i="9"/>
  <c r="O1932" i="9" s="1"/>
  <c r="N1937" i="9"/>
  <c r="O1937" i="9" s="1"/>
  <c r="N1941" i="9"/>
  <c r="O1941" i="9" s="1"/>
  <c r="V1948" i="9"/>
  <c r="V1949" i="9"/>
  <c r="V1958" i="9"/>
  <c r="V1965" i="9"/>
  <c r="T1969" i="9"/>
  <c r="N1970" i="9"/>
  <c r="O1970" i="9" s="1"/>
  <c r="N1977" i="9"/>
  <c r="O1977" i="9" s="1"/>
  <c r="V1983" i="9"/>
  <c r="V1991" i="9"/>
  <c r="V1998" i="9"/>
  <c r="V2006" i="9"/>
  <c r="V2014" i="9"/>
  <c r="V2015" i="9"/>
  <c r="V2022" i="9"/>
  <c r="V2023" i="9"/>
  <c r="V2028" i="9"/>
  <c r="U2039" i="9"/>
  <c r="V2039" i="9" s="1"/>
  <c r="V2117" i="9"/>
  <c r="U2117" i="9"/>
  <c r="U2131" i="9"/>
  <c r="V2131" i="9" s="1"/>
  <c r="U2144" i="9"/>
  <c r="V2144" i="9" s="1"/>
  <c r="U2155" i="9"/>
  <c r="V2155" i="9" s="1"/>
  <c r="T2162" i="9"/>
  <c r="N2162" i="9"/>
  <c r="O2162" i="9" s="1"/>
  <c r="M2162" i="9"/>
  <c r="P2162" i="9"/>
  <c r="P1895" i="9"/>
  <c r="N1896" i="9"/>
  <c r="O1896" i="9" s="1"/>
  <c r="T1896" i="9"/>
  <c r="P1913" i="9"/>
  <c r="P1916" i="9"/>
  <c r="P1927" i="9"/>
  <c r="P1930" i="9"/>
  <c r="N1939" i="9"/>
  <c r="O1939" i="9" s="1"/>
  <c r="T1939" i="9"/>
  <c r="N2029" i="9"/>
  <c r="O2029" i="9" s="1"/>
  <c r="T2029" i="9"/>
  <c r="U2036" i="9"/>
  <c r="V2036" i="9" s="1"/>
  <c r="U2047" i="9"/>
  <c r="V2047" i="9" s="1"/>
  <c r="V2051" i="9"/>
  <c r="U2051" i="9"/>
  <c r="U2055" i="9"/>
  <c r="V2055" i="9" s="1"/>
  <c r="U2060" i="9"/>
  <c r="V2060" i="9" s="1"/>
  <c r="U2064" i="9"/>
  <c r="V2064" i="9" s="1"/>
  <c r="T2081" i="9"/>
  <c r="N2081" i="9"/>
  <c r="O2081" i="9" s="1"/>
  <c r="T2083" i="9"/>
  <c r="N2083" i="9"/>
  <c r="O2083" i="9" s="1"/>
  <c r="M2083" i="9"/>
  <c r="T2090" i="9"/>
  <c r="N2090" i="9"/>
  <c r="O2090" i="9" s="1"/>
  <c r="M2090" i="9"/>
  <c r="U2097" i="9"/>
  <c r="V2097" i="9" s="1"/>
  <c r="T2107" i="9"/>
  <c r="N2107" i="9"/>
  <c r="O2107" i="9" s="1"/>
  <c r="M2107" i="9"/>
  <c r="U2108" i="9"/>
  <c r="V2114" i="9"/>
  <c r="U2114" i="9"/>
  <c r="V2136" i="9"/>
  <c r="V2249" i="9"/>
  <c r="U2249" i="9"/>
  <c r="T2252" i="9"/>
  <c r="N2252" i="9"/>
  <c r="O2252" i="9" s="1"/>
  <c r="P2252" i="9"/>
  <c r="M2252" i="9"/>
  <c r="T2067" i="9"/>
  <c r="N2067" i="9"/>
  <c r="O2067" i="9" s="1"/>
  <c r="U2068" i="9"/>
  <c r="V2068" i="9" s="1"/>
  <c r="U2072" i="9"/>
  <c r="V2072" i="9" s="1"/>
  <c r="V2080" i="9"/>
  <c r="M2081" i="9"/>
  <c r="P2083" i="9"/>
  <c r="U2085" i="9"/>
  <c r="V2085" i="9" s="1"/>
  <c r="P2090" i="9"/>
  <c r="U2091" i="9"/>
  <c r="V2091" i="9" s="1"/>
  <c r="V2093" i="9"/>
  <c r="P2107" i="9"/>
  <c r="T2118" i="9"/>
  <c r="N2118" i="9"/>
  <c r="O2118" i="9" s="1"/>
  <c r="M2118" i="9"/>
  <c r="T2124" i="9"/>
  <c r="N2124" i="9"/>
  <c r="O2124" i="9" s="1"/>
  <c r="M2124" i="9"/>
  <c r="U2139" i="9"/>
  <c r="V2139" i="9" s="1"/>
  <c r="U2176" i="9"/>
  <c r="V2176" i="9" s="1"/>
  <c r="T2247" i="9"/>
  <c r="N2247" i="9"/>
  <c r="O2247" i="9" s="1"/>
  <c r="P2247" i="9"/>
  <c r="M2247" i="9"/>
  <c r="N1913" i="9"/>
  <c r="O1913" i="9" s="1"/>
  <c r="N1916" i="9"/>
  <c r="O1916" i="9" s="1"/>
  <c r="N1927" i="9"/>
  <c r="O1927" i="9" s="1"/>
  <c r="U2032" i="9"/>
  <c r="V2032" i="9" s="1"/>
  <c r="T2040" i="9"/>
  <c r="N2040" i="9"/>
  <c r="O2040" i="9" s="1"/>
  <c r="V2042" i="9"/>
  <c r="T2065" i="9"/>
  <c r="N2065" i="9"/>
  <c r="O2065" i="9" s="1"/>
  <c r="M2065" i="9"/>
  <c r="V2066" i="9"/>
  <c r="T2079" i="9"/>
  <c r="N2079" i="9"/>
  <c r="O2079" i="9" s="1"/>
  <c r="U2089" i="9"/>
  <c r="V2089" i="9" s="1"/>
  <c r="U2094" i="9"/>
  <c r="V2094" i="9" s="1"/>
  <c r="T2098" i="9"/>
  <c r="N2098" i="9"/>
  <c r="O2098" i="9" s="1"/>
  <c r="M2098" i="9"/>
  <c r="U2106" i="9"/>
  <c r="V2106" i="9" s="1"/>
  <c r="T2109" i="9"/>
  <c r="N2109" i="9"/>
  <c r="O2109" i="9" s="1"/>
  <c r="M2109" i="9"/>
  <c r="T2115" i="9"/>
  <c r="N2115" i="9"/>
  <c r="O2115" i="9" s="1"/>
  <c r="M2115" i="9"/>
  <c r="U2126" i="9"/>
  <c r="V2126" i="9" s="1"/>
  <c r="V2128" i="9"/>
  <c r="U2135" i="9"/>
  <c r="V2135" i="9" s="1"/>
  <c r="V2143" i="9"/>
  <c r="P2093" i="9"/>
  <c r="P2113" i="9"/>
  <c r="P2128" i="9"/>
  <c r="P2143" i="9"/>
  <c r="T2147" i="9"/>
  <c r="N2147" i="9"/>
  <c r="O2147" i="9" s="1"/>
  <c r="V2149" i="9"/>
  <c r="U2149" i="9"/>
  <c r="U2152" i="9"/>
  <c r="V2152" i="9" s="1"/>
  <c r="T2168" i="9"/>
  <c r="N2168" i="9"/>
  <c r="O2168" i="9" s="1"/>
  <c r="T2171" i="9"/>
  <c r="N2171" i="9"/>
  <c r="O2171" i="9" s="1"/>
  <c r="M2171" i="9"/>
  <c r="U2172" i="9"/>
  <c r="V2172" i="9" s="1"/>
  <c r="T2187" i="9"/>
  <c r="N2187" i="9"/>
  <c r="O2187" i="9" s="1"/>
  <c r="M2187" i="9"/>
  <c r="U2231" i="9"/>
  <c r="V2231" i="9" s="1"/>
  <c r="U2086" i="9"/>
  <c r="U2092" i="9"/>
  <c r="V2092" i="9" s="1"/>
  <c r="M2093" i="9"/>
  <c r="U2095" i="9"/>
  <c r="V2095" i="9" s="1"/>
  <c r="P2097" i="9"/>
  <c r="U2100" i="9"/>
  <c r="P2102" i="9"/>
  <c r="U2103" i="9"/>
  <c r="V2103" i="9" s="1"/>
  <c r="P2108" i="9"/>
  <c r="U2112" i="9"/>
  <c r="V2112" i="9" s="1"/>
  <c r="M2113" i="9"/>
  <c r="U2120" i="9"/>
  <c r="V2120" i="9" s="1"/>
  <c r="U2127" i="9"/>
  <c r="V2127" i="9" s="1"/>
  <c r="M2128" i="9"/>
  <c r="U2129" i="9"/>
  <c r="V2129" i="9" s="1"/>
  <c r="P2131" i="9"/>
  <c r="U2132" i="9"/>
  <c r="V2132" i="9" s="1"/>
  <c r="U2136" i="9"/>
  <c r="U2142" i="9"/>
  <c r="V2142" i="9" s="1"/>
  <c r="M2143" i="9"/>
  <c r="U2145" i="9"/>
  <c r="V2145" i="9" s="1"/>
  <c r="M2147" i="9"/>
  <c r="U2158" i="9"/>
  <c r="V2158" i="9" s="1"/>
  <c r="U2161" i="9"/>
  <c r="V2161" i="9" s="1"/>
  <c r="M2168" i="9"/>
  <c r="P2171" i="9"/>
  <c r="T2177" i="9"/>
  <c r="N2177" i="9"/>
  <c r="O2177" i="9" s="1"/>
  <c r="M2177" i="9"/>
  <c r="P2187" i="9"/>
  <c r="V2196" i="9"/>
  <c r="U2196" i="9"/>
  <c r="V2206" i="9"/>
  <c r="U2206" i="9"/>
  <c r="U2234" i="9"/>
  <c r="V2234" i="9" s="1"/>
  <c r="T2262" i="9"/>
  <c r="N2262" i="9"/>
  <c r="O2262" i="9" s="1"/>
  <c r="M2262" i="9"/>
  <c r="P2262" i="9"/>
  <c r="N2093" i="9"/>
  <c r="O2093" i="9" s="1"/>
  <c r="N2113" i="9"/>
  <c r="O2113" i="9" s="1"/>
  <c r="N2128" i="9"/>
  <c r="O2128" i="9" s="1"/>
  <c r="N2143" i="9"/>
  <c r="O2143" i="9" s="1"/>
  <c r="U2146" i="9"/>
  <c r="V2146" i="9" s="1"/>
  <c r="U2148" i="9"/>
  <c r="V2148" i="9" s="1"/>
  <c r="U2151" i="9"/>
  <c r="V2151" i="9" s="1"/>
  <c r="T2156" i="9"/>
  <c r="N2156" i="9"/>
  <c r="O2156" i="9" s="1"/>
  <c r="V2160" i="9"/>
  <c r="V2164" i="9"/>
  <c r="U2164" i="9"/>
  <c r="U2167" i="9"/>
  <c r="V2167" i="9" s="1"/>
  <c r="P2168" i="9"/>
  <c r="V2170" i="9"/>
  <c r="U2170" i="9"/>
  <c r="P2177" i="9"/>
  <c r="U2179" i="9"/>
  <c r="V2179" i="9" s="1"/>
  <c r="U2186" i="9"/>
  <c r="V2186" i="9" s="1"/>
  <c r="U2192" i="9"/>
  <c r="V2192" i="9" s="1"/>
  <c r="T2209" i="9"/>
  <c r="N2209" i="9"/>
  <c r="O2209" i="9" s="1"/>
  <c r="P2209" i="9"/>
  <c r="M2209" i="9"/>
  <c r="U2218" i="9"/>
  <c r="V2218" i="9" s="1"/>
  <c r="T2237" i="9"/>
  <c r="N2237" i="9"/>
  <c r="O2237" i="9" s="1"/>
  <c r="P2237" i="9"/>
  <c r="M2237" i="9"/>
  <c r="U2239" i="9"/>
  <c r="V2239" i="9" s="1"/>
  <c r="V2260" i="9"/>
  <c r="U2266" i="9"/>
  <c r="V2266" i="9" s="1"/>
  <c r="U2199" i="9"/>
  <c r="V2199" i="9" s="1"/>
  <c r="U2203" i="9"/>
  <c r="V2203" i="9" s="1"/>
  <c r="V2208" i="9"/>
  <c r="T2211" i="9"/>
  <c r="N2211" i="9"/>
  <c r="O2211" i="9" s="1"/>
  <c r="T2216" i="9"/>
  <c r="N2216" i="9"/>
  <c r="O2216" i="9" s="1"/>
  <c r="M2216" i="9"/>
  <c r="T2228" i="9"/>
  <c r="N2228" i="9"/>
  <c r="O2228" i="9" s="1"/>
  <c r="T2244" i="9"/>
  <c r="N2244" i="9"/>
  <c r="O2244" i="9" s="1"/>
  <c r="V2255" i="9"/>
  <c r="P2151" i="9"/>
  <c r="P2160" i="9"/>
  <c r="P2172" i="9"/>
  <c r="U2173" i="9"/>
  <c r="V2173" i="9" s="1"/>
  <c r="U2180" i="9"/>
  <c r="V2180" i="9" s="1"/>
  <c r="U2189" i="9"/>
  <c r="V2189" i="9" s="1"/>
  <c r="U2193" i="9"/>
  <c r="V2193" i="9" s="1"/>
  <c r="U2197" i="9"/>
  <c r="V2197" i="9" s="1"/>
  <c r="U2205" i="9"/>
  <c r="V2205" i="9" s="1"/>
  <c r="U2208" i="9"/>
  <c r="M2211" i="9"/>
  <c r="U2213" i="9"/>
  <c r="V2213" i="9" s="1"/>
  <c r="U2217" i="9"/>
  <c r="V2217" i="9" s="1"/>
  <c r="U2222" i="9"/>
  <c r="V2222" i="9" s="1"/>
  <c r="T2225" i="9"/>
  <c r="N2225" i="9"/>
  <c r="O2225" i="9" s="1"/>
  <c r="V2227" i="9"/>
  <c r="M2228" i="9"/>
  <c r="U2230" i="9"/>
  <c r="V2230" i="9" s="1"/>
  <c r="U2233" i="9"/>
  <c r="V2233" i="9" s="1"/>
  <c r="M2244" i="9"/>
  <c r="U2246" i="9"/>
  <c r="V2246" i="9" s="1"/>
  <c r="U2251" i="9"/>
  <c r="V2251" i="9" s="1"/>
  <c r="U2261" i="9"/>
  <c r="V2261" i="9" s="1"/>
  <c r="U2265" i="9"/>
  <c r="V2265" i="9" s="1"/>
  <c r="U2198" i="9"/>
  <c r="V2198" i="9" s="1"/>
  <c r="U2202" i="9"/>
  <c r="V2202" i="9" s="1"/>
  <c r="U2210" i="9"/>
  <c r="V2210" i="9" s="1"/>
  <c r="P2211" i="9"/>
  <c r="V2212" i="9"/>
  <c r="U2215" i="9"/>
  <c r="V2215" i="9" s="1"/>
  <c r="P2216" i="9"/>
  <c r="V2221" i="9"/>
  <c r="V2224" i="9"/>
  <c r="M2225" i="9"/>
  <c r="U2227" i="9"/>
  <c r="P2228" i="9"/>
  <c r="U2240" i="9"/>
  <c r="V2240" i="9" s="1"/>
  <c r="U2243" i="9"/>
  <c r="V2243" i="9" s="1"/>
  <c r="P2244" i="9"/>
  <c r="T2250" i="9"/>
  <c r="N2250" i="9"/>
  <c r="O2250" i="9" s="1"/>
  <c r="U2271" i="9"/>
  <c r="V2271" i="9" s="1"/>
  <c r="P2255" i="9"/>
  <c r="T2259" i="9"/>
  <c r="P2260" i="9"/>
  <c r="P2265" i="9"/>
  <c r="N2270" i="9"/>
  <c r="O2270" i="9" s="1"/>
  <c r="T2270" i="9"/>
  <c r="P2271" i="9"/>
  <c r="N2272" i="9"/>
  <c r="O2272" i="9" s="1"/>
  <c r="T2272" i="9"/>
  <c r="P2208" i="9"/>
  <c r="P2210" i="9"/>
  <c r="P2212" i="9"/>
  <c r="P2224" i="9"/>
  <c r="P2233" i="9"/>
  <c r="P2236" i="9"/>
  <c r="P2251" i="9"/>
  <c r="M2255" i="9"/>
  <c r="U2256" i="9"/>
  <c r="V2256" i="9" s="1"/>
  <c r="P2263" i="9"/>
  <c r="U2267" i="9"/>
  <c r="V2267" i="9" s="1"/>
  <c r="N2255" i="9"/>
  <c r="O2255" i="9" s="1"/>
  <c r="N2260" i="9"/>
  <c r="O2260" i="9" s="1"/>
  <c r="N2265" i="9"/>
  <c r="O2265" i="9" s="1"/>
  <c r="N2271" i="9"/>
  <c r="O2271" i="9" s="1"/>
  <c r="V1760" i="9" l="1"/>
  <c r="V1817" i="9"/>
  <c r="V1565" i="9"/>
  <c r="V2076" i="9"/>
  <c r="V1711" i="9"/>
  <c r="U165" i="9"/>
  <c r="V165" i="9" s="1"/>
  <c r="U777" i="9"/>
  <c r="V777" i="9" s="1"/>
  <c r="U378" i="9"/>
  <c r="V378" i="9" s="1"/>
  <c r="V1832" i="9"/>
  <c r="U1292" i="9"/>
  <c r="V1292" i="9" s="1"/>
  <c r="V306" i="9"/>
  <c r="U1893" i="9"/>
  <c r="V1893" i="9"/>
  <c r="V193" i="9"/>
  <c r="U193" i="9"/>
  <c r="U1171" i="9"/>
  <c r="V1171" i="9" s="1"/>
  <c r="U25" i="9"/>
  <c r="V25" i="9" s="1"/>
  <c r="V968" i="9"/>
  <c r="U1783" i="9"/>
  <c r="V1783" i="9" s="1"/>
  <c r="V544" i="9"/>
  <c r="U544" i="9"/>
  <c r="U183" i="9"/>
  <c r="V183" i="9" s="1"/>
  <c r="U343" i="9"/>
  <c r="V343" i="9" s="1"/>
  <c r="U826" i="9"/>
  <c r="V826" i="9" s="1"/>
  <c r="U1565" i="9"/>
  <c r="V1623" i="9"/>
  <c r="U602" i="9"/>
  <c r="V602" i="9" s="1"/>
  <c r="U457" i="9"/>
  <c r="V457" i="9" s="1"/>
  <c r="U169" i="9"/>
  <c r="V169" i="9" s="1"/>
  <c r="U1697" i="9"/>
  <c r="V1697" i="9"/>
  <c r="V2010" i="9"/>
  <c r="U2010" i="9"/>
  <c r="U167" i="9"/>
  <c r="V167" i="9" s="1"/>
  <c r="U604" i="9"/>
  <c r="V604" i="9" s="1"/>
  <c r="V1895" i="9"/>
  <c r="U2102" i="9"/>
  <c r="V2102" i="9" s="1"/>
  <c r="U1760" i="9"/>
  <c r="U1083" i="9"/>
  <c r="V1083" i="9" s="1"/>
  <c r="V973" i="9"/>
  <c r="V392" i="9"/>
  <c r="V810" i="9"/>
  <c r="U810" i="9"/>
  <c r="U10" i="9"/>
  <c r="V10" i="9" s="1"/>
  <c r="V2082" i="9"/>
  <c r="U2076" i="9"/>
  <c r="U1711" i="9"/>
  <c r="V1695" i="9"/>
  <c r="U1817" i="9"/>
  <c r="U801" i="9"/>
  <c r="V801" i="9" s="1"/>
  <c r="U743" i="9"/>
  <c r="V743" i="9" s="1"/>
  <c r="V239" i="9"/>
  <c r="U239" i="9"/>
  <c r="U661" i="9"/>
  <c r="V661" i="9" s="1"/>
  <c r="U639" i="9"/>
  <c r="V639" i="9" s="1"/>
  <c r="U34" i="9"/>
  <c r="V34" i="9" s="1"/>
  <c r="U646" i="9"/>
  <c r="V646" i="9" s="1"/>
  <c r="U2237" i="9"/>
  <c r="V2237" i="9"/>
  <c r="U2115" i="9"/>
  <c r="V2115" i="9" s="1"/>
  <c r="U1898" i="9"/>
  <c r="V1898" i="9" s="1"/>
  <c r="U1791" i="9"/>
  <c r="V1791" i="9"/>
  <c r="U1696" i="9"/>
  <c r="V1696" i="9"/>
  <c r="U1706" i="9"/>
  <c r="V1706" i="9" s="1"/>
  <c r="U1485" i="9"/>
  <c r="V1485" i="9"/>
  <c r="U1462" i="9"/>
  <c r="V1462" i="9" s="1"/>
  <c r="U1662" i="9"/>
  <c r="V1662" i="9" s="1"/>
  <c r="U1640" i="9"/>
  <c r="V1640" i="9" s="1"/>
  <c r="U1596" i="9"/>
  <c r="V1596" i="9" s="1"/>
  <c r="U1786" i="9"/>
  <c r="V1786" i="9" s="1"/>
  <c r="U1770" i="9"/>
  <c r="V1770" i="9" s="1"/>
  <c r="U1619" i="9"/>
  <c r="V1619" i="9" s="1"/>
  <c r="U1444" i="9"/>
  <c r="V1444" i="9"/>
  <c r="U1078" i="9"/>
  <c r="V1078" i="9"/>
  <c r="U972" i="9"/>
  <c r="V972" i="9" s="1"/>
  <c r="U567" i="9"/>
  <c r="V567" i="9" s="1"/>
  <c r="U773" i="9"/>
  <c r="V773" i="9" s="1"/>
  <c r="U366" i="9"/>
  <c r="V366" i="9"/>
  <c r="U583" i="9"/>
  <c r="V583" i="9" s="1"/>
  <c r="U674" i="9"/>
  <c r="V674" i="9"/>
  <c r="U321" i="9"/>
  <c r="V321" i="9"/>
  <c r="U104" i="9"/>
  <c r="V104" i="9"/>
  <c r="U300" i="9"/>
  <c r="V300" i="9" s="1"/>
  <c r="U244" i="9"/>
  <c r="V244" i="9" s="1"/>
  <c r="U192" i="9"/>
  <c r="V192" i="9" s="1"/>
  <c r="U166" i="9"/>
  <c r="V166" i="9" s="1"/>
  <c r="U38" i="9"/>
  <c r="V38" i="9" s="1"/>
  <c r="U377" i="9"/>
  <c r="V377" i="9"/>
  <c r="U2270" i="9"/>
  <c r="V2270" i="9" s="1"/>
  <c r="U2259" i="9"/>
  <c r="V2259" i="9" s="1"/>
  <c r="U2225" i="9"/>
  <c r="V2225" i="9" s="1"/>
  <c r="U2211" i="9"/>
  <c r="V2211" i="9" s="1"/>
  <c r="U2124" i="9"/>
  <c r="V2124" i="9"/>
  <c r="U2090" i="9"/>
  <c r="V2090" i="9"/>
  <c r="U2029" i="9"/>
  <c r="V2029" i="9" s="1"/>
  <c r="U1896" i="9"/>
  <c r="V1896" i="9" s="1"/>
  <c r="U1910" i="9"/>
  <c r="V1910" i="9"/>
  <c r="U2077" i="9"/>
  <c r="V2077" i="9" s="1"/>
  <c r="U1937" i="9"/>
  <c r="V1937" i="9"/>
  <c r="U1911" i="9"/>
  <c r="V1911" i="9"/>
  <c r="U1858" i="9"/>
  <c r="V1858" i="9"/>
  <c r="U1828" i="9"/>
  <c r="V1828" i="9" s="1"/>
  <c r="U1892" i="9"/>
  <c r="V1892" i="9"/>
  <c r="U1797" i="9"/>
  <c r="V1797" i="9"/>
  <c r="U1726" i="9"/>
  <c r="V1726" i="9"/>
  <c r="U1708" i="9"/>
  <c r="V1708" i="9"/>
  <c r="U2059" i="9"/>
  <c r="V2059" i="9" s="1"/>
  <c r="U1739" i="9"/>
  <c r="V1739" i="9" s="1"/>
  <c r="U1803" i="9"/>
  <c r="V1803" i="9" s="1"/>
  <c r="U1747" i="9"/>
  <c r="V1747" i="9"/>
  <c r="U1645" i="9"/>
  <c r="V1645" i="9" s="1"/>
  <c r="U1553" i="9"/>
  <c r="V1553" i="9" s="1"/>
  <c r="U1504" i="9"/>
  <c r="V1504" i="9" s="1"/>
  <c r="U1647" i="9"/>
  <c r="V1647" i="9" s="1"/>
  <c r="U1500" i="9"/>
  <c r="V1500" i="9"/>
  <c r="U1720" i="9"/>
  <c r="V1720" i="9"/>
  <c r="U1613" i="9"/>
  <c r="V1613" i="9"/>
  <c r="U1441" i="9"/>
  <c r="V1441" i="9"/>
  <c r="U1407" i="9"/>
  <c r="V1407" i="9" s="1"/>
  <c r="U1344" i="9"/>
  <c r="V1344" i="9" s="1"/>
  <c r="U1268" i="9"/>
  <c r="V1268" i="9" s="1"/>
  <c r="U1261" i="9"/>
  <c r="V1261" i="9" s="1"/>
  <c r="U1257" i="9"/>
  <c r="V1257" i="9" s="1"/>
  <c r="U1307" i="9"/>
  <c r="V1307" i="9" s="1"/>
  <c r="U1289" i="9"/>
  <c r="V1289" i="9" s="1"/>
  <c r="U1272" i="9"/>
  <c r="V1272" i="9"/>
  <c r="U1759" i="9"/>
  <c r="V1759" i="9" s="1"/>
  <c r="U1673" i="9"/>
  <c r="V1673" i="9" s="1"/>
  <c r="U1478" i="9"/>
  <c r="V1478" i="9"/>
  <c r="U1337" i="9"/>
  <c r="V1337" i="9" s="1"/>
  <c r="U1302" i="9"/>
  <c r="V1302" i="9"/>
  <c r="U1209" i="9"/>
  <c r="V1209" i="9"/>
  <c r="U1088" i="9"/>
  <c r="V1088" i="9"/>
  <c r="U950" i="9"/>
  <c r="V950" i="9"/>
  <c r="U1249" i="9"/>
  <c r="V1249" i="9" s="1"/>
  <c r="U1051" i="9"/>
  <c r="V1051" i="9" s="1"/>
  <c r="U993" i="9"/>
  <c r="V993" i="9"/>
  <c r="U917" i="9"/>
  <c r="V917" i="9"/>
  <c r="U1271" i="9"/>
  <c r="V1271" i="9" s="1"/>
  <c r="U1207" i="9"/>
  <c r="V1207" i="9"/>
  <c r="U903" i="9"/>
  <c r="V903" i="9" s="1"/>
  <c r="U853" i="9"/>
  <c r="V853" i="9" s="1"/>
  <c r="U755" i="9"/>
  <c r="V755" i="9" s="1"/>
  <c r="U744" i="9"/>
  <c r="V744" i="9" s="1"/>
  <c r="U579" i="9"/>
  <c r="V579" i="9" s="1"/>
  <c r="U480" i="9"/>
  <c r="V480" i="9" s="1"/>
  <c r="U456" i="9"/>
  <c r="V456" i="9" s="1"/>
  <c r="U442" i="9"/>
  <c r="V442" i="9" s="1"/>
  <c r="U563" i="9"/>
  <c r="V563" i="9" s="1"/>
  <c r="U970" i="9"/>
  <c r="V970" i="9" s="1"/>
  <c r="U747" i="9"/>
  <c r="V747" i="9"/>
  <c r="U450" i="9"/>
  <c r="V450" i="9" s="1"/>
  <c r="U404" i="9"/>
  <c r="V404" i="9" s="1"/>
  <c r="U36" i="9"/>
  <c r="V36" i="9" s="1"/>
  <c r="U577" i="9"/>
  <c r="V577" i="9"/>
  <c r="U440" i="9"/>
  <c r="V440" i="9" s="1"/>
  <c r="U816" i="9"/>
  <c r="V816" i="9"/>
  <c r="U648" i="9"/>
  <c r="V648" i="9"/>
  <c r="U362" i="9"/>
  <c r="V362" i="9" s="1"/>
  <c r="U262" i="9"/>
  <c r="V262" i="9" s="1"/>
  <c r="U257" i="9"/>
  <c r="V257" i="9" s="1"/>
  <c r="U208" i="9"/>
  <c r="V208" i="9" s="1"/>
  <c r="U179" i="9"/>
  <c r="V179" i="9" s="1"/>
  <c r="U175" i="9"/>
  <c r="V175" i="9" s="1"/>
  <c r="U124" i="9"/>
  <c r="V124" i="9" s="1"/>
  <c r="U16" i="9"/>
  <c r="V16" i="9" s="1"/>
  <c r="U11" i="9"/>
  <c r="V11" i="9" s="1"/>
  <c r="U393" i="9"/>
  <c r="V393" i="9"/>
  <c r="U2187" i="9"/>
  <c r="V2187" i="9" s="1"/>
  <c r="U2098" i="9"/>
  <c r="V2098" i="9" s="1"/>
  <c r="U2065" i="9"/>
  <c r="V2065" i="9"/>
  <c r="U2247" i="9"/>
  <c r="V2247" i="9"/>
  <c r="U2118" i="9"/>
  <c r="V2118" i="9"/>
  <c r="U1741" i="9"/>
  <c r="V1741" i="9"/>
  <c r="U1772" i="9"/>
  <c r="V1772" i="9" s="1"/>
  <c r="U1534" i="9"/>
  <c r="V1534" i="9"/>
  <c r="U1476" i="9"/>
  <c r="V1476" i="9" s="1"/>
  <c r="U1649" i="9"/>
  <c r="V1649" i="9"/>
  <c r="U1710" i="9"/>
  <c r="V1710" i="9" s="1"/>
  <c r="U1546" i="9"/>
  <c r="V1546" i="9"/>
  <c r="U1458" i="9"/>
  <c r="V1458" i="9"/>
  <c r="U1287" i="9"/>
  <c r="V1287" i="9" s="1"/>
  <c r="U1253" i="9"/>
  <c r="V1253" i="9"/>
  <c r="U1199" i="9"/>
  <c r="V1199" i="9" s="1"/>
  <c r="U742" i="9"/>
  <c r="V742" i="9" s="1"/>
  <c r="U540" i="9"/>
  <c r="V540" i="9" s="1"/>
  <c r="U953" i="9"/>
  <c r="V953" i="9" s="1"/>
  <c r="U433" i="9"/>
  <c r="V433" i="9"/>
  <c r="U657" i="9"/>
  <c r="V657" i="9"/>
  <c r="U162" i="9"/>
  <c r="V162" i="9" s="1"/>
  <c r="U50" i="9"/>
  <c r="V50" i="9" s="1"/>
  <c r="U2272" i="9"/>
  <c r="V2272" i="9" s="1"/>
  <c r="U2244" i="9"/>
  <c r="V2244" i="9" s="1"/>
  <c r="U2209" i="9"/>
  <c r="V2209" i="9"/>
  <c r="U2262" i="9"/>
  <c r="V2262" i="9" s="1"/>
  <c r="U2177" i="9"/>
  <c r="V2177" i="9"/>
  <c r="U2171" i="9"/>
  <c r="V2171" i="9"/>
  <c r="U2147" i="9"/>
  <c r="V2147" i="9" s="1"/>
  <c r="U2067" i="9"/>
  <c r="V2067" i="9" s="1"/>
  <c r="U2252" i="9"/>
  <c r="V2252" i="9"/>
  <c r="U2081" i="9"/>
  <c r="V2081" i="9"/>
  <c r="U1977" i="9"/>
  <c r="V1977" i="9"/>
  <c r="U1932" i="9"/>
  <c r="V1932" i="9"/>
  <c r="U1905" i="9"/>
  <c r="V1905" i="9" s="1"/>
  <c r="U1782" i="9"/>
  <c r="V1782" i="9" s="1"/>
  <c r="U1753" i="9"/>
  <c r="V1753" i="9"/>
  <c r="U1670" i="9"/>
  <c r="V1670" i="9"/>
  <c r="U1675" i="9"/>
  <c r="V1675" i="9" s="1"/>
  <c r="U1664" i="9"/>
  <c r="V1664" i="9"/>
  <c r="U1590" i="9"/>
  <c r="V1590" i="9"/>
  <c r="U1464" i="9"/>
  <c r="V1464" i="9" s="1"/>
  <c r="U1702" i="9"/>
  <c r="V1702" i="9" s="1"/>
  <c r="U1483" i="9"/>
  <c r="V1483" i="9" s="1"/>
  <c r="U1778" i="9"/>
  <c r="V1778" i="9" s="1"/>
  <c r="U1776" i="9"/>
  <c r="V1776" i="9" s="1"/>
  <c r="U1704" i="9"/>
  <c r="V1704" i="9" s="1"/>
  <c r="U1679" i="9"/>
  <c r="V1679" i="9" s="1"/>
  <c r="U1655" i="9"/>
  <c r="V1655" i="9"/>
  <c r="U1633" i="9"/>
  <c r="V1633" i="9"/>
  <c r="U1594" i="9"/>
  <c r="V1594" i="9" s="1"/>
  <c r="U1506" i="9"/>
  <c r="V1506" i="9"/>
  <c r="U1472" i="9"/>
  <c r="V1472" i="9"/>
  <c r="U1403" i="9"/>
  <c r="V1403" i="9"/>
  <c r="U1291" i="9"/>
  <c r="V1291" i="9" s="1"/>
  <c r="U1255" i="9"/>
  <c r="V1255" i="9" s="1"/>
  <c r="U1277" i="9"/>
  <c r="V1277" i="9"/>
  <c r="U1317" i="9"/>
  <c r="V1317" i="9" s="1"/>
  <c r="U1370" i="9"/>
  <c r="V1370" i="9"/>
  <c r="U811" i="9"/>
  <c r="V811" i="9" s="1"/>
  <c r="U726" i="9"/>
  <c r="V726" i="9" s="1"/>
  <c r="U680" i="9"/>
  <c r="V680" i="9" s="1"/>
  <c r="U558" i="9"/>
  <c r="V558" i="9" s="1"/>
  <c r="U1053" i="9"/>
  <c r="V1053" i="9" s="1"/>
  <c r="U793" i="9"/>
  <c r="V793" i="9"/>
  <c r="U653" i="9"/>
  <c r="V653" i="9"/>
  <c r="U596" i="9"/>
  <c r="V596" i="9"/>
  <c r="U818" i="9"/>
  <c r="V818" i="9"/>
  <c r="U814" i="9"/>
  <c r="V814" i="9"/>
  <c r="U598" i="9"/>
  <c r="V598" i="9" s="1"/>
  <c r="U391" i="9"/>
  <c r="V391" i="9"/>
  <c r="U382" i="9"/>
  <c r="V382" i="9" s="1"/>
  <c r="U364" i="9"/>
  <c r="V364" i="9" s="1"/>
  <c r="U289" i="9"/>
  <c r="V289" i="9"/>
  <c r="U142" i="9"/>
  <c r="V142" i="9"/>
  <c r="U118" i="9"/>
  <c r="V118" i="9"/>
  <c r="U81" i="9"/>
  <c r="V81" i="9" s="1"/>
  <c r="U589" i="9"/>
  <c r="V589" i="9"/>
  <c r="U622" i="9"/>
  <c r="V622" i="9"/>
  <c r="U536" i="9"/>
  <c r="V536" i="9"/>
  <c r="U452" i="9"/>
  <c r="V452" i="9"/>
  <c r="U342" i="9"/>
  <c r="V342" i="9" s="1"/>
  <c r="U317" i="9"/>
  <c r="V317" i="9" s="1"/>
  <c r="U215" i="9"/>
  <c r="V215" i="9" s="1"/>
  <c r="U194" i="9"/>
  <c r="V194" i="9" s="1"/>
  <c r="U168" i="9"/>
  <c r="V168" i="9" s="1"/>
  <c r="U164" i="9"/>
  <c r="V164" i="9" s="1"/>
  <c r="U68" i="9"/>
  <c r="V68" i="9" s="1"/>
  <c r="U48" i="9"/>
  <c r="V48" i="9" s="1"/>
  <c r="U2214" i="9"/>
  <c r="V2214" i="9" s="1"/>
  <c r="U561" i="9"/>
  <c r="V561" i="9" s="1"/>
  <c r="U454" i="9"/>
  <c r="V454" i="9" s="1"/>
  <c r="U2168" i="9"/>
  <c r="V2168" i="9"/>
  <c r="U2079" i="9"/>
  <c r="V2079" i="9"/>
  <c r="U2083" i="9"/>
  <c r="V2083" i="9"/>
  <c r="U1941" i="9"/>
  <c r="V1941" i="9" s="1"/>
  <c r="U1790" i="9"/>
  <c r="V1790" i="9" s="1"/>
  <c r="U1764" i="9"/>
  <c r="V1764" i="9" s="1"/>
  <c r="U1795" i="9"/>
  <c r="V1795" i="9"/>
  <c r="U1855" i="9"/>
  <c r="V1855" i="9" s="1"/>
  <c r="U1728" i="9"/>
  <c r="V1728" i="9"/>
  <c r="U1629" i="9"/>
  <c r="V1629" i="9" s="1"/>
  <c r="U1784" i="9"/>
  <c r="V1784" i="9" s="1"/>
  <c r="U1624" i="9"/>
  <c r="V1624" i="9"/>
  <c r="U1012" i="9"/>
  <c r="V1012" i="9"/>
  <c r="U1592" i="9"/>
  <c r="V1592" i="9" s="1"/>
  <c r="U1071" i="9"/>
  <c r="V1071" i="9"/>
  <c r="U628" i="9"/>
  <c r="V628" i="9" s="1"/>
  <c r="U545" i="9"/>
  <c r="V545" i="9" s="1"/>
  <c r="U483" i="9"/>
  <c r="V483" i="9"/>
  <c r="U413" i="9"/>
  <c r="V413" i="9" s="1"/>
  <c r="U529" i="9"/>
  <c r="V529" i="9" s="1"/>
  <c r="U357" i="9"/>
  <c r="V357" i="9" s="1"/>
  <c r="U1681" i="9"/>
  <c r="V1681" i="9" s="1"/>
  <c r="U534" i="9"/>
  <c r="V534" i="9"/>
  <c r="U373" i="9"/>
  <c r="V373" i="9" s="1"/>
  <c r="U352" i="9"/>
  <c r="V352" i="9" s="1"/>
  <c r="U276" i="9"/>
  <c r="V276" i="9"/>
  <c r="U248" i="9"/>
  <c r="V248" i="9" s="1"/>
  <c r="U556" i="9"/>
  <c r="V556" i="9" s="1"/>
  <c r="U371" i="9"/>
  <c r="V371" i="9" s="1"/>
  <c r="U344" i="9"/>
  <c r="V344" i="9" s="1"/>
  <c r="U46" i="9"/>
  <c r="V46" i="9" s="1"/>
  <c r="U1446" i="9"/>
  <c r="V1446" i="9" s="1"/>
  <c r="U2250" i="9"/>
  <c r="V2250" i="9"/>
  <c r="U2228" i="9"/>
  <c r="V2228" i="9"/>
  <c r="U2216" i="9"/>
  <c r="V2216" i="9" s="1"/>
  <c r="U2156" i="9"/>
  <c r="V2156" i="9" s="1"/>
  <c r="U2109" i="9"/>
  <c r="V2109" i="9" s="1"/>
  <c r="U2040" i="9"/>
  <c r="V2040" i="9"/>
  <c r="U2107" i="9"/>
  <c r="V2107" i="9"/>
  <c r="U1939" i="9"/>
  <c r="V1939" i="9" s="1"/>
  <c r="U2162" i="9"/>
  <c r="V2162" i="9" s="1"/>
  <c r="U1969" i="9"/>
  <c r="V1969" i="9" s="1"/>
  <c r="U2140" i="9"/>
  <c r="V2140" i="9" s="1"/>
  <c r="U1970" i="9"/>
  <c r="V1970" i="9" s="1"/>
  <c r="U1899" i="9"/>
  <c r="V1899" i="9"/>
  <c r="U1882" i="9"/>
  <c r="V1882" i="9"/>
  <c r="U1806" i="9"/>
  <c r="V1806" i="9"/>
  <c r="U1793" i="9"/>
  <c r="V1793" i="9" s="1"/>
  <c r="U1992" i="9"/>
  <c r="V1992" i="9" s="1"/>
  <c r="U1809" i="9"/>
  <c r="V1809" i="9" s="1"/>
  <c r="U1789" i="9"/>
  <c r="V1789" i="9"/>
  <c r="U1774" i="9"/>
  <c r="V1774" i="9" s="1"/>
  <c r="U1861" i="9"/>
  <c r="V1861" i="9" s="1"/>
  <c r="U1780" i="9"/>
  <c r="V1780" i="9" s="1"/>
  <c r="U1691" i="9"/>
  <c r="V1691" i="9" s="1"/>
  <c r="U1651" i="9"/>
  <c r="V1651" i="9" s="1"/>
  <c r="U1642" i="9"/>
  <c r="V1642" i="9" s="1"/>
  <c r="U1638" i="9"/>
  <c r="V1638" i="9" s="1"/>
  <c r="U1717" i="9"/>
  <c r="V1717" i="9"/>
  <c r="U1693" i="9"/>
  <c r="V1693" i="9" s="1"/>
  <c r="U1677" i="9"/>
  <c r="V1677" i="9" s="1"/>
  <c r="U1636" i="9"/>
  <c r="V1636" i="9" s="1"/>
  <c r="U1474" i="9"/>
  <c r="V1474" i="9"/>
  <c r="U1730" i="9"/>
  <c r="V1730" i="9"/>
  <c r="U1660" i="9"/>
  <c r="V1660" i="9"/>
  <c r="U1627" i="9"/>
  <c r="V1627" i="9" s="1"/>
  <c r="U1608" i="9"/>
  <c r="V1608" i="9" s="1"/>
  <c r="U1560" i="9"/>
  <c r="V1560" i="9" s="1"/>
  <c r="U1480" i="9"/>
  <c r="V1480" i="9"/>
  <c r="U1755" i="9"/>
  <c r="V1755" i="9"/>
  <c r="U1509" i="9"/>
  <c r="V1509" i="9" s="1"/>
  <c r="U1470" i="9"/>
  <c r="V1470" i="9"/>
  <c r="U1349" i="9"/>
  <c r="V1349" i="9" s="1"/>
  <c r="U1295" i="9"/>
  <c r="V1295" i="9"/>
  <c r="U1279" i="9"/>
  <c r="V1279" i="9"/>
  <c r="U1266" i="9"/>
  <c r="V1266" i="9" s="1"/>
  <c r="U1259" i="9"/>
  <c r="V1259" i="9" s="1"/>
  <c r="U1487" i="9"/>
  <c r="V1487" i="9" s="1"/>
  <c r="U1383" i="9"/>
  <c r="V1383" i="9"/>
  <c r="U1342" i="9"/>
  <c r="V1342" i="9"/>
  <c r="U1323" i="9"/>
  <c r="V1323" i="9" s="1"/>
  <c r="U1273" i="9"/>
  <c r="V1273" i="9"/>
  <c r="U1658" i="9"/>
  <c r="V1658" i="9"/>
  <c r="U1653" i="9"/>
  <c r="V1653" i="9"/>
  <c r="U1569" i="9"/>
  <c r="V1569" i="9" s="1"/>
  <c r="U1540" i="9"/>
  <c r="V1540" i="9" s="1"/>
  <c r="U1405" i="9"/>
  <c r="V1405" i="9"/>
  <c r="U1367" i="9"/>
  <c r="V1367" i="9"/>
  <c r="U1305" i="9"/>
  <c r="V1305" i="9" s="1"/>
  <c r="U1300" i="9"/>
  <c r="V1300" i="9" s="1"/>
  <c r="U1032" i="9"/>
  <c r="V1032" i="9"/>
  <c r="U1293" i="9"/>
  <c r="V1293" i="9" s="1"/>
  <c r="U1270" i="9"/>
  <c r="V1270" i="9" s="1"/>
  <c r="U1235" i="9"/>
  <c r="V1235" i="9"/>
  <c r="U1204" i="9"/>
  <c r="V1204" i="9" s="1"/>
  <c r="U1130" i="9"/>
  <c r="V1130" i="9"/>
  <c r="U944" i="9"/>
  <c r="V944" i="9" s="1"/>
  <c r="U1347" i="9"/>
  <c r="V1347" i="9" s="1"/>
  <c r="U1285" i="9"/>
  <c r="V1285" i="9" s="1"/>
  <c r="U1065" i="9"/>
  <c r="V1065" i="9"/>
  <c r="U974" i="9"/>
  <c r="V974" i="9"/>
  <c r="U860" i="9"/>
  <c r="V860" i="9" s="1"/>
  <c r="U827" i="9"/>
  <c r="V827" i="9" s="1"/>
  <c r="U790" i="9"/>
  <c r="V790" i="9" s="1"/>
  <c r="U758" i="9"/>
  <c r="V758" i="9" s="1"/>
  <c r="U749" i="9"/>
  <c r="V749" i="9" s="1"/>
  <c r="U591" i="9"/>
  <c r="V591" i="9" s="1"/>
  <c r="U513" i="9"/>
  <c r="V513" i="9" s="1"/>
  <c r="U478" i="9"/>
  <c r="V478" i="9" s="1"/>
  <c r="U447" i="9"/>
  <c r="V447" i="9" s="1"/>
  <c r="U800" i="9"/>
  <c r="V800" i="9" s="1"/>
  <c r="U407" i="9"/>
  <c r="V407" i="9"/>
  <c r="U375" i="9"/>
  <c r="V375" i="9" s="1"/>
  <c r="U355" i="9"/>
  <c r="V355" i="9"/>
  <c r="U831" i="9"/>
  <c r="V831" i="9"/>
  <c r="U651" i="9"/>
  <c r="V651" i="9"/>
  <c r="U570" i="9"/>
  <c r="V570" i="9" s="1"/>
  <c r="U1298" i="9"/>
  <c r="V1298" i="9" s="1"/>
  <c r="U900" i="9"/>
  <c r="V900" i="9" s="1"/>
  <c r="U655" i="9"/>
  <c r="V655" i="9" s="1"/>
  <c r="U565" i="9"/>
  <c r="V565" i="9"/>
  <c r="U274" i="9"/>
  <c r="V274" i="9"/>
  <c r="U171" i="9"/>
  <c r="V171" i="9"/>
  <c r="U138" i="9"/>
  <c r="V138" i="9" s="1"/>
  <c r="U22" i="9"/>
  <c r="V22" i="9"/>
  <c r="U7" i="9"/>
  <c r="V7" i="9" s="1"/>
  <c r="U594" i="9"/>
  <c r="V594" i="9"/>
  <c r="U368" i="9"/>
  <c r="V368" i="9" s="1"/>
  <c r="U346" i="9"/>
  <c r="V346" i="9" s="1"/>
  <c r="U1251" i="9"/>
  <c r="V1251" i="9"/>
  <c r="U1192" i="9"/>
  <c r="V1192" i="9" s="1"/>
  <c r="U878" i="9"/>
  <c r="V878" i="9"/>
  <c r="U762" i="9"/>
  <c r="V762" i="9" s="1"/>
  <c r="U733" i="9"/>
  <c r="V733" i="9"/>
  <c r="U511" i="9"/>
  <c r="V511" i="9"/>
  <c r="U430" i="9"/>
  <c r="V430" i="9"/>
  <c r="U384" i="9"/>
  <c r="V384" i="9" s="1"/>
  <c r="U379" i="9"/>
  <c r="V379" i="9" s="1"/>
  <c r="U349" i="9"/>
  <c r="V349" i="9" s="1"/>
  <c r="U280" i="9"/>
  <c r="V280" i="9" s="1"/>
  <c r="U238" i="9"/>
  <c r="V238" i="9" s="1"/>
  <c r="U177" i="9"/>
  <c r="V177" i="9" s="1"/>
  <c r="U127" i="9"/>
  <c r="V127" i="9" s="1"/>
  <c r="U110" i="9"/>
  <c r="V110" i="9" s="1"/>
  <c r="U9" i="9"/>
  <c r="V9" i="9" s="1"/>
  <c r="U1247" i="9"/>
  <c r="V1247" i="9"/>
  <c r="U771" i="9"/>
  <c r="V771" i="9" s="1"/>
  <c r="U538" i="9"/>
  <c r="V538" i="9"/>
  <c r="I36" i="1" l="1"/>
  <c r="F31" i="1"/>
  <c r="J1264" i="1" l="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B1264" i="1"/>
  <c r="E1264" i="1"/>
  <c r="B1265" i="1"/>
  <c r="E1265" i="1"/>
  <c r="B1266" i="1"/>
  <c r="E1266" i="1"/>
  <c r="B1267" i="1"/>
  <c r="E1267" i="1"/>
  <c r="B1268" i="1"/>
  <c r="E1268" i="1"/>
  <c r="B1269" i="1"/>
  <c r="E1269" i="1"/>
  <c r="B1270" i="1"/>
  <c r="E1270" i="1"/>
  <c r="B1271" i="1"/>
  <c r="E1271" i="1"/>
  <c r="B1272" i="1"/>
  <c r="E1272" i="1"/>
  <c r="B1273" i="1"/>
  <c r="E1273" i="1"/>
  <c r="B1274" i="1"/>
  <c r="E1274" i="1"/>
  <c r="B1275" i="1"/>
  <c r="E1275" i="1"/>
  <c r="B1276" i="1"/>
  <c r="E1276" i="1"/>
  <c r="B1277" i="1"/>
  <c r="E1277" i="1"/>
  <c r="B1278" i="1"/>
  <c r="E1278" i="1"/>
  <c r="B1279" i="1"/>
  <c r="E1279" i="1"/>
  <c r="B1280" i="1"/>
  <c r="E1280" i="1"/>
  <c r="B1281" i="1"/>
  <c r="E1281" i="1"/>
  <c r="B1282" i="1"/>
  <c r="E1282" i="1"/>
  <c r="B1283" i="1"/>
  <c r="E1283" i="1"/>
  <c r="B1284" i="1"/>
  <c r="E1284" i="1"/>
  <c r="B1285" i="1"/>
  <c r="E1285" i="1"/>
  <c r="B1286" i="1"/>
  <c r="E1286" i="1"/>
  <c r="B1287" i="1"/>
  <c r="E1287" i="1"/>
  <c r="B1288" i="1"/>
  <c r="E1288" i="1"/>
  <c r="B1289" i="1"/>
  <c r="E1289" i="1"/>
  <c r="B1290" i="1"/>
  <c r="E1290" i="1"/>
  <c r="B1291" i="1"/>
  <c r="E1291" i="1"/>
  <c r="B1292" i="1"/>
  <c r="E1292" i="1"/>
  <c r="B1293" i="1"/>
  <c r="E1293" i="1"/>
  <c r="B1294" i="1"/>
  <c r="E1294" i="1"/>
  <c r="B1295" i="1"/>
  <c r="E1295" i="1"/>
  <c r="B1296" i="1"/>
  <c r="E1296" i="1"/>
  <c r="B1297" i="1"/>
  <c r="E1297" i="1"/>
  <c r="B1298" i="1"/>
  <c r="E1298" i="1"/>
  <c r="B1299" i="1"/>
  <c r="E1299" i="1"/>
  <c r="B1300" i="1"/>
  <c r="E1300" i="1"/>
  <c r="B1301" i="1"/>
  <c r="E1301" i="1"/>
  <c r="B1302" i="1"/>
  <c r="E1302" i="1"/>
  <c r="B1303" i="1"/>
  <c r="E1303" i="1"/>
  <c r="B1226" i="1"/>
  <c r="E1226" i="1"/>
  <c r="B1227" i="1"/>
  <c r="E1227" i="1"/>
  <c r="B1228" i="1"/>
  <c r="E1228" i="1"/>
  <c r="B1229" i="1"/>
  <c r="E1229" i="1"/>
  <c r="B1230" i="1"/>
  <c r="E1230" i="1"/>
  <c r="B1231" i="1"/>
  <c r="E1231" i="1"/>
  <c r="B1232" i="1"/>
  <c r="E1232" i="1"/>
  <c r="B1233" i="1"/>
  <c r="E1233" i="1"/>
  <c r="B1234" i="1"/>
  <c r="E1234" i="1"/>
  <c r="B1235" i="1"/>
  <c r="E1235" i="1"/>
  <c r="B1236" i="1"/>
  <c r="E1236" i="1"/>
  <c r="B1237" i="1"/>
  <c r="E1237" i="1"/>
  <c r="B1238" i="1"/>
  <c r="E1238" i="1"/>
  <c r="B1239" i="1"/>
  <c r="E1239" i="1"/>
  <c r="B1240" i="1"/>
  <c r="E1240" i="1"/>
  <c r="B1241" i="1"/>
  <c r="E1241" i="1"/>
  <c r="B1242" i="1"/>
  <c r="E1242" i="1"/>
  <c r="B1243" i="1"/>
  <c r="E1243" i="1"/>
  <c r="B1244" i="1"/>
  <c r="E1244" i="1"/>
  <c r="B1245" i="1"/>
  <c r="E1245" i="1"/>
  <c r="B1246" i="1"/>
  <c r="E1246" i="1"/>
  <c r="B1247" i="1"/>
  <c r="E1247" i="1"/>
  <c r="B1248" i="1"/>
  <c r="E1248" i="1"/>
  <c r="B1249" i="1"/>
  <c r="E1249" i="1"/>
  <c r="B1250" i="1"/>
  <c r="E1250" i="1"/>
  <c r="B1251" i="1"/>
  <c r="E1251" i="1"/>
  <c r="B1252" i="1"/>
  <c r="E1252" i="1"/>
  <c r="B1253" i="1"/>
  <c r="E1253" i="1"/>
  <c r="B1254" i="1"/>
  <c r="E1254" i="1"/>
  <c r="B1255" i="1"/>
  <c r="E1255" i="1"/>
  <c r="B1256" i="1"/>
  <c r="E1256" i="1"/>
  <c r="B1257" i="1"/>
  <c r="E1257" i="1"/>
  <c r="B1258" i="1"/>
  <c r="E1258" i="1"/>
  <c r="B1259" i="1"/>
  <c r="E1259" i="1"/>
  <c r="B1260" i="1"/>
  <c r="E1260" i="1"/>
  <c r="B1261" i="1"/>
  <c r="E1261" i="1"/>
  <c r="B1262" i="1"/>
  <c r="E1262" i="1"/>
  <c r="B1263" i="1"/>
  <c r="E1263" i="1"/>
  <c r="B1225" i="1"/>
  <c r="E1225"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B1182" i="1"/>
  <c r="E1182" i="1"/>
  <c r="B1183" i="1"/>
  <c r="E1183" i="1"/>
  <c r="B1184" i="1"/>
  <c r="E1184" i="1"/>
  <c r="B1185" i="1"/>
  <c r="E1185" i="1"/>
  <c r="B1186" i="1"/>
  <c r="E1186" i="1"/>
  <c r="B1187" i="1"/>
  <c r="E1187" i="1"/>
  <c r="B1188" i="1"/>
  <c r="E1188" i="1"/>
  <c r="B1189" i="1"/>
  <c r="E1189" i="1"/>
  <c r="B1190" i="1"/>
  <c r="E1190" i="1"/>
  <c r="B1191" i="1"/>
  <c r="E1191" i="1"/>
  <c r="B1192" i="1"/>
  <c r="E1192" i="1"/>
  <c r="B1193" i="1"/>
  <c r="E1193" i="1"/>
  <c r="B1194" i="1"/>
  <c r="E1194" i="1"/>
  <c r="B1195" i="1"/>
  <c r="E1195" i="1"/>
  <c r="B1196" i="1"/>
  <c r="E1196" i="1"/>
  <c r="B1197" i="1"/>
  <c r="E1197" i="1"/>
  <c r="B1198" i="1"/>
  <c r="E1198" i="1"/>
  <c r="B1199" i="1"/>
  <c r="E1199" i="1"/>
  <c r="B1200" i="1"/>
  <c r="E1200" i="1"/>
  <c r="B1201" i="1"/>
  <c r="E1201" i="1"/>
  <c r="B1202" i="1"/>
  <c r="E1202" i="1"/>
  <c r="B1203" i="1"/>
  <c r="E1203" i="1"/>
  <c r="B1204" i="1"/>
  <c r="E1204" i="1"/>
  <c r="B1205" i="1"/>
  <c r="E1205" i="1"/>
  <c r="B1206" i="1"/>
  <c r="E1206" i="1"/>
  <c r="B1207" i="1"/>
  <c r="E1207" i="1"/>
  <c r="B1208" i="1"/>
  <c r="E1208" i="1"/>
  <c r="B1209" i="1"/>
  <c r="E1209" i="1"/>
  <c r="B1210" i="1"/>
  <c r="E1210" i="1"/>
  <c r="B1211" i="1"/>
  <c r="E1211" i="1"/>
  <c r="B1212" i="1"/>
  <c r="E1212" i="1"/>
  <c r="B1213" i="1"/>
  <c r="E1213" i="1"/>
  <c r="B1214" i="1"/>
  <c r="E1214" i="1"/>
  <c r="B1215" i="1"/>
  <c r="E1215" i="1"/>
  <c r="B1216" i="1"/>
  <c r="E1216" i="1"/>
  <c r="B1217" i="1"/>
  <c r="E1217" i="1"/>
  <c r="B1218" i="1"/>
  <c r="E1218" i="1"/>
  <c r="B1219" i="1"/>
  <c r="E1219" i="1"/>
  <c r="B1220" i="1"/>
  <c r="E1220"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B1100" i="1"/>
  <c r="E1100" i="1"/>
  <c r="B1101" i="1"/>
  <c r="E1101" i="1"/>
  <c r="B1102" i="1"/>
  <c r="E1102" i="1"/>
  <c r="B1103" i="1"/>
  <c r="E1103" i="1"/>
  <c r="B1104" i="1"/>
  <c r="E1104" i="1"/>
  <c r="B1105" i="1"/>
  <c r="E1105" i="1"/>
  <c r="B1106" i="1"/>
  <c r="E1106" i="1"/>
  <c r="B1107" i="1"/>
  <c r="E1107" i="1"/>
  <c r="B1108" i="1"/>
  <c r="E1108" i="1"/>
  <c r="B1109" i="1"/>
  <c r="E1109" i="1"/>
  <c r="B1110" i="1"/>
  <c r="E1110" i="1"/>
  <c r="B1111" i="1"/>
  <c r="E1111" i="1"/>
  <c r="B1112" i="1"/>
  <c r="E1112" i="1"/>
  <c r="B1113" i="1"/>
  <c r="E1113" i="1"/>
  <c r="B1114" i="1"/>
  <c r="E1114" i="1"/>
  <c r="B1115" i="1"/>
  <c r="E1115" i="1"/>
  <c r="B1116" i="1"/>
  <c r="E1116" i="1"/>
  <c r="B1117" i="1"/>
  <c r="E1117" i="1"/>
  <c r="B1118" i="1"/>
  <c r="E1118" i="1"/>
  <c r="B1119" i="1"/>
  <c r="E1119" i="1"/>
  <c r="B1120" i="1"/>
  <c r="E1120" i="1"/>
  <c r="B1121" i="1"/>
  <c r="E1121" i="1"/>
  <c r="B1122" i="1"/>
  <c r="E1122" i="1"/>
  <c r="B1123" i="1"/>
  <c r="E1123" i="1"/>
  <c r="B1124" i="1"/>
  <c r="E1124" i="1"/>
  <c r="B1125" i="1"/>
  <c r="E1125" i="1"/>
  <c r="B1126" i="1"/>
  <c r="E1126" i="1"/>
  <c r="B1127" i="1"/>
  <c r="E1127" i="1"/>
  <c r="B1128" i="1"/>
  <c r="E1128" i="1"/>
  <c r="B1129" i="1"/>
  <c r="E1129" i="1"/>
  <c r="B1130" i="1"/>
  <c r="E1130" i="1"/>
  <c r="B1131" i="1"/>
  <c r="E1131" i="1"/>
  <c r="B1132" i="1"/>
  <c r="E1132" i="1"/>
  <c r="B1133" i="1"/>
  <c r="E1133" i="1"/>
  <c r="B1134" i="1"/>
  <c r="E1134" i="1"/>
  <c r="B1135" i="1"/>
  <c r="E1135" i="1"/>
  <c r="B1136" i="1"/>
  <c r="E1136" i="1"/>
  <c r="B1137" i="1"/>
  <c r="E1137" i="1"/>
  <c r="B1138" i="1"/>
  <c r="E1138" i="1"/>
  <c r="B1139" i="1"/>
  <c r="E1139" i="1"/>
  <c r="B1140" i="1"/>
  <c r="E1140" i="1"/>
  <c r="B1141" i="1"/>
  <c r="E1141" i="1"/>
  <c r="B1142" i="1"/>
  <c r="E1142" i="1"/>
  <c r="B1143" i="1"/>
  <c r="E1143" i="1"/>
  <c r="B1144" i="1"/>
  <c r="E1144" i="1"/>
  <c r="B1145" i="1"/>
  <c r="E1145" i="1"/>
  <c r="B1146" i="1"/>
  <c r="E1146" i="1"/>
  <c r="B1147" i="1"/>
  <c r="E1147" i="1"/>
  <c r="B1148" i="1"/>
  <c r="E1148" i="1"/>
  <c r="B1149" i="1"/>
  <c r="E1149" i="1"/>
  <c r="B1150" i="1"/>
  <c r="E1150" i="1"/>
  <c r="B1151" i="1"/>
  <c r="E1151" i="1"/>
  <c r="B1152" i="1"/>
  <c r="E1152" i="1"/>
  <c r="B1153" i="1"/>
  <c r="E1153" i="1"/>
  <c r="B1154" i="1"/>
  <c r="E1154" i="1"/>
  <c r="B1155" i="1"/>
  <c r="E1155" i="1"/>
  <c r="B1156" i="1"/>
  <c r="E1156" i="1"/>
  <c r="B1157" i="1"/>
  <c r="E1157" i="1"/>
  <c r="B1158" i="1"/>
  <c r="E1158" i="1"/>
  <c r="B1159" i="1"/>
  <c r="E1159" i="1"/>
  <c r="B1160" i="1"/>
  <c r="E1160" i="1"/>
  <c r="B1161" i="1"/>
  <c r="E1161" i="1"/>
  <c r="B1162" i="1"/>
  <c r="E1162" i="1"/>
  <c r="B1163" i="1"/>
  <c r="E1163" i="1"/>
  <c r="B1164" i="1"/>
  <c r="E1164" i="1"/>
  <c r="B1165" i="1"/>
  <c r="E1165" i="1"/>
  <c r="B1166" i="1"/>
  <c r="E1166" i="1"/>
  <c r="B1167" i="1"/>
  <c r="E1167" i="1"/>
  <c r="B1168" i="1"/>
  <c r="E1168" i="1"/>
  <c r="B1169" i="1"/>
  <c r="E1169" i="1"/>
  <c r="B1170" i="1"/>
  <c r="E1170" i="1"/>
  <c r="B1171" i="1"/>
  <c r="E1171" i="1"/>
  <c r="B1172" i="1"/>
  <c r="E1172" i="1"/>
  <c r="B1173" i="1"/>
  <c r="E1173" i="1"/>
  <c r="B1174" i="1"/>
  <c r="E1174" i="1"/>
  <c r="B1175" i="1"/>
  <c r="E1175" i="1"/>
  <c r="B1176" i="1"/>
  <c r="E1176" i="1"/>
  <c r="B1177" i="1"/>
  <c r="E1177" i="1"/>
  <c r="B1178" i="1"/>
  <c r="E1178"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B1017" i="1"/>
  <c r="E1017" i="1"/>
  <c r="B1018" i="1"/>
  <c r="E1018" i="1"/>
  <c r="B1019" i="1"/>
  <c r="E1019" i="1"/>
  <c r="B1020" i="1"/>
  <c r="E1020" i="1"/>
  <c r="B1021" i="1"/>
  <c r="E1021" i="1"/>
  <c r="B1022" i="1"/>
  <c r="E1022" i="1"/>
  <c r="B1023" i="1"/>
  <c r="E1023" i="1"/>
  <c r="B1024" i="1"/>
  <c r="E1024" i="1"/>
  <c r="B1025" i="1"/>
  <c r="E1025" i="1"/>
  <c r="B1026" i="1"/>
  <c r="E1026" i="1"/>
  <c r="B1027" i="1"/>
  <c r="E1027" i="1"/>
  <c r="B1028" i="1"/>
  <c r="E1028" i="1"/>
  <c r="B1029" i="1"/>
  <c r="E1029" i="1"/>
  <c r="B1030" i="1"/>
  <c r="E1030" i="1"/>
  <c r="B1031" i="1"/>
  <c r="E1031" i="1"/>
  <c r="B1032" i="1"/>
  <c r="E1032" i="1"/>
  <c r="B1033" i="1"/>
  <c r="E1033" i="1"/>
  <c r="B1034" i="1"/>
  <c r="E1034" i="1"/>
  <c r="B1035" i="1"/>
  <c r="E1035" i="1"/>
  <c r="B1036" i="1"/>
  <c r="E1036" i="1"/>
  <c r="B1037" i="1"/>
  <c r="E1037" i="1"/>
  <c r="B1038" i="1"/>
  <c r="E1038" i="1"/>
  <c r="B1039" i="1"/>
  <c r="E1039" i="1"/>
  <c r="B1040" i="1"/>
  <c r="E1040" i="1"/>
  <c r="B1041" i="1"/>
  <c r="E1041" i="1"/>
  <c r="B1042" i="1"/>
  <c r="E1042" i="1"/>
  <c r="B1043" i="1"/>
  <c r="E1043" i="1"/>
  <c r="B1044" i="1"/>
  <c r="E1044" i="1"/>
  <c r="B1045" i="1"/>
  <c r="E1045" i="1"/>
  <c r="B1046" i="1"/>
  <c r="E1046" i="1"/>
  <c r="B1047" i="1"/>
  <c r="E1047" i="1"/>
  <c r="B1048" i="1"/>
  <c r="E1048" i="1"/>
  <c r="B1049" i="1"/>
  <c r="E1049" i="1"/>
  <c r="B1050" i="1"/>
  <c r="E1050" i="1"/>
  <c r="B1051" i="1"/>
  <c r="E1051" i="1"/>
  <c r="B1052" i="1"/>
  <c r="E1052" i="1"/>
  <c r="B1053" i="1"/>
  <c r="E1053" i="1"/>
  <c r="B1054" i="1"/>
  <c r="E1054" i="1"/>
  <c r="B1055" i="1"/>
  <c r="E1055" i="1"/>
  <c r="B1056" i="1"/>
  <c r="E1056" i="1"/>
  <c r="B1057" i="1"/>
  <c r="E1057" i="1"/>
  <c r="B1058" i="1"/>
  <c r="E1058" i="1"/>
  <c r="B1059" i="1"/>
  <c r="E1059" i="1"/>
  <c r="B1060" i="1"/>
  <c r="E1060" i="1"/>
  <c r="B1061" i="1"/>
  <c r="E1061" i="1"/>
  <c r="B1062" i="1"/>
  <c r="E1062" i="1"/>
  <c r="B1063" i="1"/>
  <c r="E1063" i="1"/>
  <c r="B1064" i="1"/>
  <c r="E1064" i="1"/>
  <c r="B1065" i="1"/>
  <c r="E1065" i="1"/>
  <c r="B1066" i="1"/>
  <c r="E1066" i="1"/>
  <c r="B1067" i="1"/>
  <c r="E1067" i="1"/>
  <c r="B1068" i="1"/>
  <c r="E1068" i="1"/>
  <c r="B1069" i="1"/>
  <c r="E1069" i="1"/>
  <c r="B1070" i="1"/>
  <c r="E1070" i="1"/>
  <c r="B1071" i="1"/>
  <c r="E1071" i="1"/>
  <c r="B1072" i="1"/>
  <c r="E1072" i="1"/>
  <c r="B1073" i="1"/>
  <c r="E1073" i="1"/>
  <c r="B1074" i="1"/>
  <c r="E1074" i="1"/>
  <c r="B1075" i="1"/>
  <c r="E1075" i="1"/>
  <c r="B1076" i="1"/>
  <c r="E1076" i="1"/>
  <c r="B1077" i="1"/>
  <c r="E1077" i="1"/>
  <c r="B1078" i="1"/>
  <c r="E1078" i="1"/>
  <c r="B1079" i="1"/>
  <c r="E1079" i="1"/>
  <c r="B1080" i="1"/>
  <c r="E1080" i="1"/>
  <c r="B1081" i="1"/>
  <c r="E1081" i="1"/>
  <c r="B1082" i="1"/>
  <c r="E1082" i="1"/>
  <c r="B1083" i="1"/>
  <c r="E1083" i="1"/>
  <c r="B1084" i="1"/>
  <c r="E1084" i="1"/>
  <c r="B1085" i="1"/>
  <c r="E1085" i="1"/>
  <c r="B1086" i="1"/>
  <c r="E1086" i="1"/>
  <c r="B1087" i="1"/>
  <c r="E1087" i="1"/>
  <c r="B1088" i="1"/>
  <c r="E1088" i="1"/>
  <c r="B1089" i="1"/>
  <c r="E1089" i="1"/>
  <c r="B1090" i="1"/>
  <c r="E1090" i="1"/>
  <c r="B1091" i="1"/>
  <c r="E1091" i="1"/>
  <c r="B1092" i="1"/>
  <c r="E1092" i="1"/>
  <c r="B1093" i="1"/>
  <c r="E1093" i="1"/>
  <c r="B1094" i="1"/>
  <c r="E1094" i="1"/>
  <c r="B1095" i="1"/>
  <c r="E1095" i="1"/>
  <c r="H1016" i="1"/>
  <c r="E1016" i="1"/>
  <c r="B1016"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B975" i="1"/>
  <c r="E975" i="1"/>
  <c r="B976" i="1"/>
  <c r="E976" i="1"/>
  <c r="B977" i="1"/>
  <c r="E977" i="1"/>
  <c r="B978" i="1"/>
  <c r="E978" i="1"/>
  <c r="B979" i="1"/>
  <c r="E979" i="1"/>
  <c r="B980" i="1"/>
  <c r="E980" i="1"/>
  <c r="B981" i="1"/>
  <c r="E981" i="1"/>
  <c r="B982" i="1"/>
  <c r="E982" i="1"/>
  <c r="B983" i="1"/>
  <c r="E983" i="1"/>
  <c r="B984" i="1"/>
  <c r="E984" i="1"/>
  <c r="B985" i="1"/>
  <c r="E985" i="1"/>
  <c r="B986" i="1"/>
  <c r="E986" i="1"/>
  <c r="B987" i="1"/>
  <c r="E987" i="1"/>
  <c r="B988" i="1"/>
  <c r="E988" i="1"/>
  <c r="B989" i="1"/>
  <c r="E989" i="1"/>
  <c r="B990" i="1"/>
  <c r="E990" i="1"/>
  <c r="B991" i="1"/>
  <c r="E991" i="1"/>
  <c r="B992" i="1"/>
  <c r="E992" i="1"/>
  <c r="B993" i="1"/>
  <c r="E993" i="1"/>
  <c r="B994" i="1"/>
  <c r="E994" i="1"/>
  <c r="B995" i="1"/>
  <c r="E995" i="1"/>
  <c r="B996" i="1"/>
  <c r="E996" i="1"/>
  <c r="B997" i="1"/>
  <c r="E997" i="1"/>
  <c r="B998" i="1"/>
  <c r="E998" i="1"/>
  <c r="B999" i="1"/>
  <c r="E999" i="1"/>
  <c r="B1000" i="1"/>
  <c r="E1000" i="1"/>
  <c r="B1001" i="1"/>
  <c r="E1001" i="1"/>
  <c r="B1002" i="1"/>
  <c r="E1002" i="1"/>
  <c r="B1003" i="1"/>
  <c r="E1003" i="1"/>
  <c r="B1004" i="1"/>
  <c r="E1004" i="1"/>
  <c r="B1005" i="1"/>
  <c r="E1005" i="1"/>
  <c r="B1006" i="1"/>
  <c r="E1006" i="1"/>
  <c r="B1007" i="1"/>
  <c r="E1007" i="1"/>
  <c r="B1008" i="1"/>
  <c r="E1008" i="1"/>
  <c r="B1009" i="1"/>
  <c r="E1009" i="1"/>
  <c r="B1010" i="1"/>
  <c r="E1010" i="1"/>
  <c r="B1011" i="1"/>
  <c r="E1011" i="1"/>
  <c r="B1012" i="1"/>
  <c r="E1012" i="1"/>
  <c r="B1013" i="1"/>
  <c r="E1013" i="1"/>
  <c r="J974" i="1"/>
  <c r="H974" i="1"/>
  <c r="E974" i="1"/>
  <c r="B974"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B893" i="1"/>
  <c r="E893" i="1"/>
  <c r="B894" i="1"/>
  <c r="E894" i="1"/>
  <c r="B895" i="1"/>
  <c r="E895" i="1"/>
  <c r="B896" i="1"/>
  <c r="E896" i="1"/>
  <c r="B897" i="1"/>
  <c r="E897" i="1"/>
  <c r="B898" i="1"/>
  <c r="E898" i="1"/>
  <c r="B899" i="1"/>
  <c r="E899" i="1"/>
  <c r="B900" i="1"/>
  <c r="E900" i="1"/>
  <c r="B901" i="1"/>
  <c r="E901" i="1"/>
  <c r="B902" i="1"/>
  <c r="E902" i="1"/>
  <c r="B903" i="1"/>
  <c r="E903" i="1"/>
  <c r="B904" i="1"/>
  <c r="E904" i="1"/>
  <c r="B905" i="1"/>
  <c r="E905" i="1"/>
  <c r="B906" i="1"/>
  <c r="E906" i="1"/>
  <c r="B907" i="1"/>
  <c r="E907" i="1"/>
  <c r="B908" i="1"/>
  <c r="E908" i="1"/>
  <c r="B909" i="1"/>
  <c r="E909" i="1"/>
  <c r="B910" i="1"/>
  <c r="E910" i="1"/>
  <c r="B911" i="1"/>
  <c r="E911" i="1"/>
  <c r="B912" i="1"/>
  <c r="E912" i="1"/>
  <c r="B913" i="1"/>
  <c r="E913" i="1"/>
  <c r="B914" i="1"/>
  <c r="E914" i="1"/>
  <c r="B915" i="1"/>
  <c r="E915" i="1"/>
  <c r="B916" i="1"/>
  <c r="E916" i="1"/>
  <c r="B917" i="1"/>
  <c r="E917" i="1"/>
  <c r="B918" i="1"/>
  <c r="E918" i="1"/>
  <c r="B919" i="1"/>
  <c r="E919" i="1"/>
  <c r="B920" i="1"/>
  <c r="E920" i="1"/>
  <c r="B921" i="1"/>
  <c r="E921" i="1"/>
  <c r="B922" i="1"/>
  <c r="E922" i="1"/>
  <c r="B923" i="1"/>
  <c r="E923" i="1"/>
  <c r="B924" i="1"/>
  <c r="E924" i="1"/>
  <c r="B925" i="1"/>
  <c r="E925" i="1"/>
  <c r="B926" i="1"/>
  <c r="E926" i="1"/>
  <c r="B927" i="1"/>
  <c r="E927" i="1"/>
  <c r="B928" i="1"/>
  <c r="E928" i="1"/>
  <c r="B929" i="1"/>
  <c r="E929" i="1"/>
  <c r="B930" i="1"/>
  <c r="E930" i="1"/>
  <c r="B931" i="1"/>
  <c r="E931" i="1"/>
  <c r="B932" i="1"/>
  <c r="E932" i="1"/>
  <c r="B933" i="1"/>
  <c r="E933" i="1"/>
  <c r="B934" i="1"/>
  <c r="E934" i="1"/>
  <c r="B935" i="1"/>
  <c r="E935" i="1"/>
  <c r="B936" i="1"/>
  <c r="E936" i="1"/>
  <c r="B937" i="1"/>
  <c r="E937" i="1"/>
  <c r="B938" i="1"/>
  <c r="E938" i="1"/>
  <c r="B939" i="1"/>
  <c r="E939" i="1"/>
  <c r="B940" i="1"/>
  <c r="E940" i="1"/>
  <c r="B941" i="1"/>
  <c r="E941" i="1"/>
  <c r="B942" i="1"/>
  <c r="E942" i="1"/>
  <c r="B943" i="1"/>
  <c r="E943" i="1"/>
  <c r="B944" i="1"/>
  <c r="E944" i="1"/>
  <c r="B945" i="1"/>
  <c r="E945" i="1"/>
  <c r="B946" i="1"/>
  <c r="E946" i="1"/>
  <c r="B947" i="1"/>
  <c r="E947" i="1"/>
  <c r="B948" i="1"/>
  <c r="E948" i="1"/>
  <c r="B949" i="1"/>
  <c r="E949" i="1"/>
  <c r="B950" i="1"/>
  <c r="E950" i="1"/>
  <c r="B951" i="1"/>
  <c r="E951" i="1"/>
  <c r="B952" i="1"/>
  <c r="E952" i="1"/>
  <c r="B953" i="1"/>
  <c r="E953" i="1"/>
  <c r="B954" i="1"/>
  <c r="E954" i="1"/>
  <c r="B955" i="1"/>
  <c r="E955" i="1"/>
  <c r="B956" i="1"/>
  <c r="E956" i="1"/>
  <c r="B957" i="1"/>
  <c r="E957" i="1"/>
  <c r="B958" i="1"/>
  <c r="E958" i="1"/>
  <c r="B959" i="1"/>
  <c r="E959" i="1"/>
  <c r="B960" i="1"/>
  <c r="E960" i="1"/>
  <c r="B961" i="1"/>
  <c r="E961" i="1"/>
  <c r="B962" i="1"/>
  <c r="E962" i="1"/>
  <c r="B963" i="1"/>
  <c r="E963" i="1"/>
  <c r="B964" i="1"/>
  <c r="E964" i="1"/>
  <c r="B965" i="1"/>
  <c r="E965" i="1"/>
  <c r="B966" i="1"/>
  <c r="E966" i="1"/>
  <c r="B967" i="1"/>
  <c r="E967" i="1"/>
  <c r="B968" i="1"/>
  <c r="E968" i="1"/>
  <c r="B969" i="1"/>
  <c r="E969" i="1"/>
  <c r="B970" i="1"/>
  <c r="E970" i="1"/>
  <c r="B971" i="1"/>
  <c r="E971" i="1"/>
  <c r="J892" i="1"/>
  <c r="H892" i="1"/>
  <c r="E892" i="1"/>
  <c r="B892" i="1"/>
  <c r="J887" i="1"/>
  <c r="J888"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B810" i="1"/>
  <c r="E810" i="1"/>
  <c r="B811" i="1"/>
  <c r="E811" i="1"/>
  <c r="B812" i="1"/>
  <c r="E812" i="1"/>
  <c r="B813" i="1"/>
  <c r="E813" i="1"/>
  <c r="B814" i="1"/>
  <c r="E814" i="1"/>
  <c r="B815" i="1"/>
  <c r="E815" i="1"/>
  <c r="B816" i="1"/>
  <c r="E816" i="1"/>
  <c r="B817" i="1"/>
  <c r="E817" i="1"/>
  <c r="B818" i="1"/>
  <c r="E818" i="1"/>
  <c r="B819" i="1"/>
  <c r="E819" i="1"/>
  <c r="B820" i="1"/>
  <c r="E820" i="1"/>
  <c r="B821" i="1"/>
  <c r="E821" i="1"/>
  <c r="B822" i="1"/>
  <c r="E822" i="1"/>
  <c r="B823" i="1"/>
  <c r="E823" i="1"/>
  <c r="B824" i="1"/>
  <c r="E824" i="1"/>
  <c r="B825" i="1"/>
  <c r="E825" i="1"/>
  <c r="B826" i="1"/>
  <c r="E826" i="1"/>
  <c r="B827" i="1"/>
  <c r="E827" i="1"/>
  <c r="B828" i="1"/>
  <c r="E828" i="1"/>
  <c r="B829" i="1"/>
  <c r="E829" i="1"/>
  <c r="B830" i="1"/>
  <c r="E830" i="1"/>
  <c r="B831" i="1"/>
  <c r="E831" i="1"/>
  <c r="B832" i="1"/>
  <c r="E832" i="1"/>
  <c r="B833" i="1"/>
  <c r="E833" i="1"/>
  <c r="B834" i="1"/>
  <c r="E834" i="1"/>
  <c r="B835" i="1"/>
  <c r="E835" i="1"/>
  <c r="B836" i="1"/>
  <c r="E836" i="1"/>
  <c r="B837" i="1"/>
  <c r="E837" i="1"/>
  <c r="B838" i="1"/>
  <c r="E838" i="1"/>
  <c r="B839" i="1"/>
  <c r="E839" i="1"/>
  <c r="B840" i="1"/>
  <c r="E840" i="1"/>
  <c r="B841" i="1"/>
  <c r="E841" i="1"/>
  <c r="B842" i="1"/>
  <c r="E842" i="1"/>
  <c r="B843" i="1"/>
  <c r="E843" i="1"/>
  <c r="B844" i="1"/>
  <c r="E844" i="1"/>
  <c r="B845" i="1"/>
  <c r="E845" i="1"/>
  <c r="B846" i="1"/>
  <c r="E846" i="1"/>
  <c r="B847" i="1"/>
  <c r="E847" i="1"/>
  <c r="B848" i="1"/>
  <c r="E848" i="1"/>
  <c r="B849" i="1"/>
  <c r="E849" i="1"/>
  <c r="B850" i="1"/>
  <c r="E850" i="1"/>
  <c r="B851" i="1"/>
  <c r="E851" i="1"/>
  <c r="B852" i="1"/>
  <c r="E852" i="1"/>
  <c r="B853" i="1"/>
  <c r="E853" i="1"/>
  <c r="B854" i="1"/>
  <c r="E854" i="1"/>
  <c r="B855" i="1"/>
  <c r="E855" i="1"/>
  <c r="B856" i="1"/>
  <c r="E856" i="1"/>
  <c r="B857" i="1"/>
  <c r="E857" i="1"/>
  <c r="B858" i="1"/>
  <c r="E858" i="1"/>
  <c r="B859" i="1"/>
  <c r="E859" i="1"/>
  <c r="B860" i="1"/>
  <c r="E860" i="1"/>
  <c r="B861" i="1"/>
  <c r="E861" i="1"/>
  <c r="B862" i="1"/>
  <c r="E862" i="1"/>
  <c r="B863" i="1"/>
  <c r="E863" i="1"/>
  <c r="B864" i="1"/>
  <c r="E864" i="1"/>
  <c r="B865" i="1"/>
  <c r="E865" i="1"/>
  <c r="B866" i="1"/>
  <c r="E866" i="1"/>
  <c r="B867" i="1"/>
  <c r="E867" i="1"/>
  <c r="B868" i="1"/>
  <c r="E868" i="1"/>
  <c r="B869" i="1"/>
  <c r="E869" i="1"/>
  <c r="B870" i="1"/>
  <c r="E870" i="1"/>
  <c r="B871" i="1"/>
  <c r="E871" i="1"/>
  <c r="B872" i="1"/>
  <c r="E872" i="1"/>
  <c r="B873" i="1"/>
  <c r="E873" i="1"/>
  <c r="B874" i="1"/>
  <c r="E874" i="1"/>
  <c r="B875" i="1"/>
  <c r="E875" i="1"/>
  <c r="B876" i="1"/>
  <c r="E876" i="1"/>
  <c r="B877" i="1"/>
  <c r="E877" i="1"/>
  <c r="B878" i="1"/>
  <c r="E878" i="1"/>
  <c r="B879" i="1"/>
  <c r="E879" i="1"/>
  <c r="B880" i="1"/>
  <c r="E880" i="1"/>
  <c r="B881" i="1"/>
  <c r="E881" i="1"/>
  <c r="B882" i="1"/>
  <c r="E882" i="1"/>
  <c r="B883" i="1"/>
  <c r="E883" i="1"/>
  <c r="B884" i="1"/>
  <c r="E884" i="1"/>
  <c r="B885" i="1"/>
  <c r="E885" i="1"/>
  <c r="B886" i="1"/>
  <c r="E886" i="1"/>
  <c r="B887" i="1"/>
  <c r="E887" i="1"/>
  <c r="B888" i="1"/>
  <c r="E888" i="1"/>
  <c r="J809" i="1"/>
  <c r="H809" i="1"/>
  <c r="E809" i="1"/>
  <c r="B809"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B768" i="1"/>
  <c r="E768" i="1"/>
  <c r="B769" i="1"/>
  <c r="E769" i="1"/>
  <c r="B770" i="1"/>
  <c r="E770" i="1"/>
  <c r="B771" i="1"/>
  <c r="E771" i="1"/>
  <c r="B772" i="1"/>
  <c r="E772" i="1"/>
  <c r="B773" i="1"/>
  <c r="E773" i="1"/>
  <c r="B774" i="1"/>
  <c r="E774" i="1"/>
  <c r="B775" i="1"/>
  <c r="E775" i="1"/>
  <c r="B776" i="1"/>
  <c r="E776" i="1"/>
  <c r="B777" i="1"/>
  <c r="E777" i="1"/>
  <c r="B778" i="1"/>
  <c r="E778" i="1"/>
  <c r="B779" i="1"/>
  <c r="E779" i="1"/>
  <c r="B780" i="1"/>
  <c r="E780" i="1"/>
  <c r="B781" i="1"/>
  <c r="E781" i="1"/>
  <c r="B782" i="1"/>
  <c r="E782" i="1"/>
  <c r="B783" i="1"/>
  <c r="E783" i="1"/>
  <c r="B784" i="1"/>
  <c r="E784" i="1"/>
  <c r="B785" i="1"/>
  <c r="E785" i="1"/>
  <c r="B786" i="1"/>
  <c r="E786" i="1"/>
  <c r="B787" i="1"/>
  <c r="E787" i="1"/>
  <c r="B788" i="1"/>
  <c r="E788" i="1"/>
  <c r="B789" i="1"/>
  <c r="E789" i="1"/>
  <c r="B790" i="1"/>
  <c r="E790" i="1"/>
  <c r="B791" i="1"/>
  <c r="E791" i="1"/>
  <c r="B792" i="1"/>
  <c r="E792" i="1"/>
  <c r="B793" i="1"/>
  <c r="E793" i="1"/>
  <c r="B794" i="1"/>
  <c r="E794" i="1"/>
  <c r="B795" i="1"/>
  <c r="E795" i="1"/>
  <c r="B796" i="1"/>
  <c r="E796" i="1"/>
  <c r="B797" i="1"/>
  <c r="E797" i="1"/>
  <c r="B798" i="1"/>
  <c r="E798" i="1"/>
  <c r="B799" i="1"/>
  <c r="E799" i="1"/>
  <c r="B800" i="1"/>
  <c r="E800" i="1"/>
  <c r="B801" i="1"/>
  <c r="E801" i="1"/>
  <c r="B802" i="1"/>
  <c r="E802" i="1"/>
  <c r="B803" i="1"/>
  <c r="E803" i="1"/>
  <c r="B804" i="1"/>
  <c r="E804" i="1"/>
  <c r="B805" i="1"/>
  <c r="E805" i="1"/>
  <c r="B806" i="1"/>
  <c r="E806" i="1"/>
  <c r="J767" i="1"/>
  <c r="H767" i="1"/>
  <c r="E767" i="1"/>
  <c r="B767"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B686" i="1"/>
  <c r="E686" i="1"/>
  <c r="B687" i="1"/>
  <c r="E687" i="1"/>
  <c r="B688" i="1"/>
  <c r="E688" i="1"/>
  <c r="B689" i="1"/>
  <c r="E689" i="1"/>
  <c r="B690" i="1"/>
  <c r="E690" i="1"/>
  <c r="B691" i="1"/>
  <c r="E691" i="1"/>
  <c r="B692" i="1"/>
  <c r="E692" i="1"/>
  <c r="B693" i="1"/>
  <c r="E693" i="1"/>
  <c r="B694" i="1"/>
  <c r="E694" i="1"/>
  <c r="B695" i="1"/>
  <c r="E695" i="1"/>
  <c r="B696" i="1"/>
  <c r="E696" i="1"/>
  <c r="B697" i="1"/>
  <c r="E697" i="1"/>
  <c r="B698" i="1"/>
  <c r="E698" i="1"/>
  <c r="B699" i="1"/>
  <c r="E699" i="1"/>
  <c r="B700" i="1"/>
  <c r="E700" i="1"/>
  <c r="B701" i="1"/>
  <c r="E701" i="1"/>
  <c r="B702" i="1"/>
  <c r="E702" i="1"/>
  <c r="B703" i="1"/>
  <c r="E703" i="1"/>
  <c r="B704" i="1"/>
  <c r="E704" i="1"/>
  <c r="B705" i="1"/>
  <c r="E705" i="1"/>
  <c r="B706" i="1"/>
  <c r="E706" i="1"/>
  <c r="B707" i="1"/>
  <c r="E707" i="1"/>
  <c r="B708" i="1"/>
  <c r="E708" i="1"/>
  <c r="B709" i="1"/>
  <c r="E709" i="1"/>
  <c r="B710" i="1"/>
  <c r="E710" i="1"/>
  <c r="B711" i="1"/>
  <c r="E711" i="1"/>
  <c r="B712" i="1"/>
  <c r="E712" i="1"/>
  <c r="B713" i="1"/>
  <c r="E713" i="1"/>
  <c r="B714" i="1"/>
  <c r="E714" i="1"/>
  <c r="B715" i="1"/>
  <c r="E715" i="1"/>
  <c r="B716" i="1"/>
  <c r="E716" i="1"/>
  <c r="B717" i="1"/>
  <c r="E717" i="1"/>
  <c r="B718" i="1"/>
  <c r="E718" i="1"/>
  <c r="B719" i="1"/>
  <c r="E719" i="1"/>
  <c r="B720" i="1"/>
  <c r="E720" i="1"/>
  <c r="B721" i="1"/>
  <c r="E721" i="1"/>
  <c r="B722" i="1"/>
  <c r="E722" i="1"/>
  <c r="B723" i="1"/>
  <c r="E723" i="1"/>
  <c r="B724" i="1"/>
  <c r="E724" i="1"/>
  <c r="B725" i="1"/>
  <c r="E725" i="1"/>
  <c r="B726" i="1"/>
  <c r="E726" i="1"/>
  <c r="B727" i="1"/>
  <c r="E727" i="1"/>
  <c r="B728" i="1"/>
  <c r="E728" i="1"/>
  <c r="B729" i="1"/>
  <c r="E729" i="1"/>
  <c r="B730" i="1"/>
  <c r="E730" i="1"/>
  <c r="B731" i="1"/>
  <c r="E731" i="1"/>
  <c r="B732" i="1"/>
  <c r="E732" i="1"/>
  <c r="B733" i="1"/>
  <c r="E733" i="1"/>
  <c r="B734" i="1"/>
  <c r="E734" i="1"/>
  <c r="B735" i="1"/>
  <c r="E735" i="1"/>
  <c r="B736" i="1"/>
  <c r="E736" i="1"/>
  <c r="B737" i="1"/>
  <c r="E737" i="1"/>
  <c r="B738" i="1"/>
  <c r="E738" i="1"/>
  <c r="B739" i="1"/>
  <c r="E739" i="1"/>
  <c r="B740" i="1"/>
  <c r="E740" i="1"/>
  <c r="B741" i="1"/>
  <c r="E741" i="1"/>
  <c r="B742" i="1"/>
  <c r="E742" i="1"/>
  <c r="B743" i="1"/>
  <c r="E743" i="1"/>
  <c r="B744" i="1"/>
  <c r="E744" i="1"/>
  <c r="B745" i="1"/>
  <c r="E745" i="1"/>
  <c r="B746" i="1"/>
  <c r="E746" i="1"/>
  <c r="B747" i="1"/>
  <c r="E747" i="1"/>
  <c r="B748" i="1"/>
  <c r="E748" i="1"/>
  <c r="B749" i="1"/>
  <c r="E749" i="1"/>
  <c r="B750" i="1"/>
  <c r="E750" i="1"/>
  <c r="B751" i="1"/>
  <c r="E751" i="1"/>
  <c r="B752" i="1"/>
  <c r="E752" i="1"/>
  <c r="B753" i="1"/>
  <c r="E753" i="1"/>
  <c r="B754" i="1"/>
  <c r="E754" i="1"/>
  <c r="B755" i="1"/>
  <c r="E755" i="1"/>
  <c r="B756" i="1"/>
  <c r="E756" i="1"/>
  <c r="B757" i="1"/>
  <c r="E757" i="1"/>
  <c r="B758" i="1"/>
  <c r="E758" i="1"/>
  <c r="B759" i="1"/>
  <c r="E759" i="1"/>
  <c r="B760" i="1"/>
  <c r="E760" i="1"/>
  <c r="B761" i="1"/>
  <c r="E761" i="1"/>
  <c r="B762" i="1"/>
  <c r="E762" i="1"/>
  <c r="B763" i="1"/>
  <c r="E763" i="1"/>
  <c r="B764" i="1"/>
  <c r="E764" i="1"/>
  <c r="J685" i="1"/>
  <c r="H685" i="1"/>
  <c r="E685" i="1"/>
  <c r="B685"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B603" i="1"/>
  <c r="E603" i="1"/>
  <c r="B604" i="1"/>
  <c r="E604" i="1"/>
  <c r="B605" i="1"/>
  <c r="E605" i="1"/>
  <c r="B606" i="1"/>
  <c r="E606" i="1"/>
  <c r="B607" i="1"/>
  <c r="E607" i="1"/>
  <c r="B608" i="1"/>
  <c r="E608" i="1"/>
  <c r="B609" i="1"/>
  <c r="E609" i="1"/>
  <c r="B610" i="1"/>
  <c r="E610" i="1"/>
  <c r="B611" i="1"/>
  <c r="E611" i="1"/>
  <c r="B612" i="1"/>
  <c r="E612" i="1"/>
  <c r="B613" i="1"/>
  <c r="E613" i="1"/>
  <c r="B614" i="1"/>
  <c r="E614" i="1"/>
  <c r="B615" i="1"/>
  <c r="E615" i="1"/>
  <c r="B616" i="1"/>
  <c r="E616" i="1"/>
  <c r="B617" i="1"/>
  <c r="E617" i="1"/>
  <c r="B618" i="1"/>
  <c r="E618" i="1"/>
  <c r="B619" i="1"/>
  <c r="E619" i="1"/>
  <c r="B620" i="1"/>
  <c r="E620" i="1"/>
  <c r="B621" i="1"/>
  <c r="E621" i="1"/>
  <c r="B622" i="1"/>
  <c r="E622" i="1"/>
  <c r="B623" i="1"/>
  <c r="E623" i="1"/>
  <c r="B624" i="1"/>
  <c r="E624" i="1"/>
  <c r="B625" i="1"/>
  <c r="E625" i="1"/>
  <c r="B626" i="1"/>
  <c r="E626" i="1"/>
  <c r="B627" i="1"/>
  <c r="E627" i="1"/>
  <c r="B628" i="1"/>
  <c r="E628" i="1"/>
  <c r="B629" i="1"/>
  <c r="E629" i="1"/>
  <c r="B630" i="1"/>
  <c r="E630" i="1"/>
  <c r="B631" i="1"/>
  <c r="E631" i="1"/>
  <c r="B632" i="1"/>
  <c r="E632" i="1"/>
  <c r="B633" i="1"/>
  <c r="E633" i="1"/>
  <c r="B634" i="1"/>
  <c r="E634" i="1"/>
  <c r="B635" i="1"/>
  <c r="E635" i="1"/>
  <c r="B636" i="1"/>
  <c r="E636" i="1"/>
  <c r="B637" i="1"/>
  <c r="E637" i="1"/>
  <c r="B638" i="1"/>
  <c r="E638" i="1"/>
  <c r="B639" i="1"/>
  <c r="E639" i="1"/>
  <c r="B640" i="1"/>
  <c r="E640" i="1"/>
  <c r="B641" i="1"/>
  <c r="E641" i="1"/>
  <c r="B642" i="1"/>
  <c r="E642" i="1"/>
  <c r="B643" i="1"/>
  <c r="E643" i="1"/>
  <c r="B644" i="1"/>
  <c r="E644" i="1"/>
  <c r="B645" i="1"/>
  <c r="E645" i="1"/>
  <c r="B646" i="1"/>
  <c r="E646" i="1"/>
  <c r="B647" i="1"/>
  <c r="E647" i="1"/>
  <c r="B648" i="1"/>
  <c r="E648" i="1"/>
  <c r="B649" i="1"/>
  <c r="E649" i="1"/>
  <c r="B650" i="1"/>
  <c r="E650" i="1"/>
  <c r="B651" i="1"/>
  <c r="E651" i="1"/>
  <c r="B652" i="1"/>
  <c r="E652" i="1"/>
  <c r="B653" i="1"/>
  <c r="E653" i="1"/>
  <c r="B654" i="1"/>
  <c r="E654" i="1"/>
  <c r="B655" i="1"/>
  <c r="E655" i="1"/>
  <c r="B656" i="1"/>
  <c r="E656" i="1"/>
  <c r="B657" i="1"/>
  <c r="E657" i="1"/>
  <c r="B658" i="1"/>
  <c r="E658" i="1"/>
  <c r="B659" i="1"/>
  <c r="E659" i="1"/>
  <c r="B660" i="1"/>
  <c r="E660" i="1"/>
  <c r="B661" i="1"/>
  <c r="E661" i="1"/>
  <c r="B662" i="1"/>
  <c r="E662" i="1"/>
  <c r="B663" i="1"/>
  <c r="E663" i="1"/>
  <c r="B664" i="1"/>
  <c r="E664" i="1"/>
  <c r="B665" i="1"/>
  <c r="E665" i="1"/>
  <c r="B666" i="1"/>
  <c r="E666" i="1"/>
  <c r="B667" i="1"/>
  <c r="E667" i="1"/>
  <c r="B668" i="1"/>
  <c r="E668" i="1"/>
  <c r="B669" i="1"/>
  <c r="E669" i="1"/>
  <c r="B670" i="1"/>
  <c r="E670" i="1"/>
  <c r="B671" i="1"/>
  <c r="E671" i="1"/>
  <c r="B672" i="1"/>
  <c r="E672" i="1"/>
  <c r="B673" i="1"/>
  <c r="E673" i="1"/>
  <c r="B674" i="1"/>
  <c r="E674" i="1"/>
  <c r="B675" i="1"/>
  <c r="E675" i="1"/>
  <c r="B676" i="1"/>
  <c r="E676" i="1"/>
  <c r="B677" i="1"/>
  <c r="E677" i="1"/>
  <c r="B678" i="1"/>
  <c r="E678" i="1"/>
  <c r="B679" i="1"/>
  <c r="E679" i="1"/>
  <c r="B680" i="1"/>
  <c r="E680" i="1"/>
  <c r="B681" i="1"/>
  <c r="E681" i="1"/>
  <c r="J602" i="1"/>
  <c r="H602" i="1"/>
  <c r="E602" i="1"/>
  <c r="B602"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B561" i="1"/>
  <c r="E561" i="1"/>
  <c r="B562" i="1"/>
  <c r="E562" i="1"/>
  <c r="B563" i="1"/>
  <c r="E563" i="1"/>
  <c r="B564" i="1"/>
  <c r="E564" i="1"/>
  <c r="B565" i="1"/>
  <c r="E565" i="1"/>
  <c r="B566" i="1"/>
  <c r="E566" i="1"/>
  <c r="B567" i="1"/>
  <c r="E567" i="1"/>
  <c r="B568" i="1"/>
  <c r="E568" i="1"/>
  <c r="B569" i="1"/>
  <c r="E569" i="1"/>
  <c r="B570" i="1"/>
  <c r="E570" i="1"/>
  <c r="B571" i="1"/>
  <c r="E571" i="1"/>
  <c r="B572" i="1"/>
  <c r="E572" i="1"/>
  <c r="B573" i="1"/>
  <c r="E573" i="1"/>
  <c r="B574" i="1"/>
  <c r="E574" i="1"/>
  <c r="B575" i="1"/>
  <c r="E575" i="1"/>
  <c r="B576" i="1"/>
  <c r="E576" i="1"/>
  <c r="B577" i="1"/>
  <c r="E577" i="1"/>
  <c r="B578" i="1"/>
  <c r="E578" i="1"/>
  <c r="B579" i="1"/>
  <c r="E579" i="1"/>
  <c r="B580" i="1"/>
  <c r="E580" i="1"/>
  <c r="B581" i="1"/>
  <c r="E581" i="1"/>
  <c r="B582" i="1"/>
  <c r="E582" i="1"/>
  <c r="B583" i="1"/>
  <c r="E583" i="1"/>
  <c r="B584" i="1"/>
  <c r="E584" i="1"/>
  <c r="B585" i="1"/>
  <c r="E585" i="1"/>
  <c r="B586" i="1"/>
  <c r="E586" i="1"/>
  <c r="B587" i="1"/>
  <c r="E587" i="1"/>
  <c r="B588" i="1"/>
  <c r="E588" i="1"/>
  <c r="B589" i="1"/>
  <c r="E589" i="1"/>
  <c r="B590" i="1"/>
  <c r="E590" i="1"/>
  <c r="B591" i="1"/>
  <c r="E591" i="1"/>
  <c r="B592" i="1"/>
  <c r="E592" i="1"/>
  <c r="B593" i="1"/>
  <c r="E593" i="1"/>
  <c r="B594" i="1"/>
  <c r="E594" i="1"/>
  <c r="B595" i="1"/>
  <c r="E595" i="1"/>
  <c r="B596" i="1"/>
  <c r="E596" i="1"/>
  <c r="B597" i="1"/>
  <c r="E597" i="1"/>
  <c r="B598" i="1"/>
  <c r="E598" i="1"/>
  <c r="B599" i="1"/>
  <c r="E599" i="1"/>
  <c r="J560" i="1"/>
  <c r="H560" i="1"/>
  <c r="E560" i="1"/>
  <c r="B560"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B479" i="1"/>
  <c r="E479" i="1"/>
  <c r="B480" i="1"/>
  <c r="E480" i="1"/>
  <c r="B481" i="1"/>
  <c r="E481" i="1"/>
  <c r="B482" i="1"/>
  <c r="E482" i="1"/>
  <c r="B483" i="1"/>
  <c r="E483" i="1"/>
  <c r="B484" i="1"/>
  <c r="E484" i="1"/>
  <c r="B485" i="1"/>
  <c r="E485" i="1"/>
  <c r="B486" i="1"/>
  <c r="E486" i="1"/>
  <c r="B487" i="1"/>
  <c r="E487" i="1"/>
  <c r="B488" i="1"/>
  <c r="E488" i="1"/>
  <c r="B489" i="1"/>
  <c r="E489" i="1"/>
  <c r="B490" i="1"/>
  <c r="E490" i="1"/>
  <c r="B491" i="1"/>
  <c r="E491" i="1"/>
  <c r="B492" i="1"/>
  <c r="E492" i="1"/>
  <c r="B493" i="1"/>
  <c r="E493" i="1"/>
  <c r="B494" i="1"/>
  <c r="E494" i="1"/>
  <c r="B495" i="1"/>
  <c r="E495" i="1"/>
  <c r="B496" i="1"/>
  <c r="E496" i="1"/>
  <c r="B497" i="1"/>
  <c r="E497" i="1"/>
  <c r="B498" i="1"/>
  <c r="E498" i="1"/>
  <c r="B499" i="1"/>
  <c r="E499" i="1"/>
  <c r="B500" i="1"/>
  <c r="E500" i="1"/>
  <c r="B501" i="1"/>
  <c r="E501" i="1"/>
  <c r="B502" i="1"/>
  <c r="E502" i="1"/>
  <c r="B503" i="1"/>
  <c r="E503" i="1"/>
  <c r="B504" i="1"/>
  <c r="E504" i="1"/>
  <c r="B505" i="1"/>
  <c r="E505" i="1"/>
  <c r="B506" i="1"/>
  <c r="E506" i="1"/>
  <c r="B507" i="1"/>
  <c r="E507" i="1"/>
  <c r="B508" i="1"/>
  <c r="E508" i="1"/>
  <c r="B509" i="1"/>
  <c r="E509" i="1"/>
  <c r="B510" i="1"/>
  <c r="E510" i="1"/>
  <c r="B511" i="1"/>
  <c r="E511" i="1"/>
  <c r="B512" i="1"/>
  <c r="E512" i="1"/>
  <c r="B513" i="1"/>
  <c r="E513" i="1"/>
  <c r="B514" i="1"/>
  <c r="E514" i="1"/>
  <c r="B515" i="1"/>
  <c r="E515" i="1"/>
  <c r="B516" i="1"/>
  <c r="E516" i="1"/>
  <c r="B517" i="1"/>
  <c r="E517" i="1"/>
  <c r="B518" i="1"/>
  <c r="E518" i="1"/>
  <c r="B519" i="1"/>
  <c r="E519" i="1"/>
  <c r="B520" i="1"/>
  <c r="E520" i="1"/>
  <c r="B521" i="1"/>
  <c r="E521" i="1"/>
  <c r="B522" i="1"/>
  <c r="E522" i="1"/>
  <c r="B523" i="1"/>
  <c r="E523" i="1"/>
  <c r="B524" i="1"/>
  <c r="E524" i="1"/>
  <c r="B525" i="1"/>
  <c r="E525" i="1"/>
  <c r="B526" i="1"/>
  <c r="E526" i="1"/>
  <c r="B527" i="1"/>
  <c r="E527" i="1"/>
  <c r="B528" i="1"/>
  <c r="E528" i="1"/>
  <c r="B529" i="1"/>
  <c r="E529" i="1"/>
  <c r="B530" i="1"/>
  <c r="E530" i="1"/>
  <c r="B531" i="1"/>
  <c r="E531" i="1"/>
  <c r="B532" i="1"/>
  <c r="E532" i="1"/>
  <c r="B533" i="1"/>
  <c r="E533" i="1"/>
  <c r="B534" i="1"/>
  <c r="E534" i="1"/>
  <c r="B535" i="1"/>
  <c r="E535" i="1"/>
  <c r="B536" i="1"/>
  <c r="E536" i="1"/>
  <c r="B537" i="1"/>
  <c r="E537" i="1"/>
  <c r="B538" i="1"/>
  <c r="E538" i="1"/>
  <c r="B539" i="1"/>
  <c r="E539" i="1"/>
  <c r="B540" i="1"/>
  <c r="E540" i="1"/>
  <c r="B541" i="1"/>
  <c r="E541" i="1"/>
  <c r="B542" i="1"/>
  <c r="E542" i="1"/>
  <c r="B543" i="1"/>
  <c r="E543" i="1"/>
  <c r="B544" i="1"/>
  <c r="E544" i="1"/>
  <c r="B545" i="1"/>
  <c r="E545" i="1"/>
  <c r="B546" i="1"/>
  <c r="E546" i="1"/>
  <c r="B547" i="1"/>
  <c r="E547" i="1"/>
  <c r="B548" i="1"/>
  <c r="E548" i="1"/>
  <c r="B549" i="1"/>
  <c r="E549" i="1"/>
  <c r="B550" i="1"/>
  <c r="E550" i="1"/>
  <c r="B551" i="1"/>
  <c r="E551" i="1"/>
  <c r="B552" i="1"/>
  <c r="E552" i="1"/>
  <c r="B553" i="1"/>
  <c r="E553" i="1"/>
  <c r="B554" i="1"/>
  <c r="E554" i="1"/>
  <c r="B555" i="1"/>
  <c r="E555" i="1"/>
  <c r="B556" i="1"/>
  <c r="E556" i="1"/>
  <c r="B557" i="1"/>
  <c r="E557" i="1"/>
  <c r="J478" i="1"/>
  <c r="H478" i="1"/>
  <c r="E478" i="1"/>
  <c r="B478"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H474"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B396" i="1"/>
  <c r="E396" i="1"/>
  <c r="B397" i="1"/>
  <c r="E397" i="1"/>
  <c r="B398" i="1"/>
  <c r="E398" i="1"/>
  <c r="B399" i="1"/>
  <c r="E399" i="1"/>
  <c r="B400" i="1"/>
  <c r="E400" i="1"/>
  <c r="B401" i="1"/>
  <c r="E401" i="1"/>
  <c r="B402" i="1"/>
  <c r="E402" i="1"/>
  <c r="B403" i="1"/>
  <c r="E403" i="1"/>
  <c r="B404" i="1"/>
  <c r="E404" i="1"/>
  <c r="B405" i="1"/>
  <c r="E405" i="1"/>
  <c r="B406" i="1"/>
  <c r="E406" i="1"/>
  <c r="B407" i="1"/>
  <c r="E407" i="1"/>
  <c r="B408" i="1"/>
  <c r="E408" i="1"/>
  <c r="B409" i="1"/>
  <c r="E409" i="1"/>
  <c r="B410" i="1"/>
  <c r="E410" i="1"/>
  <c r="B411" i="1"/>
  <c r="E411" i="1"/>
  <c r="B412" i="1"/>
  <c r="E412" i="1"/>
  <c r="B413" i="1"/>
  <c r="E413" i="1"/>
  <c r="B414" i="1"/>
  <c r="E414" i="1"/>
  <c r="B415" i="1"/>
  <c r="E415" i="1"/>
  <c r="B416" i="1"/>
  <c r="E416" i="1"/>
  <c r="B417" i="1"/>
  <c r="E417" i="1"/>
  <c r="B418" i="1"/>
  <c r="E418" i="1"/>
  <c r="B419" i="1"/>
  <c r="E419" i="1"/>
  <c r="B420" i="1"/>
  <c r="E420" i="1"/>
  <c r="B421" i="1"/>
  <c r="E421" i="1"/>
  <c r="B422" i="1"/>
  <c r="E422" i="1"/>
  <c r="B423" i="1"/>
  <c r="E423" i="1"/>
  <c r="B424" i="1"/>
  <c r="E424" i="1"/>
  <c r="B425" i="1"/>
  <c r="E425" i="1"/>
  <c r="B426" i="1"/>
  <c r="E426" i="1"/>
  <c r="B427" i="1"/>
  <c r="E427" i="1"/>
  <c r="B428" i="1"/>
  <c r="E428" i="1"/>
  <c r="B429" i="1"/>
  <c r="E429" i="1"/>
  <c r="B430" i="1"/>
  <c r="E430" i="1"/>
  <c r="B431" i="1"/>
  <c r="E431" i="1"/>
  <c r="B432" i="1"/>
  <c r="E432" i="1"/>
  <c r="B433" i="1"/>
  <c r="E433" i="1"/>
  <c r="B434" i="1"/>
  <c r="E434" i="1"/>
  <c r="B435" i="1"/>
  <c r="E435" i="1"/>
  <c r="B436" i="1"/>
  <c r="E436" i="1"/>
  <c r="B437" i="1"/>
  <c r="E437" i="1"/>
  <c r="B438" i="1"/>
  <c r="E438" i="1"/>
  <c r="B439" i="1"/>
  <c r="E439" i="1"/>
  <c r="B440" i="1"/>
  <c r="E440" i="1"/>
  <c r="B441" i="1"/>
  <c r="E441" i="1"/>
  <c r="B442" i="1"/>
  <c r="E442" i="1"/>
  <c r="B443" i="1"/>
  <c r="E443" i="1"/>
  <c r="B444" i="1"/>
  <c r="E444" i="1"/>
  <c r="B445" i="1"/>
  <c r="E445" i="1"/>
  <c r="B446" i="1"/>
  <c r="E446" i="1"/>
  <c r="B447" i="1"/>
  <c r="E447" i="1"/>
  <c r="B448" i="1"/>
  <c r="E448" i="1"/>
  <c r="B449" i="1"/>
  <c r="E449" i="1"/>
  <c r="B450" i="1"/>
  <c r="E450" i="1"/>
  <c r="B451" i="1"/>
  <c r="E451" i="1"/>
  <c r="B452" i="1"/>
  <c r="E452" i="1"/>
  <c r="B453" i="1"/>
  <c r="E453" i="1"/>
  <c r="B454" i="1"/>
  <c r="E454" i="1"/>
  <c r="B455" i="1"/>
  <c r="E455" i="1"/>
  <c r="B456" i="1"/>
  <c r="E456" i="1"/>
  <c r="B457" i="1"/>
  <c r="E457" i="1"/>
  <c r="B458" i="1"/>
  <c r="E458" i="1"/>
  <c r="B459" i="1"/>
  <c r="E459" i="1"/>
  <c r="B460" i="1"/>
  <c r="E460" i="1"/>
  <c r="B461" i="1"/>
  <c r="E461" i="1"/>
  <c r="B462" i="1"/>
  <c r="E462" i="1"/>
  <c r="B463" i="1"/>
  <c r="E463" i="1"/>
  <c r="B464" i="1"/>
  <c r="E464" i="1"/>
  <c r="B465" i="1"/>
  <c r="E465" i="1"/>
  <c r="B466" i="1"/>
  <c r="E466" i="1"/>
  <c r="B467" i="1"/>
  <c r="E467" i="1"/>
  <c r="B468" i="1"/>
  <c r="E468" i="1"/>
  <c r="B469" i="1"/>
  <c r="E469" i="1"/>
  <c r="B470" i="1"/>
  <c r="E470" i="1"/>
  <c r="B471" i="1"/>
  <c r="E471" i="1"/>
  <c r="B472" i="1"/>
  <c r="E472" i="1"/>
  <c r="B473" i="1"/>
  <c r="E473" i="1"/>
  <c r="B474" i="1"/>
  <c r="E474" i="1"/>
  <c r="J395" i="1"/>
  <c r="H395" i="1"/>
  <c r="E395" i="1"/>
  <c r="B395"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B354" i="1"/>
  <c r="E354" i="1"/>
  <c r="B355" i="1"/>
  <c r="E355" i="1"/>
  <c r="B356" i="1"/>
  <c r="E356" i="1"/>
  <c r="B357" i="1"/>
  <c r="E357" i="1"/>
  <c r="B358" i="1"/>
  <c r="E358" i="1"/>
  <c r="B359" i="1"/>
  <c r="E359" i="1"/>
  <c r="B360" i="1"/>
  <c r="E360" i="1"/>
  <c r="B361" i="1"/>
  <c r="E361" i="1"/>
  <c r="B362" i="1"/>
  <c r="E362" i="1"/>
  <c r="B363" i="1"/>
  <c r="E363" i="1"/>
  <c r="B364" i="1"/>
  <c r="E364" i="1"/>
  <c r="B365" i="1"/>
  <c r="E365" i="1"/>
  <c r="B366" i="1"/>
  <c r="E366" i="1"/>
  <c r="B367" i="1"/>
  <c r="E367" i="1"/>
  <c r="B368" i="1"/>
  <c r="E368" i="1"/>
  <c r="B369" i="1"/>
  <c r="E369" i="1"/>
  <c r="B370" i="1"/>
  <c r="E370" i="1"/>
  <c r="B371" i="1"/>
  <c r="E371" i="1"/>
  <c r="B372" i="1"/>
  <c r="E372" i="1"/>
  <c r="B373" i="1"/>
  <c r="E373" i="1"/>
  <c r="B374" i="1"/>
  <c r="E374" i="1"/>
  <c r="B375" i="1"/>
  <c r="E375" i="1"/>
  <c r="B376" i="1"/>
  <c r="E376" i="1"/>
  <c r="B377" i="1"/>
  <c r="E377" i="1"/>
  <c r="B378" i="1"/>
  <c r="E378" i="1"/>
  <c r="B379" i="1"/>
  <c r="E379" i="1"/>
  <c r="B380" i="1"/>
  <c r="E380" i="1"/>
  <c r="B381" i="1"/>
  <c r="E381" i="1"/>
  <c r="B382" i="1"/>
  <c r="E382" i="1"/>
  <c r="B383" i="1"/>
  <c r="E383" i="1"/>
  <c r="B384" i="1"/>
  <c r="E384" i="1"/>
  <c r="B385" i="1"/>
  <c r="E385" i="1"/>
  <c r="B386" i="1"/>
  <c r="E386" i="1"/>
  <c r="B387" i="1"/>
  <c r="E387" i="1"/>
  <c r="B388" i="1"/>
  <c r="E388" i="1"/>
  <c r="B389" i="1"/>
  <c r="E389" i="1"/>
  <c r="B390" i="1"/>
  <c r="E390" i="1"/>
  <c r="B391" i="1"/>
  <c r="E391" i="1"/>
  <c r="B392" i="1"/>
  <c r="E392" i="1"/>
  <c r="J353" i="1"/>
  <c r="H353" i="1"/>
  <c r="E353" i="1"/>
  <c r="B353"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B273" i="1"/>
  <c r="E273" i="1"/>
  <c r="B274" i="1"/>
  <c r="E274" i="1"/>
  <c r="B275" i="1"/>
  <c r="E275" i="1"/>
  <c r="B276" i="1"/>
  <c r="E276" i="1"/>
  <c r="B277" i="1"/>
  <c r="E277" i="1"/>
  <c r="B278" i="1"/>
  <c r="E278" i="1"/>
  <c r="B279" i="1"/>
  <c r="E279" i="1"/>
  <c r="B280" i="1"/>
  <c r="E280" i="1"/>
  <c r="B281" i="1"/>
  <c r="E281" i="1"/>
  <c r="B282" i="1"/>
  <c r="E282" i="1"/>
  <c r="B283" i="1"/>
  <c r="E283" i="1"/>
  <c r="B284" i="1"/>
  <c r="E284" i="1"/>
  <c r="B285" i="1"/>
  <c r="E285" i="1"/>
  <c r="B286" i="1"/>
  <c r="E286" i="1"/>
  <c r="B287" i="1"/>
  <c r="E287" i="1"/>
  <c r="B288" i="1"/>
  <c r="E288" i="1"/>
  <c r="B289" i="1"/>
  <c r="E289" i="1"/>
  <c r="B290" i="1"/>
  <c r="E290" i="1"/>
  <c r="B291" i="1"/>
  <c r="E291" i="1"/>
  <c r="B292" i="1"/>
  <c r="E292" i="1"/>
  <c r="B293" i="1"/>
  <c r="E293" i="1"/>
  <c r="B294" i="1"/>
  <c r="E294" i="1"/>
  <c r="B295" i="1"/>
  <c r="E295" i="1"/>
  <c r="B296" i="1"/>
  <c r="E296" i="1"/>
  <c r="B297" i="1"/>
  <c r="E297" i="1"/>
  <c r="B298" i="1"/>
  <c r="E298" i="1"/>
  <c r="B299" i="1"/>
  <c r="E299" i="1"/>
  <c r="B300" i="1"/>
  <c r="E300" i="1"/>
  <c r="B301" i="1"/>
  <c r="E301" i="1"/>
  <c r="B302" i="1"/>
  <c r="E302" i="1"/>
  <c r="B303" i="1"/>
  <c r="E303" i="1"/>
  <c r="B304" i="1"/>
  <c r="E304" i="1"/>
  <c r="B305" i="1"/>
  <c r="E305" i="1"/>
  <c r="B306" i="1"/>
  <c r="E306" i="1"/>
  <c r="B307" i="1"/>
  <c r="E307" i="1"/>
  <c r="B308" i="1"/>
  <c r="E308" i="1"/>
  <c r="B309" i="1"/>
  <c r="E309" i="1"/>
  <c r="B310" i="1"/>
  <c r="E310" i="1"/>
  <c r="B311" i="1"/>
  <c r="E311" i="1"/>
  <c r="B312" i="1"/>
  <c r="E312" i="1"/>
  <c r="B313" i="1"/>
  <c r="E313" i="1"/>
  <c r="B314" i="1"/>
  <c r="E314" i="1"/>
  <c r="B315" i="1"/>
  <c r="E315" i="1"/>
  <c r="B316" i="1"/>
  <c r="E316" i="1"/>
  <c r="B317" i="1"/>
  <c r="E317" i="1"/>
  <c r="B318" i="1"/>
  <c r="E318" i="1"/>
  <c r="B319" i="1"/>
  <c r="E319" i="1"/>
  <c r="B320" i="1"/>
  <c r="E320" i="1"/>
  <c r="B321" i="1"/>
  <c r="E321" i="1"/>
  <c r="B322" i="1"/>
  <c r="E322" i="1"/>
  <c r="B323" i="1"/>
  <c r="E323" i="1"/>
  <c r="B324" i="1"/>
  <c r="E324" i="1"/>
  <c r="B325" i="1"/>
  <c r="E325" i="1"/>
  <c r="B326" i="1"/>
  <c r="E326" i="1"/>
  <c r="B327" i="1"/>
  <c r="E327" i="1"/>
  <c r="B328" i="1"/>
  <c r="E328" i="1"/>
  <c r="B329" i="1"/>
  <c r="E329" i="1"/>
  <c r="B330" i="1"/>
  <c r="E330" i="1"/>
  <c r="B331" i="1"/>
  <c r="E331" i="1"/>
  <c r="B332" i="1"/>
  <c r="E332" i="1"/>
  <c r="B333" i="1"/>
  <c r="E333" i="1"/>
  <c r="B334" i="1"/>
  <c r="E334" i="1"/>
  <c r="B335" i="1"/>
  <c r="E335" i="1"/>
  <c r="B336" i="1"/>
  <c r="E336" i="1"/>
  <c r="B337" i="1"/>
  <c r="E337" i="1"/>
  <c r="B338" i="1"/>
  <c r="E338" i="1"/>
  <c r="B339" i="1"/>
  <c r="E339" i="1"/>
  <c r="B340" i="1"/>
  <c r="E340" i="1"/>
  <c r="B341" i="1"/>
  <c r="E341" i="1"/>
  <c r="B342" i="1"/>
  <c r="E342" i="1"/>
  <c r="B343" i="1"/>
  <c r="E343" i="1"/>
  <c r="B344" i="1"/>
  <c r="E344" i="1"/>
  <c r="B345" i="1"/>
  <c r="E345" i="1"/>
  <c r="B346" i="1"/>
  <c r="E346" i="1"/>
  <c r="B347" i="1"/>
  <c r="E347" i="1"/>
  <c r="B348" i="1"/>
  <c r="E348" i="1"/>
  <c r="B349" i="1"/>
  <c r="E349" i="1"/>
  <c r="B350" i="1"/>
  <c r="E350" i="1"/>
  <c r="B272" i="1"/>
  <c r="E272" i="1"/>
  <c r="J271" i="1"/>
  <c r="H271" i="1"/>
  <c r="E271" i="1"/>
  <c r="B271" i="1"/>
  <c r="G106" i="8"/>
  <c r="H106" i="8" s="1"/>
  <c r="G107" i="8"/>
  <c r="H107" i="8"/>
  <c r="G108" i="8"/>
  <c r="H108" i="8"/>
  <c r="G109" i="8"/>
  <c r="H109" i="8" s="1"/>
  <c r="G110" i="8"/>
  <c r="H110" i="8"/>
  <c r="G111" i="8"/>
  <c r="H111" i="8"/>
  <c r="G112" i="8"/>
  <c r="H112" i="8"/>
  <c r="G113" i="8"/>
  <c r="H113" i="8"/>
  <c r="G114" i="8"/>
  <c r="H114" i="8"/>
  <c r="G115" i="8"/>
  <c r="H115" i="8" s="1"/>
  <c r="G116" i="8"/>
  <c r="H116" i="8"/>
  <c r="G117" i="8"/>
  <c r="H117" i="8"/>
  <c r="G118" i="8"/>
  <c r="H118" i="8"/>
  <c r="G119" i="8"/>
  <c r="H119" i="8"/>
  <c r="G120" i="8"/>
  <c r="H120" i="8"/>
  <c r="G121" i="8"/>
  <c r="H121" i="8" s="1"/>
  <c r="G122" i="8"/>
  <c r="H122" i="8"/>
  <c r="G123" i="8"/>
  <c r="H123" i="8"/>
  <c r="G124" i="8"/>
  <c r="H124" i="8"/>
  <c r="G125" i="8"/>
  <c r="H125" i="8"/>
  <c r="G44" i="8"/>
  <c r="H44" i="8" s="1"/>
  <c r="G45" i="8"/>
  <c r="H45" i="8" s="1"/>
  <c r="G46" i="8"/>
  <c r="H46" i="8" s="1"/>
  <c r="G47" i="8"/>
  <c r="H47" i="8" s="1"/>
  <c r="G48" i="8"/>
  <c r="H48" i="8" s="1"/>
  <c r="G49" i="8"/>
  <c r="H49" i="8" s="1"/>
  <c r="G50" i="8"/>
  <c r="H50" i="8" s="1"/>
  <c r="G51" i="8"/>
  <c r="H51" i="8" s="1"/>
  <c r="G52" i="8"/>
  <c r="H52" i="8" s="1"/>
  <c r="G53" i="8"/>
  <c r="H53" i="8" s="1"/>
  <c r="G54" i="8"/>
  <c r="H54" i="8" s="1"/>
  <c r="G55" i="8"/>
  <c r="H55" i="8" s="1"/>
  <c r="G56" i="8"/>
  <c r="H56" i="8" s="1"/>
  <c r="G57" i="8"/>
  <c r="H57" i="8" s="1"/>
  <c r="G58" i="8"/>
  <c r="H58" i="8" s="1"/>
  <c r="G59" i="8"/>
  <c r="H59" i="8" s="1"/>
  <c r="G60" i="8"/>
  <c r="H60" i="8" s="1"/>
  <c r="G61" i="8"/>
  <c r="H61" i="8" s="1"/>
  <c r="G62" i="8"/>
  <c r="H62" i="8" s="1"/>
  <c r="G63" i="8"/>
  <c r="H63" i="8" s="1"/>
  <c r="G64" i="8"/>
  <c r="H64" i="8" s="1"/>
  <c r="G65" i="8"/>
  <c r="H65" i="8" s="1"/>
  <c r="G66" i="8"/>
  <c r="H66" i="8" s="1"/>
  <c r="G67" i="8"/>
  <c r="H67" i="8" s="1"/>
  <c r="G68" i="8"/>
  <c r="H68" i="8" s="1"/>
  <c r="G69" i="8"/>
  <c r="H69" i="8" s="1"/>
  <c r="G70" i="8"/>
  <c r="H70" i="8" s="1"/>
  <c r="G71" i="8"/>
  <c r="H71" i="8" s="1"/>
  <c r="G72" i="8"/>
  <c r="H72" i="8" s="1"/>
  <c r="G73" i="8"/>
  <c r="H73" i="8" s="1"/>
  <c r="G74" i="8"/>
  <c r="H74" i="8" s="1"/>
  <c r="G75" i="8"/>
  <c r="H75" i="8" s="1"/>
  <c r="G76" i="8"/>
  <c r="H76" i="8" s="1"/>
  <c r="G77" i="8"/>
  <c r="H77" i="8" s="1"/>
  <c r="G78" i="8"/>
  <c r="H78" i="8" s="1"/>
  <c r="G79" i="8"/>
  <c r="H79" i="8" s="1"/>
  <c r="G80" i="8"/>
  <c r="H80" i="8" s="1"/>
  <c r="G81" i="8"/>
  <c r="H81" i="8" s="1"/>
  <c r="G82" i="8"/>
  <c r="H82" i="8" s="1"/>
  <c r="G83" i="8"/>
  <c r="H83" i="8" s="1"/>
  <c r="G106" i="7"/>
  <c r="H106" i="7" s="1"/>
  <c r="G107" i="7"/>
  <c r="H107" i="7"/>
  <c r="G108" i="7"/>
  <c r="H108" i="7"/>
  <c r="G109" i="7"/>
  <c r="H109" i="7"/>
  <c r="G110" i="7"/>
  <c r="H110" i="7" s="1"/>
  <c r="G111" i="7"/>
  <c r="H111" i="7" s="1"/>
  <c r="G112" i="7"/>
  <c r="H112" i="7"/>
  <c r="G113" i="7"/>
  <c r="H113" i="7"/>
  <c r="G114" i="7"/>
  <c r="H114" i="7"/>
  <c r="G115" i="7"/>
  <c r="H115" i="7"/>
  <c r="G116" i="7"/>
  <c r="H116" i="7"/>
  <c r="G117" i="7"/>
  <c r="H117" i="7" s="1"/>
  <c r="G118" i="7"/>
  <c r="H118" i="7"/>
  <c r="G119" i="7"/>
  <c r="H119" i="7"/>
  <c r="G120" i="7"/>
  <c r="H120" i="7"/>
  <c r="G121" i="7"/>
  <c r="H121" i="7"/>
  <c r="G122" i="7"/>
  <c r="H122" i="7"/>
  <c r="G123" i="7"/>
  <c r="H123" i="7" s="1"/>
  <c r="G124" i="7"/>
  <c r="H124" i="7" s="1"/>
  <c r="G125" i="7"/>
  <c r="H125" i="7"/>
  <c r="G45" i="7"/>
  <c r="H45" i="7" s="1"/>
  <c r="G46" i="7"/>
  <c r="H46" i="7" s="1"/>
  <c r="G47" i="7"/>
  <c r="H47" i="7" s="1"/>
  <c r="G48" i="7"/>
  <c r="H48" i="7" s="1"/>
  <c r="G49" i="7"/>
  <c r="H49" i="7" s="1"/>
  <c r="G50" i="7"/>
  <c r="H50" i="7" s="1"/>
  <c r="G51" i="7"/>
  <c r="H51" i="7" s="1"/>
  <c r="G52" i="7"/>
  <c r="H52" i="7" s="1"/>
  <c r="G53" i="7"/>
  <c r="H53" i="7" s="1"/>
  <c r="G54" i="7"/>
  <c r="H54" i="7" s="1"/>
  <c r="G55" i="7"/>
  <c r="H55" i="7" s="1"/>
  <c r="G56" i="7"/>
  <c r="H56" i="7" s="1"/>
  <c r="G57" i="7"/>
  <c r="H57" i="7" s="1"/>
  <c r="G58" i="7"/>
  <c r="H58" i="7" s="1"/>
  <c r="G59" i="7"/>
  <c r="H59" i="7" s="1"/>
  <c r="G60" i="7"/>
  <c r="H60" i="7" s="1"/>
  <c r="G61" i="7"/>
  <c r="H61" i="7" s="1"/>
  <c r="G62" i="7"/>
  <c r="H62" i="7" s="1"/>
  <c r="G63" i="7"/>
  <c r="H63" i="7" s="1"/>
  <c r="G64" i="7"/>
  <c r="H64" i="7" s="1"/>
  <c r="G65" i="7"/>
  <c r="H65" i="7" s="1"/>
  <c r="G66" i="7"/>
  <c r="H66" i="7" s="1"/>
  <c r="G67" i="7"/>
  <c r="H67" i="7" s="1"/>
  <c r="G68" i="7"/>
  <c r="H68" i="7" s="1"/>
  <c r="G69" i="7"/>
  <c r="H69" i="7" s="1"/>
  <c r="G70" i="7"/>
  <c r="H70" i="7" s="1"/>
  <c r="G71" i="7"/>
  <c r="H71" i="7" s="1"/>
  <c r="G72" i="7"/>
  <c r="H72" i="7" s="1"/>
  <c r="G73" i="7"/>
  <c r="H73" i="7" s="1"/>
  <c r="G74" i="7"/>
  <c r="H74" i="7" s="1"/>
  <c r="G75" i="7"/>
  <c r="H75" i="7" s="1"/>
  <c r="G76" i="7"/>
  <c r="H76" i="7" s="1"/>
  <c r="G77" i="7"/>
  <c r="H77" i="7" s="1"/>
  <c r="G78" i="7"/>
  <c r="H78" i="7" s="1"/>
  <c r="G79" i="7"/>
  <c r="H79" i="7" s="1"/>
  <c r="G80" i="7"/>
  <c r="H80" i="7" s="1"/>
  <c r="G81" i="7"/>
  <c r="H81" i="7" s="1"/>
  <c r="G82" i="7"/>
  <c r="H82" i="7" s="1"/>
  <c r="G83" i="7"/>
  <c r="H83" i="7" s="1"/>
  <c r="G44" i="7"/>
  <c r="H44" i="7" s="1"/>
  <c r="A44" i="7"/>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G105" i="8"/>
  <c r="H105" i="8" s="1"/>
  <c r="G104" i="8"/>
  <c r="H104" i="8" s="1"/>
  <c r="G103" i="8"/>
  <c r="H103" i="8" s="1"/>
  <c r="G102" i="8"/>
  <c r="H102" i="8" s="1"/>
  <c r="G101" i="8"/>
  <c r="H101" i="8" s="1"/>
  <c r="G100" i="8"/>
  <c r="H100" i="8" s="1"/>
  <c r="G99" i="8"/>
  <c r="H99" i="8" s="1"/>
  <c r="G98" i="8"/>
  <c r="H98" i="8" s="1"/>
  <c r="G97" i="8"/>
  <c r="H97" i="8" s="1"/>
  <c r="G96" i="8"/>
  <c r="H96" i="8" s="1"/>
  <c r="G95" i="8"/>
  <c r="H95" i="8" s="1"/>
  <c r="G94" i="8"/>
  <c r="H94" i="8" s="1"/>
  <c r="G93" i="8"/>
  <c r="H93" i="8" s="1"/>
  <c r="G92" i="8"/>
  <c r="H92" i="8" s="1"/>
  <c r="G91" i="8"/>
  <c r="H91" i="8" s="1"/>
  <c r="G90" i="8"/>
  <c r="H90" i="8" s="1"/>
  <c r="G89" i="8"/>
  <c r="H89" i="8" s="1"/>
  <c r="G88" i="8"/>
  <c r="H88" i="8" s="1"/>
  <c r="G87" i="8"/>
  <c r="H87" i="8" s="1"/>
  <c r="G86" i="8"/>
  <c r="H86" i="8" s="1"/>
  <c r="G43" i="8"/>
  <c r="H43" i="8" s="1"/>
  <c r="G42" i="8"/>
  <c r="H42" i="8" s="1"/>
  <c r="G41" i="8"/>
  <c r="H41" i="8" s="1"/>
  <c r="G40" i="8"/>
  <c r="H40" i="8" s="1"/>
  <c r="G39" i="8"/>
  <c r="H39" i="8" s="1"/>
  <c r="G38" i="8"/>
  <c r="H38" i="8" s="1"/>
  <c r="G37" i="8"/>
  <c r="H37" i="8" s="1"/>
  <c r="G36" i="8"/>
  <c r="H36" i="8" s="1"/>
  <c r="G35" i="8"/>
  <c r="H35" i="8" s="1"/>
  <c r="G34" i="8"/>
  <c r="H34" i="8" s="1"/>
  <c r="G33" i="8"/>
  <c r="H33" i="8" s="1"/>
  <c r="G32" i="8"/>
  <c r="H32" i="8" s="1"/>
  <c r="G31" i="8"/>
  <c r="H31" i="8" s="1"/>
  <c r="G30" i="8"/>
  <c r="H30" i="8" s="1"/>
  <c r="G29" i="8"/>
  <c r="H29" i="8" s="1"/>
  <c r="G28" i="8"/>
  <c r="H28" i="8" s="1"/>
  <c r="G27" i="8"/>
  <c r="H27" i="8" s="1"/>
  <c r="G26" i="8"/>
  <c r="H26" i="8" s="1"/>
  <c r="G25" i="8"/>
  <c r="H25" i="8" s="1"/>
  <c r="G24" i="8"/>
  <c r="H24" i="8" s="1"/>
  <c r="G23" i="8"/>
  <c r="H23" i="8" s="1"/>
  <c r="G22" i="8"/>
  <c r="H22" i="8" s="1"/>
  <c r="G21" i="8"/>
  <c r="H21" i="8" s="1"/>
  <c r="G20" i="8"/>
  <c r="H20" i="8" s="1"/>
  <c r="G19" i="8"/>
  <c r="H19" i="8" s="1"/>
  <c r="G18" i="8"/>
  <c r="H18" i="8" s="1"/>
  <c r="G17" i="8"/>
  <c r="H17" i="8" s="1"/>
  <c r="G16" i="8"/>
  <c r="H16" i="8" s="1"/>
  <c r="G15" i="8"/>
  <c r="H15" i="8" s="1"/>
  <c r="G14" i="8"/>
  <c r="H14" i="8" s="1"/>
  <c r="G13" i="8"/>
  <c r="H13" i="8" s="1"/>
  <c r="G12" i="8"/>
  <c r="H12" i="8" s="1"/>
  <c r="G11" i="8"/>
  <c r="H11" i="8" s="1"/>
  <c r="G10" i="8"/>
  <c r="H10" i="8" s="1"/>
  <c r="G9" i="8"/>
  <c r="H9" i="8" s="1"/>
  <c r="G8" i="8"/>
  <c r="H8" i="8" s="1"/>
  <c r="G7" i="8"/>
  <c r="H7" i="8" s="1"/>
  <c r="G6" i="8"/>
  <c r="H6" i="8" s="1"/>
  <c r="G5" i="8"/>
  <c r="H5" i="8" s="1"/>
  <c r="G4" i="8"/>
  <c r="H4" i="8" s="1"/>
  <c r="G105" i="7"/>
  <c r="H105" i="7" s="1"/>
  <c r="G104" i="7"/>
  <c r="H104" i="7" s="1"/>
  <c r="G103" i="7"/>
  <c r="H103" i="7" s="1"/>
  <c r="G102" i="7"/>
  <c r="H102" i="7" s="1"/>
  <c r="G101" i="7"/>
  <c r="H101" i="7" s="1"/>
  <c r="G100" i="7"/>
  <c r="H100" i="7" s="1"/>
  <c r="G99" i="7"/>
  <c r="H99" i="7" s="1"/>
  <c r="G98" i="7"/>
  <c r="H98" i="7" s="1"/>
  <c r="G97" i="7"/>
  <c r="H97" i="7" s="1"/>
  <c r="G96" i="7"/>
  <c r="H96" i="7" s="1"/>
  <c r="G95" i="7"/>
  <c r="H95" i="7" s="1"/>
  <c r="G94" i="7"/>
  <c r="H94" i="7" s="1"/>
  <c r="G93" i="7"/>
  <c r="H93" i="7" s="1"/>
  <c r="G92" i="7"/>
  <c r="H92" i="7" s="1"/>
  <c r="G91" i="7"/>
  <c r="H91" i="7" s="1"/>
  <c r="G90" i="7"/>
  <c r="H90" i="7" s="1"/>
  <c r="G89" i="7"/>
  <c r="H89" i="7" s="1"/>
  <c r="G88" i="7"/>
  <c r="H88" i="7" s="1"/>
  <c r="G87" i="7"/>
  <c r="H87" i="7" s="1"/>
  <c r="G86" i="7"/>
  <c r="H86" i="7" s="1"/>
  <c r="G43" i="7"/>
  <c r="H43" i="7" s="1"/>
  <c r="G42" i="7"/>
  <c r="H42" i="7" s="1"/>
  <c r="G41" i="7"/>
  <c r="H41" i="7" s="1"/>
  <c r="G40" i="7"/>
  <c r="H40" i="7" s="1"/>
  <c r="G39" i="7"/>
  <c r="H39" i="7" s="1"/>
  <c r="G38" i="7"/>
  <c r="H38" i="7" s="1"/>
  <c r="G37" i="7"/>
  <c r="H37" i="7" s="1"/>
  <c r="G36" i="7"/>
  <c r="H36" i="7" s="1"/>
  <c r="G35" i="7"/>
  <c r="H35" i="7" s="1"/>
  <c r="G34" i="7"/>
  <c r="H34" i="7" s="1"/>
  <c r="G33" i="7"/>
  <c r="H33" i="7" s="1"/>
  <c r="G32" i="7"/>
  <c r="H32" i="7" s="1"/>
  <c r="G31" i="7"/>
  <c r="H31" i="7" s="1"/>
  <c r="G30" i="7"/>
  <c r="H30" i="7" s="1"/>
  <c r="G29" i="7"/>
  <c r="H29" i="7" s="1"/>
  <c r="G28" i="7"/>
  <c r="H28" i="7" s="1"/>
  <c r="G27" i="7"/>
  <c r="H27" i="7" s="1"/>
  <c r="G26" i="7"/>
  <c r="H26" i="7" s="1"/>
  <c r="G25" i="7"/>
  <c r="H25" i="7" s="1"/>
  <c r="G24" i="7"/>
  <c r="H24" i="7" s="1"/>
  <c r="G23" i="7"/>
  <c r="H23" i="7" s="1"/>
  <c r="G22" i="7"/>
  <c r="H22" i="7" s="1"/>
  <c r="G21" i="7"/>
  <c r="H21" i="7" s="1"/>
  <c r="G20" i="7"/>
  <c r="H20" i="7" s="1"/>
  <c r="G19" i="7"/>
  <c r="H19" i="7" s="1"/>
  <c r="G18" i="7"/>
  <c r="H18" i="7" s="1"/>
  <c r="G17" i="7"/>
  <c r="H17" i="7" s="1"/>
  <c r="G16" i="7"/>
  <c r="H16" i="7" s="1"/>
  <c r="G15" i="7"/>
  <c r="H15" i="7" s="1"/>
  <c r="G14" i="7"/>
  <c r="H14" i="7" s="1"/>
  <c r="G13" i="7"/>
  <c r="H13" i="7" s="1"/>
  <c r="G12" i="7"/>
  <c r="H12" i="7" s="1"/>
  <c r="G11" i="7"/>
  <c r="H11" i="7" s="1"/>
  <c r="G10" i="7"/>
  <c r="H10" i="7" s="1"/>
  <c r="G9" i="7"/>
  <c r="H9" i="7" s="1"/>
  <c r="G8" i="7"/>
  <c r="H8" i="7" s="1"/>
  <c r="G7" i="7"/>
  <c r="H7" i="7" s="1"/>
  <c r="G6" i="7"/>
  <c r="G5" i="7"/>
  <c r="H5" i="7" s="1"/>
  <c r="G4" i="7"/>
  <c r="H4" i="7" s="1"/>
  <c r="G210" i="6"/>
  <c r="G211" i="6" s="1"/>
  <c r="H207" i="6"/>
  <c r="G207" i="6"/>
  <c r="G206" i="6"/>
  <c r="H206" i="6" s="1"/>
  <c r="G205" i="6"/>
  <c r="H205" i="6" s="1"/>
  <c r="G204" i="6"/>
  <c r="H204" i="6" s="1"/>
  <c r="G203" i="6"/>
  <c r="H203" i="6" s="1"/>
  <c r="G202" i="6"/>
  <c r="H202" i="6" s="1"/>
  <c r="H201" i="6"/>
  <c r="G201" i="6"/>
  <c r="G200" i="6"/>
  <c r="H200" i="6" s="1"/>
  <c r="H199" i="6"/>
  <c r="G199" i="6"/>
  <c r="G198" i="6"/>
  <c r="H198" i="6" s="1"/>
  <c r="G197" i="6"/>
  <c r="H197" i="6" s="1"/>
  <c r="G196" i="6"/>
  <c r="H196" i="6" s="1"/>
  <c r="G195" i="6"/>
  <c r="H195" i="6" s="1"/>
  <c r="G194" i="6"/>
  <c r="H194" i="6" s="1"/>
  <c r="H193" i="6"/>
  <c r="G193" i="6"/>
  <c r="G192" i="6"/>
  <c r="H192" i="6" s="1"/>
  <c r="H191" i="6"/>
  <c r="G191" i="6"/>
  <c r="G190" i="6"/>
  <c r="H190" i="6" s="1"/>
  <c r="G189" i="6"/>
  <c r="H189" i="6" s="1"/>
  <c r="G188" i="6"/>
  <c r="H188" i="6" s="1"/>
  <c r="G187" i="6"/>
  <c r="H187" i="6" s="1"/>
  <c r="G186" i="6"/>
  <c r="H186" i="6" s="1"/>
  <c r="H185" i="6"/>
  <c r="G185" i="6"/>
  <c r="G184" i="6"/>
  <c r="H184" i="6" s="1"/>
  <c r="H183" i="6"/>
  <c r="G183" i="6"/>
  <c r="G182" i="6"/>
  <c r="H182" i="6" s="1"/>
  <c r="G181" i="6"/>
  <c r="H181" i="6" s="1"/>
  <c r="G180" i="6"/>
  <c r="H180" i="6" s="1"/>
  <c r="G179" i="6"/>
  <c r="H179" i="6" s="1"/>
  <c r="G178" i="6"/>
  <c r="H178" i="6" s="1"/>
  <c r="H177" i="6"/>
  <c r="G177" i="6"/>
  <c r="G176" i="6"/>
  <c r="H176" i="6" s="1"/>
  <c r="H175" i="6"/>
  <c r="G175" i="6"/>
  <c r="G174" i="6"/>
  <c r="H174" i="6" s="1"/>
  <c r="G173" i="6"/>
  <c r="H173" i="6" s="1"/>
  <c r="G172" i="6"/>
  <c r="H172" i="6" s="1"/>
  <c r="G171" i="6"/>
  <c r="H171" i="6" s="1"/>
  <c r="G170" i="6"/>
  <c r="H170" i="6" s="1"/>
  <c r="H169" i="6"/>
  <c r="G169" i="6"/>
  <c r="G168" i="6"/>
  <c r="H168" i="6" s="1"/>
  <c r="H167" i="6"/>
  <c r="G167" i="6"/>
  <c r="G166" i="6"/>
  <c r="H166" i="6" s="1"/>
  <c r="G165" i="6"/>
  <c r="H165" i="6" s="1"/>
  <c r="G164" i="6"/>
  <c r="H164" i="6" s="1"/>
  <c r="G163" i="6"/>
  <c r="H163" i="6" s="1"/>
  <c r="G162" i="6"/>
  <c r="H162" i="6" s="1"/>
  <c r="H161" i="6"/>
  <c r="G161" i="6"/>
  <c r="G160" i="6"/>
  <c r="H160" i="6" s="1"/>
  <c r="G159" i="6"/>
  <c r="H159" i="6" s="1"/>
  <c r="G158" i="6"/>
  <c r="H158" i="6" s="1"/>
  <c r="G157" i="6"/>
  <c r="H157" i="6" s="1"/>
  <c r="G125" i="6"/>
  <c r="H125" i="6" s="1"/>
  <c r="G124" i="6"/>
  <c r="H124" i="6" s="1"/>
  <c r="H123" i="6"/>
  <c r="G123" i="6"/>
  <c r="H122" i="6"/>
  <c r="G122" i="6"/>
  <c r="G121" i="6"/>
  <c r="H121" i="6" s="1"/>
  <c r="G120" i="6"/>
  <c r="H120" i="6" s="1"/>
  <c r="G119" i="6"/>
  <c r="H119" i="6" s="1"/>
  <c r="G118" i="6"/>
  <c r="H118" i="6" s="1"/>
  <c r="H117" i="6"/>
  <c r="G117" i="6"/>
  <c r="H116" i="6"/>
  <c r="G116" i="6"/>
  <c r="G115" i="6"/>
  <c r="H115" i="6" s="1"/>
  <c r="G114" i="6"/>
  <c r="H114" i="6" s="1"/>
  <c r="G113" i="6"/>
  <c r="H113" i="6" s="1"/>
  <c r="G112" i="6"/>
  <c r="H112" i="6" s="1"/>
  <c r="H111" i="6"/>
  <c r="G111" i="6"/>
  <c r="H110" i="6"/>
  <c r="G110" i="6"/>
  <c r="G109" i="6"/>
  <c r="H109" i="6" s="1"/>
  <c r="G108" i="6"/>
  <c r="H108" i="6" s="1"/>
  <c r="G107" i="6"/>
  <c r="H107" i="6" s="1"/>
  <c r="G106" i="6"/>
  <c r="H106" i="6" s="1"/>
  <c r="H105" i="6"/>
  <c r="G105" i="6"/>
  <c r="H104" i="6"/>
  <c r="G104" i="6"/>
  <c r="G103" i="6"/>
  <c r="H103" i="6" s="1"/>
  <c r="G102" i="6"/>
  <c r="H102" i="6" s="1"/>
  <c r="G101" i="6"/>
  <c r="H101" i="6" s="1"/>
  <c r="G100" i="6"/>
  <c r="H100" i="6" s="1"/>
  <c r="H99" i="6"/>
  <c r="G99" i="6"/>
  <c r="H98" i="6"/>
  <c r="G98" i="6"/>
  <c r="G97" i="6"/>
  <c r="H97" i="6" s="1"/>
  <c r="G96" i="6"/>
  <c r="H96" i="6" s="1"/>
  <c r="G95" i="6"/>
  <c r="H95" i="6" s="1"/>
  <c r="G94" i="6"/>
  <c r="H94" i="6" s="1"/>
  <c r="H93" i="6"/>
  <c r="G93" i="6"/>
  <c r="H92" i="6"/>
  <c r="G92" i="6"/>
  <c r="G91" i="6"/>
  <c r="H91" i="6" s="1"/>
  <c r="G90" i="6"/>
  <c r="H90" i="6" s="1"/>
  <c r="G89" i="6"/>
  <c r="H89" i="6" s="1"/>
  <c r="G88" i="6"/>
  <c r="H88" i="6" s="1"/>
  <c r="G87" i="6"/>
  <c r="H87" i="6" s="1"/>
  <c r="G86" i="6"/>
  <c r="H86" i="6" s="1"/>
  <c r="G83" i="6"/>
  <c r="H83" i="6" s="1"/>
  <c r="G82" i="6"/>
  <c r="H82" i="6" s="1"/>
  <c r="G81" i="6"/>
  <c r="H81" i="6" s="1"/>
  <c r="G80" i="6"/>
  <c r="H80" i="6" s="1"/>
  <c r="H79" i="6"/>
  <c r="G79" i="6"/>
  <c r="H78" i="6"/>
  <c r="G78" i="6"/>
  <c r="G77" i="6"/>
  <c r="H77" i="6" s="1"/>
  <c r="G76" i="6"/>
  <c r="H76" i="6" s="1"/>
  <c r="G75" i="6"/>
  <c r="H75" i="6" s="1"/>
  <c r="G74" i="6"/>
  <c r="H74" i="6" s="1"/>
  <c r="H73" i="6"/>
  <c r="G73" i="6"/>
  <c r="H72" i="6"/>
  <c r="G72" i="6"/>
  <c r="G71" i="6"/>
  <c r="H71" i="6" s="1"/>
  <c r="G70" i="6"/>
  <c r="H70" i="6" s="1"/>
  <c r="G69" i="6"/>
  <c r="H69" i="6" s="1"/>
  <c r="G68" i="6"/>
  <c r="H68" i="6" s="1"/>
  <c r="H67" i="6"/>
  <c r="G67" i="6"/>
  <c r="H66" i="6"/>
  <c r="G66" i="6"/>
  <c r="G65" i="6"/>
  <c r="H65" i="6" s="1"/>
  <c r="G64" i="6"/>
  <c r="H64" i="6" s="1"/>
  <c r="G63" i="6"/>
  <c r="H63" i="6" s="1"/>
  <c r="G62" i="6"/>
  <c r="H62" i="6" s="1"/>
  <c r="H61" i="6"/>
  <c r="G61" i="6"/>
  <c r="H60" i="6"/>
  <c r="G60" i="6"/>
  <c r="G59" i="6"/>
  <c r="H59" i="6" s="1"/>
  <c r="G58" i="6"/>
  <c r="H58" i="6" s="1"/>
  <c r="G57" i="6"/>
  <c r="H57" i="6" s="1"/>
  <c r="G56" i="6"/>
  <c r="H56" i="6" s="1"/>
  <c r="H55" i="6"/>
  <c r="G55" i="6"/>
  <c r="H54" i="6"/>
  <c r="G54" i="6"/>
  <c r="G53" i="6"/>
  <c r="H53" i="6" s="1"/>
  <c r="G52" i="6"/>
  <c r="H52" i="6" s="1"/>
  <c r="G51" i="6"/>
  <c r="H51" i="6" s="1"/>
  <c r="G50" i="6"/>
  <c r="H50" i="6" s="1"/>
  <c r="H49" i="6"/>
  <c r="G49" i="6"/>
  <c r="H48" i="6"/>
  <c r="G48" i="6"/>
  <c r="G47" i="6"/>
  <c r="H47" i="6" s="1"/>
  <c r="G46" i="6"/>
  <c r="H46" i="6" s="1"/>
  <c r="G45" i="6"/>
  <c r="H45" i="6" s="1"/>
  <c r="G44" i="6"/>
  <c r="H44" i="6" s="1"/>
  <c r="H43" i="6"/>
  <c r="G43" i="6"/>
  <c r="H42" i="6"/>
  <c r="G42" i="6"/>
  <c r="G41" i="6"/>
  <c r="H41" i="6" s="1"/>
  <c r="G40" i="6"/>
  <c r="H40" i="6" s="1"/>
  <c r="G39" i="6"/>
  <c r="H39" i="6" s="1"/>
  <c r="G38" i="6"/>
  <c r="H38" i="6" s="1"/>
  <c r="H37" i="6"/>
  <c r="G37" i="6"/>
  <c r="H36" i="6"/>
  <c r="G36" i="6"/>
  <c r="G35" i="6"/>
  <c r="H35" i="6" s="1"/>
  <c r="G34" i="6"/>
  <c r="H34" i="6" s="1"/>
  <c r="G33" i="6"/>
  <c r="H33" i="6" s="1"/>
  <c r="G32" i="6"/>
  <c r="H32" i="6" s="1"/>
  <c r="H31" i="6"/>
  <c r="G31" i="6"/>
  <c r="H30" i="6"/>
  <c r="G30" i="6"/>
  <c r="G29" i="6"/>
  <c r="H29" i="6" s="1"/>
  <c r="G28" i="6"/>
  <c r="H28" i="6" s="1"/>
  <c r="G27" i="6"/>
  <c r="H27" i="6" s="1"/>
  <c r="G26" i="6"/>
  <c r="H26" i="6" s="1"/>
  <c r="H25" i="6"/>
  <c r="G25" i="6"/>
  <c r="H24" i="6"/>
  <c r="G24" i="6"/>
  <c r="G23" i="6"/>
  <c r="H23" i="6" s="1"/>
  <c r="G22" i="6"/>
  <c r="H22" i="6" s="1"/>
  <c r="G21" i="6"/>
  <c r="H21" i="6" s="1"/>
  <c r="G20" i="6"/>
  <c r="H20" i="6" s="1"/>
  <c r="G19" i="6"/>
  <c r="H19" i="6" s="1"/>
  <c r="G18" i="6"/>
  <c r="H18" i="6" s="1"/>
  <c r="H17" i="6"/>
  <c r="G17" i="6"/>
  <c r="G16" i="6"/>
  <c r="H16" i="6" s="1"/>
  <c r="G15" i="6"/>
  <c r="H15" i="6" s="1"/>
  <c r="G14" i="6"/>
  <c r="H14" i="6" s="1"/>
  <c r="G13" i="6"/>
  <c r="H13" i="6" s="1"/>
  <c r="G12" i="6"/>
  <c r="H12" i="6" s="1"/>
  <c r="G11" i="6"/>
  <c r="H11" i="6" s="1"/>
  <c r="G10" i="6"/>
  <c r="H10" i="6" s="1"/>
  <c r="G9" i="6"/>
  <c r="H9" i="6" s="1"/>
  <c r="G8" i="6"/>
  <c r="H8" i="6" s="1"/>
  <c r="G7" i="6"/>
  <c r="H7" i="6" s="1"/>
  <c r="G6" i="6"/>
  <c r="H6" i="6" s="1"/>
  <c r="G5" i="6"/>
  <c r="H5" i="6" s="1"/>
  <c r="G4" i="6"/>
  <c r="H4" i="6" s="1"/>
  <c r="G210" i="5"/>
  <c r="G211" i="5" s="1"/>
  <c r="H207" i="5"/>
  <c r="G207" i="5"/>
  <c r="G206" i="5"/>
  <c r="H206" i="5" s="1"/>
  <c r="G205" i="5"/>
  <c r="H205" i="5" s="1"/>
  <c r="G204" i="5"/>
  <c r="H204" i="5" s="1"/>
  <c r="G203" i="5"/>
  <c r="H203" i="5" s="1"/>
  <c r="G202" i="5"/>
  <c r="H202" i="5" s="1"/>
  <c r="G201" i="5"/>
  <c r="H201" i="5" s="1"/>
  <c r="G200" i="5"/>
  <c r="H200" i="5" s="1"/>
  <c r="H199" i="5"/>
  <c r="G199" i="5"/>
  <c r="G198" i="5"/>
  <c r="H198" i="5" s="1"/>
  <c r="G197" i="5"/>
  <c r="H197" i="5" s="1"/>
  <c r="G196" i="5"/>
  <c r="H196" i="5" s="1"/>
  <c r="G195" i="5"/>
  <c r="H195" i="5" s="1"/>
  <c r="G194" i="5"/>
  <c r="H194" i="5" s="1"/>
  <c r="G193" i="5"/>
  <c r="H193" i="5" s="1"/>
  <c r="G192" i="5"/>
  <c r="H192" i="5" s="1"/>
  <c r="H191" i="5"/>
  <c r="G191" i="5"/>
  <c r="G190" i="5"/>
  <c r="H190" i="5" s="1"/>
  <c r="G189" i="5"/>
  <c r="H189" i="5" s="1"/>
  <c r="G188" i="5"/>
  <c r="H188" i="5" s="1"/>
  <c r="G187" i="5"/>
  <c r="H187" i="5" s="1"/>
  <c r="G186" i="5"/>
  <c r="H186" i="5" s="1"/>
  <c r="G185" i="5"/>
  <c r="H185" i="5" s="1"/>
  <c r="G184" i="5"/>
  <c r="H184" i="5" s="1"/>
  <c r="H183" i="5"/>
  <c r="G183" i="5"/>
  <c r="G182" i="5"/>
  <c r="H182" i="5" s="1"/>
  <c r="G181" i="5"/>
  <c r="H181" i="5" s="1"/>
  <c r="G180" i="5"/>
  <c r="H180" i="5" s="1"/>
  <c r="G179" i="5"/>
  <c r="H179" i="5" s="1"/>
  <c r="G178" i="5"/>
  <c r="H178" i="5" s="1"/>
  <c r="G177" i="5"/>
  <c r="H177" i="5" s="1"/>
  <c r="G176" i="5"/>
  <c r="H176" i="5" s="1"/>
  <c r="H175" i="5"/>
  <c r="G175" i="5"/>
  <c r="G174" i="5"/>
  <c r="H174" i="5" s="1"/>
  <c r="G173" i="5"/>
  <c r="H173" i="5" s="1"/>
  <c r="G172" i="5"/>
  <c r="H172" i="5" s="1"/>
  <c r="G171" i="5"/>
  <c r="H171" i="5" s="1"/>
  <c r="G170" i="5"/>
  <c r="H170" i="5" s="1"/>
  <c r="G169" i="5"/>
  <c r="H169" i="5" s="1"/>
  <c r="G168" i="5"/>
  <c r="H168" i="5" s="1"/>
  <c r="H167" i="5"/>
  <c r="G167" i="5"/>
  <c r="G166" i="5"/>
  <c r="H166" i="5" s="1"/>
  <c r="G165" i="5"/>
  <c r="H165" i="5" s="1"/>
  <c r="G164" i="5"/>
  <c r="H164" i="5" s="1"/>
  <c r="G163" i="5"/>
  <c r="H163" i="5" s="1"/>
  <c r="G162" i="5"/>
  <c r="H162" i="5" s="1"/>
  <c r="G161" i="5"/>
  <c r="H161" i="5" s="1"/>
  <c r="G160" i="5"/>
  <c r="H160" i="5" s="1"/>
  <c r="H159" i="5"/>
  <c r="G159" i="5"/>
  <c r="G158" i="5"/>
  <c r="H158" i="5" s="1"/>
  <c r="G157" i="5"/>
  <c r="H157" i="5" s="1"/>
  <c r="G156" i="5"/>
  <c r="H156" i="5" s="1"/>
  <c r="G155" i="5"/>
  <c r="H155" i="5" s="1"/>
  <c r="G154" i="5"/>
  <c r="H154" i="5" s="1"/>
  <c r="G153" i="5"/>
  <c r="H153" i="5" s="1"/>
  <c r="G152" i="5"/>
  <c r="H152" i="5" s="1"/>
  <c r="H151" i="5"/>
  <c r="G151" i="5"/>
  <c r="G150" i="5"/>
  <c r="H150" i="5" s="1"/>
  <c r="G149" i="5"/>
  <c r="H149" i="5" s="1"/>
  <c r="G148" i="5"/>
  <c r="H148" i="5" s="1"/>
  <c r="G147" i="5"/>
  <c r="H147" i="5" s="1"/>
  <c r="G146" i="5"/>
  <c r="H146" i="5" s="1"/>
  <c r="G145" i="5"/>
  <c r="H145" i="5" s="1"/>
  <c r="G144" i="5"/>
  <c r="H144" i="5" s="1"/>
  <c r="H143" i="5"/>
  <c r="G143" i="5"/>
  <c r="G142" i="5"/>
  <c r="H142" i="5" s="1"/>
  <c r="G141" i="5"/>
  <c r="H141" i="5" s="1"/>
  <c r="G140" i="5"/>
  <c r="H140" i="5" s="1"/>
  <c r="G139" i="5"/>
  <c r="H139" i="5" s="1"/>
  <c r="G138" i="5"/>
  <c r="H138" i="5" s="1"/>
  <c r="G137" i="5"/>
  <c r="H137" i="5" s="1"/>
  <c r="G136" i="5"/>
  <c r="H136" i="5" s="1"/>
  <c r="H135" i="5"/>
  <c r="G135" i="5"/>
  <c r="G134" i="5"/>
  <c r="H134" i="5" s="1"/>
  <c r="G133" i="5"/>
  <c r="H133" i="5" s="1"/>
  <c r="G132" i="5"/>
  <c r="H132" i="5" s="1"/>
  <c r="G131" i="5"/>
  <c r="H131" i="5" s="1"/>
  <c r="G130" i="5"/>
  <c r="H130" i="5" s="1"/>
  <c r="G129" i="5"/>
  <c r="H129" i="5" s="1"/>
  <c r="G128" i="5"/>
  <c r="H128" i="5" s="1"/>
  <c r="H125" i="5"/>
  <c r="G125" i="5"/>
  <c r="H124" i="5"/>
  <c r="G124" i="5"/>
  <c r="G123" i="5"/>
  <c r="H123" i="5" s="1"/>
  <c r="G122" i="5"/>
  <c r="H122" i="5" s="1"/>
  <c r="H121" i="5"/>
  <c r="G121" i="5"/>
  <c r="G120" i="5"/>
  <c r="H120" i="5" s="1"/>
  <c r="H119" i="5"/>
  <c r="G119" i="5"/>
  <c r="H118" i="5"/>
  <c r="G118" i="5"/>
  <c r="G117" i="5"/>
  <c r="H117" i="5" s="1"/>
  <c r="G116" i="5"/>
  <c r="H116" i="5" s="1"/>
  <c r="H115" i="5"/>
  <c r="G115" i="5"/>
  <c r="G114" i="5"/>
  <c r="H114" i="5" s="1"/>
  <c r="H113" i="5"/>
  <c r="G113" i="5"/>
  <c r="H112" i="5"/>
  <c r="G112" i="5"/>
  <c r="G111" i="5"/>
  <c r="H111" i="5" s="1"/>
  <c r="G110" i="5"/>
  <c r="H110" i="5" s="1"/>
  <c r="H109" i="5"/>
  <c r="G109" i="5"/>
  <c r="G108" i="5"/>
  <c r="H108" i="5" s="1"/>
  <c r="H107" i="5"/>
  <c r="G107" i="5"/>
  <c r="H106" i="5"/>
  <c r="G106" i="5"/>
  <c r="G105" i="5"/>
  <c r="H105" i="5" s="1"/>
  <c r="G104" i="5"/>
  <c r="H104" i="5" s="1"/>
  <c r="H103" i="5"/>
  <c r="G103" i="5"/>
  <c r="G102" i="5"/>
  <c r="H102" i="5" s="1"/>
  <c r="H101" i="5"/>
  <c r="G101" i="5"/>
  <c r="H100" i="5"/>
  <c r="G100" i="5"/>
  <c r="G99" i="5"/>
  <c r="H99" i="5" s="1"/>
  <c r="G98" i="5"/>
  <c r="H98" i="5" s="1"/>
  <c r="H97" i="5"/>
  <c r="G97" i="5"/>
  <c r="G96" i="5"/>
  <c r="H96" i="5" s="1"/>
  <c r="H95" i="5"/>
  <c r="G95" i="5"/>
  <c r="H94" i="5"/>
  <c r="G94" i="5"/>
  <c r="G93" i="5"/>
  <c r="H93" i="5" s="1"/>
  <c r="G92" i="5"/>
  <c r="H92" i="5" s="1"/>
  <c r="H91" i="5"/>
  <c r="G91" i="5"/>
  <c r="G90" i="5"/>
  <c r="H90" i="5" s="1"/>
  <c r="H89" i="5"/>
  <c r="G89" i="5"/>
  <c r="H88" i="5"/>
  <c r="G88" i="5"/>
  <c r="G87" i="5"/>
  <c r="H87" i="5" s="1"/>
  <c r="G86" i="5"/>
  <c r="H86" i="5" s="1"/>
  <c r="H83" i="5"/>
  <c r="G83" i="5"/>
  <c r="G82" i="5"/>
  <c r="H82" i="5" s="1"/>
  <c r="H81" i="5"/>
  <c r="G81" i="5"/>
  <c r="H80" i="5"/>
  <c r="G80" i="5"/>
  <c r="G79" i="5"/>
  <c r="H79" i="5" s="1"/>
  <c r="G78" i="5"/>
  <c r="H78" i="5" s="1"/>
  <c r="H77" i="5"/>
  <c r="G77" i="5"/>
  <c r="G76" i="5"/>
  <c r="H76" i="5" s="1"/>
  <c r="H75" i="5"/>
  <c r="G75" i="5"/>
  <c r="H74" i="5"/>
  <c r="G74" i="5"/>
  <c r="G73" i="5"/>
  <c r="H73" i="5" s="1"/>
  <c r="G72" i="5"/>
  <c r="H72" i="5" s="1"/>
  <c r="H71" i="5"/>
  <c r="G71" i="5"/>
  <c r="G70" i="5"/>
  <c r="H70" i="5" s="1"/>
  <c r="H69" i="5"/>
  <c r="G69" i="5"/>
  <c r="H68" i="5"/>
  <c r="G68" i="5"/>
  <c r="G67" i="5"/>
  <c r="H67" i="5" s="1"/>
  <c r="G66" i="5"/>
  <c r="H66" i="5" s="1"/>
  <c r="G65" i="5"/>
  <c r="H65" i="5" s="1"/>
  <c r="G64" i="5"/>
  <c r="H64" i="5" s="1"/>
  <c r="H63" i="5"/>
  <c r="G63" i="5"/>
  <c r="H62" i="5"/>
  <c r="G62" i="5"/>
  <c r="G61" i="5"/>
  <c r="H61" i="5" s="1"/>
  <c r="G60" i="5"/>
  <c r="H60" i="5" s="1"/>
  <c r="G59" i="5"/>
  <c r="H59" i="5" s="1"/>
  <c r="G58" i="5"/>
  <c r="H58" i="5" s="1"/>
  <c r="H57" i="5"/>
  <c r="G57" i="5"/>
  <c r="H56" i="5"/>
  <c r="G56" i="5"/>
  <c r="G55" i="5"/>
  <c r="H55" i="5" s="1"/>
  <c r="G54" i="5"/>
  <c r="H54" i="5" s="1"/>
  <c r="H53" i="5"/>
  <c r="G53" i="5"/>
  <c r="G52" i="5"/>
  <c r="H52" i="5" s="1"/>
  <c r="H51" i="5"/>
  <c r="G51" i="5"/>
  <c r="H50" i="5"/>
  <c r="G50" i="5"/>
  <c r="G49" i="5"/>
  <c r="H49" i="5" s="1"/>
  <c r="G48" i="5"/>
  <c r="H48" i="5" s="1"/>
  <c r="H47" i="5"/>
  <c r="G47" i="5"/>
  <c r="G46" i="5"/>
  <c r="H46" i="5" s="1"/>
  <c r="H45" i="5"/>
  <c r="G45" i="5"/>
  <c r="H44" i="5"/>
  <c r="G44" i="5"/>
  <c r="G43" i="5"/>
  <c r="H43" i="5" s="1"/>
  <c r="G42" i="5"/>
  <c r="H42" i="5" s="1"/>
  <c r="H41" i="5"/>
  <c r="G41" i="5"/>
  <c r="G40" i="5"/>
  <c r="H40" i="5" s="1"/>
  <c r="H39" i="5"/>
  <c r="G39" i="5"/>
  <c r="H38" i="5"/>
  <c r="G38" i="5"/>
  <c r="G37" i="5"/>
  <c r="H37" i="5" s="1"/>
  <c r="G36" i="5"/>
  <c r="H36" i="5" s="1"/>
  <c r="G35" i="5"/>
  <c r="H35" i="5" s="1"/>
  <c r="G34" i="5"/>
  <c r="H34" i="5" s="1"/>
  <c r="H33" i="5"/>
  <c r="G33" i="5"/>
  <c r="H32" i="5"/>
  <c r="G32" i="5"/>
  <c r="G31" i="5"/>
  <c r="H31" i="5" s="1"/>
  <c r="G30" i="5"/>
  <c r="H30" i="5" s="1"/>
  <c r="G29" i="5"/>
  <c r="H29" i="5" s="1"/>
  <c r="G28" i="5"/>
  <c r="H28" i="5" s="1"/>
  <c r="H27" i="5"/>
  <c r="G27" i="5"/>
  <c r="H26" i="5"/>
  <c r="G26" i="5"/>
  <c r="G25" i="5"/>
  <c r="H25" i="5" s="1"/>
  <c r="G24" i="5"/>
  <c r="H24" i="5" s="1"/>
  <c r="G23" i="5"/>
  <c r="H23" i="5" s="1"/>
  <c r="G22" i="5"/>
  <c r="H22" i="5" s="1"/>
  <c r="H21" i="5"/>
  <c r="G21" i="5"/>
  <c r="H20" i="5"/>
  <c r="G20" i="5"/>
  <c r="G19" i="5"/>
  <c r="H19" i="5" s="1"/>
  <c r="G18" i="5"/>
  <c r="H18" i="5" s="1"/>
  <c r="G17" i="5"/>
  <c r="H17" i="5" s="1"/>
  <c r="G16" i="5"/>
  <c r="H16" i="5" s="1"/>
  <c r="H15" i="5"/>
  <c r="G15" i="5"/>
  <c r="H14" i="5"/>
  <c r="G14" i="5"/>
  <c r="G13" i="5"/>
  <c r="H13" i="5" s="1"/>
  <c r="G12" i="5"/>
  <c r="H12" i="5" s="1"/>
  <c r="H11" i="5"/>
  <c r="G11" i="5"/>
  <c r="G10" i="5"/>
  <c r="H10" i="5" s="1"/>
  <c r="H9" i="5"/>
  <c r="G9" i="5"/>
  <c r="H8" i="5"/>
  <c r="G8" i="5"/>
  <c r="G7" i="5"/>
  <c r="H7" i="5" s="1"/>
  <c r="G6" i="5"/>
  <c r="H6" i="5" s="1"/>
  <c r="H5" i="5"/>
  <c r="G5" i="5"/>
  <c r="G4" i="5"/>
  <c r="G84" i="5" s="1"/>
  <c r="H210" i="4"/>
  <c r="H211" i="4" s="1"/>
  <c r="G210" i="4"/>
  <c r="G211" i="4" s="1"/>
  <c r="H207" i="4"/>
  <c r="G207" i="4"/>
  <c r="G206" i="4"/>
  <c r="H206" i="4" s="1"/>
  <c r="H205" i="4"/>
  <c r="G205" i="4"/>
  <c r="G204" i="4"/>
  <c r="H204" i="4" s="1"/>
  <c r="G203" i="4"/>
  <c r="H203" i="4" s="1"/>
  <c r="G202" i="4"/>
  <c r="H202" i="4" s="1"/>
  <c r="G201" i="4"/>
  <c r="H201" i="4" s="1"/>
  <c r="G200" i="4"/>
  <c r="H200" i="4" s="1"/>
  <c r="H199" i="4"/>
  <c r="G199" i="4"/>
  <c r="G198" i="4"/>
  <c r="H198" i="4" s="1"/>
  <c r="H197" i="4"/>
  <c r="G197" i="4"/>
  <c r="G196" i="4"/>
  <c r="H196" i="4" s="1"/>
  <c r="G195" i="4"/>
  <c r="H195" i="4" s="1"/>
  <c r="G194" i="4"/>
  <c r="H194" i="4" s="1"/>
  <c r="G193" i="4"/>
  <c r="H193" i="4" s="1"/>
  <c r="G192" i="4"/>
  <c r="H192" i="4" s="1"/>
  <c r="H191" i="4"/>
  <c r="G191" i="4"/>
  <c r="G190" i="4"/>
  <c r="H190" i="4" s="1"/>
  <c r="H189" i="4"/>
  <c r="G189" i="4"/>
  <c r="G188" i="4"/>
  <c r="H188" i="4" s="1"/>
  <c r="G187" i="4"/>
  <c r="H187" i="4" s="1"/>
  <c r="G186" i="4"/>
  <c r="H186" i="4" s="1"/>
  <c r="G185" i="4"/>
  <c r="H185" i="4" s="1"/>
  <c r="G184" i="4"/>
  <c r="H184" i="4" s="1"/>
  <c r="H183" i="4"/>
  <c r="G183" i="4"/>
  <c r="G182" i="4"/>
  <c r="H182" i="4" s="1"/>
  <c r="H181" i="4"/>
  <c r="G181" i="4"/>
  <c r="G180" i="4"/>
  <c r="H180" i="4" s="1"/>
  <c r="G179" i="4"/>
  <c r="H179" i="4" s="1"/>
  <c r="G178" i="4"/>
  <c r="H178" i="4" s="1"/>
  <c r="G177" i="4"/>
  <c r="H177" i="4" s="1"/>
  <c r="G176" i="4"/>
  <c r="H176" i="4" s="1"/>
  <c r="H175" i="4"/>
  <c r="G175" i="4"/>
  <c r="G174" i="4"/>
  <c r="H174" i="4" s="1"/>
  <c r="H173" i="4"/>
  <c r="G173" i="4"/>
  <c r="G172" i="4"/>
  <c r="H172" i="4" s="1"/>
  <c r="G171" i="4"/>
  <c r="H171" i="4" s="1"/>
  <c r="G170" i="4"/>
  <c r="H170" i="4" s="1"/>
  <c r="G169" i="4"/>
  <c r="H169" i="4" s="1"/>
  <c r="G168" i="4"/>
  <c r="H168" i="4" s="1"/>
  <c r="H167" i="4"/>
  <c r="G167" i="4"/>
  <c r="G166" i="4"/>
  <c r="H166" i="4" s="1"/>
  <c r="H165" i="4"/>
  <c r="G165" i="4"/>
  <c r="G164" i="4"/>
  <c r="H164" i="4" s="1"/>
  <c r="G163" i="4"/>
  <c r="H163" i="4" s="1"/>
  <c r="G162" i="4"/>
  <c r="H162" i="4" s="1"/>
  <c r="G161" i="4"/>
  <c r="H161" i="4" s="1"/>
  <c r="G160" i="4"/>
  <c r="H160" i="4" s="1"/>
  <c r="H159" i="4"/>
  <c r="G159" i="4"/>
  <c r="G158" i="4"/>
  <c r="H158" i="4" s="1"/>
  <c r="H157" i="4"/>
  <c r="G157" i="4"/>
  <c r="G156" i="4"/>
  <c r="H156" i="4" s="1"/>
  <c r="G155" i="4"/>
  <c r="H155" i="4" s="1"/>
  <c r="G154" i="4"/>
  <c r="H154" i="4" s="1"/>
  <c r="G153" i="4"/>
  <c r="H153" i="4" s="1"/>
  <c r="G152" i="4"/>
  <c r="H152" i="4" s="1"/>
  <c r="H151" i="4"/>
  <c r="G151" i="4"/>
  <c r="G150" i="4"/>
  <c r="H150" i="4" s="1"/>
  <c r="H149" i="4"/>
  <c r="G149" i="4"/>
  <c r="G148" i="4"/>
  <c r="H148" i="4" s="1"/>
  <c r="G147" i="4"/>
  <c r="H147" i="4" s="1"/>
  <c r="G146" i="4"/>
  <c r="H146" i="4" s="1"/>
  <c r="G145" i="4"/>
  <c r="H145" i="4" s="1"/>
  <c r="G144" i="4"/>
  <c r="H144" i="4" s="1"/>
  <c r="H143" i="4"/>
  <c r="G143" i="4"/>
  <c r="G142" i="4"/>
  <c r="H142" i="4" s="1"/>
  <c r="H141" i="4"/>
  <c r="G141" i="4"/>
  <c r="G140" i="4"/>
  <c r="H140" i="4" s="1"/>
  <c r="H139" i="4"/>
  <c r="G139" i="4"/>
  <c r="G138" i="4"/>
  <c r="H138" i="4" s="1"/>
  <c r="G137" i="4"/>
  <c r="H137" i="4" s="1"/>
  <c r="G136" i="4"/>
  <c r="H136" i="4" s="1"/>
  <c r="H135" i="4"/>
  <c r="G135" i="4"/>
  <c r="G134" i="4"/>
  <c r="H134" i="4" s="1"/>
  <c r="H133" i="4"/>
  <c r="G133" i="4"/>
  <c r="G132" i="4"/>
  <c r="H132" i="4" s="1"/>
  <c r="H131" i="4"/>
  <c r="G131" i="4"/>
  <c r="G130" i="4"/>
  <c r="H130" i="4" s="1"/>
  <c r="G129" i="4"/>
  <c r="H129" i="4" s="1"/>
  <c r="G128" i="4"/>
  <c r="H128" i="4" s="1"/>
  <c r="H125" i="4"/>
  <c r="G125" i="4"/>
  <c r="G124" i="4"/>
  <c r="H124" i="4" s="1"/>
  <c r="G123" i="4"/>
  <c r="H123" i="4" s="1"/>
  <c r="H122" i="4"/>
  <c r="G122" i="4"/>
  <c r="G121" i="4"/>
  <c r="H121" i="4" s="1"/>
  <c r="H120" i="4"/>
  <c r="G120" i="4"/>
  <c r="H119" i="4"/>
  <c r="G119" i="4"/>
  <c r="G118" i="4"/>
  <c r="H118" i="4" s="1"/>
  <c r="G117" i="4"/>
  <c r="H117" i="4" s="1"/>
  <c r="H116" i="4"/>
  <c r="G116" i="4"/>
  <c r="G115" i="4"/>
  <c r="H115" i="4" s="1"/>
  <c r="H114" i="4"/>
  <c r="G114" i="4"/>
  <c r="H113" i="4"/>
  <c r="G113" i="4"/>
  <c r="G112" i="4"/>
  <c r="H112" i="4" s="1"/>
  <c r="G111" i="4"/>
  <c r="H111" i="4" s="1"/>
  <c r="H110" i="4"/>
  <c r="G110" i="4"/>
  <c r="G109" i="4"/>
  <c r="H109" i="4" s="1"/>
  <c r="H108" i="4"/>
  <c r="G108" i="4"/>
  <c r="H107" i="4"/>
  <c r="G107" i="4"/>
  <c r="G106" i="4"/>
  <c r="H106" i="4" s="1"/>
  <c r="G105" i="4"/>
  <c r="H105" i="4" s="1"/>
  <c r="H104" i="4"/>
  <c r="G104" i="4"/>
  <c r="G103" i="4"/>
  <c r="H103" i="4" s="1"/>
  <c r="H102" i="4"/>
  <c r="G102" i="4"/>
  <c r="H101" i="4"/>
  <c r="G101" i="4"/>
  <c r="G100" i="4"/>
  <c r="H100" i="4" s="1"/>
  <c r="G99" i="4"/>
  <c r="H99" i="4" s="1"/>
  <c r="H98" i="4"/>
  <c r="G98" i="4"/>
  <c r="G97" i="4"/>
  <c r="H97" i="4" s="1"/>
  <c r="H96" i="4"/>
  <c r="G96" i="4"/>
  <c r="H95" i="4"/>
  <c r="G95" i="4"/>
  <c r="G94" i="4"/>
  <c r="H94" i="4" s="1"/>
  <c r="G93" i="4"/>
  <c r="H93" i="4" s="1"/>
  <c r="H92" i="4"/>
  <c r="G92" i="4"/>
  <c r="G91" i="4"/>
  <c r="H91" i="4" s="1"/>
  <c r="H90" i="4"/>
  <c r="G90" i="4"/>
  <c r="H89" i="4"/>
  <c r="G89" i="4"/>
  <c r="G88" i="4"/>
  <c r="H88" i="4" s="1"/>
  <c r="G87" i="4"/>
  <c r="H87" i="4" s="1"/>
  <c r="H86" i="4"/>
  <c r="G86" i="4"/>
  <c r="G83" i="4"/>
  <c r="H83" i="4" s="1"/>
  <c r="H82" i="4"/>
  <c r="G82" i="4"/>
  <c r="H81" i="4"/>
  <c r="G81" i="4"/>
  <c r="G80" i="4"/>
  <c r="H80" i="4" s="1"/>
  <c r="G79" i="4"/>
  <c r="H79" i="4" s="1"/>
  <c r="H78" i="4"/>
  <c r="G78" i="4"/>
  <c r="G77" i="4"/>
  <c r="H77" i="4" s="1"/>
  <c r="H76" i="4"/>
  <c r="G76" i="4"/>
  <c r="H75" i="4"/>
  <c r="G75" i="4"/>
  <c r="G74" i="4"/>
  <c r="H74" i="4" s="1"/>
  <c r="G73" i="4"/>
  <c r="H73" i="4" s="1"/>
  <c r="H72" i="4"/>
  <c r="G72" i="4"/>
  <c r="G71" i="4"/>
  <c r="H71" i="4" s="1"/>
  <c r="H70" i="4"/>
  <c r="G70" i="4"/>
  <c r="H69" i="4"/>
  <c r="G69" i="4"/>
  <c r="G68" i="4"/>
  <c r="H68" i="4" s="1"/>
  <c r="G67" i="4"/>
  <c r="H67" i="4" s="1"/>
  <c r="H66" i="4"/>
  <c r="G66" i="4"/>
  <c r="G65" i="4"/>
  <c r="H65" i="4" s="1"/>
  <c r="H64" i="4"/>
  <c r="G64" i="4"/>
  <c r="H63" i="4"/>
  <c r="G63" i="4"/>
  <c r="G62" i="4"/>
  <c r="H62" i="4" s="1"/>
  <c r="G61" i="4"/>
  <c r="H61" i="4" s="1"/>
  <c r="H60" i="4"/>
  <c r="G60" i="4"/>
  <c r="G59" i="4"/>
  <c r="H59" i="4" s="1"/>
  <c r="H58" i="4"/>
  <c r="G58" i="4"/>
  <c r="H57" i="4"/>
  <c r="G57" i="4"/>
  <c r="G56" i="4"/>
  <c r="H56" i="4" s="1"/>
  <c r="G55" i="4"/>
  <c r="H55" i="4" s="1"/>
  <c r="G54" i="4"/>
  <c r="H54" i="4" s="1"/>
  <c r="G53" i="4"/>
  <c r="H53" i="4" s="1"/>
  <c r="H52" i="4"/>
  <c r="G52" i="4"/>
  <c r="H51" i="4"/>
  <c r="G51" i="4"/>
  <c r="G50" i="4"/>
  <c r="H50" i="4" s="1"/>
  <c r="G49" i="4"/>
  <c r="H49" i="4" s="1"/>
  <c r="G48" i="4"/>
  <c r="H48" i="4" s="1"/>
  <c r="G47" i="4"/>
  <c r="H47" i="4" s="1"/>
  <c r="H46" i="4"/>
  <c r="G46" i="4"/>
  <c r="H45" i="4"/>
  <c r="G45" i="4"/>
  <c r="G44" i="4"/>
  <c r="H44" i="4" s="1"/>
  <c r="G43" i="4"/>
  <c r="H43" i="4" s="1"/>
  <c r="G42" i="4"/>
  <c r="H42" i="4" s="1"/>
  <c r="G41" i="4"/>
  <c r="H41" i="4" s="1"/>
  <c r="H40" i="4"/>
  <c r="G40" i="4"/>
  <c r="H39" i="4"/>
  <c r="G39" i="4"/>
  <c r="G38" i="4"/>
  <c r="H38" i="4" s="1"/>
  <c r="G37" i="4"/>
  <c r="H37" i="4" s="1"/>
  <c r="G36" i="4"/>
  <c r="H36" i="4" s="1"/>
  <c r="G35" i="4"/>
  <c r="H35" i="4" s="1"/>
  <c r="H34" i="4"/>
  <c r="G34" i="4"/>
  <c r="H33" i="4"/>
  <c r="G33" i="4"/>
  <c r="G32" i="4"/>
  <c r="H32" i="4" s="1"/>
  <c r="G31" i="4"/>
  <c r="H31" i="4" s="1"/>
  <c r="G30" i="4"/>
  <c r="H30" i="4" s="1"/>
  <c r="G29" i="4"/>
  <c r="H29" i="4" s="1"/>
  <c r="H28" i="4"/>
  <c r="G28" i="4"/>
  <c r="H27" i="4"/>
  <c r="G27" i="4"/>
  <c r="G26" i="4"/>
  <c r="H26" i="4" s="1"/>
  <c r="G25" i="4"/>
  <c r="H25" i="4" s="1"/>
  <c r="G24" i="4"/>
  <c r="H24" i="4" s="1"/>
  <c r="G23" i="4"/>
  <c r="H23" i="4" s="1"/>
  <c r="H22" i="4"/>
  <c r="G22" i="4"/>
  <c r="H21" i="4"/>
  <c r="G21" i="4"/>
  <c r="G20" i="4"/>
  <c r="H20" i="4" s="1"/>
  <c r="G19" i="4"/>
  <c r="H19" i="4" s="1"/>
  <c r="G18" i="4"/>
  <c r="H18" i="4" s="1"/>
  <c r="G17" i="4"/>
  <c r="H17" i="4" s="1"/>
  <c r="H16" i="4"/>
  <c r="G16" i="4"/>
  <c r="H15" i="4"/>
  <c r="G15" i="4"/>
  <c r="G14" i="4"/>
  <c r="H14" i="4" s="1"/>
  <c r="G13" i="4"/>
  <c r="H13" i="4" s="1"/>
  <c r="G12" i="4"/>
  <c r="H12" i="4" s="1"/>
  <c r="G11" i="4"/>
  <c r="H11" i="4" s="1"/>
  <c r="H10" i="4"/>
  <c r="G10" i="4"/>
  <c r="H9" i="4"/>
  <c r="G9" i="4"/>
  <c r="G8" i="4"/>
  <c r="H8" i="4" s="1"/>
  <c r="G7" i="4"/>
  <c r="H7" i="4" s="1"/>
  <c r="G6" i="4"/>
  <c r="H6" i="4" s="1"/>
  <c r="G5" i="4"/>
  <c r="H5" i="4" s="1"/>
  <c r="H4" i="4"/>
  <c r="G4" i="4"/>
  <c r="G210" i="3"/>
  <c r="G211" i="3" s="1"/>
  <c r="G207" i="3"/>
  <c r="H207" i="3" s="1"/>
  <c r="G206" i="3"/>
  <c r="H206" i="3" s="1"/>
  <c r="G205" i="3"/>
  <c r="H205" i="3" s="1"/>
  <c r="G204" i="3"/>
  <c r="H204" i="3" s="1"/>
  <c r="G203" i="3"/>
  <c r="H203" i="3" s="1"/>
  <c r="G202" i="3"/>
  <c r="H202" i="3" s="1"/>
  <c r="G201" i="3"/>
  <c r="H201" i="3" s="1"/>
  <c r="G200" i="3"/>
  <c r="H200" i="3" s="1"/>
  <c r="G199" i="3"/>
  <c r="H199" i="3" s="1"/>
  <c r="H198" i="3"/>
  <c r="G198" i="3"/>
  <c r="G197" i="3"/>
  <c r="H197" i="3" s="1"/>
  <c r="G196" i="3"/>
  <c r="H196" i="3" s="1"/>
  <c r="G195" i="3"/>
  <c r="H195" i="3" s="1"/>
  <c r="G194" i="3"/>
  <c r="H194" i="3" s="1"/>
  <c r="G193" i="3"/>
  <c r="H193" i="3" s="1"/>
  <c r="G192" i="3"/>
  <c r="H192" i="3" s="1"/>
  <c r="G191" i="3"/>
  <c r="H191" i="3" s="1"/>
  <c r="H190" i="3"/>
  <c r="G190" i="3"/>
  <c r="G189" i="3"/>
  <c r="H189" i="3" s="1"/>
  <c r="G188" i="3"/>
  <c r="H188" i="3" s="1"/>
  <c r="G187" i="3"/>
  <c r="H187" i="3" s="1"/>
  <c r="G186" i="3"/>
  <c r="H186" i="3" s="1"/>
  <c r="G185" i="3"/>
  <c r="H185" i="3" s="1"/>
  <c r="H184" i="3"/>
  <c r="G184" i="3"/>
  <c r="G183" i="3"/>
  <c r="H183" i="3" s="1"/>
  <c r="G182" i="3"/>
  <c r="H182" i="3" s="1"/>
  <c r="G181" i="3"/>
  <c r="H181" i="3" s="1"/>
  <c r="G180" i="3"/>
  <c r="H180" i="3" s="1"/>
  <c r="G179" i="3"/>
  <c r="H179" i="3" s="1"/>
  <c r="G178" i="3"/>
  <c r="H178" i="3" s="1"/>
  <c r="G177" i="3"/>
  <c r="H177" i="3" s="1"/>
  <c r="H176" i="3"/>
  <c r="G176" i="3"/>
  <c r="G175" i="3"/>
  <c r="H175" i="3" s="1"/>
  <c r="G174" i="3"/>
  <c r="H174" i="3" s="1"/>
  <c r="G173" i="3"/>
  <c r="H173" i="3" s="1"/>
  <c r="G172" i="3"/>
  <c r="H172" i="3" s="1"/>
  <c r="G171" i="3"/>
  <c r="H171" i="3" s="1"/>
  <c r="G170" i="3"/>
  <c r="H170" i="3" s="1"/>
  <c r="G169" i="3"/>
  <c r="H169" i="3" s="1"/>
  <c r="H168" i="3"/>
  <c r="G168" i="3"/>
  <c r="G167" i="3"/>
  <c r="H167" i="3" s="1"/>
  <c r="G166" i="3"/>
  <c r="H166" i="3" s="1"/>
  <c r="G165" i="3"/>
  <c r="H165" i="3" s="1"/>
  <c r="G164" i="3"/>
  <c r="H164" i="3" s="1"/>
  <c r="G163" i="3"/>
  <c r="H163" i="3" s="1"/>
  <c r="G162" i="3"/>
  <c r="H162" i="3" s="1"/>
  <c r="G161" i="3"/>
  <c r="H161" i="3" s="1"/>
  <c r="G160" i="3"/>
  <c r="H160" i="3" s="1"/>
  <c r="G159" i="3"/>
  <c r="H159" i="3" s="1"/>
  <c r="G158" i="3"/>
  <c r="H158" i="3" s="1"/>
  <c r="G157" i="3"/>
  <c r="H157" i="3" s="1"/>
  <c r="G156" i="3"/>
  <c r="H156" i="3" s="1"/>
  <c r="G155" i="3"/>
  <c r="H155" i="3" s="1"/>
  <c r="G154" i="3"/>
  <c r="H154" i="3" s="1"/>
  <c r="G153" i="3"/>
  <c r="H153" i="3" s="1"/>
  <c r="G152" i="3"/>
  <c r="H152" i="3" s="1"/>
  <c r="G151" i="3"/>
  <c r="H151" i="3" s="1"/>
  <c r="H150" i="3"/>
  <c r="G150" i="3"/>
  <c r="G149" i="3"/>
  <c r="H149" i="3" s="1"/>
  <c r="G148" i="3"/>
  <c r="H148" i="3" s="1"/>
  <c r="G147" i="3"/>
  <c r="H147" i="3" s="1"/>
  <c r="G146" i="3"/>
  <c r="H146" i="3" s="1"/>
  <c r="G145" i="3"/>
  <c r="H145" i="3" s="1"/>
  <c r="G144" i="3"/>
  <c r="H144" i="3" s="1"/>
  <c r="G143" i="3"/>
  <c r="H143" i="3" s="1"/>
  <c r="H142" i="3"/>
  <c r="G142" i="3"/>
  <c r="G141" i="3"/>
  <c r="H141" i="3" s="1"/>
  <c r="G140" i="3"/>
  <c r="H140" i="3" s="1"/>
  <c r="G139" i="3"/>
  <c r="H139" i="3" s="1"/>
  <c r="G138" i="3"/>
  <c r="H138" i="3" s="1"/>
  <c r="G137" i="3"/>
  <c r="H137" i="3" s="1"/>
  <c r="H136" i="3"/>
  <c r="G136" i="3"/>
  <c r="G135" i="3"/>
  <c r="H135" i="3" s="1"/>
  <c r="G134" i="3"/>
  <c r="H134" i="3" s="1"/>
  <c r="G133" i="3"/>
  <c r="H133" i="3" s="1"/>
  <c r="G132" i="3"/>
  <c r="H132" i="3" s="1"/>
  <c r="G131" i="3"/>
  <c r="H131" i="3" s="1"/>
  <c r="G130" i="3"/>
  <c r="H130" i="3" s="1"/>
  <c r="G129" i="3"/>
  <c r="H129" i="3" s="1"/>
  <c r="H128" i="3"/>
  <c r="G128" i="3"/>
  <c r="G125" i="3"/>
  <c r="H125" i="3" s="1"/>
  <c r="G124" i="3"/>
  <c r="H124" i="3" s="1"/>
  <c r="G123" i="3"/>
  <c r="H123" i="3" s="1"/>
  <c r="G122" i="3"/>
  <c r="H122" i="3" s="1"/>
  <c r="G121" i="3"/>
  <c r="H121" i="3" s="1"/>
  <c r="G120" i="3"/>
  <c r="H120" i="3" s="1"/>
  <c r="H119" i="3"/>
  <c r="G119" i="3"/>
  <c r="G118" i="3"/>
  <c r="H118" i="3" s="1"/>
  <c r="G117" i="3"/>
  <c r="H117" i="3" s="1"/>
  <c r="G116" i="3"/>
  <c r="H116" i="3" s="1"/>
  <c r="G115" i="3"/>
  <c r="H115" i="3" s="1"/>
  <c r="G114" i="3"/>
  <c r="H114" i="3" s="1"/>
  <c r="G113" i="3"/>
  <c r="H113" i="3" s="1"/>
  <c r="G112" i="3"/>
  <c r="H112" i="3" s="1"/>
  <c r="H111" i="3"/>
  <c r="G111" i="3"/>
  <c r="G110" i="3"/>
  <c r="H110" i="3" s="1"/>
  <c r="G109" i="3"/>
  <c r="H109" i="3" s="1"/>
  <c r="G108" i="3"/>
  <c r="H108" i="3" s="1"/>
  <c r="G107" i="3"/>
  <c r="H107" i="3" s="1"/>
  <c r="G106" i="3"/>
  <c r="H106" i="3" s="1"/>
  <c r="H105" i="3"/>
  <c r="G105" i="3"/>
  <c r="G104" i="3"/>
  <c r="H104" i="3" s="1"/>
  <c r="G103" i="3"/>
  <c r="H103" i="3" s="1"/>
  <c r="G102" i="3"/>
  <c r="H102" i="3" s="1"/>
  <c r="G101" i="3"/>
  <c r="H101" i="3" s="1"/>
  <c r="G100" i="3"/>
  <c r="H100" i="3" s="1"/>
  <c r="G99" i="3"/>
  <c r="H99" i="3" s="1"/>
  <c r="G98" i="3"/>
  <c r="H98" i="3" s="1"/>
  <c r="H97" i="3"/>
  <c r="G97" i="3"/>
  <c r="G96" i="3"/>
  <c r="H96" i="3" s="1"/>
  <c r="G95" i="3"/>
  <c r="H95" i="3" s="1"/>
  <c r="G94" i="3"/>
  <c r="H94" i="3" s="1"/>
  <c r="G93" i="3"/>
  <c r="H93" i="3" s="1"/>
  <c r="G92" i="3"/>
  <c r="H92" i="3" s="1"/>
  <c r="G91" i="3"/>
  <c r="H91" i="3" s="1"/>
  <c r="G90" i="3"/>
  <c r="H90" i="3" s="1"/>
  <c r="G89" i="3"/>
  <c r="H89" i="3" s="1"/>
  <c r="G88" i="3"/>
  <c r="H88" i="3" s="1"/>
  <c r="G87" i="3"/>
  <c r="H87" i="3" s="1"/>
  <c r="G86" i="3"/>
  <c r="H86" i="3" s="1"/>
  <c r="G83" i="3"/>
  <c r="H83" i="3" s="1"/>
  <c r="G82" i="3"/>
  <c r="H82" i="3" s="1"/>
  <c r="G81" i="3"/>
  <c r="H81" i="3" s="1"/>
  <c r="H80" i="3"/>
  <c r="G80" i="3"/>
  <c r="G79" i="3"/>
  <c r="H79" i="3" s="1"/>
  <c r="H78" i="3"/>
  <c r="G78" i="3"/>
  <c r="G77" i="3"/>
  <c r="H77" i="3" s="1"/>
  <c r="G76" i="3"/>
  <c r="H76" i="3" s="1"/>
  <c r="G75" i="3"/>
  <c r="H75" i="3" s="1"/>
  <c r="G74" i="3"/>
  <c r="H74" i="3" s="1"/>
  <c r="G73" i="3"/>
  <c r="H73" i="3" s="1"/>
  <c r="G72" i="3"/>
  <c r="H72" i="3" s="1"/>
  <c r="G71" i="3"/>
  <c r="H71" i="3" s="1"/>
  <c r="G70" i="3"/>
  <c r="H70" i="3" s="1"/>
  <c r="G69" i="3"/>
  <c r="H69" i="3" s="1"/>
  <c r="G68" i="3"/>
  <c r="H68" i="3" s="1"/>
  <c r="G67" i="3"/>
  <c r="H67" i="3" s="1"/>
  <c r="G66" i="3"/>
  <c r="H66" i="3" s="1"/>
  <c r="G65" i="3"/>
  <c r="H65" i="3" s="1"/>
  <c r="G64" i="3"/>
  <c r="H64" i="3" s="1"/>
  <c r="G63" i="3"/>
  <c r="H63" i="3" s="1"/>
  <c r="G62" i="3"/>
  <c r="H62" i="3" s="1"/>
  <c r="G61" i="3"/>
  <c r="H61" i="3" s="1"/>
  <c r="G60" i="3"/>
  <c r="H60" i="3" s="1"/>
  <c r="G59" i="3"/>
  <c r="H59" i="3" s="1"/>
  <c r="G58" i="3"/>
  <c r="H58" i="3" s="1"/>
  <c r="G57" i="3"/>
  <c r="H57" i="3" s="1"/>
  <c r="G56" i="3"/>
  <c r="H56" i="3" s="1"/>
  <c r="G55" i="3"/>
  <c r="H55" i="3" s="1"/>
  <c r="G54" i="3"/>
  <c r="H54" i="3" s="1"/>
  <c r="G53" i="3"/>
  <c r="H53" i="3" s="1"/>
  <c r="G52" i="3"/>
  <c r="H52" i="3" s="1"/>
  <c r="G51" i="3"/>
  <c r="H51" i="3" s="1"/>
  <c r="G50" i="3"/>
  <c r="H50" i="3" s="1"/>
  <c r="G49" i="3"/>
  <c r="H49" i="3" s="1"/>
  <c r="G48" i="3"/>
  <c r="H48" i="3" s="1"/>
  <c r="G47" i="3"/>
  <c r="H47" i="3" s="1"/>
  <c r="H46" i="3"/>
  <c r="G46" i="3"/>
  <c r="G45" i="3"/>
  <c r="H45" i="3" s="1"/>
  <c r="G44" i="3"/>
  <c r="H44" i="3" s="1"/>
  <c r="G43" i="3"/>
  <c r="H43" i="3" s="1"/>
  <c r="G42" i="3"/>
  <c r="H42" i="3" s="1"/>
  <c r="G41" i="3"/>
  <c r="H41" i="3" s="1"/>
  <c r="H40" i="3"/>
  <c r="G40" i="3"/>
  <c r="G39" i="3"/>
  <c r="H39" i="3" s="1"/>
  <c r="H38" i="3"/>
  <c r="G38" i="3"/>
  <c r="G37" i="3"/>
  <c r="H37" i="3" s="1"/>
  <c r="G36" i="3"/>
  <c r="H36" i="3" s="1"/>
  <c r="G35" i="3"/>
  <c r="H35" i="3" s="1"/>
  <c r="G34" i="3"/>
  <c r="H34" i="3" s="1"/>
  <c r="G33" i="3"/>
  <c r="H33" i="3" s="1"/>
  <c r="H32" i="3"/>
  <c r="G32" i="3"/>
  <c r="G31" i="3"/>
  <c r="H31" i="3" s="1"/>
  <c r="H30" i="3"/>
  <c r="G30" i="3"/>
  <c r="G29" i="3"/>
  <c r="H29" i="3" s="1"/>
  <c r="G28" i="3"/>
  <c r="H28" i="3" s="1"/>
  <c r="G27" i="3"/>
  <c r="H27" i="3" s="1"/>
  <c r="G26" i="3"/>
  <c r="H26" i="3" s="1"/>
  <c r="G25" i="3"/>
  <c r="H25" i="3" s="1"/>
  <c r="G24" i="3"/>
  <c r="H24" i="3" s="1"/>
  <c r="G23" i="3"/>
  <c r="H23" i="3" s="1"/>
  <c r="G22" i="3"/>
  <c r="H22" i="3" s="1"/>
  <c r="G21" i="3"/>
  <c r="H21" i="3" s="1"/>
  <c r="G20" i="3"/>
  <c r="H20" i="3" s="1"/>
  <c r="G19" i="3"/>
  <c r="H19" i="3" s="1"/>
  <c r="G18" i="3"/>
  <c r="H18" i="3" s="1"/>
  <c r="G17" i="3"/>
  <c r="H17" i="3" s="1"/>
  <c r="G16" i="3"/>
  <c r="H16" i="3" s="1"/>
  <c r="G15" i="3"/>
  <c r="H15" i="3" s="1"/>
  <c r="G14" i="3"/>
  <c r="H14" i="3" s="1"/>
  <c r="G13" i="3"/>
  <c r="H13" i="3" s="1"/>
  <c r="G12" i="3"/>
  <c r="H12" i="3" s="1"/>
  <c r="G11" i="3"/>
  <c r="H11" i="3" s="1"/>
  <c r="G10" i="3"/>
  <c r="H10" i="3" s="1"/>
  <c r="G9" i="3"/>
  <c r="H9" i="3" s="1"/>
  <c r="G8" i="3"/>
  <c r="H8" i="3" s="1"/>
  <c r="G7" i="3"/>
  <c r="H7" i="3" s="1"/>
  <c r="G6" i="3"/>
  <c r="H6" i="3" s="1"/>
  <c r="G5" i="3"/>
  <c r="H5" i="3" s="1"/>
  <c r="G4" i="3"/>
  <c r="H4" i="3" s="1"/>
  <c r="G210" i="2"/>
  <c r="H210" i="2" s="1"/>
  <c r="H211" i="2" s="1"/>
  <c r="G207" i="2"/>
  <c r="H207" i="2" s="1"/>
  <c r="G206" i="2"/>
  <c r="H206" i="2" s="1"/>
  <c r="G205" i="2"/>
  <c r="H205" i="2" s="1"/>
  <c r="G204" i="2"/>
  <c r="H204" i="2" s="1"/>
  <c r="G203" i="2"/>
  <c r="H203" i="2" s="1"/>
  <c r="H202" i="2"/>
  <c r="G202" i="2"/>
  <c r="G201" i="2"/>
  <c r="H201" i="2" s="1"/>
  <c r="G200" i="2"/>
  <c r="H200" i="2" s="1"/>
  <c r="G199" i="2"/>
  <c r="H199" i="2" s="1"/>
  <c r="G198" i="2"/>
  <c r="H198" i="2" s="1"/>
  <c r="G197" i="2"/>
  <c r="H197" i="2" s="1"/>
  <c r="G196" i="2"/>
  <c r="H196" i="2" s="1"/>
  <c r="G195" i="2"/>
  <c r="H195" i="2" s="1"/>
  <c r="H194" i="2"/>
  <c r="G194" i="2"/>
  <c r="G193" i="2"/>
  <c r="H193" i="2" s="1"/>
  <c r="G192" i="2"/>
  <c r="H192" i="2" s="1"/>
  <c r="G191" i="2"/>
  <c r="H191" i="2" s="1"/>
  <c r="G190" i="2"/>
  <c r="H190" i="2" s="1"/>
  <c r="G189" i="2"/>
  <c r="H189" i="2" s="1"/>
  <c r="G188" i="2"/>
  <c r="H188" i="2" s="1"/>
  <c r="G187" i="2"/>
  <c r="H187" i="2" s="1"/>
  <c r="H186" i="2"/>
  <c r="G186" i="2"/>
  <c r="G185" i="2"/>
  <c r="H185" i="2" s="1"/>
  <c r="G184" i="2"/>
  <c r="H184" i="2" s="1"/>
  <c r="G183" i="2"/>
  <c r="H183" i="2" s="1"/>
  <c r="G182" i="2"/>
  <c r="H182" i="2" s="1"/>
  <c r="G181" i="2"/>
  <c r="H181" i="2" s="1"/>
  <c r="G180" i="2"/>
  <c r="H180" i="2" s="1"/>
  <c r="G179" i="2"/>
  <c r="H179" i="2" s="1"/>
  <c r="G178" i="2"/>
  <c r="H178" i="2" s="1"/>
  <c r="G177" i="2"/>
  <c r="H177" i="2" s="1"/>
  <c r="G176" i="2"/>
  <c r="H176" i="2" s="1"/>
  <c r="G175" i="2"/>
  <c r="H175" i="2" s="1"/>
  <c r="G174" i="2"/>
  <c r="H174" i="2" s="1"/>
  <c r="G173" i="2"/>
  <c r="H173" i="2" s="1"/>
  <c r="G172" i="2"/>
  <c r="H172" i="2" s="1"/>
  <c r="G171" i="2"/>
  <c r="H171" i="2" s="1"/>
  <c r="G170" i="2"/>
  <c r="H170" i="2" s="1"/>
  <c r="G169" i="2"/>
  <c r="H169" i="2" s="1"/>
  <c r="H168" i="2"/>
  <c r="G168" i="2"/>
  <c r="G167" i="2"/>
  <c r="H167" i="2" s="1"/>
  <c r="G166" i="2"/>
  <c r="H166" i="2" s="1"/>
  <c r="G165" i="2"/>
  <c r="H165" i="2" s="1"/>
  <c r="G164" i="2"/>
  <c r="H164" i="2" s="1"/>
  <c r="G163" i="2"/>
  <c r="H163" i="2" s="1"/>
  <c r="G162" i="2"/>
  <c r="H162" i="2" s="1"/>
  <c r="G161" i="2"/>
  <c r="H161" i="2" s="1"/>
  <c r="H160" i="2"/>
  <c r="G160" i="2"/>
  <c r="G159" i="2"/>
  <c r="H159" i="2" s="1"/>
  <c r="G158" i="2"/>
  <c r="H158" i="2" s="1"/>
  <c r="G157" i="2"/>
  <c r="H157" i="2" s="1"/>
  <c r="G156" i="2"/>
  <c r="H156" i="2" s="1"/>
  <c r="G155" i="2"/>
  <c r="H155" i="2" s="1"/>
  <c r="H154" i="2"/>
  <c r="G154" i="2"/>
  <c r="G153" i="2"/>
  <c r="H153" i="2" s="1"/>
  <c r="G152" i="2"/>
  <c r="H152" i="2" s="1"/>
  <c r="G151" i="2"/>
  <c r="H151" i="2" s="1"/>
  <c r="G150" i="2"/>
  <c r="H150" i="2" s="1"/>
  <c r="G149" i="2"/>
  <c r="H149" i="2" s="1"/>
  <c r="G148" i="2"/>
  <c r="H148" i="2" s="1"/>
  <c r="G147" i="2"/>
  <c r="H147" i="2" s="1"/>
  <c r="H146" i="2"/>
  <c r="G146" i="2"/>
  <c r="G145" i="2"/>
  <c r="H145" i="2" s="1"/>
  <c r="G144" i="2"/>
  <c r="H144" i="2" s="1"/>
  <c r="G143" i="2"/>
  <c r="H143" i="2" s="1"/>
  <c r="G142" i="2"/>
  <c r="H142" i="2" s="1"/>
  <c r="G141" i="2"/>
  <c r="H141" i="2" s="1"/>
  <c r="G140" i="2"/>
  <c r="H140" i="2" s="1"/>
  <c r="G139" i="2"/>
  <c r="H139" i="2" s="1"/>
  <c r="G138" i="2"/>
  <c r="H138" i="2" s="1"/>
  <c r="G137" i="2"/>
  <c r="H137" i="2" s="1"/>
  <c r="G136" i="2"/>
  <c r="H136" i="2" s="1"/>
  <c r="G135" i="2"/>
  <c r="H135" i="2" s="1"/>
  <c r="G134" i="2"/>
  <c r="H134" i="2" s="1"/>
  <c r="G133" i="2"/>
  <c r="H133" i="2" s="1"/>
  <c r="H132" i="2"/>
  <c r="G132" i="2"/>
  <c r="G131" i="2"/>
  <c r="H131" i="2" s="1"/>
  <c r="H130" i="2"/>
  <c r="G130" i="2"/>
  <c r="G129" i="2"/>
  <c r="G128" i="2"/>
  <c r="H128" i="2" s="1"/>
  <c r="G125" i="2"/>
  <c r="H125" i="2" s="1"/>
  <c r="G124" i="2"/>
  <c r="H124" i="2" s="1"/>
  <c r="G123" i="2"/>
  <c r="H123" i="2" s="1"/>
  <c r="G122" i="2"/>
  <c r="H122" i="2" s="1"/>
  <c r="H121" i="2"/>
  <c r="G121" i="2"/>
  <c r="G120" i="2"/>
  <c r="H120" i="2" s="1"/>
  <c r="H119" i="2"/>
  <c r="G119" i="2"/>
  <c r="G118" i="2"/>
  <c r="H118" i="2" s="1"/>
  <c r="G117" i="2"/>
  <c r="H117" i="2" s="1"/>
  <c r="G116" i="2"/>
  <c r="H116" i="2" s="1"/>
  <c r="G115" i="2"/>
  <c r="H115" i="2" s="1"/>
  <c r="G114" i="2"/>
  <c r="H114" i="2" s="1"/>
  <c r="H113" i="2"/>
  <c r="G113" i="2"/>
  <c r="G112" i="2"/>
  <c r="H112" i="2" s="1"/>
  <c r="H111" i="2"/>
  <c r="G111" i="2"/>
  <c r="G110" i="2"/>
  <c r="H110" i="2" s="1"/>
  <c r="G109" i="2"/>
  <c r="H109" i="2" s="1"/>
  <c r="G108" i="2"/>
  <c r="H108" i="2" s="1"/>
  <c r="G107" i="2"/>
  <c r="H107" i="2" s="1"/>
  <c r="G106" i="2"/>
  <c r="H106" i="2" s="1"/>
  <c r="H105" i="2"/>
  <c r="G105" i="2"/>
  <c r="G104" i="2"/>
  <c r="H104" i="2" s="1"/>
  <c r="H103" i="2"/>
  <c r="G103" i="2"/>
  <c r="G102" i="2"/>
  <c r="H102" i="2" s="1"/>
  <c r="G101" i="2"/>
  <c r="H101" i="2" s="1"/>
  <c r="G100" i="2"/>
  <c r="H100" i="2" s="1"/>
  <c r="G99" i="2"/>
  <c r="H99" i="2" s="1"/>
  <c r="G98" i="2"/>
  <c r="H98" i="2" s="1"/>
  <c r="H97" i="2"/>
  <c r="G97" i="2"/>
  <c r="G96" i="2"/>
  <c r="H96" i="2" s="1"/>
  <c r="H95" i="2"/>
  <c r="G95" i="2"/>
  <c r="G94" i="2"/>
  <c r="H94" i="2" s="1"/>
  <c r="G93" i="2"/>
  <c r="H93" i="2" s="1"/>
  <c r="G92" i="2"/>
  <c r="H92" i="2" s="1"/>
  <c r="G91" i="2"/>
  <c r="H91" i="2" s="1"/>
  <c r="G90" i="2"/>
  <c r="H90" i="2" s="1"/>
  <c r="H89" i="2"/>
  <c r="G89" i="2"/>
  <c r="G88" i="2"/>
  <c r="H88" i="2" s="1"/>
  <c r="H87" i="2"/>
  <c r="G87" i="2"/>
  <c r="G86" i="2"/>
  <c r="H86" i="2" s="1"/>
  <c r="G83" i="2"/>
  <c r="H83" i="2" s="1"/>
  <c r="G82" i="2"/>
  <c r="H82" i="2" s="1"/>
  <c r="G81" i="2"/>
  <c r="H81" i="2" s="1"/>
  <c r="H80" i="2"/>
  <c r="G80" i="2"/>
  <c r="G79" i="2"/>
  <c r="H79" i="2" s="1"/>
  <c r="G78" i="2"/>
  <c r="H78" i="2" s="1"/>
  <c r="G77" i="2"/>
  <c r="H77" i="2" s="1"/>
  <c r="G76" i="2"/>
  <c r="H76" i="2" s="1"/>
  <c r="G75" i="2"/>
  <c r="H75" i="2" s="1"/>
  <c r="G74" i="2"/>
  <c r="H74" i="2" s="1"/>
  <c r="G73" i="2"/>
  <c r="H73" i="2" s="1"/>
  <c r="H72" i="2"/>
  <c r="G72" i="2"/>
  <c r="G71" i="2"/>
  <c r="H71" i="2" s="1"/>
  <c r="G70" i="2"/>
  <c r="H70" i="2" s="1"/>
  <c r="G69" i="2"/>
  <c r="H69" i="2" s="1"/>
  <c r="G68" i="2"/>
  <c r="H68" i="2" s="1"/>
  <c r="G67" i="2"/>
  <c r="H67" i="2" s="1"/>
  <c r="G66" i="2"/>
  <c r="H66" i="2" s="1"/>
  <c r="G65" i="2"/>
  <c r="H65" i="2" s="1"/>
  <c r="H64" i="2"/>
  <c r="G64" i="2"/>
  <c r="G63" i="2"/>
  <c r="H63" i="2" s="1"/>
  <c r="G62" i="2"/>
  <c r="H62" i="2" s="1"/>
  <c r="G61" i="2"/>
  <c r="H61" i="2" s="1"/>
  <c r="G60" i="2"/>
  <c r="H60" i="2" s="1"/>
  <c r="G59" i="2"/>
  <c r="H59" i="2" s="1"/>
  <c r="G58" i="2"/>
  <c r="H58" i="2" s="1"/>
  <c r="G57" i="2"/>
  <c r="H57" i="2" s="1"/>
  <c r="H56" i="2"/>
  <c r="G56" i="2"/>
  <c r="G55" i="2"/>
  <c r="H55" i="2" s="1"/>
  <c r="G54" i="2"/>
  <c r="H54" i="2" s="1"/>
  <c r="G53" i="2"/>
  <c r="H53" i="2" s="1"/>
  <c r="G52" i="2"/>
  <c r="H52" i="2" s="1"/>
  <c r="G51" i="2"/>
  <c r="H51" i="2" s="1"/>
  <c r="G50" i="2"/>
  <c r="H50" i="2" s="1"/>
  <c r="G49" i="2"/>
  <c r="H49" i="2" s="1"/>
  <c r="H48" i="2"/>
  <c r="G48" i="2"/>
  <c r="G47" i="2"/>
  <c r="H47" i="2" s="1"/>
  <c r="G46" i="2"/>
  <c r="H46" i="2" s="1"/>
  <c r="G45" i="2"/>
  <c r="H45" i="2" s="1"/>
  <c r="G44" i="2"/>
  <c r="H44" i="2" s="1"/>
  <c r="G43" i="2"/>
  <c r="H43" i="2" s="1"/>
  <c r="G42" i="2"/>
  <c r="H42" i="2" s="1"/>
  <c r="G41" i="2"/>
  <c r="H41" i="2" s="1"/>
  <c r="H40" i="2"/>
  <c r="G40" i="2"/>
  <c r="G39" i="2"/>
  <c r="H39" i="2" s="1"/>
  <c r="G38" i="2"/>
  <c r="H38" i="2" s="1"/>
  <c r="G37" i="2"/>
  <c r="H37" i="2" s="1"/>
  <c r="G36" i="2"/>
  <c r="H36" i="2" s="1"/>
  <c r="G35" i="2"/>
  <c r="H35" i="2" s="1"/>
  <c r="G34" i="2"/>
  <c r="H34" i="2" s="1"/>
  <c r="G33" i="2"/>
  <c r="H33" i="2" s="1"/>
  <c r="H32" i="2"/>
  <c r="G32" i="2"/>
  <c r="G31" i="2"/>
  <c r="H31" i="2" s="1"/>
  <c r="G30" i="2"/>
  <c r="H30" i="2" s="1"/>
  <c r="G29" i="2"/>
  <c r="H29" i="2" s="1"/>
  <c r="G28" i="2"/>
  <c r="H28" i="2" s="1"/>
  <c r="G27" i="2"/>
  <c r="H27" i="2" s="1"/>
  <c r="G26" i="2"/>
  <c r="H26" i="2" s="1"/>
  <c r="G25" i="2"/>
  <c r="H25" i="2" s="1"/>
  <c r="H24" i="2"/>
  <c r="G24" i="2"/>
  <c r="G23" i="2"/>
  <c r="H23" i="2" s="1"/>
  <c r="H22" i="2"/>
  <c r="G22" i="2"/>
  <c r="G21" i="2"/>
  <c r="H21" i="2" s="1"/>
  <c r="G20" i="2"/>
  <c r="H20" i="2" s="1"/>
  <c r="G19" i="2"/>
  <c r="H19" i="2" s="1"/>
  <c r="G18" i="2"/>
  <c r="H18" i="2" s="1"/>
  <c r="G17" i="2"/>
  <c r="H17" i="2" s="1"/>
  <c r="H16" i="2"/>
  <c r="G16" i="2"/>
  <c r="G15" i="2"/>
  <c r="H15" i="2" s="1"/>
  <c r="G14" i="2"/>
  <c r="H14" i="2" s="1"/>
  <c r="G13" i="2"/>
  <c r="H13" i="2" s="1"/>
  <c r="G12" i="2"/>
  <c r="H12" i="2" s="1"/>
  <c r="G11" i="2"/>
  <c r="H11" i="2" s="1"/>
  <c r="G10" i="2"/>
  <c r="H10" i="2" s="1"/>
  <c r="G9" i="2"/>
  <c r="H9" i="2" s="1"/>
  <c r="H8" i="2"/>
  <c r="G8" i="2"/>
  <c r="G7" i="2"/>
  <c r="H7" i="2" s="1"/>
  <c r="G6" i="2"/>
  <c r="H6" i="2" s="1"/>
  <c r="G5" i="2"/>
  <c r="H5" i="2" s="1"/>
  <c r="G4" i="2"/>
  <c r="J1306" i="1"/>
  <c r="H1306" i="1"/>
  <c r="E1306" i="1"/>
  <c r="B1306" i="1"/>
  <c r="J1263" i="1"/>
  <c r="H1263" i="1"/>
  <c r="J1262" i="1"/>
  <c r="H1262" i="1"/>
  <c r="J1261" i="1"/>
  <c r="H1261" i="1"/>
  <c r="J1260" i="1"/>
  <c r="H1260" i="1"/>
  <c r="J1259" i="1"/>
  <c r="H1259" i="1"/>
  <c r="J1258" i="1"/>
  <c r="H1258" i="1"/>
  <c r="J1257" i="1"/>
  <c r="H1257" i="1"/>
  <c r="J1256" i="1"/>
  <c r="H1256" i="1"/>
  <c r="J1255" i="1"/>
  <c r="H1255" i="1"/>
  <c r="J1254" i="1"/>
  <c r="H1254" i="1"/>
  <c r="J1253" i="1"/>
  <c r="H1253" i="1"/>
  <c r="J1252" i="1"/>
  <c r="H1252" i="1"/>
  <c r="J1251" i="1"/>
  <c r="H1251" i="1"/>
  <c r="J1250" i="1"/>
  <c r="H1250" i="1"/>
  <c r="J1249" i="1"/>
  <c r="H1249" i="1"/>
  <c r="J1248" i="1"/>
  <c r="H1248" i="1"/>
  <c r="J1247" i="1"/>
  <c r="H1247" i="1"/>
  <c r="J1246" i="1"/>
  <c r="H1246" i="1"/>
  <c r="J1245" i="1"/>
  <c r="H1245" i="1"/>
  <c r="J1244" i="1"/>
  <c r="H1244" i="1"/>
  <c r="J1243" i="1"/>
  <c r="H1243" i="1"/>
  <c r="J1242" i="1"/>
  <c r="H1242" i="1"/>
  <c r="J1241" i="1"/>
  <c r="H1241" i="1"/>
  <c r="J1240" i="1"/>
  <c r="H1240" i="1"/>
  <c r="J1239" i="1"/>
  <c r="H1239" i="1"/>
  <c r="J1238" i="1"/>
  <c r="H1238" i="1"/>
  <c r="J1237" i="1"/>
  <c r="H1237" i="1"/>
  <c r="J1236" i="1"/>
  <c r="H1236" i="1"/>
  <c r="J1235" i="1"/>
  <c r="H1235" i="1"/>
  <c r="J1234" i="1"/>
  <c r="H1234" i="1"/>
  <c r="J1233" i="1"/>
  <c r="H1233" i="1"/>
  <c r="J1232" i="1"/>
  <c r="H1232" i="1"/>
  <c r="J1231" i="1"/>
  <c r="H1231" i="1"/>
  <c r="J1230" i="1"/>
  <c r="H1230" i="1"/>
  <c r="J1229" i="1"/>
  <c r="H1229" i="1"/>
  <c r="J1228" i="1"/>
  <c r="H1228" i="1"/>
  <c r="J1227" i="1"/>
  <c r="H1227" i="1"/>
  <c r="J1226" i="1"/>
  <c r="H1226" i="1"/>
  <c r="J1225" i="1"/>
  <c r="H1225" i="1"/>
  <c r="J1224" i="1"/>
  <c r="H1224" i="1"/>
  <c r="E1224" i="1"/>
  <c r="B1224" i="1"/>
  <c r="J1181" i="1"/>
  <c r="H1181" i="1"/>
  <c r="E1181" i="1"/>
  <c r="B1181" i="1"/>
  <c r="J1099" i="1"/>
  <c r="H1099" i="1"/>
  <c r="E1099" i="1"/>
  <c r="B1099" i="1"/>
  <c r="J267" i="1"/>
  <c r="H267" i="1"/>
  <c r="E267" i="1"/>
  <c r="B267" i="1"/>
  <c r="J266" i="1"/>
  <c r="H266" i="1"/>
  <c r="E266" i="1"/>
  <c r="B266" i="1"/>
  <c r="J265" i="1"/>
  <c r="H265" i="1"/>
  <c r="E265" i="1"/>
  <c r="B265" i="1"/>
  <c r="J264" i="1"/>
  <c r="H264" i="1"/>
  <c r="E264" i="1"/>
  <c r="B264" i="1"/>
  <c r="J263" i="1"/>
  <c r="H263" i="1"/>
  <c r="E263" i="1"/>
  <c r="B263" i="1"/>
  <c r="J262" i="1"/>
  <c r="H262" i="1"/>
  <c r="E262" i="1"/>
  <c r="B262" i="1"/>
  <c r="J261" i="1"/>
  <c r="H261" i="1"/>
  <c r="E261" i="1"/>
  <c r="B261" i="1"/>
  <c r="J260" i="1"/>
  <c r="H260" i="1"/>
  <c r="E260" i="1"/>
  <c r="B260" i="1"/>
  <c r="J259" i="1"/>
  <c r="H259" i="1"/>
  <c r="E259" i="1"/>
  <c r="B259" i="1"/>
  <c r="J258" i="1"/>
  <c r="H258" i="1"/>
  <c r="E258" i="1"/>
  <c r="B258" i="1"/>
  <c r="J257" i="1"/>
  <c r="H257" i="1"/>
  <c r="E257" i="1"/>
  <c r="B257" i="1"/>
  <c r="J256" i="1"/>
  <c r="H256" i="1"/>
  <c r="E256" i="1"/>
  <c r="B256" i="1"/>
  <c r="J255" i="1"/>
  <c r="H255" i="1"/>
  <c r="E255" i="1"/>
  <c r="B255" i="1"/>
  <c r="J254" i="1"/>
  <c r="H254" i="1"/>
  <c r="E254" i="1"/>
  <c r="B254" i="1"/>
  <c r="J253" i="1"/>
  <c r="H253" i="1"/>
  <c r="E253" i="1"/>
  <c r="B253" i="1"/>
  <c r="J252" i="1"/>
  <c r="H252" i="1"/>
  <c r="E252" i="1"/>
  <c r="B252" i="1"/>
  <c r="J251" i="1"/>
  <c r="H251" i="1"/>
  <c r="E251" i="1"/>
  <c r="B251" i="1"/>
  <c r="J250" i="1"/>
  <c r="H250" i="1"/>
  <c r="E250" i="1"/>
  <c r="B250" i="1"/>
  <c r="J249" i="1"/>
  <c r="H249" i="1"/>
  <c r="E249" i="1"/>
  <c r="B249" i="1"/>
  <c r="J248" i="1"/>
  <c r="H248" i="1"/>
  <c r="E248" i="1"/>
  <c r="B248" i="1"/>
  <c r="J247" i="1"/>
  <c r="H247" i="1"/>
  <c r="E247" i="1"/>
  <c r="B247" i="1"/>
  <c r="J246" i="1"/>
  <c r="H246" i="1"/>
  <c r="E246" i="1"/>
  <c r="B246" i="1"/>
  <c r="J245" i="1"/>
  <c r="H245" i="1"/>
  <c r="E245" i="1"/>
  <c r="B245" i="1"/>
  <c r="J244" i="1"/>
  <c r="H244" i="1"/>
  <c r="E244" i="1"/>
  <c r="B244" i="1"/>
  <c r="J243" i="1"/>
  <c r="H243" i="1"/>
  <c r="E243" i="1"/>
  <c r="B243" i="1"/>
  <c r="J242" i="1"/>
  <c r="H242" i="1"/>
  <c r="E242" i="1"/>
  <c r="B242" i="1"/>
  <c r="J241" i="1"/>
  <c r="H241" i="1"/>
  <c r="E241" i="1"/>
  <c r="B241" i="1"/>
  <c r="J240" i="1"/>
  <c r="H240" i="1"/>
  <c r="E240" i="1"/>
  <c r="B240" i="1"/>
  <c r="J239" i="1"/>
  <c r="H239" i="1"/>
  <c r="E239" i="1"/>
  <c r="B239" i="1"/>
  <c r="J238" i="1"/>
  <c r="H238" i="1"/>
  <c r="E238" i="1"/>
  <c r="B238" i="1"/>
  <c r="J237" i="1"/>
  <c r="H237" i="1"/>
  <c r="E237" i="1"/>
  <c r="B237" i="1"/>
  <c r="J236" i="1"/>
  <c r="H236" i="1"/>
  <c r="E236" i="1"/>
  <c r="B236" i="1"/>
  <c r="J235" i="1"/>
  <c r="H235" i="1"/>
  <c r="E235" i="1"/>
  <c r="B235" i="1"/>
  <c r="J234" i="1"/>
  <c r="H234" i="1"/>
  <c r="E234" i="1"/>
  <c r="B234" i="1"/>
  <c r="J233" i="1"/>
  <c r="H233" i="1"/>
  <c r="E233" i="1"/>
  <c r="B233" i="1"/>
  <c r="J232" i="1"/>
  <c r="H232" i="1"/>
  <c r="E232" i="1"/>
  <c r="B232" i="1"/>
  <c r="J231" i="1"/>
  <c r="H231" i="1"/>
  <c r="E231" i="1"/>
  <c r="B231" i="1"/>
  <c r="J230" i="1"/>
  <c r="H230" i="1"/>
  <c r="E230" i="1"/>
  <c r="B230" i="1"/>
  <c r="J229" i="1"/>
  <c r="H229" i="1"/>
  <c r="E229" i="1"/>
  <c r="B229" i="1"/>
  <c r="J228" i="1"/>
  <c r="H228" i="1"/>
  <c r="E228" i="1"/>
  <c r="B228" i="1"/>
  <c r="J227" i="1"/>
  <c r="H227" i="1"/>
  <c r="E227" i="1"/>
  <c r="B227" i="1"/>
  <c r="J226" i="1"/>
  <c r="H226" i="1"/>
  <c r="E226" i="1"/>
  <c r="B226" i="1"/>
  <c r="J225" i="1"/>
  <c r="H225" i="1"/>
  <c r="E225" i="1"/>
  <c r="B225" i="1"/>
  <c r="J224" i="1"/>
  <c r="H224" i="1"/>
  <c r="E224" i="1"/>
  <c r="B224" i="1"/>
  <c r="J223" i="1"/>
  <c r="H223" i="1"/>
  <c r="E223" i="1"/>
  <c r="B223" i="1"/>
  <c r="J222" i="1"/>
  <c r="H222" i="1"/>
  <c r="E222" i="1"/>
  <c r="B222" i="1"/>
  <c r="J221" i="1"/>
  <c r="H221" i="1"/>
  <c r="E221" i="1"/>
  <c r="B221" i="1"/>
  <c r="J220" i="1"/>
  <c r="H220" i="1"/>
  <c r="E220" i="1"/>
  <c r="B220" i="1"/>
  <c r="J219" i="1"/>
  <c r="H219" i="1"/>
  <c r="E219" i="1"/>
  <c r="B219" i="1"/>
  <c r="J218" i="1"/>
  <c r="H218" i="1"/>
  <c r="E218" i="1"/>
  <c r="B218" i="1"/>
  <c r="J217" i="1"/>
  <c r="H217" i="1"/>
  <c r="E217" i="1"/>
  <c r="B217" i="1"/>
  <c r="J216" i="1"/>
  <c r="H216" i="1"/>
  <c r="E216" i="1"/>
  <c r="B216" i="1"/>
  <c r="J215" i="1"/>
  <c r="H215" i="1"/>
  <c r="E215" i="1"/>
  <c r="B215" i="1"/>
  <c r="J214" i="1"/>
  <c r="H214" i="1"/>
  <c r="E214" i="1"/>
  <c r="B214" i="1"/>
  <c r="J213" i="1"/>
  <c r="H213" i="1"/>
  <c r="E213" i="1"/>
  <c r="B213" i="1"/>
  <c r="J212" i="1"/>
  <c r="H212" i="1"/>
  <c r="E212" i="1"/>
  <c r="B212" i="1"/>
  <c r="J211" i="1"/>
  <c r="H211" i="1"/>
  <c r="E211" i="1"/>
  <c r="B211" i="1"/>
  <c r="J210" i="1"/>
  <c r="H210" i="1"/>
  <c r="E210" i="1"/>
  <c r="B210" i="1"/>
  <c r="J209" i="1"/>
  <c r="H209" i="1"/>
  <c r="E209" i="1"/>
  <c r="B209" i="1"/>
  <c r="J208" i="1"/>
  <c r="H208" i="1"/>
  <c r="E208" i="1"/>
  <c r="B208" i="1"/>
  <c r="J207" i="1"/>
  <c r="H207" i="1"/>
  <c r="E207" i="1"/>
  <c r="B207" i="1"/>
  <c r="J206" i="1"/>
  <c r="H206" i="1"/>
  <c r="E206" i="1"/>
  <c r="B206" i="1"/>
  <c r="J205" i="1"/>
  <c r="H205" i="1"/>
  <c r="E205" i="1"/>
  <c r="B205" i="1"/>
  <c r="J204" i="1"/>
  <c r="H204" i="1"/>
  <c r="E204" i="1"/>
  <c r="B204" i="1"/>
  <c r="J203" i="1"/>
  <c r="H203" i="1"/>
  <c r="E203" i="1"/>
  <c r="B203" i="1"/>
  <c r="J202" i="1"/>
  <c r="H202" i="1"/>
  <c r="E202" i="1"/>
  <c r="B202" i="1"/>
  <c r="J201" i="1"/>
  <c r="H201" i="1"/>
  <c r="E201" i="1"/>
  <c r="B201" i="1"/>
  <c r="J200" i="1"/>
  <c r="H200" i="1"/>
  <c r="E200" i="1"/>
  <c r="B200" i="1"/>
  <c r="J199" i="1"/>
  <c r="H199" i="1"/>
  <c r="E199" i="1"/>
  <c r="B199" i="1"/>
  <c r="J198" i="1"/>
  <c r="H198" i="1"/>
  <c r="E198" i="1"/>
  <c r="B198" i="1"/>
  <c r="J197" i="1"/>
  <c r="H197" i="1"/>
  <c r="E197" i="1"/>
  <c r="B197" i="1"/>
  <c r="J196" i="1"/>
  <c r="H196" i="1"/>
  <c r="E196" i="1"/>
  <c r="B196" i="1"/>
  <c r="J195" i="1"/>
  <c r="H195" i="1"/>
  <c r="E195" i="1"/>
  <c r="B195" i="1"/>
  <c r="J194" i="1"/>
  <c r="H194" i="1"/>
  <c r="E194" i="1"/>
  <c r="B194" i="1"/>
  <c r="J193" i="1"/>
  <c r="H193" i="1"/>
  <c r="E193" i="1"/>
  <c r="B193" i="1"/>
  <c r="J192" i="1"/>
  <c r="H192" i="1"/>
  <c r="E192" i="1"/>
  <c r="B192" i="1"/>
  <c r="J191" i="1"/>
  <c r="H191" i="1"/>
  <c r="E191" i="1"/>
  <c r="B191" i="1"/>
  <c r="J190" i="1"/>
  <c r="H190" i="1"/>
  <c r="E190" i="1"/>
  <c r="B190" i="1"/>
  <c r="J189" i="1"/>
  <c r="H189" i="1"/>
  <c r="E189" i="1"/>
  <c r="B189" i="1"/>
  <c r="J188" i="1"/>
  <c r="H188" i="1"/>
  <c r="E188" i="1"/>
  <c r="B188" i="1"/>
  <c r="J185" i="1"/>
  <c r="H185" i="1"/>
  <c r="E185" i="1"/>
  <c r="B185" i="1"/>
  <c r="J184" i="1"/>
  <c r="H184" i="1"/>
  <c r="E184" i="1"/>
  <c r="B184" i="1"/>
  <c r="J183" i="1"/>
  <c r="H183" i="1"/>
  <c r="E183" i="1"/>
  <c r="B183" i="1"/>
  <c r="J182" i="1"/>
  <c r="H182" i="1"/>
  <c r="E182" i="1"/>
  <c r="B182" i="1"/>
  <c r="J181" i="1"/>
  <c r="H181" i="1"/>
  <c r="E181" i="1"/>
  <c r="B181" i="1"/>
  <c r="J180" i="1"/>
  <c r="H180" i="1"/>
  <c r="E180" i="1"/>
  <c r="B180" i="1"/>
  <c r="J179" i="1"/>
  <c r="H179" i="1"/>
  <c r="E179" i="1"/>
  <c r="B179" i="1"/>
  <c r="J178" i="1"/>
  <c r="H178" i="1"/>
  <c r="E178" i="1"/>
  <c r="B178" i="1"/>
  <c r="J177" i="1"/>
  <c r="H177" i="1"/>
  <c r="E177" i="1"/>
  <c r="B177" i="1"/>
  <c r="J176" i="1"/>
  <c r="H176" i="1"/>
  <c r="E176" i="1"/>
  <c r="B176" i="1"/>
  <c r="J175" i="1"/>
  <c r="H175" i="1"/>
  <c r="E175" i="1"/>
  <c r="B175" i="1"/>
  <c r="J174" i="1"/>
  <c r="H174" i="1"/>
  <c r="E174" i="1"/>
  <c r="B174" i="1"/>
  <c r="J173" i="1"/>
  <c r="H173" i="1"/>
  <c r="E173" i="1"/>
  <c r="B173" i="1"/>
  <c r="J172" i="1"/>
  <c r="H172" i="1"/>
  <c r="E172" i="1"/>
  <c r="B172" i="1"/>
  <c r="J171" i="1"/>
  <c r="H171" i="1"/>
  <c r="E171" i="1"/>
  <c r="B171" i="1"/>
  <c r="J170" i="1"/>
  <c r="H170" i="1"/>
  <c r="E170" i="1"/>
  <c r="B170" i="1"/>
  <c r="J169" i="1"/>
  <c r="H169" i="1"/>
  <c r="E169" i="1"/>
  <c r="B169" i="1"/>
  <c r="J168" i="1"/>
  <c r="H168" i="1"/>
  <c r="E168" i="1"/>
  <c r="B168" i="1"/>
  <c r="J167" i="1"/>
  <c r="H167" i="1"/>
  <c r="E167" i="1"/>
  <c r="B167" i="1"/>
  <c r="J166" i="1"/>
  <c r="H166" i="1"/>
  <c r="E166" i="1"/>
  <c r="B166" i="1"/>
  <c r="J165" i="1"/>
  <c r="H165" i="1"/>
  <c r="E165" i="1"/>
  <c r="B165" i="1"/>
  <c r="J164" i="1"/>
  <c r="H164" i="1"/>
  <c r="E164" i="1"/>
  <c r="B164" i="1"/>
  <c r="J163" i="1"/>
  <c r="H163" i="1"/>
  <c r="E163" i="1"/>
  <c r="B163" i="1"/>
  <c r="J162" i="1"/>
  <c r="H162" i="1"/>
  <c r="E162" i="1"/>
  <c r="B162" i="1"/>
  <c r="J161" i="1"/>
  <c r="H161" i="1"/>
  <c r="E161" i="1"/>
  <c r="B161" i="1"/>
  <c r="J160" i="1"/>
  <c r="H160" i="1"/>
  <c r="E160" i="1"/>
  <c r="B160" i="1"/>
  <c r="J159" i="1"/>
  <c r="H159" i="1"/>
  <c r="E159" i="1"/>
  <c r="B159" i="1"/>
  <c r="J158" i="1"/>
  <c r="H158" i="1"/>
  <c r="E158" i="1"/>
  <c r="B158" i="1"/>
  <c r="J157" i="1"/>
  <c r="H157" i="1"/>
  <c r="E157" i="1"/>
  <c r="B157" i="1"/>
  <c r="J156" i="1"/>
  <c r="H156" i="1"/>
  <c r="E156" i="1"/>
  <c r="B156" i="1"/>
  <c r="J155" i="1"/>
  <c r="H155" i="1"/>
  <c r="E155" i="1"/>
  <c r="B155" i="1"/>
  <c r="J154" i="1"/>
  <c r="H154" i="1"/>
  <c r="E154" i="1"/>
  <c r="B154" i="1"/>
  <c r="J153" i="1"/>
  <c r="H153" i="1"/>
  <c r="E153" i="1"/>
  <c r="B153" i="1"/>
  <c r="J152" i="1"/>
  <c r="H152" i="1"/>
  <c r="E152" i="1"/>
  <c r="B152" i="1"/>
  <c r="J151" i="1"/>
  <c r="H151" i="1"/>
  <c r="E151" i="1"/>
  <c r="B151" i="1"/>
  <c r="J150" i="1"/>
  <c r="H150" i="1"/>
  <c r="E150" i="1"/>
  <c r="B150" i="1"/>
  <c r="J149" i="1"/>
  <c r="H149" i="1"/>
  <c r="E149" i="1"/>
  <c r="B149" i="1"/>
  <c r="J148" i="1"/>
  <c r="H148" i="1"/>
  <c r="E148" i="1"/>
  <c r="B148" i="1"/>
  <c r="J147" i="1"/>
  <c r="H147" i="1"/>
  <c r="E147" i="1"/>
  <c r="B147" i="1"/>
  <c r="J146" i="1"/>
  <c r="H146" i="1"/>
  <c r="E146" i="1"/>
  <c r="B146" i="1"/>
  <c r="J143" i="1"/>
  <c r="H143" i="1"/>
  <c r="E143" i="1"/>
  <c r="B143" i="1"/>
  <c r="J142" i="1"/>
  <c r="H142" i="1"/>
  <c r="E142" i="1"/>
  <c r="B142" i="1"/>
  <c r="J141" i="1"/>
  <c r="H141" i="1"/>
  <c r="E141" i="1"/>
  <c r="B141" i="1"/>
  <c r="J140" i="1"/>
  <c r="H140" i="1"/>
  <c r="E140" i="1"/>
  <c r="B140" i="1"/>
  <c r="J139" i="1"/>
  <c r="H139" i="1"/>
  <c r="E139" i="1"/>
  <c r="B139" i="1"/>
  <c r="J138" i="1"/>
  <c r="H138" i="1"/>
  <c r="E138" i="1"/>
  <c r="B138" i="1"/>
  <c r="J137" i="1"/>
  <c r="H137" i="1"/>
  <c r="E137" i="1"/>
  <c r="B137" i="1"/>
  <c r="J136" i="1"/>
  <c r="H136" i="1"/>
  <c r="E136" i="1"/>
  <c r="B136" i="1"/>
  <c r="J135" i="1"/>
  <c r="H135" i="1"/>
  <c r="E135" i="1"/>
  <c r="B135" i="1"/>
  <c r="J134" i="1"/>
  <c r="H134" i="1"/>
  <c r="E134" i="1"/>
  <c r="B134" i="1"/>
  <c r="J133" i="1"/>
  <c r="H133" i="1"/>
  <c r="E133" i="1"/>
  <c r="B133" i="1"/>
  <c r="J132" i="1"/>
  <c r="H132" i="1"/>
  <c r="E132" i="1"/>
  <c r="B132" i="1"/>
  <c r="J131" i="1"/>
  <c r="H131" i="1"/>
  <c r="E131" i="1"/>
  <c r="B131" i="1"/>
  <c r="J130" i="1"/>
  <c r="H130" i="1"/>
  <c r="E130" i="1"/>
  <c r="B130" i="1"/>
  <c r="J129" i="1"/>
  <c r="H129" i="1"/>
  <c r="E129" i="1"/>
  <c r="B129" i="1"/>
  <c r="J128" i="1"/>
  <c r="H128" i="1"/>
  <c r="E128" i="1"/>
  <c r="B128" i="1"/>
  <c r="J127" i="1"/>
  <c r="H127" i="1"/>
  <c r="E127" i="1"/>
  <c r="B127" i="1"/>
  <c r="J126" i="1"/>
  <c r="H126" i="1"/>
  <c r="E126" i="1"/>
  <c r="B126" i="1"/>
  <c r="J125" i="1"/>
  <c r="H125" i="1"/>
  <c r="E125" i="1"/>
  <c r="B125" i="1"/>
  <c r="J124" i="1"/>
  <c r="H124" i="1"/>
  <c r="E124" i="1"/>
  <c r="B124" i="1"/>
  <c r="J123" i="1"/>
  <c r="H123" i="1"/>
  <c r="E123" i="1"/>
  <c r="B123" i="1"/>
  <c r="J122" i="1"/>
  <c r="H122" i="1"/>
  <c r="E122" i="1"/>
  <c r="B122" i="1"/>
  <c r="J121" i="1"/>
  <c r="H121" i="1"/>
  <c r="E121" i="1"/>
  <c r="B121" i="1"/>
  <c r="J120" i="1"/>
  <c r="H120" i="1"/>
  <c r="E120" i="1"/>
  <c r="B120" i="1"/>
  <c r="J119" i="1"/>
  <c r="H119" i="1"/>
  <c r="E119" i="1"/>
  <c r="B119" i="1"/>
  <c r="J118" i="1"/>
  <c r="H118" i="1"/>
  <c r="E118" i="1"/>
  <c r="B118" i="1"/>
  <c r="J117" i="1"/>
  <c r="H117" i="1"/>
  <c r="E117" i="1"/>
  <c r="B117" i="1"/>
  <c r="J116" i="1"/>
  <c r="H116" i="1"/>
  <c r="E116" i="1"/>
  <c r="B116" i="1"/>
  <c r="J115" i="1"/>
  <c r="H115" i="1"/>
  <c r="E115" i="1"/>
  <c r="B115" i="1"/>
  <c r="J114" i="1"/>
  <c r="H114" i="1"/>
  <c r="E114" i="1"/>
  <c r="B114" i="1"/>
  <c r="J113" i="1"/>
  <c r="H113" i="1"/>
  <c r="E113" i="1"/>
  <c r="B113" i="1"/>
  <c r="J112" i="1"/>
  <c r="H112" i="1"/>
  <c r="E112" i="1"/>
  <c r="B112" i="1"/>
  <c r="J111" i="1"/>
  <c r="H111" i="1"/>
  <c r="E111" i="1"/>
  <c r="B111" i="1"/>
  <c r="J110" i="1"/>
  <c r="H110" i="1"/>
  <c r="E110" i="1"/>
  <c r="B110" i="1"/>
  <c r="J109" i="1"/>
  <c r="H109" i="1"/>
  <c r="E109" i="1"/>
  <c r="B109" i="1"/>
  <c r="J108" i="1"/>
  <c r="H108" i="1"/>
  <c r="E108" i="1"/>
  <c r="B108" i="1"/>
  <c r="J107" i="1"/>
  <c r="H107" i="1"/>
  <c r="E107" i="1"/>
  <c r="B107" i="1"/>
  <c r="J106" i="1"/>
  <c r="H106" i="1"/>
  <c r="E106" i="1"/>
  <c r="B106" i="1"/>
  <c r="J105" i="1"/>
  <c r="H105" i="1"/>
  <c r="E105" i="1"/>
  <c r="B105" i="1"/>
  <c r="J104" i="1"/>
  <c r="H104" i="1"/>
  <c r="E104" i="1"/>
  <c r="B104" i="1"/>
  <c r="J103" i="1"/>
  <c r="H103" i="1"/>
  <c r="E103" i="1"/>
  <c r="B103" i="1"/>
  <c r="J102" i="1"/>
  <c r="H102" i="1"/>
  <c r="E102" i="1"/>
  <c r="B102" i="1"/>
  <c r="J101" i="1"/>
  <c r="H101" i="1"/>
  <c r="E101" i="1"/>
  <c r="B101" i="1"/>
  <c r="J100" i="1"/>
  <c r="H100" i="1"/>
  <c r="E100" i="1"/>
  <c r="B100" i="1"/>
  <c r="J99" i="1"/>
  <c r="H99" i="1"/>
  <c r="E99" i="1"/>
  <c r="B99" i="1"/>
  <c r="J98" i="1"/>
  <c r="H98" i="1"/>
  <c r="E98" i="1"/>
  <c r="B98" i="1"/>
  <c r="J97" i="1"/>
  <c r="H97" i="1"/>
  <c r="E97" i="1"/>
  <c r="B97" i="1"/>
  <c r="J96" i="1"/>
  <c r="H96" i="1"/>
  <c r="E96" i="1"/>
  <c r="B96" i="1"/>
  <c r="J95" i="1"/>
  <c r="H95" i="1"/>
  <c r="E95" i="1"/>
  <c r="B95" i="1"/>
  <c r="J94" i="1"/>
  <c r="H94" i="1"/>
  <c r="E94" i="1"/>
  <c r="B94" i="1"/>
  <c r="J93" i="1"/>
  <c r="H93" i="1"/>
  <c r="E93" i="1"/>
  <c r="B93" i="1"/>
  <c r="J92" i="1"/>
  <c r="H92" i="1"/>
  <c r="E92" i="1"/>
  <c r="B92" i="1"/>
  <c r="J91" i="1"/>
  <c r="H91" i="1"/>
  <c r="E91" i="1"/>
  <c r="B91" i="1"/>
  <c r="J90" i="1"/>
  <c r="H90" i="1"/>
  <c r="E90" i="1"/>
  <c r="B90" i="1"/>
  <c r="J89" i="1"/>
  <c r="H89" i="1"/>
  <c r="E89" i="1"/>
  <c r="B89" i="1"/>
  <c r="J88" i="1"/>
  <c r="H88" i="1"/>
  <c r="E88" i="1"/>
  <c r="B88" i="1"/>
  <c r="J87" i="1"/>
  <c r="H87" i="1"/>
  <c r="E87" i="1"/>
  <c r="B87" i="1"/>
  <c r="J86" i="1"/>
  <c r="H86" i="1"/>
  <c r="E86" i="1"/>
  <c r="B86" i="1"/>
  <c r="J85" i="1"/>
  <c r="H85" i="1"/>
  <c r="E85" i="1"/>
  <c r="B85" i="1"/>
  <c r="J84" i="1"/>
  <c r="H84" i="1"/>
  <c r="E84" i="1"/>
  <c r="B84" i="1"/>
  <c r="J83" i="1"/>
  <c r="H83" i="1"/>
  <c r="E83" i="1"/>
  <c r="B83" i="1"/>
  <c r="J82" i="1"/>
  <c r="H82" i="1"/>
  <c r="E82" i="1"/>
  <c r="B82" i="1"/>
  <c r="J81" i="1"/>
  <c r="H81" i="1"/>
  <c r="E81" i="1"/>
  <c r="B81" i="1"/>
  <c r="J80" i="1"/>
  <c r="H80" i="1"/>
  <c r="E80" i="1"/>
  <c r="B80" i="1"/>
  <c r="J79" i="1"/>
  <c r="H79" i="1"/>
  <c r="E79" i="1"/>
  <c r="B79" i="1"/>
  <c r="J78" i="1"/>
  <c r="H78" i="1"/>
  <c r="E78" i="1"/>
  <c r="B78" i="1"/>
  <c r="J77" i="1"/>
  <c r="H77" i="1"/>
  <c r="E77" i="1"/>
  <c r="B77" i="1"/>
  <c r="J76" i="1"/>
  <c r="H76" i="1"/>
  <c r="E76" i="1"/>
  <c r="B76" i="1"/>
  <c r="J75" i="1"/>
  <c r="H75" i="1"/>
  <c r="E75" i="1"/>
  <c r="B75" i="1"/>
  <c r="J74" i="1"/>
  <c r="H74" i="1"/>
  <c r="E74" i="1"/>
  <c r="B74" i="1"/>
  <c r="J73" i="1"/>
  <c r="H73" i="1"/>
  <c r="E73" i="1"/>
  <c r="B73" i="1"/>
  <c r="J72" i="1"/>
  <c r="H72" i="1"/>
  <c r="E72" i="1"/>
  <c r="B72" i="1"/>
  <c r="J71" i="1"/>
  <c r="H71" i="1"/>
  <c r="E71" i="1"/>
  <c r="B71" i="1"/>
  <c r="J70" i="1"/>
  <c r="H70" i="1"/>
  <c r="E70" i="1"/>
  <c r="B70" i="1"/>
  <c r="J69" i="1"/>
  <c r="H69" i="1"/>
  <c r="E69" i="1"/>
  <c r="B69" i="1"/>
  <c r="J68" i="1"/>
  <c r="H68" i="1"/>
  <c r="E68" i="1"/>
  <c r="B68" i="1"/>
  <c r="J67" i="1"/>
  <c r="H67" i="1"/>
  <c r="E67" i="1"/>
  <c r="B67" i="1"/>
  <c r="J66" i="1"/>
  <c r="H66" i="1"/>
  <c r="E66" i="1"/>
  <c r="B66" i="1"/>
  <c r="J65" i="1"/>
  <c r="H65" i="1"/>
  <c r="E65" i="1"/>
  <c r="B65" i="1"/>
  <c r="J64" i="1"/>
  <c r="H64" i="1"/>
  <c r="E64" i="1"/>
  <c r="B64" i="1"/>
  <c r="I45" i="1"/>
  <c r="I44" i="1"/>
  <c r="I43" i="1"/>
  <c r="I42" i="1"/>
  <c r="I41" i="1"/>
  <c r="I40" i="1"/>
  <c r="I39" i="1"/>
  <c r="I38" i="1"/>
  <c r="I37" i="1"/>
  <c r="F27" i="1"/>
  <c r="F26" i="1"/>
  <c r="F25" i="1"/>
  <c r="F24" i="1"/>
  <c r="F22" i="1"/>
  <c r="F21" i="1"/>
  <c r="F20" i="1"/>
  <c r="F19" i="1"/>
  <c r="F18" i="1"/>
  <c r="F17" i="1"/>
  <c r="F16" i="1"/>
  <c r="G84" i="4" l="1"/>
  <c r="H208" i="4"/>
  <c r="H208" i="5"/>
  <c r="H126" i="7"/>
  <c r="J42" i="1" s="1"/>
  <c r="H84" i="3"/>
  <c r="H126" i="2"/>
  <c r="H4" i="5"/>
  <c r="H84" i="5" s="1"/>
  <c r="H212" i="5" s="1"/>
  <c r="G84" i="2"/>
  <c r="G208" i="3"/>
  <c r="G208" i="2"/>
  <c r="H84" i="4"/>
  <c r="G126" i="7"/>
  <c r="G84" i="6"/>
  <c r="H84" i="6"/>
  <c r="H210" i="5"/>
  <c r="H211" i="5" s="1"/>
  <c r="H210" i="6"/>
  <c r="H211" i="6" s="1"/>
  <c r="H210" i="3"/>
  <c r="H211" i="3" s="1"/>
  <c r="H212" i="3" s="1"/>
  <c r="H4" i="2"/>
  <c r="H84" i="2" s="1"/>
  <c r="G84" i="7"/>
  <c r="H6" i="7"/>
  <c r="H84" i="7" s="1"/>
  <c r="H208" i="3"/>
  <c r="G126" i="2"/>
  <c r="G84" i="3"/>
  <c r="H129" i="2"/>
  <c r="H208" i="2" s="1"/>
  <c r="G126" i="4"/>
  <c r="G212" i="4" s="1"/>
  <c r="G208" i="4"/>
  <c r="G126" i="5"/>
  <c r="G212" i="5" s="1"/>
  <c r="G208" i="5"/>
  <c r="G126" i="6"/>
  <c r="G84" i="8"/>
  <c r="H126" i="8"/>
  <c r="G211" i="2"/>
  <c r="H126" i="3"/>
  <c r="H126" i="4"/>
  <c r="H212" i="4" s="1"/>
  <c r="H126" i="5"/>
  <c r="H126" i="6"/>
  <c r="G126" i="8"/>
  <c r="H84" i="8"/>
  <c r="J39" i="1" s="1"/>
  <c r="G126" i="3"/>
  <c r="G212" i="3" s="1"/>
  <c r="G212" i="2" l="1"/>
  <c r="J40" i="1"/>
  <c r="H127" i="7"/>
  <c r="J41" i="1" s="1"/>
  <c r="J38" i="1"/>
  <c r="G127" i="7"/>
  <c r="H127" i="8"/>
  <c r="G127" i="8"/>
  <c r="H212" i="2"/>
  <c r="G132" i="6"/>
  <c r="H132" i="6" s="1"/>
  <c r="J1020" i="1"/>
  <c r="J1032" i="1"/>
  <c r="G144" i="6"/>
  <c r="H144" i="6" s="1"/>
  <c r="G146" i="6"/>
  <c r="H146" i="6" s="1"/>
  <c r="J1034" i="1"/>
  <c r="J1018" i="1"/>
  <c r="G130" i="6"/>
  <c r="H130" i="6" s="1"/>
  <c r="J1027" i="1"/>
  <c r="G139" i="6"/>
  <c r="H139" i="6" s="1"/>
  <c r="J1040" i="1"/>
  <c r="G152" i="6"/>
  <c r="H152" i="6" s="1"/>
  <c r="J1037" i="1"/>
  <c r="G149" i="6"/>
  <c r="H149" i="6" s="1"/>
  <c r="G148" i="6"/>
  <c r="H148" i="6" s="1"/>
  <c r="J1036" i="1"/>
  <c r="G128" i="6"/>
  <c r="H128" i="6" s="1"/>
  <c r="J1016" i="1"/>
  <c r="G155" i="6"/>
  <c r="H155" i="6" s="1"/>
  <c r="J1043" i="1"/>
  <c r="G153" i="6"/>
  <c r="H153" i="6" s="1"/>
  <c r="J1041" i="1"/>
  <c r="G145" i="6"/>
  <c r="H145" i="6" s="1"/>
  <c r="J1033" i="1"/>
  <c r="G138" i="6"/>
  <c r="H138" i="6" s="1"/>
  <c r="J1026" i="1"/>
  <c r="G140" i="6"/>
  <c r="H140" i="6" s="1"/>
  <c r="J1028" i="1"/>
  <c r="J1039" i="1"/>
  <c r="G151" i="6"/>
  <c r="H151" i="6" s="1"/>
  <c r="G147" i="6"/>
  <c r="H147" i="6" s="1"/>
  <c r="J1035" i="1"/>
  <c r="G142" i="6"/>
  <c r="H142" i="6" s="1"/>
  <c r="J1030" i="1"/>
  <c r="G133" i="6"/>
  <c r="H133" i="6" s="1"/>
  <c r="J1021" i="1"/>
  <c r="J1019" i="1"/>
  <c r="G131" i="6"/>
  <c r="H131" i="6" s="1"/>
  <c r="G141" i="6"/>
  <c r="H141" i="6" s="1"/>
  <c r="J1029" i="1"/>
  <c r="J1024" i="1"/>
  <c r="G136" i="6"/>
  <c r="H136" i="6" s="1"/>
  <c r="J1031" i="1"/>
  <c r="G143" i="6"/>
  <c r="H143" i="6" s="1"/>
  <c r="G135" i="6"/>
  <c r="H135" i="6" s="1"/>
  <c r="J1023" i="1"/>
  <c r="G150" i="6"/>
  <c r="H150" i="6" s="1"/>
  <c r="J1038" i="1"/>
  <c r="G129" i="6"/>
  <c r="H129" i="6" s="1"/>
  <c r="J1017" i="1"/>
  <c r="G134" i="6"/>
  <c r="H134" i="6" s="1"/>
  <c r="J1022" i="1"/>
  <c r="G156" i="6"/>
  <c r="H156" i="6" s="1"/>
  <c r="J1044" i="1"/>
  <c r="J1042" i="1"/>
  <c r="G154" i="6"/>
  <c r="H154" i="6" s="1"/>
  <c r="G137" i="6"/>
  <c r="H137" i="6" s="1"/>
  <c r="J1025" i="1"/>
  <c r="H208" i="6" l="1"/>
  <c r="H212" i="6" s="1"/>
  <c r="G208" i="6"/>
  <c r="G212" i="6" s="1"/>
  <c r="J37" i="1" l="1"/>
  <c r="J36" i="1" s="1"/>
  <c r="J43" i="1" s="1"/>
  <c r="J44" i="1" s="1"/>
  <c r="J45" i="1" s="1"/>
</calcChain>
</file>

<file path=xl/comments1.xml><?xml version="1.0" encoding="utf-8"?>
<comments xmlns="http://schemas.openxmlformats.org/spreadsheetml/2006/main">
  <authors>
    <author>None</author>
    <author>S.Lalovski</author>
    <author>Administrator</author>
    <author>Alexandra Dimitrova</author>
  </authors>
  <commentList>
    <comment ref="F8" authorId="0" shapeId="0">
      <text>
        <r>
          <rPr>
            <sz val="11"/>
            <color theme="1"/>
            <rFont val="Calibri"/>
            <family val="2"/>
            <charset val="204"/>
            <scheme val="minor"/>
          </rPr>
          <t xml:space="preserve">Задължително за попълване поле. </t>
        </r>
      </text>
    </comment>
    <comment ref="F9" authorId="1" shapeId="0">
      <text>
        <r>
          <rPr>
            <sz val="11"/>
            <color theme="1"/>
            <rFont val="Calibri"/>
            <family val="2"/>
            <charset val="204"/>
            <scheme val="minor"/>
          </rPr>
          <t>Задължително за попълване поле.</t>
        </r>
      </text>
    </comment>
    <comment ref="F10" authorId="1" shapeId="0">
      <text>
        <r>
          <rPr>
            <sz val="11"/>
            <color theme="1"/>
            <rFont val="Calibri"/>
            <family val="2"/>
            <charset val="204"/>
            <scheme val="minor"/>
          </rPr>
          <t>Задължително за попълване поле.</t>
        </r>
      </text>
    </comment>
    <comment ref="F11" authorId="1" shapeId="0">
      <text>
        <r>
          <rPr>
            <sz val="11"/>
            <color theme="1"/>
            <rFont val="Calibri"/>
            <family val="2"/>
            <charset val="204"/>
            <scheme val="minor"/>
          </rPr>
          <t>Задължително за попълване поле.</t>
        </r>
      </text>
    </comment>
    <comment ref="F12" authorId="1" shapeId="0">
      <text>
        <r>
          <rPr>
            <sz val="11"/>
            <color theme="1"/>
            <rFont val="Calibri"/>
            <family val="2"/>
            <charset val="204"/>
            <scheme val="minor"/>
          </rPr>
          <t>Задължително за попълване поле.</t>
        </r>
      </text>
    </comment>
    <comment ref="F13" authorId="1" shapeId="0">
      <text>
        <r>
          <rPr>
            <sz val="11"/>
            <color theme="1"/>
            <rFont val="Calibri"/>
            <family val="2"/>
            <charset val="204"/>
            <scheme val="minor"/>
          </rPr>
          <t>Задължително за попълване поле.</t>
        </r>
      </text>
    </comment>
    <comment ref="F15" authorId="2" shapeId="0">
      <text>
        <r>
          <rPr>
            <sz val="11"/>
            <color theme="1"/>
            <rFont val="Calibri"/>
            <family val="2"/>
            <charset val="204"/>
            <scheme val="minor"/>
          </rPr>
          <t>Моля, въведете целият код на училището по НЕИСПУО в тази клетка и натиснете "ENTER".</t>
        </r>
      </text>
    </comment>
    <comment ref="F23" authorId="0" shapeId="0">
      <text>
        <r>
          <rPr>
            <sz val="11"/>
            <color theme="1"/>
            <rFont val="Calibri"/>
            <family val="2"/>
            <charset val="204"/>
            <scheme val="minor"/>
          </rPr>
          <t xml:space="preserve">Задължително за попълване поле. </t>
        </r>
      </text>
    </comment>
    <comment ref="F28" authorId="1" shapeId="0">
      <text>
        <r>
          <rPr>
            <sz val="11"/>
            <color theme="1"/>
            <rFont val="Calibri"/>
            <family val="2"/>
            <charset val="204"/>
            <scheme val="minor"/>
          </rPr>
          <t xml:space="preserve">  Задължително за попълване поле. </t>
        </r>
      </text>
    </comment>
    <comment ref="F29" authorId="2" shapeId="0">
      <text>
        <r>
          <rPr>
            <sz val="11"/>
            <color rgb="FF000000"/>
            <rFont val="Calibri"/>
            <family val="2"/>
            <charset val="204"/>
          </rPr>
          <t xml:space="preserve">Задължително за попълване поле. 
</t>
        </r>
      </text>
    </comment>
    <comment ref="F32" authorId="2" shapeId="0">
      <text>
        <r>
          <rPr>
            <sz val="11"/>
            <color rgb="FF000000"/>
            <rFont val="Calibri"/>
            <family val="2"/>
            <charset val="204"/>
          </rPr>
          <t xml:space="preserve">Задължително за попълване поле. </t>
        </r>
      </text>
    </comment>
    <comment ref="F33" authorId="1" shapeId="0">
      <text>
        <r>
          <rPr>
            <sz val="11"/>
            <color theme="1"/>
            <rFont val="Calibri"/>
            <family val="2"/>
            <charset val="204"/>
            <scheme val="minor"/>
          </rPr>
          <t>Задължително за попълване поле.</t>
        </r>
      </text>
    </comment>
    <comment ref="F34" authorId="1" shapeId="0">
      <text>
        <r>
          <rPr>
            <sz val="11"/>
            <color theme="1"/>
            <rFont val="Calibri"/>
            <family val="2"/>
            <charset val="204"/>
            <scheme val="minor"/>
          </rPr>
          <t>Задължително за попълване поле.</t>
        </r>
      </text>
    </comment>
    <comment ref="J35" authorId="3" shapeId="0">
      <text>
        <r>
          <rPr>
            <sz val="11"/>
            <color theme="1"/>
            <rFont val="Calibri"/>
            <family val="2"/>
            <charset val="204"/>
            <scheme val="minor"/>
          </rPr>
          <t>Виж Указанията за попълване в т. 3 от Насоките.</t>
        </r>
      </text>
    </comment>
    <comment ref="B49" authorId="2" shapeId="0">
      <text>
        <r>
          <rPr>
            <sz val="11"/>
            <color theme="1"/>
            <rFont val="Calibri"/>
            <family val="2"/>
            <charset val="204"/>
            <scheme val="minor"/>
          </rPr>
          <t xml:space="preserve">Задължително за попълване поле. </t>
        </r>
      </text>
    </comment>
    <comment ref="B53" authorId="2" shapeId="0">
      <text>
        <r>
          <rPr>
            <sz val="11"/>
            <color theme="1"/>
            <rFont val="Calibri"/>
            <family val="2"/>
            <charset val="204"/>
            <scheme val="minor"/>
          </rPr>
          <t>Задължителни за попълване полета. Виж Указанията за попълване в т. 3 от Насоките.</t>
        </r>
      </text>
    </comment>
    <comment ref="B60" authorId="2" shapeId="0">
      <text>
        <r>
          <rPr>
            <sz val="11"/>
            <color theme="1"/>
            <rFont val="Calibri"/>
            <family val="2"/>
            <charset val="204"/>
            <scheme val="minor"/>
          </rPr>
          <t>Задължителни за попълване полета. Виж Указанията за попълване в т. 3 от Насоките.</t>
        </r>
      </text>
    </comment>
  </commentList>
</comments>
</file>

<file path=xl/sharedStrings.xml><?xml version="1.0" encoding="utf-8"?>
<sst xmlns="http://schemas.openxmlformats.org/spreadsheetml/2006/main" count="17070" uniqueCount="4895">
  <si>
    <t xml:space="preserve">КОНЦЕПЦИЯ ЗА ИЗГРАЖДАНЕ НА УЧИЛИЩНА STEM СРЕДА </t>
  </si>
  <si>
    <t>ДАННИ ЗА КОНТАКТ</t>
  </si>
  <si>
    <t>Име и фамилия на директора на училището</t>
  </si>
  <si>
    <t>Телефон за връзка</t>
  </si>
  <si>
    <t>Име и фамилия на лице за контакт по STEM</t>
  </si>
  <si>
    <t>Длъжност</t>
  </si>
  <si>
    <t>E-mail</t>
  </si>
  <si>
    <t>ОБЩИ ДАННИ ЗА УЧИЛИЩЕТО</t>
  </si>
  <si>
    <t>Код на училището по НЕИСПУО:</t>
  </si>
  <si>
    <t>Код на училището по ЕИК:</t>
  </si>
  <si>
    <t>Наименование на образователна институция:</t>
  </si>
  <si>
    <t>Област:</t>
  </si>
  <si>
    <t>Община :</t>
  </si>
  <si>
    <t>Населено място:</t>
  </si>
  <si>
    <t>Вид училище:</t>
  </si>
  <si>
    <t>Детайлен вид на училище:</t>
  </si>
  <si>
    <t>Профил или професонално направление, ако има такива:</t>
  </si>
  <si>
    <t>Брой на учениците през учебната 2020-2021 г.:</t>
  </si>
  <si>
    <t>Брой на учениците през учебната 2021-2022 г.:</t>
  </si>
  <si>
    <t>Брой на учениците през учебната 2022-2023 г.:</t>
  </si>
  <si>
    <t>Средноаритметичен брой ученици за учебните 2020/2021, 2021/2022 и 2022/2023 учебна година</t>
  </si>
  <si>
    <t>Брой на педагогическия персонал за 2022-2023 г.:</t>
  </si>
  <si>
    <t>Училището Ви има ли изграден STEM център към момента на кандидатстване?
(Моля отбележете)</t>
  </si>
  <si>
    <t>Вид на финансиране на училището:</t>
  </si>
  <si>
    <t>В кой/кои образователни етапи ще се използва центърът? (Можете да посочите повече от един)</t>
  </si>
  <si>
    <t>Колко учители (и други специалисти) планирате да включите за работа в STEM среда в рамките на една учебна година?</t>
  </si>
  <si>
    <t>Какъв е профилът на учителите, които планирате да бъдат включени в изграждането на STEM центъра?</t>
  </si>
  <si>
    <t>ВИДОВЕ РАЗХОДИ</t>
  </si>
  <si>
    <t xml:space="preserve">Максимален размер на средствата за изграждане на училищна STEM среда </t>
  </si>
  <si>
    <t>Искано финансиране за изграждане на училищна STEM среда</t>
  </si>
  <si>
    <t>Средства STEM в лв. с ДДС</t>
  </si>
  <si>
    <t>в това число максимален размер на разходите за СМР и обзавеждане за STEM (до 45 % от средствата за STEM) в лв. с ДДС</t>
  </si>
  <si>
    <t>в това число минимален размер на разходите за  оборудване за STEM (минимум 45 % от средствата за STEM) в лв. с ДДС</t>
  </si>
  <si>
    <t>в това число максимален размер на разходите за допълнително специализирано оборудване за STEM (до 20 % от разходите за оборудване за STEM) в лв. с ДДС</t>
  </si>
  <si>
    <t>в това число максимален размер на разходите за софтуер за STEM (до 10 % от средствата за STEM) в лв. с ДДС</t>
  </si>
  <si>
    <t>Средства ВОСКС в лв. с ДДС</t>
  </si>
  <si>
    <t>в това число максимален размер на разходите за софтуер за ВОСКС (до 10 % от средствата за ВОСКС) в лв. с ДДС</t>
  </si>
  <si>
    <t>Общо средства (STEM и ВОСКС) в лв. с ДДС</t>
  </si>
  <si>
    <t>Средства за организация и управление (1%) от средствата за STEM и ВОСКС в лв. с ДДС</t>
  </si>
  <si>
    <t>Общо средства за изграждане на училищна STEM среда в лв. с ДДС</t>
  </si>
  <si>
    <t>Моля при подаване на попълнената Концепция за изграждане на училищна STEM среда да се приложат и следните задължителни документи:</t>
  </si>
  <si>
    <t>Решение на Педагогическия съвет за одобряване на Концепция за изграждане на училищна STEM среда по образец (Приложение IIIb);</t>
  </si>
  <si>
    <t>Декларации за информирано съгласие от поне двама педагогически специалисти за участие в реализирането на Концепция за изграждане на училищна STEM среда по образец (Приложение IIIa)</t>
  </si>
  <si>
    <t>Декларации:</t>
  </si>
  <si>
    <t>Декларирам, че данните относно училището в НЕИСПУО са коректни, пълни и актуални:</t>
  </si>
  <si>
    <t>Декларирам, че в концепцията не са включени разходи, финансирани по друг проект, програма или каквато и да е друга финансова схема от общинския бюджет, националния бюджет, бюджета на Европейския съюз или друга донорска програма през последните 5 години преди крайния срок за подаване на Концепцията за изграждане на училищна STEM среда</t>
  </si>
  <si>
    <t xml:space="preserve">КОНЦЕПЦИЯ ЗА ИЗГРАЖДАНЕ НА УЧИЛИЩНА STEM СРЕДА 
</t>
  </si>
  <si>
    <t>Описание на идеята за изграждане на STEM среда:</t>
  </si>
  <si>
    <t>Обосновка на идеята за изграждане на STEM среда:</t>
  </si>
  <si>
    <t>Описание на мерките за осигуряване устойчивост на идеята за изграждане на STEM среда</t>
  </si>
  <si>
    <t>НАПРАВЛЕНИЯ НА STEM ЦЕНТЪРА, ВОСКС И СПЕЦИАЛИЗИРАНО ОБОРУДВАНЕ</t>
  </si>
  <si>
    <t xml:space="preserve">Направление 1 „Роботика и Кибер-физични системи"
</t>
  </si>
  <si>
    <t xml:space="preserve"> Планирано за закупуване оборудване</t>
  </si>
  <si>
    <t>Наименование на оборудване</t>
  </si>
  <si>
    <t>Технически спецификации</t>
  </si>
  <si>
    <t>Минимално ниво на оборудване</t>
  </si>
  <si>
    <t>Количество</t>
  </si>
  <si>
    <t>Планиран за закупуване софтуер</t>
  </si>
  <si>
    <t>Наименование на софтуер</t>
  </si>
  <si>
    <t>Технически спецификации/характеристики</t>
  </si>
  <si>
    <t>Планирано за закупуване обзавеждане</t>
  </si>
  <si>
    <t>Наименование на обзавеждане</t>
  </si>
  <si>
    <t>Описание/характеристики</t>
  </si>
  <si>
    <t xml:space="preserve">Направление 2 „Дизайн и 3D Прототипиране"
</t>
  </si>
  <si>
    <t xml:space="preserve">Направление 3 „Природни науки"
</t>
  </si>
  <si>
    <t xml:space="preserve">Направление 4 „Зелени технологии и устойчиво развитие"
</t>
  </si>
  <si>
    <t xml:space="preserve">Направление 5 „Математика и Информатика"
</t>
  </si>
  <si>
    <t xml:space="preserve">Високотехнологични оборудвани и свързани класни стаи
</t>
  </si>
  <si>
    <t>Специализирано оборудване</t>
  </si>
  <si>
    <t>Планирано за закупуване оборудване</t>
  </si>
  <si>
    <t>Остойностен списък с оборудване/обзавеждане/софтуер и СМР за направление „Роботика и кибер-физични системи“</t>
  </si>
  <si>
    <t>№ по ред</t>
  </si>
  <si>
    <t>Наименование на оборудване/софтуер/обзавеждане/СМР</t>
  </si>
  <si>
    <t>Описание/Технически спецификации/характеристики</t>
  </si>
  <si>
    <t>Минимално ниво на оборудването по Направлението</t>
  </si>
  <si>
    <t>Единична цена без ДДС (лева)</t>
  </si>
  <si>
    <t>Общо без ДДС (лева)</t>
  </si>
  <si>
    <t>Общо с ДДС (лева)</t>
  </si>
  <si>
    <t>Източник за формиране на единична цена на вид оборудване/софтуер/обзавеждане**</t>
  </si>
  <si>
    <t xml:space="preserve"> Част I: Планирано за закупуване оборудване</t>
  </si>
  <si>
    <t>Общо разходи за оборудване</t>
  </si>
  <si>
    <t xml:space="preserve"> Част II: Планиран за закупуване софтуер</t>
  </si>
  <si>
    <t>х</t>
  </si>
  <si>
    <t>Общо разходи за софтуер</t>
  </si>
  <si>
    <t xml:space="preserve"> Част III: Планирано за закупуване обзавеждане</t>
  </si>
  <si>
    <t>Общо разходи за обзавеждане</t>
  </si>
  <si>
    <t xml:space="preserve"> Част IV: Разходи за СМР</t>
  </si>
  <si>
    <t>-</t>
  </si>
  <si>
    <t xml:space="preserve">Общо разходи за СМР </t>
  </si>
  <si>
    <t>Общо разходи за оборудване/обзавеждане/софтуер/СМР</t>
  </si>
  <si>
    <t>** В колона "Източник за формиране на единична цена на вид оборудване/софтуер/обзавеждане"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 
***С оглед коректното изчисляване на размера на исканото финансиране за изграждане на училищна STEM среда в част IV. Разходи за СМР, те се посочват общо, без да е необходимо тяхното описание, и за тях не се посочва източник за формиране на единична цена.</t>
  </si>
  <si>
    <t>Остойностен списък с оборудване/обзавеждане/софтуер и СМР за направление „Дизайн и 3D Прототипиране“</t>
  </si>
  <si>
    <t>Остойностен списък с оборудване/обзавеждане/софтуер и СМР за направление „Природни науки“</t>
  </si>
  <si>
    <t>Остойностен списък с оборудване/обзавеждане/софтуер и СМР  за направление „Зелени технологии и устойчиво развитие“</t>
  </si>
  <si>
    <t>Остойностен списък с оборудване/обзавеждане/софтуер и СМР за направление „Математика и Информатика“</t>
  </si>
  <si>
    <t>Остойностен списък с оборудване/софтуер за високотехнологични оборудвани и свързани класни стаи</t>
  </si>
  <si>
    <t>Наименование на оборудване/софтуер/СМР</t>
  </si>
  <si>
    <t>Общо разходи за оборудване/софтуер</t>
  </si>
  <si>
    <t xml:space="preserve">** В колона "Източник за формиране на единична цена на вид оборудване/софтуер"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t>
  </si>
  <si>
    <t>Остойностен списък със специализирано оборудване/софтуер</t>
  </si>
  <si>
    <t>Код по НЕИСПУО</t>
  </si>
  <si>
    <t>Област</t>
  </si>
  <si>
    <t>Община</t>
  </si>
  <si>
    <t>Населено място</t>
  </si>
  <si>
    <t>Пълно наименование на институция</t>
  </si>
  <si>
    <t>Детайлен вид на институция</t>
  </si>
  <si>
    <t>Вид на институцията според финансирането</t>
  </si>
  <si>
    <t>Учебна 2020/2021 година</t>
  </si>
  <si>
    <t>Учебна 2021/2022 година</t>
  </si>
  <si>
    <t>Учебна 2022/2023 година</t>
  </si>
  <si>
    <t>Минимален брой оборудвани ВОСКС</t>
  </si>
  <si>
    <t>Благоевград</t>
  </si>
  <si>
    <t>Второ основно училище "Димитър Благоев"</t>
  </si>
  <si>
    <t>основно</t>
  </si>
  <si>
    <t>Общинско</t>
  </si>
  <si>
    <t>Четвърто основно училище " Димчо Дебелянов"</t>
  </si>
  <si>
    <t>Благоевградска професионална гимназия "Ичко Бойчев"</t>
  </si>
  <si>
    <t>професионална гимназия</t>
  </si>
  <si>
    <t>Седмо средно училище "Кузман Шапкарев"</t>
  </si>
  <si>
    <t>средно</t>
  </si>
  <si>
    <t>Единадесето основно училище "Христо Ботев"</t>
  </si>
  <si>
    <t>Езикова гимназия "Акад. Людмил Стоянов"</t>
  </si>
  <si>
    <t>профилирана гимназия</t>
  </si>
  <si>
    <t>Природо-математическа гимназия "Акад. Сергей Корольов"</t>
  </si>
  <si>
    <t>Професионална гимназия по икономика "Иван Илиев"</t>
  </si>
  <si>
    <t>Държавно</t>
  </si>
  <si>
    <t>Професионална гимназия по строителство, архитектура и геодезия " Васил Левски"</t>
  </si>
  <si>
    <t>Средно училище с изучаване на чужди езици "Свети Климент Охридски"</t>
  </si>
  <si>
    <t>Трето основно училище "Димитър Талев"</t>
  </si>
  <si>
    <t>Гърмен</t>
  </si>
  <si>
    <t>Средно училище "Св.Св.Кирил и Методий"</t>
  </si>
  <si>
    <t>Осмо средно училище "Арсени Костенцев"</t>
  </si>
  <si>
    <t>Девето основно училище " Пейо Крачолов Яворов"</t>
  </si>
  <si>
    <t>Професионална гимназия по туризъм и лека промишленост "Гоце Делчев"</t>
  </si>
  <si>
    <t>Център за специална образователна подкрепа "Свети Паисий Хилендарски"</t>
  </si>
  <si>
    <t>център за специална образователна подкрепа</t>
  </si>
  <si>
    <t>Национална хуманитарна гимназия"Св.св.Кирил и Методий"</t>
  </si>
  <si>
    <t>Средно училище "Иван Вазов"</t>
  </si>
  <si>
    <t>Гоце Делчев</t>
  </si>
  <si>
    <t>Неврокопска професионална гимназия "Димитър Талев"</t>
  </si>
  <si>
    <t>Природо-математическа гимназия "Яне Сандански"</t>
  </si>
  <si>
    <t>Банско</t>
  </si>
  <si>
    <t>Места</t>
  </si>
  <si>
    <t>Основно училище "Свети свети Кирил и Методий"</t>
  </si>
  <si>
    <t>Професионална лесотехническа гимназия"Никола Йонков Вапцаров"</t>
  </si>
  <si>
    <t>Сандански</t>
  </si>
  <si>
    <t>Професионална техническа гимназия</t>
  </si>
  <si>
    <t>Петрич</t>
  </si>
  <si>
    <t>Професионална гимназия по механоелектротехника "Юрий Гагарин"</t>
  </si>
  <si>
    <t>Гимназия по туризъм "Алеко Константинов"</t>
  </si>
  <si>
    <t>Якоруда</t>
  </si>
  <si>
    <t>Професионална гимназия "Петко Рачов Славейков"</t>
  </si>
  <si>
    <t>Разлог</t>
  </si>
  <si>
    <t>Разложка професионална гимназия "Никола Стойчев"</t>
  </si>
  <si>
    <t>Земеделска професионална гимназия "Климент Аркадиевич Тимирязев"</t>
  </si>
  <si>
    <t>Професионална гимназия по икономика и туризъм " Проф. д-р Асен Златаров"</t>
  </si>
  <si>
    <t>Професионална гимназия по електроника и енергетика</t>
  </si>
  <si>
    <t>Професионална гимназия по механизация на селското стопанство "Пейо Крачолов Яворов"</t>
  </si>
  <si>
    <t>Професионална гимназия по механизация на селското стопанствo</t>
  </si>
  <si>
    <t>Пето средно училище "Георги Измирлиев"</t>
  </si>
  <si>
    <t>Професионална гимназия по транспорт</t>
  </si>
  <si>
    <t>Второ основно училище "Христо Смирненски"</t>
  </si>
  <si>
    <t>Рибново</t>
  </si>
  <si>
    <t>Средно училище "Йордан Йовков"</t>
  </si>
  <si>
    <t>Огняново</t>
  </si>
  <si>
    <t>Основно училище "Пейо Крачолов Яворов"</t>
  </si>
  <si>
    <t>Дебрен</t>
  </si>
  <si>
    <t>Обединено училище "Св. Климент Охридски"</t>
  </si>
  <si>
    <t>обединено</t>
  </si>
  <si>
    <t>Горно Дряново</t>
  </si>
  <si>
    <t>Основно училище " Св. Паисий Хилендарски"</t>
  </si>
  <si>
    <t>Долно Дряново</t>
  </si>
  <si>
    <t>Обединено училище "Христо Ботев"</t>
  </si>
  <si>
    <t>Хвостяне</t>
  </si>
  <si>
    <t>Основно училище"Димитър Талев"</t>
  </si>
  <si>
    <t>Дъбница</t>
  </si>
  <si>
    <t>Симитли</t>
  </si>
  <si>
    <t>Средно училище "Св. Св. Кирил и Методий"</t>
  </si>
  <si>
    <t>Средно училище "Никола Йонков Вапцаров"</t>
  </si>
  <si>
    <t>Брезница</t>
  </si>
  <si>
    <t>Първо основно училище "Св. Св. Кирил и Методий"</t>
  </si>
  <si>
    <t>Второ основно училище "Гоце Делчев"</t>
  </si>
  <si>
    <t>Трето основно училище "Братя Миладинови"</t>
  </si>
  <si>
    <t>Мосомище</t>
  </si>
  <si>
    <t>Основно училище "Христо Ботев"</t>
  </si>
  <si>
    <t>Борово</t>
  </si>
  <si>
    <t>Основно училище "Св. Климент Охридски"</t>
  </si>
  <si>
    <t>Буково</t>
  </si>
  <si>
    <t>Основно училище " Иван Вазов"</t>
  </si>
  <si>
    <t>Баничан</t>
  </si>
  <si>
    <t>Основно училище "Свети Паисий Хилендарски"</t>
  </si>
  <si>
    <t>Лъжница</t>
  </si>
  <si>
    <t>Обединено училище "Петър Берон"</t>
  </si>
  <si>
    <t>Корница</t>
  </si>
  <si>
    <t>Oбединено училище "Св. Паисий Хилендарски"</t>
  </si>
  <si>
    <t>Център за специална образователна подкрепа "Васил Левски"</t>
  </si>
  <si>
    <t>Средно училище "Братя Петър и Иван Каназиреви"</t>
  </si>
  <si>
    <t>Основно училище "Никола Парапунов"</t>
  </si>
  <si>
    <t>Баня</t>
  </si>
  <si>
    <t>Основно училище "Св. Паисий Хилендарски"</t>
  </si>
  <si>
    <t>Бачево</t>
  </si>
  <si>
    <t>Основно училище "Св. Св. Кирил и Методий"</t>
  </si>
  <si>
    <t>Горно Драглище</t>
  </si>
  <si>
    <t>Основно училище "Неофит Рилски"</t>
  </si>
  <si>
    <t>Елешница</t>
  </si>
  <si>
    <t>Основно училище"Братя Миладинови"</t>
  </si>
  <si>
    <t>Долно Драглище</t>
  </si>
  <si>
    <t>Център за специална образователна подкрепа "Рилска иглика"</t>
  </si>
  <si>
    <t>Начално училище "Яне Сандански"</t>
  </si>
  <si>
    <t>начално</t>
  </si>
  <si>
    <t>Начално училище"Св.Св.Кирил и Методий"</t>
  </si>
  <si>
    <t>Профилирана гимназия "Пейо Крачолов Яворов"</t>
  </si>
  <si>
    <t>Средно училище "Антон Попов"</t>
  </si>
  <si>
    <t>Коларово</t>
  </si>
  <si>
    <t>Средно училище "Васил Левски"</t>
  </si>
  <si>
    <t>Първомай</t>
  </si>
  <si>
    <t>Средно училище "Св.Паисий Хилендарски"</t>
  </si>
  <si>
    <t>Скрът</t>
  </si>
  <si>
    <t>Първо основно училище "Кочо Мавродиев"</t>
  </si>
  <si>
    <t>Трето основно училище "Гоце Делчев"</t>
  </si>
  <si>
    <t>Четвърто основно училище"Христо Смирненски"</t>
  </si>
  <si>
    <t>Рупите</t>
  </si>
  <si>
    <t>Основно училище "Св.Св. Кирил и Методий"</t>
  </si>
  <si>
    <t>Марикостиново</t>
  </si>
  <si>
    <t>Кавракирово</t>
  </si>
  <si>
    <t>Кърналово</t>
  </si>
  <si>
    <t>Основно училище "Братя Миладинови"</t>
  </si>
  <si>
    <t>Профилирана гимназия "Яне Сандански"</t>
  </si>
  <si>
    <t>Първо основно училище "Свети Климент Охридски"</t>
  </si>
  <si>
    <t>Трето основно училище "Христо Ботев"</t>
  </si>
  <si>
    <t>Четвърто основно училище " Св. Св. Козма и Дамян "</t>
  </si>
  <si>
    <t>Склаве</t>
  </si>
  <si>
    <t>Дамяница</t>
  </si>
  <si>
    <t>Катунци</t>
  </si>
  <si>
    <t>Основно училище"Христо Ботев"</t>
  </si>
  <si>
    <t>Белица</t>
  </si>
  <si>
    <t>Професионална гимназия "Никола Йонков Вапцаров"</t>
  </si>
  <si>
    <t>Краище</t>
  </si>
  <si>
    <t>Основно училище "Св.Паисий Хилендарски"</t>
  </si>
  <si>
    <t>Горно Краище</t>
  </si>
  <si>
    <t>Бабяк</t>
  </si>
  <si>
    <t>Основно училище "Св.св.Кирил и Методий"</t>
  </si>
  <si>
    <t>Дагоново</t>
  </si>
  <si>
    <t>Начално училище "Петко Р. Славейков"</t>
  </si>
  <si>
    <t>Кресна</t>
  </si>
  <si>
    <t>Средно училище "Неофит Рилски"</t>
  </si>
  <si>
    <t>Добринище</t>
  </si>
  <si>
    <t>Основно училище "Свети Климент Охридски"</t>
  </si>
  <si>
    <t>Начално училище "Св. Паисий Хилендарски"</t>
  </si>
  <si>
    <t>Бел камен</t>
  </si>
  <si>
    <t>Смолево</t>
  </si>
  <si>
    <t>Обединено училище "Гоце Делчев "</t>
  </si>
  <si>
    <t>Средно училище "Свети Свети Кирил и Методий"</t>
  </si>
  <si>
    <t>Конарско</t>
  </si>
  <si>
    <t>Обединено училище "Братя Миладинови"</t>
  </si>
  <si>
    <t>Юруково</t>
  </si>
  <si>
    <t>Обединено училище"Васил Левски"</t>
  </si>
  <si>
    <t>Хаджидимово</t>
  </si>
  <si>
    <t>Копривлен</t>
  </si>
  <si>
    <t>Основно училище "Никола Вапцаров"</t>
  </si>
  <si>
    <t>Абланица</t>
  </si>
  <si>
    <t>Средно училище Св. Паисий Хилендарски"</t>
  </si>
  <si>
    <t>Блатска</t>
  </si>
  <si>
    <t>Основно училище "Свети,Свети Кирил и Методий"</t>
  </si>
  <si>
    <t>Беслен</t>
  </si>
  <si>
    <t>Основно училище "Гоце Делчев"</t>
  </si>
  <si>
    <t>Вечерна профилирана гимназия</t>
  </si>
  <si>
    <t>Струмяни</t>
  </si>
  <si>
    <t>Микрево</t>
  </si>
  <si>
    <t>Средно училище "Св. Паисий Хилендарски"</t>
  </si>
  <si>
    <t>Сатовча</t>
  </si>
  <si>
    <t>Вълкосел</t>
  </si>
  <si>
    <t>Средно училище "Христо Ботев"</t>
  </si>
  <si>
    <t>Слащен</t>
  </si>
  <si>
    <t>Средно училище "Свети Климент Охридски"</t>
  </si>
  <si>
    <t>Годешево</t>
  </si>
  <si>
    <t>Туховища</t>
  </si>
  <si>
    <t>Крибул</t>
  </si>
  <si>
    <t>Основно училище "Светлина"</t>
  </si>
  <si>
    <t>Фъргово</t>
  </si>
  <si>
    <t>Начално училище "Пейо Яворов"</t>
  </si>
  <si>
    <t>Осина</t>
  </si>
  <si>
    <t>Начално училище "Васил Левски"</t>
  </si>
  <si>
    <t>Плетена</t>
  </si>
  <si>
    <t>Обединено училище "Св. Св. Кирил и Методий"</t>
  </si>
  <si>
    <t>Кочан</t>
  </si>
  <si>
    <t>Средно училище "Христо Смирненски"</t>
  </si>
  <si>
    <t>Жижево</t>
  </si>
  <si>
    <t>Ваклиново</t>
  </si>
  <si>
    <t>Основно училище "Стефка Събчева"</t>
  </si>
  <si>
    <t>Долен</t>
  </si>
  <si>
    <t>Крупник</t>
  </si>
  <si>
    <t>Средно училище "Св.св.Кирил и Методий"</t>
  </si>
  <si>
    <t>Долно Осеново</t>
  </si>
  <si>
    <t>Обединено училище "Св.Паисий Хилендарски"</t>
  </si>
  <si>
    <t>Спортно училище</t>
  </si>
  <si>
    <t>спортно</t>
  </si>
  <si>
    <t>Бургас</t>
  </si>
  <si>
    <t>Айтос</t>
  </si>
  <si>
    <t>Основно училище "Атанас Манчев"</t>
  </si>
  <si>
    <t>Карагеоргиево</t>
  </si>
  <si>
    <t>Основно училище "Св.Св.Кирил и Методий"</t>
  </si>
  <si>
    <t>Мъглен</t>
  </si>
  <si>
    <t>Пирне</t>
  </si>
  <si>
    <t>Тополица</t>
  </si>
  <si>
    <t>Професионална гимназия по селско стопанство "Златна нива"</t>
  </si>
  <si>
    <t>Професионална гимназия по компютърно програмиране и иновации</t>
  </si>
  <si>
    <t>Начално базово училище "Михаил Лъкатник"</t>
  </si>
  <si>
    <t>Основно училище "Петко Рачев Славейков"</t>
  </si>
  <si>
    <t>Основно училище "Свети княз Борис І"</t>
  </si>
  <si>
    <t>Основно училище "Любен Каравелов"</t>
  </si>
  <si>
    <t>Основно училище "Найден Геров"</t>
  </si>
  <si>
    <t>Основно училище "Антон Страшимиров"</t>
  </si>
  <si>
    <t>Основно училище "Георги Бенковски"</t>
  </si>
  <si>
    <t>Основно училище "Васил Априлов"</t>
  </si>
  <si>
    <t>Основно училище "Елин Пелин"</t>
  </si>
  <si>
    <t>Обединено училище "Васил Левски"</t>
  </si>
  <si>
    <t>Основно училище " Христо Ботев"</t>
  </si>
  <si>
    <t>Българово</t>
  </si>
  <si>
    <t>Основно училище "Васил Левски"</t>
  </si>
  <si>
    <t>Основно училище "Иван Вазов"</t>
  </si>
  <si>
    <t>Маринка</t>
  </si>
  <si>
    <t>Равнец</t>
  </si>
  <si>
    <t>Средно училище " Йордан Йовков"</t>
  </si>
  <si>
    <t>Средно училище "Епископ Константин Преславски"</t>
  </si>
  <si>
    <t>Средно училище "Димчо Дебелянов"</t>
  </si>
  <si>
    <t>Средно училище Добри Чинтулов"</t>
  </si>
  <si>
    <t>Средно училище "Константин Петканов"</t>
  </si>
  <si>
    <t>Средно училище "Петко Росен"</t>
  </si>
  <si>
    <t>Средно училище "Св. св. Кирил и Методий"</t>
  </si>
  <si>
    <t>Профилирана гимназия за романски езици "Георги Стойков Раковски"</t>
  </si>
  <si>
    <t>Английска езикова гимназия "Гео Милев"</t>
  </si>
  <si>
    <t>Немска езикова гимназия "Гьоте"</t>
  </si>
  <si>
    <t>Профилирана гимназия за чужди езици "Васил Левски"</t>
  </si>
  <si>
    <t>Профилирана природоматематическа гимназия "Академик Никола Обрешков"</t>
  </si>
  <si>
    <t>Спортно училище "Юрий Гагарин"</t>
  </si>
  <si>
    <t>Основно училище "Александър Георгиев-Коджакафалията"</t>
  </si>
  <si>
    <t>Професионална гимназия по туризъм "Проф. д-р Асен Златаров"</t>
  </si>
  <si>
    <t>Професионална гимназия по морско корабоплаване и риболов "Свети Никола"</t>
  </si>
  <si>
    <t>Професионална гимназия по механоелектротехника и електроника</t>
  </si>
  <si>
    <t>Професионална гимназия по строителство, архитектура и геодезия "Кольо Фичето"</t>
  </si>
  <si>
    <t>Търговска гимназия</t>
  </si>
  <si>
    <t>Професионална гимназия по химични технологии "Акад. Н. Д. Зелинский"</t>
  </si>
  <si>
    <t>Професионална гимназия по електротехника и електроника "Константин Фотинов"</t>
  </si>
  <si>
    <t>Професионална гимназия по сградостроителство и инсталации "Пеньо Пенев"</t>
  </si>
  <si>
    <t>Център за специална образователна подкрепа-Бургас</t>
  </si>
  <si>
    <t>Вечерно средно училище " Захари Стоянов"</t>
  </si>
  <si>
    <t>Камено</t>
  </si>
  <si>
    <t>Кръстина</t>
  </si>
  <si>
    <t>Начално училище " Братя Миладинови"</t>
  </si>
  <si>
    <t>Русокастро</t>
  </si>
  <si>
    <t>Трояново</t>
  </si>
  <si>
    <t>Карнобат</t>
  </si>
  <si>
    <t>Основно училище "Христо Смирненски"</t>
  </si>
  <si>
    <t>Екзарх Антимово</t>
  </si>
  <si>
    <t>Кликач</t>
  </si>
  <si>
    <t>Основно училище „Христо Ботев“</t>
  </si>
  <si>
    <t>Професионална гимназия по селско стопанство</t>
  </si>
  <si>
    <t>Малко Търново</t>
  </si>
  <si>
    <t>Средно училище"Васил Левски"</t>
  </si>
  <si>
    <t>Несебър</t>
  </si>
  <si>
    <t>Обзор</t>
  </si>
  <si>
    <t>Обединено училище "Св.Св.Кирил и Методий"</t>
  </si>
  <si>
    <t>Гюльовца</t>
  </si>
  <si>
    <t>Основно училище " Св. Св. Кирил и Методий "</t>
  </si>
  <si>
    <t>Кошарица</t>
  </si>
  <si>
    <t>ОСНОВНО УЧИЛИЩЕ "СВЕТИ ИВАН РИЛСКИ"</t>
  </si>
  <si>
    <t>Оризаре</t>
  </si>
  <si>
    <t>Основно училище "Георги Стойков Раковски"</t>
  </si>
  <si>
    <t>Равда</t>
  </si>
  <si>
    <t>Основно училище " Св. св. Кирил и Методий "</t>
  </si>
  <si>
    <t>Свети Влас</t>
  </si>
  <si>
    <t>Тънково</t>
  </si>
  <si>
    <t>Основно училище " Васил Левски "</t>
  </si>
  <si>
    <t>Средно училище "Любен Каравелов"</t>
  </si>
  <si>
    <t>Професионална гимназия по туризъм "Иван Вазов"</t>
  </si>
  <si>
    <t>Поморие</t>
  </si>
  <si>
    <t>Габерово</t>
  </si>
  <si>
    <t>Начално училище "Константин Величков"</t>
  </si>
  <si>
    <t>Каблешково</t>
  </si>
  <si>
    <t>Ахелой</t>
  </si>
  <si>
    <t>Основно училище " Христо Ботев "</t>
  </si>
  <si>
    <t>Бата</t>
  </si>
  <si>
    <t>Основно училище "Христо Ботев "</t>
  </si>
  <si>
    <t>Горица</t>
  </si>
  <si>
    <t>Гълъбец</t>
  </si>
  <si>
    <t>Дъбник</t>
  </si>
  <si>
    <t>Основно училище " Елин Пелин"</t>
  </si>
  <si>
    <t>Порой</t>
  </si>
  <si>
    <t>Страцин</t>
  </si>
  <si>
    <t>Основно училище "Отец Паисий"</t>
  </si>
  <si>
    <t>Професионална гимназия по туризъм "Алеко Константинов"</t>
  </si>
  <si>
    <t>Приморско</t>
  </si>
  <si>
    <t>Ново Паничарево</t>
  </si>
  <si>
    <t>Основно Училище "Христо Ботев"</t>
  </si>
  <si>
    <t>Руен</t>
  </si>
  <si>
    <t>Ябълчево</t>
  </si>
  <si>
    <t>Начално училище " Д-р Петър Берон"</t>
  </si>
  <si>
    <t>Вресово</t>
  </si>
  <si>
    <t>Основно училище "Д-р Петър Берон"</t>
  </si>
  <si>
    <t>Добра поляна</t>
  </si>
  <si>
    <t>Добромир</t>
  </si>
  <si>
    <t>Основно училище " Алеко Константинов"</t>
  </si>
  <si>
    <t>Дъскотна</t>
  </si>
  <si>
    <t>Основно училище "Климент Охридски"</t>
  </si>
  <si>
    <t>Зайчар</t>
  </si>
  <si>
    <t>Основно училище "Никола Йонков Вапцаров"</t>
  </si>
  <si>
    <t>Планиница</t>
  </si>
  <si>
    <t>Просеник</t>
  </si>
  <si>
    <t>Обединено училище "Св. св. Кирил и Методий"</t>
  </si>
  <si>
    <t>Разбойна</t>
  </si>
  <si>
    <t>Основно Училище "Д-р Петър Берон"</t>
  </si>
  <si>
    <t>Речица</t>
  </si>
  <si>
    <t>Основно училище "Антон Симеонович Макаренко"</t>
  </si>
  <si>
    <t>Ръжица</t>
  </si>
  <si>
    <t>Сини рид</t>
  </si>
  <si>
    <t>Основно училище "Реджеб Кюпчу"</t>
  </si>
  <si>
    <t>Скалак</t>
  </si>
  <si>
    <t>Основно училище " Йордан Йовков"</t>
  </si>
  <si>
    <t>Снягово</t>
  </si>
  <si>
    <t>Основно училище " Димчо Дебелянов"</t>
  </si>
  <si>
    <t>Струя</t>
  </si>
  <si>
    <t>Топчийско</t>
  </si>
  <si>
    <t>Основно училище " Реджеб Кюпчю"</t>
  </si>
  <si>
    <t>Трънак</t>
  </si>
  <si>
    <t>Средно училище " Димитър Полянов"</t>
  </si>
  <si>
    <t>Череша</t>
  </si>
  <si>
    <t>Люляково</t>
  </si>
  <si>
    <t>Средно Училище " Отец Паисий"</t>
  </si>
  <si>
    <t>Средно училище "Елин Пелин"</t>
  </si>
  <si>
    <t>Созопол</t>
  </si>
  <si>
    <t>Зидарово</t>
  </si>
  <si>
    <t>Крушевец</t>
  </si>
  <si>
    <t>Равна гора</t>
  </si>
  <si>
    <t>Росен</t>
  </si>
  <si>
    <t>Черноморец</t>
  </si>
  <si>
    <t>Средец</t>
  </si>
  <si>
    <t>Дебелт</t>
  </si>
  <si>
    <t>Загорци</t>
  </si>
  <si>
    <t>Факия</t>
  </si>
  <si>
    <t>Основно училище"Никола Йонков Вапцаров"</t>
  </si>
  <si>
    <t>Професионална гимназия по механизация на селското стопанство и електроника "Никола Йонков Вапцаров"</t>
  </si>
  <si>
    <t>Сунгурларе</t>
  </si>
  <si>
    <t>Грозден</t>
  </si>
  <si>
    <t>Лозарево</t>
  </si>
  <si>
    <t>Манолич</t>
  </si>
  <si>
    <t>Прилеп</t>
  </si>
  <si>
    <t>Съединение</t>
  </si>
  <si>
    <t>Царево</t>
  </si>
  <si>
    <t>Ахтопол</t>
  </si>
  <si>
    <t>Основно училище"Св.Св.Кирил и Методий"</t>
  </si>
  <si>
    <t>Велико Търново</t>
  </si>
  <si>
    <t>Основно училище "Бачо Киро"</t>
  </si>
  <si>
    <t>Основно училище "Св. Патриарх Евтимий"</t>
  </si>
  <si>
    <t>Основно училище "Димитър Благоев"</t>
  </si>
  <si>
    <t>Леденик</t>
  </si>
  <si>
    <t>Дебелец</t>
  </si>
  <si>
    <t>Балван</t>
  </si>
  <si>
    <t>Основно училище "Свети Иван Рилски"</t>
  </si>
  <si>
    <t>Ресен</t>
  </si>
  <si>
    <t>Водолей</t>
  </si>
  <si>
    <t>Самоводене</t>
  </si>
  <si>
    <t>Церова кория</t>
  </si>
  <si>
    <t>Килифарево</t>
  </si>
  <si>
    <t>Основно училище " Неофит Рилски "</t>
  </si>
  <si>
    <t>Център за специална образователна подкрепа - гр. Велико Търново</t>
  </si>
  <si>
    <t>Ново село</t>
  </si>
  <si>
    <t>Център за специална образователна подкрепа</t>
  </si>
  <si>
    <t>Профилирана хуманитарна гимназия "Свети свети Кирил и Методий"</t>
  </si>
  <si>
    <t>Природо-математическа гимназия "Васил Друмев"</t>
  </si>
  <si>
    <t>Профилирана езикова гимназия "Проф. д-р Асен Златаров"</t>
  </si>
  <si>
    <t>Средно училище "Емилиян Станев"</t>
  </si>
  <si>
    <t>Средно училище "Вела Благоева"</t>
  </si>
  <si>
    <t>Средно училище "Владимир Комаров"</t>
  </si>
  <si>
    <t>Средно училище "Георги Стойков Раковски"</t>
  </si>
  <si>
    <t>Професионална гимназия по строителство, архитектура и геодезия "Ангел Попов"</t>
  </si>
  <si>
    <t>Старопрестолна професионална гимназия по икономика "Д-р Петър Аладжов"</t>
  </si>
  <si>
    <t>Професионална гимназия по електроника "Александър Степанович Попов"</t>
  </si>
  <si>
    <t>Професионална гимназия по моден дизайн</t>
  </si>
  <si>
    <t>Професионална гимназия по туризъм "Д-р Васил Берон"</t>
  </si>
  <si>
    <t>Спортно училище "Георги Живков"</t>
  </si>
  <si>
    <t>Горна Оряховица</t>
  </si>
  <si>
    <t>Основно училище "Св. св. Кирил и Методий"</t>
  </si>
  <si>
    <t>Първомайци</t>
  </si>
  <si>
    <t>Долна Оряховица</t>
  </si>
  <si>
    <t>Писарево</t>
  </si>
  <si>
    <t>Върбица</t>
  </si>
  <si>
    <t>Драганово</t>
  </si>
  <si>
    <t>Поликраище</t>
  </si>
  <si>
    <t>Средно училище "Георги Измирлиев"</t>
  </si>
  <si>
    <t>Средно училище "Вичо Грънчаров"</t>
  </si>
  <si>
    <t>Професионална техническа гимназия "Васил Левски"</t>
  </si>
  <si>
    <t>Професионална гимназия по електротехника и електроника "Михайло Василиевич Ломоносов"</t>
  </si>
  <si>
    <t>Професионална гимназия по хранителни технологии "Проф.д-р Асен Златаров"</t>
  </si>
  <si>
    <t>Професионална гимназия по лека промишленост и икономика "Атанас Буров"</t>
  </si>
  <si>
    <t>Професионална гимназия по железопътен транспорт "Никола Йонков Вапцаров"</t>
  </si>
  <si>
    <t>Елена</t>
  </si>
  <si>
    <t>Начално училище "Иларион Макариополски"</t>
  </si>
  <si>
    <t>Беброво</t>
  </si>
  <si>
    <t>Константин</t>
  </si>
  <si>
    <t>Майско</t>
  </si>
  <si>
    <t>Обединено училище "Отец Паисий"</t>
  </si>
  <si>
    <t>Средно училище „Иван Николов Момчилов“</t>
  </si>
  <si>
    <t>Златарица</t>
  </si>
  <si>
    <t>Средно село</t>
  </si>
  <si>
    <t>Основно Училище "Васил Левски"</t>
  </si>
  <si>
    <t>Професионална гимназия по механизация на селското стопанство "Никола Златарски"</t>
  </si>
  <si>
    <t>Лясковец</t>
  </si>
  <si>
    <t>Начално училище "Цани Гинчев"</t>
  </si>
  <si>
    <t>Джулюница</t>
  </si>
  <si>
    <t>Обединено училище "Петко Рачев Славейков"</t>
  </si>
  <si>
    <t>Средно училище "Максим Райкович"</t>
  </si>
  <si>
    <t>Павликени</t>
  </si>
  <si>
    <t>Бяла черква</t>
  </si>
  <si>
    <t>Върбовка</t>
  </si>
  <si>
    <t>Основно училище "Филип Тотю"</t>
  </si>
  <si>
    <t>Батак</t>
  </si>
  <si>
    <t>Средно училище "Бачо Киро"</t>
  </si>
  <si>
    <t>Професионална гимназия по аграрни технологии "Цанко Церковски"</t>
  </si>
  <si>
    <t>Полски Тръмбеш</t>
  </si>
  <si>
    <t>Раданово</t>
  </si>
  <si>
    <t>Петко Каравелово</t>
  </si>
  <si>
    <t>Средно училище "Цанко Церковски"</t>
  </si>
  <si>
    <t>Свищов</t>
  </si>
  <si>
    <t>Основно училище "Филип Сакелариевич"</t>
  </si>
  <si>
    <t>Алеково</t>
  </si>
  <si>
    <t>Морава</t>
  </si>
  <si>
    <t>Овча могила</t>
  </si>
  <si>
    <t>Ореш</t>
  </si>
  <si>
    <t>Средно училище "Цветан Радославов"</t>
  </si>
  <si>
    <t>Средно училище "Николай Катранов"</t>
  </si>
  <si>
    <t>Средно училище "Димитър Благоев"</t>
  </si>
  <si>
    <t>Професионална държавна търговска гимназия "Димитър Хадживасилев"</t>
  </si>
  <si>
    <t>Свищовска професионална гимназия "Алеко Константинов"</t>
  </si>
  <si>
    <t>Стражица</t>
  </si>
  <si>
    <t>Царски извор</t>
  </si>
  <si>
    <t>Начално училище "Иван Вазов"</t>
  </si>
  <si>
    <t>Асеново</t>
  </si>
  <si>
    <t>Виноград</t>
  </si>
  <si>
    <t>Сушица</t>
  </si>
  <si>
    <t>Начално училище "Отец Паисий"</t>
  </si>
  <si>
    <t>Кесарево</t>
  </si>
  <si>
    <t>Основно училище "Николай Райнов"</t>
  </si>
  <si>
    <t>Средно училище "Ангел Каралийчев"</t>
  </si>
  <si>
    <t>Професионална гимназия по транспорт "Васил Друмев"</t>
  </si>
  <si>
    <t>Камен</t>
  </si>
  <si>
    <t>Средно училище "Св. Климент Охридски"</t>
  </si>
  <si>
    <t>Сухиндол</t>
  </si>
  <si>
    <t>Варна</t>
  </si>
  <si>
    <t>Основно училище "Георги Сава Раковски"</t>
  </si>
  <si>
    <t>Основно училище "Добри Чинтулов"</t>
  </si>
  <si>
    <t>Основно училище "Захари Стоянов"</t>
  </si>
  <si>
    <t>Основно училище "Йордан Йовков"</t>
  </si>
  <si>
    <t>Основно училище "Константин Арабаджиев"</t>
  </si>
  <si>
    <t>Каменар</t>
  </si>
  <si>
    <t>Основно училище "Добри Войников"</t>
  </si>
  <si>
    <t>Основно училище "Капитан Петко войвода"</t>
  </si>
  <si>
    <t>Основно училище "Панайот Волов"</t>
  </si>
  <si>
    <t>Основно училище "Свети Патриарх Евтимий"</t>
  </si>
  <si>
    <t>Основно училище "Петко Рачов Славейков"</t>
  </si>
  <si>
    <t>Основно училище "Стефан Караджа"</t>
  </si>
  <si>
    <t>Основно училище "Стоян Михайловски"</t>
  </si>
  <si>
    <t>Тополи</t>
  </si>
  <si>
    <t>Основно училище "Цар Симеон І"</t>
  </si>
  <si>
    <t>Основно училище "Черноризец Храбър"</t>
  </si>
  <si>
    <t>Седмо средно училище "Найден Геров"</t>
  </si>
  <si>
    <t>Средно училище с езиково обучение "Ал. С. Пушкин"</t>
  </si>
  <si>
    <t>Основно училище "Васил Друмев"</t>
  </si>
  <si>
    <t>Спортно училище "Георги Бенковски"</t>
  </si>
  <si>
    <t>Средно училище "Гео Милев"</t>
  </si>
  <si>
    <t>Средно училище "Пейо Крачолов Яворов"</t>
  </si>
  <si>
    <t>Трета природоматематическа гимназия "Академик Методий Попов"</t>
  </si>
  <si>
    <t>ІV Езикова гимназия "Фредерик Жолио - Кюри"</t>
  </si>
  <si>
    <t>Гимназия с преподаване на чужди езици "Йоан Екзарх"</t>
  </si>
  <si>
    <t>Професионална гимназия по икономика "Д-р Иван Богоров"</t>
  </si>
  <si>
    <t>Първа езикова гимназия</t>
  </si>
  <si>
    <t>Математическа гимназия "Д-р Петър Берон"</t>
  </si>
  <si>
    <t>Средно училище за хуманитарни науки и изкуства "Константин Преславски"</t>
  </si>
  <si>
    <t>Център за специална образователна подкрепа - Варна</t>
  </si>
  <si>
    <t>Специално училище за ученици с нарушено зрение "Проф. д-р Иван Шишманов"</t>
  </si>
  <si>
    <t>за обучение и подкрепа на ученици с нарушено зрение</t>
  </si>
  <si>
    <t>Професионална гимназия по химични и хранително-вкусови технологии "Дм.Ив.Менделеев"</t>
  </si>
  <si>
    <t>Професионална гимназия по строителство, архитектура и геодезия "Васил Левски"</t>
  </si>
  <si>
    <t>Аврен</t>
  </si>
  <si>
    <t>Дъбравино</t>
  </si>
  <si>
    <t>Приселци</t>
  </si>
  <si>
    <t>Синдел</t>
  </si>
  <si>
    <t>Тръстиково</t>
  </si>
  <si>
    <t>Основно училище "Свети Свети Кирил и Методий"</t>
  </si>
  <si>
    <t>Царевци</t>
  </si>
  <si>
    <t>Аксаково</t>
  </si>
  <si>
    <t>Въглен</t>
  </si>
  <si>
    <t>Игнатиево</t>
  </si>
  <si>
    <t>Изворско</t>
  </si>
  <si>
    <t>Кичево</t>
  </si>
  <si>
    <t>Основно училище Свети Климент Охридски</t>
  </si>
  <si>
    <t>Любен Каравелово</t>
  </si>
  <si>
    <t>Обединено училище "Иван Вазов"</t>
  </si>
  <si>
    <t>Белослав</t>
  </si>
  <si>
    <t>ПРОФЕСИОНАЛНА ГИМНАЗИЯ "СВЕТИ ДИМИТЪР СОЛУНСКИ"</t>
  </si>
  <si>
    <t>Езерово</t>
  </si>
  <si>
    <t>Константиново</t>
  </si>
  <si>
    <t>Основно училище"Свети Климент Охридски "</t>
  </si>
  <si>
    <t>Бяла</t>
  </si>
  <si>
    <t>Професионална гимназия по компютърно моделиране и компютърни системи "Академик Благовест Сендов"</t>
  </si>
  <si>
    <t>Професионална гимназия  по селско стопанство и туризъм</t>
  </si>
  <si>
    <t>Ветрино</t>
  </si>
  <si>
    <t>Вълчи дол</t>
  </si>
  <si>
    <t>Стефан Караджа</t>
  </si>
  <si>
    <t>Професионална гимназия по земеделие и горско стопанство</t>
  </si>
  <si>
    <t>Михалич</t>
  </si>
  <si>
    <t>Основно училище"Климент Охридски"</t>
  </si>
  <si>
    <t>Червенци</t>
  </si>
  <si>
    <t>Обединено училище "Свети Иван Рилски"</t>
  </si>
  <si>
    <t>Девня</t>
  </si>
  <si>
    <t>Среднo училище "Васил Левски"</t>
  </si>
  <si>
    <t>Долни чифлик</t>
  </si>
  <si>
    <t>Професионална гимназия по селско стопанствo "Иван Владимирович Мичурин"</t>
  </si>
  <si>
    <t>Венелин</t>
  </si>
  <si>
    <t>Основно училище "Свети, Свети Кирил и Методий"</t>
  </si>
  <si>
    <t>Голица</t>
  </si>
  <si>
    <t>Горен чифлик</t>
  </si>
  <si>
    <t>Основно училище "Паисий Хилендарски"</t>
  </si>
  <si>
    <t>Гроздьово</t>
  </si>
  <si>
    <t>Пчелник</t>
  </si>
  <si>
    <t>Старо Оряхово</t>
  </si>
  <si>
    <t>Дългопол</t>
  </si>
  <si>
    <t>Лопушна</t>
  </si>
  <si>
    <t>Основно училище "Митко Палаузов"</t>
  </si>
  <si>
    <t>Медовец</t>
  </si>
  <si>
    <t>Средно училище "Назъм Хикмет"</t>
  </si>
  <si>
    <t>Партизани</t>
  </si>
  <si>
    <t>Поляците</t>
  </si>
  <si>
    <t>Цонево</t>
  </si>
  <si>
    <t>Провадия</t>
  </si>
  <si>
    <t>Първо основно училище "Христо Смирненски"</t>
  </si>
  <si>
    <t>Второ основно училище "Иван Вазов"</t>
  </si>
  <si>
    <t>Професионална гимназия по хотелиерство, ресторантьорство и туризъм "Цар Симеон Велики"</t>
  </si>
  <si>
    <t>Професионална гимназия по селско стопанство "Земя"</t>
  </si>
  <si>
    <t>Блъсково</t>
  </si>
  <si>
    <t>Бозвелийско</t>
  </si>
  <si>
    <t>Градинарово</t>
  </si>
  <si>
    <t>Житница</t>
  </si>
  <si>
    <t>Славейково</t>
  </si>
  <si>
    <t>Основно училище "Асен Златаров"</t>
  </si>
  <si>
    <t>Снежина</t>
  </si>
  <si>
    <t>Начално училище "Христо Ботев"</t>
  </si>
  <si>
    <t>Кривня</t>
  </si>
  <si>
    <t>Център за специална образователна подкрепа "Свети свети Кирил и Методий"</t>
  </si>
  <si>
    <t>Суворово</t>
  </si>
  <si>
    <t>Средно училище "Никола Й. Вапцаров"</t>
  </si>
  <si>
    <t>Чернево</t>
  </si>
  <si>
    <t>Професионална гимназия по селско стопанство "Свети Георги Победоносец"</t>
  </si>
  <si>
    <t>Варненска търговска гимназия "Георги Стойков Раковски"</t>
  </si>
  <si>
    <t>Професионална гимназия по текстил и моден дизайн</t>
  </si>
  <si>
    <t>Професионална гимназия по горско стопанство и дървообработване "Николай Хайтов"</t>
  </si>
  <si>
    <t>Варненска морска гимназия "Свети Николай Чудотворец"</t>
  </si>
  <si>
    <t>Професионална гимназия по електротехника</t>
  </si>
  <si>
    <t>Професионална гимназия по туризъм "Професор д-р Асен Златаров"</t>
  </si>
  <si>
    <t>Първо основно училище " Св. княз Борис І "</t>
  </si>
  <si>
    <t>III Oсновно училище "Ангел Кънчев"</t>
  </si>
  <si>
    <t>Средно училище "Неофит Бозвели"</t>
  </si>
  <si>
    <t>Второ основно училище "Никола Йонков Вапцаров"</t>
  </si>
  <si>
    <t>Видин</t>
  </si>
  <si>
    <t>Профилирана природо–математическа гимназия "Екзарх Антим I"</t>
  </si>
  <si>
    <t>Димово</t>
  </si>
  <si>
    <t>Професионална гимназия по туризъм "Михалаки Георгиев"</t>
  </si>
  <si>
    <t>Основно училище Епископ Софроний Врачански</t>
  </si>
  <si>
    <t>Дунавци</t>
  </si>
  <si>
    <t>Професионална гимназия по селско стопанство "Г.М.Димитров"</t>
  </si>
  <si>
    <t>Белоградчик</t>
  </si>
  <si>
    <t>Рабиша</t>
  </si>
  <si>
    <t>Основно училище "Васил Евстатиев Априлов"</t>
  </si>
  <si>
    <t>Бойница</t>
  </si>
  <si>
    <t>Брегово</t>
  </si>
  <si>
    <t>Грамада</t>
  </si>
  <si>
    <t>Арчар</t>
  </si>
  <si>
    <t>Орешец</t>
  </si>
  <si>
    <t>Основно училище Димитър Благоев</t>
  </si>
  <si>
    <t>Кула</t>
  </si>
  <si>
    <t>Макреш</t>
  </si>
  <si>
    <t>Раковица</t>
  </si>
  <si>
    <t>Средно училище "Свети свети Кирил и Методий"</t>
  </si>
  <si>
    <t>Ружинци</t>
  </si>
  <si>
    <t>Дреновец</t>
  </si>
  <si>
    <t>Бело поле</t>
  </si>
  <si>
    <t>Чупрене</t>
  </si>
  <si>
    <t>Основно училище "Академик Михаил Димитров"</t>
  </si>
  <si>
    <t>Горни Лом</t>
  </si>
  <si>
    <t>Професионална гимназия "Проф. д-р Асен Златаров"</t>
  </si>
  <si>
    <t>Средно училище "Цар Симеон Велики"</t>
  </si>
  <si>
    <t>Средно училище "Петко Рачов Славейков"</t>
  </si>
  <si>
    <t>Гимназия с преподаване на чужди езици "Йордан Радичков"</t>
  </si>
  <si>
    <t>Център за специална образователна подкрепа "Д-р Петър Берон"</t>
  </si>
  <si>
    <t>Враца</t>
  </si>
  <si>
    <t>Профилирана езикова гимназия "Йоан Екзарх"</t>
  </si>
  <si>
    <t>Бяла Слатина</t>
  </si>
  <si>
    <t>Професионална гимназия по облекло "Елисавета Багряна"</t>
  </si>
  <si>
    <t>Средно училище "Козма Тричков"</t>
  </si>
  <si>
    <t>Начално училище "Христо Смирненски"</t>
  </si>
  <si>
    <t>Търнава</t>
  </si>
  <si>
    <t>Търнак</t>
  </si>
  <si>
    <t>Начално училище "Иванчо Младенов"</t>
  </si>
  <si>
    <t>Начално училище "Свети Софроний Врачански"</t>
  </si>
  <si>
    <t>Тишевица</t>
  </si>
  <si>
    <t>Обединено училище "Св.Климент Охридски"</t>
  </si>
  <si>
    <t>Козлодуй</t>
  </si>
  <si>
    <t>Оряхово</t>
  </si>
  <si>
    <t>Начално училище "Св.Св.Кирил и Методий"</t>
  </si>
  <si>
    <t>Начално училище "Д-р Петър Берон"</t>
  </si>
  <si>
    <t>Остров</t>
  </si>
  <si>
    <t>Роман</t>
  </si>
  <si>
    <t>Начално училище "Петко Рачов Славейков"</t>
  </si>
  <si>
    <t>Борован</t>
  </si>
  <si>
    <t>Добролево</t>
  </si>
  <si>
    <t>Основно училище " Свети свети Кирил и Методий"</t>
  </si>
  <si>
    <t>Малорад</t>
  </si>
  <si>
    <t>Попица</t>
  </si>
  <si>
    <t>Габаре</t>
  </si>
  <si>
    <t>Основно училище "Свeти свети Кирил и Методий"</t>
  </si>
  <si>
    <t>Девене</t>
  </si>
  <si>
    <t>Обединено училище "Свети свети Кирил и Методий"</t>
  </si>
  <si>
    <t>Баница</t>
  </si>
  <si>
    <t>Профилирана природо-математическа гимназия "Академик Иван Ценов"</t>
  </si>
  <si>
    <t>Бутан</t>
  </si>
  <si>
    <t>Хърлец</t>
  </si>
  <si>
    <t>Гложене</t>
  </si>
  <si>
    <t>Криводол</t>
  </si>
  <si>
    <t>Краводер</t>
  </si>
  <si>
    <t>Лесура</t>
  </si>
  <si>
    <t>Ракево</t>
  </si>
  <si>
    <t>Мездра</t>
  </si>
  <si>
    <t>Моравица</t>
  </si>
  <si>
    <t>Основно училище "Васил Кънчов"</t>
  </si>
  <si>
    <t>Мизия</t>
  </si>
  <si>
    <t>Крушовица</t>
  </si>
  <si>
    <t>Основно училище "Цанко Церкoвски"</t>
  </si>
  <si>
    <t>Софрониево</t>
  </si>
  <si>
    <t>Селановци</t>
  </si>
  <si>
    <t>Камено поле</t>
  </si>
  <si>
    <t>Хайредин</t>
  </si>
  <si>
    <t>Михайлово</t>
  </si>
  <si>
    <t>Основно училище "Горан Червеняшки"</t>
  </si>
  <si>
    <t>Професионална гимназия по транспорт "Коста Петров"</t>
  </si>
  <si>
    <t>Галиче</t>
  </si>
  <si>
    <t>Професионална агротехническа гимназия "Никола Йонков Вапцаров"</t>
  </si>
  <si>
    <t>Средно училище "Отец Паисий"</t>
  </si>
  <si>
    <t>Средно училище "Васил Кънчов"</t>
  </si>
  <si>
    <t>Професионална техническа гимназия "Н. Й. Вапцаров"</t>
  </si>
  <si>
    <t>Професионална гимназия по търговия и ресторантьорство</t>
  </si>
  <si>
    <t>Средно училище "Никола Войводов"</t>
  </si>
  <si>
    <t>Професионална гимназия "Димитраки Хаджитошин"</t>
  </si>
  <si>
    <t>Професионална гимназия по ядрена енергетика "Игор Курчатов"</t>
  </si>
  <si>
    <t>Зверино</t>
  </si>
  <si>
    <t>Професионална гимназия "Алеко Константинов"</t>
  </si>
  <si>
    <t>Професионална гимназия "Васил Левски"</t>
  </si>
  <si>
    <t>Средно училище "Васил Воденичарски"</t>
  </si>
  <si>
    <t>Спортно училище "Св.Климент Охридски"</t>
  </si>
  <si>
    <t>Габрово</t>
  </si>
  <si>
    <t>Основно училище "Ран Босилек"</t>
  </si>
  <si>
    <t>VІ Основно училище "Иван Вазов"</t>
  </si>
  <si>
    <t>Средно училище "Райчо Каролев"</t>
  </si>
  <si>
    <t>НАЦИОНАЛНА АПРИЛОВСКА ГИМНАЗИЯ</t>
  </si>
  <si>
    <t>Природоматематическа гимназия "Академик Иван Гюзелев"</t>
  </si>
  <si>
    <t>ПРОФЕСИОНАЛНА ТЕХНИЧЕСКА ГИМНАЗИЯ "Д-р НИКОЛА ВАСИЛИАДИ"</t>
  </si>
  <si>
    <t>Професионална гимназия по туризъм "Пенчо Семов"</t>
  </si>
  <si>
    <t>Дряново</t>
  </si>
  <si>
    <t>ПРОФЕСИОНАЛНА ГИМНАЗИЯ ПО ИКОНОМИКА "РАЧО СТОЯНОВ"</t>
  </si>
  <si>
    <t>Севлиево</t>
  </si>
  <si>
    <t>Основно училище "Стефан Пешев"</t>
  </si>
  <si>
    <t>Добромирка</t>
  </si>
  <si>
    <t>Душево</t>
  </si>
  <si>
    <t>Градница</t>
  </si>
  <si>
    <t>Крамолин</t>
  </si>
  <si>
    <t>Основно училище"Свети Солунски братя"</t>
  </si>
  <si>
    <t>Петко Славейков</t>
  </si>
  <si>
    <t>Шумата</t>
  </si>
  <si>
    <t>Основно училище"Васил Левски"</t>
  </si>
  <si>
    <t>Професионална гимназия по транспорт и машиностроене</t>
  </si>
  <si>
    <t>Професионална гимназия по механоелектротехника "Ген.Иван Бъчваров"</t>
  </si>
  <si>
    <t>Професионална гимназия "Марин Попов"</t>
  </si>
  <si>
    <t>Трявна</t>
  </si>
  <si>
    <t>Основно училище "Професор Пенчо Николов Райков"</t>
  </si>
  <si>
    <t>Плачковци</t>
  </si>
  <si>
    <t>Средно училище "Петко Рачев Славейков"</t>
  </si>
  <si>
    <t>Добрич</t>
  </si>
  <si>
    <t>Обединено училище "Йордан Йовков"</t>
  </si>
  <si>
    <t>Основно училище "Хан Аспарух"</t>
  </si>
  <si>
    <t>Спортно училище Георги Стойков Раковски"</t>
  </si>
  <si>
    <t>Средно училище "Димитър Талев"</t>
  </si>
  <si>
    <t>Природоматематическа гимназия "Иван Вазов"</t>
  </si>
  <si>
    <t>Езикова гимназия "Гео Милев"</t>
  </si>
  <si>
    <t>Професионална гимназия по техника и строителство "Михаил Василиевич Ломоносов"</t>
  </si>
  <si>
    <t>Професионална гимназия по ветеринарна медицина "Проф. д-р Георги Павлов"</t>
  </si>
  <si>
    <t>Финансово-стопанска гимназия "Васил Левски"</t>
  </si>
  <si>
    <t>Професионална гимназия по аграрно стопанство</t>
  </si>
  <si>
    <t>Професионална гимназия по туризъм "П. К. Яворов"</t>
  </si>
  <si>
    <t>Добричка</t>
  </si>
  <si>
    <t>Божурово</t>
  </si>
  <si>
    <t>Хитово</t>
  </si>
  <si>
    <t>Победа</t>
  </si>
  <si>
    <t>Обединено училище"Добри Войников"</t>
  </si>
  <si>
    <t>Карапелит</t>
  </si>
  <si>
    <t>Средно училище "Никола Вапцаров"</t>
  </si>
  <si>
    <t>Ловчанци</t>
  </si>
  <si>
    <t>Батово</t>
  </si>
  <si>
    <t>Овчарово</t>
  </si>
  <si>
    <t>Стефаново</t>
  </si>
  <si>
    <t>Обединено училище "Пейо Крачолов Яворов"</t>
  </si>
  <si>
    <t>Смолница</t>
  </si>
  <si>
    <t>Ведрина</t>
  </si>
  <si>
    <t>Дончево</t>
  </si>
  <si>
    <t>Стожер</t>
  </si>
  <si>
    <t>Балчик</t>
  </si>
  <si>
    <t>Соколово</t>
  </si>
  <si>
    <t>Сенокос</t>
  </si>
  <si>
    <t>Основно училище"Георги Раковски"</t>
  </si>
  <si>
    <t>Основно училище „Антим І”</t>
  </si>
  <si>
    <t>Оброчище</t>
  </si>
  <si>
    <t>Генерал Тошево</t>
  </si>
  <si>
    <t>Спасово</t>
  </si>
  <si>
    <t>Преселенци</t>
  </si>
  <si>
    <t>Красен</t>
  </si>
  <si>
    <t>Кардам</t>
  </si>
  <si>
    <t>Средно училищe "Никола Йонков Вапцаров"</t>
  </si>
  <si>
    <t>Професионална гимназия по земеделие "Тодор Рачински"</t>
  </si>
  <si>
    <t>Каварна</t>
  </si>
  <si>
    <t>ОСНОВНО УЧИЛИЩЕ "ЙОРДАН ЙОВКОВ"</t>
  </si>
  <si>
    <t>ЦЕНТЪР ЗА СПЕЦИАЛНА ОБРАЗОВАТЕЛНА ПОДКРЕПА ГР.КАВАРНА</t>
  </si>
  <si>
    <t>Средно училище "Стефан Караджа"</t>
  </si>
  <si>
    <t>Белгун</t>
  </si>
  <si>
    <t>Професионална земеделска гимназия "Климент Аркадиевич Тимирязев"</t>
  </si>
  <si>
    <t>Крушари</t>
  </si>
  <si>
    <t>Коритен</t>
  </si>
  <si>
    <t>Лозенец</t>
  </si>
  <si>
    <t>Основно училище"Отец Паисий"</t>
  </si>
  <si>
    <t>Тервел</t>
  </si>
  <si>
    <t>Средно училище " Йордан Йовков "</t>
  </si>
  <si>
    <t>Коларци</t>
  </si>
  <si>
    <t>Обединено училище"Д-р Петър Берон"</t>
  </si>
  <si>
    <t>Нова Камена</t>
  </si>
  <si>
    <t>Безмер</t>
  </si>
  <si>
    <t>Зърнево</t>
  </si>
  <si>
    <t>Орляк</t>
  </si>
  <si>
    <t>Обединено училище"Васил Друмев"</t>
  </si>
  <si>
    <t>Професионална гимназия по техника и облекло "Дочо Михайлов"</t>
  </si>
  <si>
    <t>Шабла</t>
  </si>
  <si>
    <t>Дуранкулак</t>
  </si>
  <si>
    <t>Средно училище "Асен Златаров"</t>
  </si>
  <si>
    <t>Кранево</t>
  </si>
  <si>
    <t>Център за специална образователна подкрепа "Академик Тодор Самодумов"</t>
  </si>
  <si>
    <t>Професионална гимназия по транспорт, обслужване и лека промишленост</t>
  </si>
  <si>
    <t>Кърджали</t>
  </si>
  <si>
    <t>Средно училище "Владимир Димитров - Майстора"</t>
  </si>
  <si>
    <t>Средно училище "Отец Паисий" с природоматематическа насоченост</t>
  </si>
  <si>
    <t>СРЕДНО УЧИЛИЩЕ "ПЕТКО РАЧОВ СЛАВЕЙКОВ"</t>
  </si>
  <si>
    <t>Езикова гимназия "Христо Ботев"</t>
  </si>
  <si>
    <t>Професионална гимназия по икономика "Алеко Константинов"</t>
  </si>
  <si>
    <t>Професионална гимназия по облекло и дизайн "Евридика"</t>
  </si>
  <si>
    <t>Професионална гимназия по електротехника и електроника "Капитан Петко войвода"</t>
  </si>
  <si>
    <t>Професионална гимназия по селско и горско стопанство</t>
  </si>
  <si>
    <t>Професионална гимназия по строителство "Христо Смирненски"</t>
  </si>
  <si>
    <t>Бойно</t>
  </si>
  <si>
    <t>Глухар</t>
  </si>
  <si>
    <t>Енчец</t>
  </si>
  <si>
    <t>Костино</t>
  </si>
  <si>
    <t>Конево</t>
  </si>
  <si>
    <t>Основно Училище "Гео Милев"</t>
  </si>
  <si>
    <t>Миладиново</t>
  </si>
  <si>
    <t>Мост</t>
  </si>
  <si>
    <t>Перперек</t>
  </si>
  <si>
    <t>Основно училище " Паисий Хилендарски "</t>
  </si>
  <si>
    <t>Рани лист</t>
  </si>
  <si>
    <t>Стремци</t>
  </si>
  <si>
    <t>Чифлик</t>
  </si>
  <si>
    <t>Основно училище "Максим Горки"</t>
  </si>
  <si>
    <t>Широко поле</t>
  </si>
  <si>
    <t>Ардино</t>
  </si>
  <si>
    <t>Бял извор</t>
  </si>
  <si>
    <t>Боровица</t>
  </si>
  <si>
    <t>Основно училище"Антон Семьонович Макаренко"</t>
  </si>
  <si>
    <t>Горно Прахово</t>
  </si>
  <si>
    <t>Жълтуша</t>
  </si>
  <si>
    <t>Падина</t>
  </si>
  <si>
    <t>Джебел</t>
  </si>
  <si>
    <t>Рогозче</t>
  </si>
  <si>
    <t>Устрен</t>
  </si>
  <si>
    <t>Професионална гимназия "Руска Пеева"</t>
  </si>
  <si>
    <t>Припек</t>
  </si>
  <si>
    <t>Средно училище "Паисий Хилендарски"</t>
  </si>
  <si>
    <t>Кирково</t>
  </si>
  <si>
    <t>Бенковски</t>
  </si>
  <si>
    <t>Средно училище "Никола Йонков Вапцаров "</t>
  </si>
  <si>
    <t>Чорбаджийско</t>
  </si>
  <si>
    <t>Средно училище " Христо Ботев "</t>
  </si>
  <si>
    <t>Дрангово</t>
  </si>
  <si>
    <t>Основно училище „Васил Левски"</t>
  </si>
  <si>
    <t>Старово</t>
  </si>
  <si>
    <t>Оcновно училище " Устрем"</t>
  </si>
  <si>
    <t>Тихомир</t>
  </si>
  <si>
    <t>Чакаларово</t>
  </si>
  <si>
    <t>Фотиново</t>
  </si>
  <si>
    <t>Крумовград</t>
  </si>
  <si>
    <t>Основно училище "Михаил Христов"</t>
  </si>
  <si>
    <t>Професионална гимназия по транспорт "Христо Смирненски"</t>
  </si>
  <si>
    <t>Егрек</t>
  </si>
  <si>
    <t>Държавно основно училище "Васил Левски"</t>
  </si>
  <si>
    <t>Горна кула</t>
  </si>
  <si>
    <t>Гулийка</t>
  </si>
  <si>
    <t>Токачка</t>
  </si>
  <si>
    <t>Луличка</t>
  </si>
  <si>
    <t>Подрумче</t>
  </si>
  <si>
    <t>Поточница</t>
  </si>
  <si>
    <t>Странджево</t>
  </si>
  <si>
    <t>Звънарка</t>
  </si>
  <si>
    <t>Момчилград</t>
  </si>
  <si>
    <t>Професионална гимназия по туризъм и хранително-вкусова промишленост "Св. Св. Кирил и Методий"</t>
  </si>
  <si>
    <t>Груево</t>
  </si>
  <si>
    <t>Звездел</t>
  </si>
  <si>
    <t>Нановица</t>
  </si>
  <si>
    <t>Равен</t>
  </si>
  <si>
    <t>Черноочене</t>
  </si>
  <si>
    <t>Комунига</t>
  </si>
  <si>
    <t>Лясково</t>
  </si>
  <si>
    <t>Паничково</t>
  </si>
  <si>
    <t>Кюстендил</t>
  </si>
  <si>
    <t>Професионална гимназия по селско стопанство"Св.Климент Охридски"</t>
  </si>
  <si>
    <t>Невестино</t>
  </si>
  <si>
    <t>Трекляно</t>
  </si>
  <si>
    <t>Сапарева баня</t>
  </si>
  <si>
    <t>Бобов дол</t>
  </si>
  <si>
    <t>Бобошево</t>
  </si>
  <si>
    <t>Кочериново</t>
  </si>
  <si>
    <t>Рила</t>
  </si>
  <si>
    <t>Основно училище "Аверкий Попстоянов"</t>
  </si>
  <si>
    <t>Дупница</t>
  </si>
  <si>
    <t>Средно езиково училище "Св. Паисий Хилендарски"</t>
  </si>
  <si>
    <t>Основно училище "Христаки Павлович"</t>
  </si>
  <si>
    <t>Основно училище "Евлоги Георгиев"</t>
  </si>
  <si>
    <t>Крайници</t>
  </si>
  <si>
    <t>Самораново</t>
  </si>
  <si>
    <t>Яхиново</t>
  </si>
  <si>
    <t>Професионална гимназия по облекло и стопанско управление</t>
  </si>
  <si>
    <t>Профилирана гимназия "Христо Ботев"</t>
  </si>
  <si>
    <t>Основно училище "Професор Марин Дринов"</t>
  </si>
  <si>
    <t>Начално училище "Свети Климент Охридски"</t>
  </si>
  <si>
    <t>Езикова гимназия "Д-р Петър Берон"</t>
  </si>
  <si>
    <t>Природоматематическа гимназия "Проф. Емануил Иванов"</t>
  </si>
  <si>
    <t>Професионална техническа гимназия "Джон Атанасов"</t>
  </si>
  <si>
    <t>Професионална гимназия по икономика и мениджмънт "Йордан Захариев"</t>
  </si>
  <si>
    <t>Спортно училище "Васил Левски"</t>
  </si>
  <si>
    <t>Шесто основно  училище "Свети Паисий Хилендарски"</t>
  </si>
  <si>
    <t>Професионална гимназия по туризъм "Никола Йонков Вапцаров"</t>
  </si>
  <si>
    <t>Раждавица</t>
  </si>
  <si>
    <t>Начално училище "Св. Св. Кирил и Методий"</t>
  </si>
  <si>
    <t>Професионална гимназия по лека промишленост "Владимир Димитров-Майстора"</t>
  </si>
  <si>
    <t>Основно училище"Св. Св. Кирил и Методий"</t>
  </si>
  <si>
    <t>Професионална гимназия "Акад. Сергей П. Корольов"</t>
  </si>
  <si>
    <t>Професионална гимназия по хранително - вкусови и химични технологии</t>
  </si>
  <si>
    <t>Професионална гимназия</t>
  </si>
  <si>
    <t>Ловеч</t>
  </si>
  <si>
    <t>Троян</t>
  </si>
  <si>
    <t>Дебнево</t>
  </si>
  <si>
    <t>Априлци</t>
  </si>
  <si>
    <t>Летница</t>
  </si>
  <si>
    <t>Основно училище "Христо Никифоров"</t>
  </si>
  <si>
    <t>Малиново</t>
  </si>
  <si>
    <t>Средно училище "Тодор Кирков"</t>
  </si>
  <si>
    <t>Основно училище "Панайот Пипков"</t>
  </si>
  <si>
    <t>Профилирана природо-математическа гимназия</t>
  </si>
  <si>
    <t>Александрово</t>
  </si>
  <si>
    <t>Професионална гимназия по механоелектротехника</t>
  </si>
  <si>
    <t>Профилирана езикова гимназия "Екзарх Йосиф I"</t>
  </si>
  <si>
    <t>Национална професионална гимназия по ветеринарна медицина "Проф. д-р Димитър Димов"</t>
  </si>
  <si>
    <t>Професионална гимназия по икономика, търговия и услуги</t>
  </si>
  <si>
    <t>Основно училище "Професор Димитър Димов"</t>
  </si>
  <si>
    <t>Луковит</t>
  </si>
  <si>
    <t>Средно училище "Алеко Константинов"</t>
  </si>
  <si>
    <t>Бежаново</t>
  </si>
  <si>
    <t>Дерманци</t>
  </si>
  <si>
    <t>Обединено училище "Неофит Рилски"</t>
  </si>
  <si>
    <t>Румянцево</t>
  </si>
  <si>
    <t>Торос</t>
  </si>
  <si>
    <t>Професионална гимназия по селско стопанство "Сергей Румянцев"</t>
  </si>
  <si>
    <t>Начално училище "Инж. Георги Иванов Вълков"</t>
  </si>
  <si>
    <t>Тетевен</t>
  </si>
  <si>
    <t>Български извор</t>
  </si>
  <si>
    <t>Галата</t>
  </si>
  <si>
    <t>Глогово</t>
  </si>
  <si>
    <t>Голям извор</t>
  </si>
  <si>
    <t>Градежница</t>
  </si>
  <si>
    <t>Рибарица</t>
  </si>
  <si>
    <t>Черни Вит</t>
  </si>
  <si>
    <t>Средно училище "Георги Бенковски"</t>
  </si>
  <si>
    <t>Бабинци</t>
  </si>
  <si>
    <t>Начално училище "Любен Каравелов"</t>
  </si>
  <si>
    <t>Национална професионална гимназия по горско стопанство и дървообработване "Сава Младенов"</t>
  </si>
  <si>
    <t>Начално училище "Хаджи Генчо"</t>
  </si>
  <si>
    <t>Професионална гимназия по строителство, електротехника и услуги</t>
  </si>
  <si>
    <t>Основно училище "Иван Хаджийски"</t>
  </si>
  <si>
    <t>Борима</t>
  </si>
  <si>
    <t>Орешак</t>
  </si>
  <si>
    <t>Черни Осъм</t>
  </si>
  <si>
    <t>Професионална гимназия по механоелектротехника "Академик Ангел Балевски"</t>
  </si>
  <si>
    <t>Угърчин</t>
  </si>
  <si>
    <t>Кирчево</t>
  </si>
  <si>
    <t>Oсновно училище "Христо Ботев"</t>
  </si>
  <si>
    <t>Лесидрен</t>
  </si>
  <si>
    <t>Ябланица</t>
  </si>
  <si>
    <t>Брестница</t>
  </si>
  <si>
    <t>Златна Панега</t>
  </si>
  <si>
    <t>Орешене</t>
  </si>
  <si>
    <t>Монтана</t>
  </si>
  <si>
    <t>Начално училище "Георги Бенковски"</t>
  </si>
  <si>
    <t>Природо-математическа профилирана гимназия "Св. Климент Охридски"</t>
  </si>
  <si>
    <t>Профилирана гимназия с преподаване на чужди езици "Петър Богдан"</t>
  </si>
  <si>
    <t>Първо основно училище "Св.Св. Кирил и Методий"</t>
  </si>
  <si>
    <t>Второ средно училище "Никола Йонков Вапцаров"</t>
  </si>
  <si>
    <t>Tрето основно училище "Д-р Петър Берон"</t>
  </si>
  <si>
    <t>Четвърто основно училище "Иван Вазов"</t>
  </si>
  <si>
    <t>Пето основно училище "Христо Ботев"</t>
  </si>
  <si>
    <t>Седмо средно училище "Йордан Радичков"</t>
  </si>
  <si>
    <t>Смоляновци</t>
  </si>
  <si>
    <t>Габровница</t>
  </si>
  <si>
    <t>Финансово-стопанска професионална гимназия "Васил Левски"</t>
  </si>
  <si>
    <t>Професионална гимназия по строителство, архитектура и компютърни науки "Проф. Арх. Стефан Стефанов"</t>
  </si>
  <si>
    <t>Професионална гимназия по лека промишленост</t>
  </si>
  <si>
    <t>Професионална гимназия по техника и електротехника "Христо Ботев"</t>
  </si>
  <si>
    <t>Шесто средно училище "Отец Паисий"</t>
  </si>
  <si>
    <t>Чипровци</t>
  </si>
  <si>
    <t>Основно училище "Петър Парчевич"</t>
  </si>
  <si>
    <t>Якимово</t>
  </si>
  <si>
    <t>Средно училище "Д-р Петър Берон"</t>
  </si>
  <si>
    <t>Берковица</t>
  </si>
  <si>
    <t>Профилирана гимназия "Д-р Иван Панов"</t>
  </si>
  <si>
    <t>Първо основно училище "Никола Йонков Вапцаров"</t>
  </si>
  <si>
    <t>Трето основно училище "Иван Вазов"</t>
  </si>
  <si>
    <t>ІV Основно училище "Георги Сава Раковски"</t>
  </si>
  <si>
    <t>Бързия</t>
  </si>
  <si>
    <t>Замфирово</t>
  </si>
  <si>
    <t>Център за специална образователна подкрепа "Христо Ботев"</t>
  </si>
  <si>
    <t>Лесотехническа професионална гимназия</t>
  </si>
  <si>
    <t>Лом</t>
  </si>
  <si>
    <t>Професионална гимназия по хранене и земеделие "Дмитрий Иванович Менделеев"</t>
  </si>
  <si>
    <t>Бойчиновци</t>
  </si>
  <si>
    <t>Владимирово</t>
  </si>
  <si>
    <t>Професионална гимназия по транспорт "Вл.П.Минчев"</t>
  </si>
  <si>
    <t>Лехчево</t>
  </si>
  <si>
    <t>Основно училище"Владимир Минчев"</t>
  </si>
  <si>
    <t>Мадан</t>
  </si>
  <si>
    <t>Oсновно училище "Отец Паисий"</t>
  </si>
  <si>
    <t>Мърчево</t>
  </si>
  <si>
    <t>Първо основно училище "Никола Първанов"</t>
  </si>
  <si>
    <t>Брусарци</t>
  </si>
  <si>
    <t>Крива бара</t>
  </si>
  <si>
    <t>Василовци</t>
  </si>
  <si>
    <t>Медковец</t>
  </si>
  <si>
    <t>Расово</t>
  </si>
  <si>
    <t>Георги Дамяново</t>
  </si>
  <si>
    <t>Професионална гимназия по селско стопанство "Марко Марков"</t>
  </si>
  <si>
    <t>Вълчедръм</t>
  </si>
  <si>
    <t>Професионална Гимназия "Димитър Маринов"</t>
  </si>
  <si>
    <t>Първо основно училище "Васил Левски"</t>
  </si>
  <si>
    <t>Второ основнo училище "Иван Вaзов"</t>
  </si>
  <si>
    <t>Долни Цибър</t>
  </si>
  <si>
    <t>Септемврийци</t>
  </si>
  <si>
    <t>Вършец</t>
  </si>
  <si>
    <t>Средно училище „Иван Вазов“</t>
  </si>
  <si>
    <t>II Основно училище "Константин Фотинов"</t>
  </si>
  <si>
    <t>ІV Основно училище "Христо Ботев"</t>
  </si>
  <si>
    <t>Средно училище "Димитър Маринов"</t>
  </si>
  <si>
    <t>Профилирана гимназия "Найден Геров"</t>
  </si>
  <si>
    <t>Замфир</t>
  </si>
  <si>
    <t>Основно училище "Кирил и Методий"</t>
  </si>
  <si>
    <t>Ковачица</t>
  </si>
  <si>
    <t>Сталийска махала</t>
  </si>
  <si>
    <t>Основно Училище "Климент Охридски"</t>
  </si>
  <si>
    <t>Професионална гимназия по производствени технологии</t>
  </si>
  <si>
    <t>Професионална гимназия по селско стопанство "Дунавска земя"</t>
  </si>
  <si>
    <t>Пазарджик</t>
  </si>
  <si>
    <t>Спортно училище град Пазарджик</t>
  </si>
  <si>
    <t>Нова махала</t>
  </si>
  <si>
    <t>Средно училище "Кирил и Методий"</t>
  </si>
  <si>
    <t>Пещера</t>
  </si>
  <si>
    <t>Ракитово</t>
  </si>
  <si>
    <t>Костандово</t>
  </si>
  <si>
    <t>Сърница</t>
  </si>
  <si>
    <t>Септември</t>
  </si>
  <si>
    <t>Виноградец</t>
  </si>
  <si>
    <t>ПРОФЕСИОНАЛНА ГИМНАЗИЯ ПО ТРАНСПОРТ</t>
  </si>
  <si>
    <t>Професионална гимназия по икономика и мениджмънт</t>
  </si>
  <si>
    <t>Средно училище "Димитър Гачев"</t>
  </si>
  <si>
    <t>Начално училище "Васил Друмев"</t>
  </si>
  <si>
    <t>Начално училище "Георги Сава Раковски"</t>
  </si>
  <si>
    <t>Начално Училище " Михаил Каролиди "</t>
  </si>
  <si>
    <t>Начално училище "Михаил Куманов"</t>
  </si>
  <si>
    <t>Стрелча</t>
  </si>
  <si>
    <t>Начално училище "Паисий Хилендарски"</t>
  </si>
  <si>
    <t>Велинград</t>
  </si>
  <si>
    <t>Грашево</t>
  </si>
  <si>
    <t>Пашови</t>
  </si>
  <si>
    <t>Злокучене</t>
  </si>
  <si>
    <t>Начално училище "Св. св. Кирил и Методий"</t>
  </si>
  <si>
    <t>Брацигово</t>
  </si>
  <si>
    <t>Средно училище "Народни будители"</t>
  </si>
  <si>
    <t>Биркова</t>
  </si>
  <si>
    <t>Кръстава</t>
  </si>
  <si>
    <t>Черногорово</t>
  </si>
  <si>
    <t>Начално училище "Кирил и Методий"</t>
  </si>
  <si>
    <t>Oсновно училище "Професор Иван Батаклиев"</t>
  </si>
  <si>
    <t>Основно училище"Св.св.Кирил и Методий"</t>
  </si>
  <si>
    <t>Панагюрище</t>
  </si>
  <si>
    <t>Основно училище "Двайсти април"</t>
  </si>
  <si>
    <t>Варвара</t>
  </si>
  <si>
    <t>Ковачево</t>
  </si>
  <si>
    <t>Основно училище ”Св. Св. Кирил и Методий”</t>
  </si>
  <si>
    <t>ЦЕНТЪР ЗА СПЕЦИАЛНА ОБРАЗОВАТЕЛНА ПОДКРЕПА ВЕЛИНГРАД</t>
  </si>
  <si>
    <t>Ветрен дол</t>
  </si>
  <si>
    <t>Семчиново</t>
  </si>
  <si>
    <t>Драгиново</t>
  </si>
  <si>
    <t>Средно училище "Методий Драгинов"</t>
  </si>
  <si>
    <t>Величково</t>
  </si>
  <si>
    <t>Ветрен</t>
  </si>
  <si>
    <t>ОСНОВНО УЧИЛИЩЕ " ГЕОРГИ БЕНКОВСКИ "</t>
  </si>
  <si>
    <t>ПРОФЕСИОНАЛНА ГИМНАЗИЯ ПО СЕЛСКО СТОПАНСТВО "ЦАРИЦА ЙОАННА"</t>
  </si>
  <si>
    <t>Сарая</t>
  </si>
  <si>
    <t>Братаница</t>
  </si>
  <si>
    <t>Звъничево</t>
  </si>
  <si>
    <t>Паталеница</t>
  </si>
  <si>
    <t>Основно училище "Константин Величков "</t>
  </si>
  <si>
    <t>Карабунар</t>
  </si>
  <si>
    <t>ОСНОВНО УЧИЛИЩЕ "ХРИСТО БОТЕВ"</t>
  </si>
  <si>
    <t>Бяга</t>
  </si>
  <si>
    <t>Исперихово</t>
  </si>
  <si>
    <t>Лесичово</t>
  </si>
  <si>
    <t>Калугерово</t>
  </si>
  <si>
    <t>Обединено училище "Христо Ботев "</t>
  </si>
  <si>
    <t>Мало Конаре</t>
  </si>
  <si>
    <t>Говедаре</t>
  </si>
  <si>
    <t>Хаджиево</t>
  </si>
  <si>
    <t>ОСНОВНО УЧИЛИЩЕ "ГЕОРГИ БЕНКОВСКИ"</t>
  </si>
  <si>
    <t>Мокрище</t>
  </si>
  <si>
    <t>Ивайло</t>
  </si>
  <si>
    <t>Пищигово</t>
  </si>
  <si>
    <t>Основно Училище " Кочо Честименски "</t>
  </si>
  <si>
    <t>Попинци</t>
  </si>
  <si>
    <t>ОБЕДИНЕНО УЧИЛИЩЕ "ОТЕЦ ПАИСИЙ"</t>
  </si>
  <si>
    <t>Дорково</t>
  </si>
  <si>
    <t>Света Петка</t>
  </si>
  <si>
    <t>Медени поляни</t>
  </si>
  <si>
    <t>Церово</t>
  </si>
  <si>
    <t>Алеко Константиново</t>
  </si>
  <si>
    <t>Основно училище "Стефан Захариев"</t>
  </si>
  <si>
    <t>Основно училище"Асен Златаров"</t>
  </si>
  <si>
    <t>Профилирана гимназия "Иван Сергеевич Аксаков"</t>
  </si>
  <si>
    <t>Средно училище "Нешо Бончев"</t>
  </si>
  <si>
    <t>Средно училище "Св.Св. Кирил и Методий"</t>
  </si>
  <si>
    <t>Възпитателно училище-интернат "Ангел Узунов" I-XII клас</t>
  </si>
  <si>
    <t>възпитателно училище - интернат</t>
  </si>
  <si>
    <t>Професионална гимназия по горско стопанство и дървообработване "Стефан Божков"</t>
  </si>
  <si>
    <t>Професионална гимназия по хранително- вкусови технологии "Атанас Ченгелев"</t>
  </si>
  <si>
    <t>Професионална гимназия по химични и хранителни технологии</t>
  </si>
  <si>
    <t>ПРОФЕСИОНАЛНА ГИМНАЗИЯ ПО ДЪРВООБРАБОТВАНЕ "ИВАН ВАЗОВ"</t>
  </si>
  <si>
    <t>Професионална гимназия по механизация на земеделското стопанство</t>
  </si>
  <si>
    <t>ПРОФЕСИОНАЛНА ГИМНАЗИЯ ПО ПРОМИШЛЕНИ ТЕХНОЛОГИИ</t>
  </si>
  <si>
    <t>Синитово</t>
  </si>
  <si>
    <t>Професионална гимназия по фризьорство и ресторантьорство-гр.Пазарджик</t>
  </si>
  <si>
    <t>Гелеменово</t>
  </si>
  <si>
    <t>Основно училище " Отец Паисий "</t>
  </si>
  <si>
    <t>Иновативна професионална гимназия по икономика и туризъм "Алеко Константинов"</t>
  </si>
  <si>
    <t>Езикова гимназия "Бертолт Брехт"</t>
  </si>
  <si>
    <t>Професионална гимназия по строителство и архитектура</t>
  </si>
  <si>
    <t>Обединено училище "Любен Каравелов"</t>
  </si>
  <si>
    <t>Побит камък</t>
  </si>
  <si>
    <t>ОСНОВНО УЧИЛИЩЕ "ХРИСТО СМИРНЕНСКИ"</t>
  </si>
  <si>
    <t>Начално училище "Никола Фурнаджиев"</t>
  </si>
  <si>
    <t>Средно училище "Георги Брегов"</t>
  </si>
  <si>
    <t>Поибрене</t>
  </si>
  <si>
    <t>ОСНОВНО УЧИЛИЩЕ "СВЕЩЕНИК НЕДЕЛЬО ИВАНОВ"</t>
  </si>
  <si>
    <t>ПРОФЕСИОНАЛНА ГИМНАЗИЯ ПО ИНДУСТРИАЛНИ ТЕХНОЛОГИИ, МЕНИДЖМЪНТ И ТУРИЗЪМ</t>
  </si>
  <si>
    <t>Начално Училище "Васил Петлешков"</t>
  </si>
  <si>
    <t>Главиница</t>
  </si>
  <si>
    <t>Юнаците</t>
  </si>
  <si>
    <t>ОСНОВНО УЧИЛИЩЕ " ХРИСТО БОТЕВ"</t>
  </si>
  <si>
    <t>Белово</t>
  </si>
  <si>
    <t>Мененкьово</t>
  </si>
  <si>
    <t>СРЕДНО УЧИЛИЩЕ "АЛЕКСАНДЪР ИВАНОВ - ЧАПАЙ"</t>
  </si>
  <si>
    <t>ПРОФИЛИРАНА МАТЕМАТИЧЕСКА ГИМНАЗИЯ „Константин Величков”</t>
  </si>
  <si>
    <t>Динката</t>
  </si>
  <si>
    <t>Основно училище "Кочо Честеменски"</t>
  </si>
  <si>
    <t>Национална професионална гимназия по горско стопанство "Христо Ботев"</t>
  </si>
  <si>
    <t>Перник</t>
  </si>
  <si>
    <t>Брезник</t>
  </si>
  <si>
    <t>Ноевци</t>
  </si>
  <si>
    <t>Земен</t>
  </si>
  <si>
    <t>Средно училище "Свeти Свети Кирил и Методий"</t>
  </si>
  <si>
    <t>Ковачевци</t>
  </si>
  <si>
    <t>Калище</t>
  </si>
  <si>
    <t>VІІ Основно училище "Георги Сава Раковски"</t>
  </si>
  <si>
    <t>VІІІ основно училище "Кракра Пернишки"</t>
  </si>
  <si>
    <t>Средно училище "Темелко Ненков"</t>
  </si>
  <si>
    <t>Х Основно училище "Алеко Константинов"</t>
  </si>
  <si>
    <t>ХІ Основно Училище "Елин Пелин"</t>
  </si>
  <si>
    <t>ХІІ Основно училище "Васил Левски" - град Перник</t>
  </si>
  <si>
    <t>ХІІІ Основно училище "Свети свети Кирил и Методий"</t>
  </si>
  <si>
    <t>Основно училище "Свети Константин Кирил Философ"</t>
  </si>
  <si>
    <t>Пето средно училище "Петко Рачов Славейков"</t>
  </si>
  <si>
    <t>VI Средно училище "Свети Свети Кирил и Методий "</t>
  </si>
  <si>
    <t>XVI Основно училище "Свети свети Кирил и Методий"</t>
  </si>
  <si>
    <t>Средно училище с разширено изучаване на чужди езици "Д-р Петър Берон"</t>
  </si>
  <si>
    <t>Спортно училище "Олимпиец"</t>
  </si>
  <si>
    <t>Батановци</t>
  </si>
  <si>
    <t>Природоматематическа гимназия "Христо Смирненски"</t>
  </si>
  <si>
    <t>Гимназия с преподаване на чужди езици "Симеон Радев"</t>
  </si>
  <si>
    <t>Кладница</t>
  </si>
  <si>
    <t>ОУ "Свети Климент Охридски"</t>
  </si>
  <si>
    <t>Дивотино</t>
  </si>
  <si>
    <t>Ярджиловци</t>
  </si>
  <si>
    <t>Драгичево</t>
  </si>
  <si>
    <t>Рударци</t>
  </si>
  <si>
    <t>ОУ "Св. Климент Охридски"</t>
  </si>
  <si>
    <t>Център за специална образователна подкрепа - гр.Перник</t>
  </si>
  <si>
    <t>Професионална гимназия по техника и енергетика "Христо Ботев"</t>
  </si>
  <si>
    <t>Професионална гимназия по техника и строителство "Арх. Йордан Миланов"</t>
  </si>
  <si>
    <t>Технологична професионална гимназия "Мария Кюри"</t>
  </si>
  <si>
    <t>Професионална гимназия по икономика</t>
  </si>
  <si>
    <t>Професионална гимназия по облекло и туризъм "Свети Иван Рилски"</t>
  </si>
  <si>
    <t>Радомир</t>
  </si>
  <si>
    <t>Начално училище "Архимандрит Зиновий"</t>
  </si>
  <si>
    <t>Извор</t>
  </si>
  <si>
    <t>Гълъбник</t>
  </si>
  <si>
    <t>Дрен</t>
  </si>
  <si>
    <t>Техническа професионална гимназия "Никола Йонков Вапцаров"</t>
  </si>
  <si>
    <t>Професионална гимназия по транспорт "Юрий Гагарин"</t>
  </si>
  <si>
    <t>Трън</t>
  </si>
  <si>
    <t>Плевен</t>
  </si>
  <si>
    <t>Начално училище "Единство"</t>
  </si>
  <si>
    <t>Начално училище "Патриарх Евтимий"</t>
  </si>
  <si>
    <t>Славяново</t>
  </si>
  <si>
    <t>Начално училище "Св.св. Кирил и Методий"</t>
  </si>
  <si>
    <t>Начално училище „Отец Паисий"</t>
  </si>
  <si>
    <t>Дисевица</t>
  </si>
  <si>
    <t>Основно училищe "Свети Климент Охридски"</t>
  </si>
  <si>
    <t>Основно училище "Лазар Станев"</t>
  </si>
  <si>
    <t>Мечка</t>
  </si>
  <si>
    <t>Опанец</t>
  </si>
  <si>
    <t>Буковлък</t>
  </si>
  <si>
    <t>Беглеж</t>
  </si>
  <si>
    <t>Николаево</t>
  </si>
  <si>
    <t>Ясен</t>
  </si>
  <si>
    <t>Пелишат</t>
  </si>
  <si>
    <t>Бохот</t>
  </si>
  <si>
    <t>Търнене</t>
  </si>
  <si>
    <t>Обединено училище "Свети Свети Кирил и Методий"</t>
  </si>
  <si>
    <t>Бръшляница</t>
  </si>
  <si>
    <t>Основно училище "Цветан Спасов"</t>
  </si>
  <si>
    <t>Математическа гимназия "Гео Милев"</t>
  </si>
  <si>
    <t>Профилирана гимназия с преподаване на чужди езици Димитър Димов"</t>
  </si>
  <si>
    <t>Средно училище "Анастасия Димитрова"</t>
  </si>
  <si>
    <t>Средно училище "Стоян Заимов"</t>
  </si>
  <si>
    <t>Държавна финансово-стопанска гимназия "Интелект"</t>
  </si>
  <si>
    <t>Професионална гимназия по хранително-вкусови технологии "Луи Пастьор"</t>
  </si>
  <si>
    <t>Професионална гимназия по мениджмънт и хранителни технологии</t>
  </si>
  <si>
    <t>Професионална гимназия по строителство, архитектура и геодезия "Никола Фичев"</t>
  </si>
  <si>
    <t>Професионална гимназия по транспорт "Проф. Цветан Лазаров"</t>
  </si>
  <si>
    <t>Професионална гимназия по лозарство и винарство "Александър Стамболийски"</t>
  </si>
  <si>
    <t>Професионална гимназия по облекло и текстил "Христо Бояджиев"</t>
  </si>
  <si>
    <t>Професионална гимназия по електроника и химични технологии "Проф.Асен Златаров"</t>
  </si>
  <si>
    <t>Професионална гимназия по ресторантьорство, търговия и обслужване</t>
  </si>
  <si>
    <t>Професионална гимназия по подемна, строителна и транспортна техника "Г. С. Раковски"</t>
  </si>
  <si>
    <t>Професионална гимназия "Захарий Зограф"</t>
  </si>
  <si>
    <t>Център за специална образователна подкрепа "Петко Рачев Славейков"</t>
  </si>
  <si>
    <t>Основно училище “Валери Петров“</t>
  </si>
  <si>
    <t>Червен бряг</t>
  </si>
  <si>
    <t>Основно училище "Алеко Константинов"</t>
  </si>
  <si>
    <t>Глава</t>
  </si>
  <si>
    <t>Чомаковци</t>
  </si>
  <si>
    <t>Рупци</t>
  </si>
  <si>
    <t>Радомирци</t>
  </si>
  <si>
    <t>Койнаре</t>
  </si>
  <si>
    <t>Средно училище " Христо Смирненски"</t>
  </si>
  <si>
    <t>Професионална гимназия по хранителни технологии "Юрий Гагарин"</t>
  </si>
  <si>
    <t>Професионална гимназия по механоелектротехника "Девети май"</t>
  </si>
  <si>
    <t>Търговска гимназия "Васил Евстатиев Априлов"</t>
  </si>
  <si>
    <t>Професионална гимназия по земеделско стопанство "Александър Стамболийски"</t>
  </si>
  <si>
    <t>Пордим</t>
  </si>
  <si>
    <t>Вълчитрън</t>
  </si>
  <si>
    <t>Обединено училище "Никола Йонков Вапцаров"</t>
  </si>
  <si>
    <t>Искър</t>
  </si>
  <si>
    <t>Долни Луковит</t>
  </si>
  <si>
    <t>Долни Дъбник</t>
  </si>
  <si>
    <t>Садовец</t>
  </si>
  <si>
    <t>Петърница</t>
  </si>
  <si>
    <t>Горни Дъбник</t>
  </si>
  <si>
    <t>Градина</t>
  </si>
  <si>
    <t>Професионална гимназия по селско стопанство "Професор Иван Иванов"</t>
  </si>
  <si>
    <t>Център за специална образователна подкрепа "Леда Милева"</t>
  </si>
  <si>
    <t>Левски</t>
  </si>
  <si>
    <t>Асеновци</t>
  </si>
  <si>
    <t>Българене</t>
  </si>
  <si>
    <t>Обнова</t>
  </si>
  <si>
    <t>Средно училище "Крум Попов"</t>
  </si>
  <si>
    <t>Професионална гимназия по селско стопанство и транспорт "Никола Йонков Вапцаров"</t>
  </si>
  <si>
    <t>Белене</t>
  </si>
  <si>
    <t>Професионална гимназия по ядрена енергетика "Мария Склодовска - Кюри"</t>
  </si>
  <si>
    <t>Гулянци</t>
  </si>
  <si>
    <t>Милковица</t>
  </si>
  <si>
    <t>Гиген</t>
  </si>
  <si>
    <t>Долна Митрополия</t>
  </si>
  <si>
    <t>Божурица</t>
  </si>
  <si>
    <t>Горна Митрополия</t>
  </si>
  <si>
    <t>Комарево</t>
  </si>
  <si>
    <t>Крушовене</t>
  </si>
  <si>
    <t>Ореховица</t>
  </si>
  <si>
    <t>Ставерци</t>
  </si>
  <si>
    <t>Средно училище "Васил Априлов"</t>
  </si>
  <si>
    <t>Тръстеник</t>
  </si>
  <si>
    <t>Средно училище "Евлоги Георгиев"</t>
  </si>
  <si>
    <t>Подем</t>
  </si>
  <si>
    <t>Възпитателно училище интернат "Христо Ботев"</t>
  </si>
  <si>
    <t>Никопол</t>
  </si>
  <si>
    <t>Новачене</t>
  </si>
  <si>
    <t>Основно училище "Патриарх Евтимий"</t>
  </si>
  <si>
    <t>Кнежа</t>
  </si>
  <si>
    <t>Начално училище "Кнежица"</t>
  </si>
  <si>
    <t>Основно училище " Отец Паисий"</t>
  </si>
  <si>
    <t>Бреница</t>
  </si>
  <si>
    <t>Еница</t>
  </si>
  <si>
    <t>Основно училище "Васил Левски "</t>
  </si>
  <si>
    <t>Професионална гимназия по земеделие "Стефан Цанов"</t>
  </si>
  <si>
    <t>Професионална гимназия по механоелектротехника "Христо Смирненски"</t>
  </si>
  <si>
    <t>Брест</t>
  </si>
  <si>
    <t>Пловдив</t>
  </si>
  <si>
    <t>Асеновград</t>
  </si>
  <si>
    <t>Основно училище "Ангел Кънчев"</t>
  </si>
  <si>
    <t>Основно училище "Отец Паисий" Асеновград</t>
  </si>
  <si>
    <t>Основно училище "Петко Каравелов"</t>
  </si>
  <si>
    <t>Боянци</t>
  </si>
  <si>
    <t>Основно училище "Професор доктор Асен Златаров"</t>
  </si>
  <si>
    <t>Мулдава</t>
  </si>
  <si>
    <t>Златовръх</t>
  </si>
  <si>
    <t>Средно училище „Свети княз Борис I”</t>
  </si>
  <si>
    <t>Тополово</t>
  </si>
  <si>
    <t>Професионална гимназия " Свети Патриарх Евтимий "</t>
  </si>
  <si>
    <t>Професионална гимназия по Хранително-вкусови технологии "Св. Димитрий Солунски"</t>
  </si>
  <si>
    <t>Професионална гимназия "Цар Иван Асен ІІ"</t>
  </si>
  <si>
    <t>Карлово</t>
  </si>
  <si>
    <t>Клисура</t>
  </si>
  <si>
    <t>Професионална гимназия по икономика "Тодор Генчов Влайков"</t>
  </si>
  <si>
    <t>Брезово</t>
  </si>
  <si>
    <t>Стрелци</t>
  </si>
  <si>
    <t>Борец</t>
  </si>
  <si>
    <t>Начално училище "Свети Свети Кирил и Методий"</t>
  </si>
  <si>
    <t>Професионална гимназия "Златю Бояджиев" гр. Брезово</t>
  </si>
  <si>
    <t>Куклен</t>
  </si>
  <si>
    <t>Калояново</t>
  </si>
  <si>
    <t>Дълго поле</t>
  </si>
  <si>
    <t>Обединено училище "Христо Ботев", с. Дълго поле, общ. Калояново, обл. Пловдив</t>
  </si>
  <si>
    <t>Ръжево Конаре</t>
  </si>
  <si>
    <t>Песнопой</t>
  </si>
  <si>
    <t>Основно Училище "Отец Паисий"</t>
  </si>
  <si>
    <t>Средно училище "Христо Проданов"</t>
  </si>
  <si>
    <t>Сопот</t>
  </si>
  <si>
    <t>Основно училище "Райно Попович"</t>
  </si>
  <si>
    <t>Калофер</t>
  </si>
  <si>
    <t>Розино</t>
  </si>
  <si>
    <t>Основно училище "Христо Г. Данов"</t>
  </si>
  <si>
    <t>Кърнаре</t>
  </si>
  <si>
    <t>Ведраре</t>
  </si>
  <si>
    <t>Христо Даново</t>
  </si>
  <si>
    <t>Основно училище "Генерал Карцов"</t>
  </si>
  <si>
    <t>Основно училище "Христо Груев Данов"</t>
  </si>
  <si>
    <t>Начално училище "Неделя Петкова"</t>
  </si>
  <si>
    <t>Иганово</t>
  </si>
  <si>
    <t>Професионална гимназия по железопътен транспорт "Христо Смирненски"</t>
  </si>
  <si>
    <t>Професионална гимназия "Генерал Владимир Заимов"</t>
  </si>
  <si>
    <t>Професионална гимназия "Братя Евлогий и Христо Георгиеви"</t>
  </si>
  <si>
    <t>Кричим</t>
  </si>
  <si>
    <t>Начално училище Васил Левски</t>
  </si>
  <si>
    <t>Лъки</t>
  </si>
  <si>
    <t>Марица</t>
  </si>
  <si>
    <t>Динк</t>
  </si>
  <si>
    <t>Скутаре</t>
  </si>
  <si>
    <t>Войводиново</t>
  </si>
  <si>
    <t>Царацово</t>
  </si>
  <si>
    <t>Основно училище "Дядо Иван Арабаджията"</t>
  </si>
  <si>
    <t>Граф Игнатиево</t>
  </si>
  <si>
    <t>Основно училище "Граф Николай Игнатиев"</t>
  </si>
  <si>
    <t>Строево</t>
  </si>
  <si>
    <t>Костиево</t>
  </si>
  <si>
    <t>Маноле</t>
  </si>
  <si>
    <t>Калековец</t>
  </si>
  <si>
    <t>Рогош</t>
  </si>
  <si>
    <t>Труд</t>
  </si>
  <si>
    <t>Основно Училище "Свети Свети Кирил и Методий"</t>
  </si>
  <si>
    <t>Войсил</t>
  </si>
  <si>
    <t>Начално училище "Св.Климент Охридски"</t>
  </si>
  <si>
    <t>Основно Училище "Георги Караславов"</t>
  </si>
  <si>
    <t>Искра</t>
  </si>
  <si>
    <t>Дълбок извор</t>
  </si>
  <si>
    <t>Виница</t>
  </si>
  <si>
    <t>Караджалово</t>
  </si>
  <si>
    <t>Бяла река</t>
  </si>
  <si>
    <t>Средно училище "Проф. д-р Асен Златаров"</t>
  </si>
  <si>
    <t>Професионална гимназия по селско стопанство "Васил Левски"</t>
  </si>
  <si>
    <t>Перущица</t>
  </si>
  <si>
    <t>ОСНОВНО УЧИЛИЩЕ "ПЕТЪР БОНЕВ"</t>
  </si>
  <si>
    <t>Професионална гимназия по лозарство и винарство "Христо Ботев"</t>
  </si>
  <si>
    <t>Раковски</t>
  </si>
  <si>
    <t>Стряма</t>
  </si>
  <si>
    <t>Чалъкови</t>
  </si>
  <si>
    <t>Белозем</t>
  </si>
  <si>
    <t>Основно училище "Гео Милев"</t>
  </si>
  <si>
    <t>Професионална гимназия "Петър Парчевич"</t>
  </si>
  <si>
    <t>Родопи</t>
  </si>
  <si>
    <t>Белащица</t>
  </si>
  <si>
    <t>Основно училище " Пенчо Славейков"</t>
  </si>
  <si>
    <t>Първенец</t>
  </si>
  <si>
    <t>Брестник</t>
  </si>
  <si>
    <t>Брестовица</t>
  </si>
  <si>
    <t>Кадиево</t>
  </si>
  <si>
    <t>Основно училище " Свети Свети Кирил и Методий"</t>
  </si>
  <si>
    <t>Марково</t>
  </si>
  <si>
    <t>Браниполе</t>
  </si>
  <si>
    <t>Основно училище " Свети Свети Кирил и Методий "</t>
  </si>
  <si>
    <t>Устина</t>
  </si>
  <si>
    <t>Цалапица</t>
  </si>
  <si>
    <t>Основно Училище "Паисий Хилендарски"</t>
  </si>
  <si>
    <t>Ягодово</t>
  </si>
  <si>
    <t>Крумово</t>
  </si>
  <si>
    <t>Садово</t>
  </si>
  <si>
    <t>Катуница</t>
  </si>
  <si>
    <t>Чешнегирово</t>
  </si>
  <si>
    <t>Поповица</t>
  </si>
  <si>
    <t>Богданица</t>
  </si>
  <si>
    <t>Основно училище с. Богданица</t>
  </si>
  <si>
    <t>Караджово</t>
  </si>
  <si>
    <t>Болярци</t>
  </si>
  <si>
    <t>Основно училище "Георги Сава Раковски "</t>
  </si>
  <si>
    <t>Професионална селскостопанска гимназия</t>
  </si>
  <si>
    <t>Стамболийски</t>
  </si>
  <si>
    <t>Йоаким Груево</t>
  </si>
  <si>
    <t>Основно училище "Христо Ботев" с. Йоаким Груево</t>
  </si>
  <si>
    <t>Куртово Конаре</t>
  </si>
  <si>
    <t>Основно училище " Христо Смирненски "</t>
  </si>
  <si>
    <t>Обединено училище "Христо Ботев" гр. Стамболийски</t>
  </si>
  <si>
    <t>Триводици</t>
  </si>
  <si>
    <t>Средно училище Отец Паисий</t>
  </si>
  <si>
    <t>Начално училище"Любен Каравелов"</t>
  </si>
  <si>
    <t>Хисаря</t>
  </si>
  <si>
    <t>Паничери</t>
  </si>
  <si>
    <t>Основно училище " Климент Охридски"</t>
  </si>
  <si>
    <t>Красново</t>
  </si>
  <si>
    <t>Обединено училище " Христо Ботев "</t>
  </si>
  <si>
    <t>ОУ"Виктория и Крикор Тютюнджян"</t>
  </si>
  <si>
    <t>Основно Училище"Душо Хаджидеков"</t>
  </si>
  <si>
    <t>Основно училище "Екзарх Антим І"</t>
  </si>
  <si>
    <t>Основно Училище "Кочо Честеменски"</t>
  </si>
  <si>
    <t>ОСНОВНО УЧИЛИЩЕ "КНЯЗ АЛЕКСАНДЪР I"</t>
  </si>
  <si>
    <t>Хуманитарна гимназия "Св. Св. Кирил и Методий"</t>
  </si>
  <si>
    <t>Средно училище " СВ. ПАИСИЙ ХИЛЕНДАРСКИ "</t>
  </si>
  <si>
    <t>Средно училище "Свети Патриарх Евтимий"</t>
  </si>
  <si>
    <t>Професионална гимназия по електротехника и електроника</t>
  </si>
  <si>
    <t>Национална търговска гимназия - Пловдив</t>
  </si>
  <si>
    <t>Професионална гимназия по облекло "Ана Май"</t>
  </si>
  <si>
    <t>Професионална гимназия по вътрешна архитектура и дървообработване "Христо Ботев"</t>
  </si>
  <si>
    <t>Професионална гимназия по битова техника</t>
  </si>
  <si>
    <t>39-то Начално училище "Кирил Нектариев"</t>
  </si>
  <si>
    <t>Начално училище " Петко Рачов Славейков "</t>
  </si>
  <si>
    <t>Основно училище "Димчо Дебелянов"</t>
  </si>
  <si>
    <t>Обединено училище "Пенчо Славейков"</t>
  </si>
  <si>
    <t>Средно училище "Найден Геров"</t>
  </si>
  <si>
    <t>Средно училище "Симон Боливар"</t>
  </si>
  <si>
    <t>Специално училище за ученици с увреден слух "Проф. Д-р Ст. Белинов"</t>
  </si>
  <si>
    <t>за обучение и подкрепа на ученици с увреден слух</t>
  </si>
  <si>
    <t>Професионална гимназия по архитектура, строителство и геодезия "Арх.Камен Петков"</t>
  </si>
  <si>
    <t>Професионална гимназия по транспорт и строителни технологии "Гоце Делчев"</t>
  </si>
  <si>
    <t>Основно училище "Васил Петлешков"</t>
  </si>
  <si>
    <t>Основно училище "Драган Манчов "</t>
  </si>
  <si>
    <t>Основно училище "Тодор Каблешков"</t>
  </si>
  <si>
    <t>Математическа гимназия "Академик Кирил Попов"</t>
  </si>
  <si>
    <t>Основно училище "Димитър Тодоров Димов"</t>
  </si>
  <si>
    <t>Основно училище "Райна Княгиня"</t>
  </si>
  <si>
    <t>Средно училище "Христо Груев Данов"</t>
  </si>
  <si>
    <t>Езикова гимназия "Пловдив"</t>
  </si>
  <si>
    <t>Езикова гимназия "Иван Вазов"</t>
  </si>
  <si>
    <t>Френска езикова гимназия "Антоан дьо Сент - Екзюпери"</t>
  </si>
  <si>
    <t>Професионална гимназия по хранителни технологии и техника</t>
  </si>
  <si>
    <t>Професионална гимназия по кожени изделия и текстил "Д-р Иван Богоров"</t>
  </si>
  <si>
    <t>Средно училище "Братя Миладинови"</t>
  </si>
  <si>
    <t>Начално училище "Климент Охридски"</t>
  </si>
  <si>
    <t>Основно училище "Димитър Талев"</t>
  </si>
  <si>
    <t>Основно училище "Яне Сандански"</t>
  </si>
  <si>
    <t>Средно училище " Константин Величков "</t>
  </si>
  <si>
    <t>Средно училище "Свети Константин - Кирил Философ"</t>
  </si>
  <si>
    <t>Център за специална образователна подкрепа - гр. Пловдив</t>
  </si>
  <si>
    <t>Професионална гимназия по механотехника "Професор Цветан Лазаров"</t>
  </si>
  <si>
    <t>Професионална гимназия по машиностроене</t>
  </si>
  <si>
    <t>Средно училище „Димитър Матевски"</t>
  </si>
  <si>
    <t>Средно училище "Свети Седмочисленици"</t>
  </si>
  <si>
    <t>Средно училище "Свети Софроний Врачански"</t>
  </si>
  <si>
    <t>Средно училище "Черноризец Храбър"</t>
  </si>
  <si>
    <t>Разград</t>
  </si>
  <si>
    <t>Завет</t>
  </si>
  <si>
    <t>Професионална гимназия по земеделие "Климент Тимирязев"</t>
  </si>
  <si>
    <t>Брестовене</t>
  </si>
  <si>
    <t>Острово</t>
  </si>
  <si>
    <t>Веселец</t>
  </si>
  <si>
    <t>Сушево</t>
  </si>
  <si>
    <t>Основно училише "Васил Левски"</t>
  </si>
  <si>
    <t>Исперих</t>
  </si>
  <si>
    <t>Профилирана гимназия "ВАСИЛ ЛЕВСКИ"</t>
  </si>
  <si>
    <t>ОСНОВНО УЧИЛИЩЕ "ХРИСТО БОТЕВ",ГРАД ИСПЕРИХ</t>
  </si>
  <si>
    <t>Професионална гимназия по селско стопанство "Хан Аспарух"</t>
  </si>
  <si>
    <t>Вазово</t>
  </si>
  <si>
    <t>Основно училище "Никола Йонков Вапцаров"-с.Вазово</t>
  </si>
  <si>
    <t>Китанчево</t>
  </si>
  <si>
    <t>Лудогорци</t>
  </si>
  <si>
    <t>Подайва</t>
  </si>
  <si>
    <t>Тодорово</t>
  </si>
  <si>
    <t>Кубрат</t>
  </si>
  <si>
    <t>Беловец</t>
  </si>
  <si>
    <t>Севар</t>
  </si>
  <si>
    <t>Юпер</t>
  </si>
  <si>
    <t>Основно училище "Свети Климент"</t>
  </si>
  <si>
    <t>Бисерци</t>
  </si>
  <si>
    <t>Сеслав</t>
  </si>
  <si>
    <t>Лозница</t>
  </si>
  <si>
    <t>Професионална гимназия по ветеринарна медицина и земеделие "Александър Стамболийски"</t>
  </si>
  <si>
    <t>Сейдол</t>
  </si>
  <si>
    <t>Основно училище Виделина</t>
  </si>
  <si>
    <t>Гороцвет</t>
  </si>
  <si>
    <t>Начално училище"Васил Левски"</t>
  </si>
  <si>
    <t>Професионална гимназия по икономика "Робер Шуман"</t>
  </si>
  <si>
    <t>Национална професионална техническа гимназия "Шандор Петьофи"</t>
  </si>
  <si>
    <t>Професионална гимназия по химични технологии и биотехнологии "Мария Кюри"</t>
  </si>
  <si>
    <t>Професионална гимназия по селско стопанство и хранително-вкусови технологии "Ангел Кънчев"</t>
  </si>
  <si>
    <t>Професионална гимназия по транспорт и строителство "Христо Смирненски"</t>
  </si>
  <si>
    <t>Профилирана гимназия с преподаване на чужди езици "Екзарх Йосиф"</t>
  </si>
  <si>
    <t>Основно училище Никола Йонков Вапцаров</t>
  </si>
  <si>
    <t>Основно училище "Никола Икономов"</t>
  </si>
  <si>
    <t>Основно училище "Иван Сергеевич Тургенев"</t>
  </si>
  <si>
    <t>Осенец</t>
  </si>
  <si>
    <t>Дянково</t>
  </si>
  <si>
    <t>Ясеновец</t>
  </si>
  <si>
    <t>Киченица</t>
  </si>
  <si>
    <t>Стражец</t>
  </si>
  <si>
    <t>Професионална гимназия по облекло "Станка Николица Спасо-Еленина"</t>
  </si>
  <si>
    <t>Спортно училище - Разград</t>
  </si>
  <si>
    <t>Самуил</t>
  </si>
  <si>
    <t>Хърсово</t>
  </si>
  <si>
    <t>Владимировци</t>
  </si>
  <si>
    <t>Цар Калоян</t>
  </si>
  <si>
    <t>Езерче</t>
  </si>
  <si>
    <t>Русе</t>
  </si>
  <si>
    <t>Обединено училище "Свети Климент Охридски"</t>
  </si>
  <si>
    <t>Обретеник</t>
  </si>
  <si>
    <t>Начално училище "Петко Рачев Славейков"</t>
  </si>
  <si>
    <t>Средно училище "Панайот Волов"</t>
  </si>
  <si>
    <t>Копривец</t>
  </si>
  <si>
    <t>Полско Косово</t>
  </si>
  <si>
    <t>Ветово</t>
  </si>
  <si>
    <t>Средно училище "Васил Левски" с професионални паралелки</t>
  </si>
  <si>
    <t>Сеново</t>
  </si>
  <si>
    <t>Глоджево</t>
  </si>
  <si>
    <t>Смирненски</t>
  </si>
  <si>
    <t>Две могили</t>
  </si>
  <si>
    <t>Баниска</t>
  </si>
  <si>
    <t>Професионална гимназия по селско стопанство "К. А. Тимирязев"</t>
  </si>
  <si>
    <t>Иваново</t>
  </si>
  <si>
    <t>Основно училище " Никола Йонков Вапцаров "</t>
  </si>
  <si>
    <t>Щръклево</t>
  </si>
  <si>
    <t>Сваленик</t>
  </si>
  <si>
    <t>ОСНОВНО УЧИЛИЩЕ " СВЕТИ КЛИМЕНТ ОХРИДСКИ "</t>
  </si>
  <si>
    <t>Основно училище " Братя Миладинови"</t>
  </si>
  <si>
    <t>Основно училище "Тома Кърджиев"</t>
  </si>
  <si>
    <t>Основно училище "Никола Обретенов"</t>
  </si>
  <si>
    <t>Николово</t>
  </si>
  <si>
    <t>Мартен</t>
  </si>
  <si>
    <t>Семерджиево</t>
  </si>
  <si>
    <t>ОСНОВНО УЧИЛИЩЕ "СВ. СВ. КИРИЛ И МЕТОДИЙ"</t>
  </si>
  <si>
    <t>Тетово</t>
  </si>
  <si>
    <t>Хотанца</t>
  </si>
  <si>
    <t>Начално училище "Васил Априлов"</t>
  </si>
  <si>
    <t>Английска езикова гимназия " Гео Милев"</t>
  </si>
  <si>
    <t>Математическа гимназия "Баба Тонка"</t>
  </si>
  <si>
    <t>Средно училище за европейски езици "Свети Константин-Кирил Философ"</t>
  </si>
  <si>
    <t>Средно училище с преподаване на немски език "Фридрих Шилер"</t>
  </si>
  <si>
    <t>Основно училище "Олимпи Панов"</t>
  </si>
  <si>
    <t>Средно училище "Възраждане"</t>
  </si>
  <si>
    <t>Професионална гимназия по електротехника и електроника "Апостол Арнаудов"</t>
  </si>
  <si>
    <t>Професионална гимназия по дървообработване и вътрешна архитектура " Йосиф Вондрак" - Русе</t>
  </si>
  <si>
    <t>Професионална гимназия по селско стопанство "Ангел Кънчев"</t>
  </si>
  <si>
    <t>ПРОФЕСИОНАЛНА ГИМНАЗИЯ ПО МЕХАНОТЕХНИКА "ЮРИЙ ГАГАРИН"</t>
  </si>
  <si>
    <t>Професионална гимназия по облекло "Недка Иван Лазарова"</t>
  </si>
  <si>
    <t>Професионална гимназия по туризъм "Иван П. Павлов"</t>
  </si>
  <si>
    <t>Професионална гимназия по икономика и управление „Елиас Канети"</t>
  </si>
  <si>
    <t>ПРОФЕСИОНАЛНА ГИМНАЗИЯ ПО РЕЧНО КОРАБОСТРОЕНЕ И КОРАБОПЛАВАНЕ</t>
  </si>
  <si>
    <t>Професионална гимназия по строителство, архитектура и геодезия "Пеньо Пенев"</t>
  </si>
  <si>
    <t>Професионална гимназия по промишлени технологии "Атанас Цонев Буров"</t>
  </si>
  <si>
    <t>Спортно училище "Майор Атанас Узунов"</t>
  </si>
  <si>
    <t>Сливо поле</t>
  </si>
  <si>
    <t>Голямо Враново</t>
  </si>
  <si>
    <t>Основно училище Иван Вазов</t>
  </si>
  <si>
    <t>Ряхово</t>
  </si>
  <si>
    <t>Ценово</t>
  </si>
  <si>
    <t>Караманово</t>
  </si>
  <si>
    <t>Новград</t>
  </si>
  <si>
    <t>Долна Студена</t>
  </si>
  <si>
    <t>Силистра</t>
  </si>
  <si>
    <t>Алфатар</t>
  </si>
  <si>
    <t>Зафирово</t>
  </si>
  <si>
    <t>Дулово</t>
  </si>
  <si>
    <t>Окорш</t>
  </si>
  <si>
    <t>Паисиево</t>
  </si>
  <si>
    <t>Секулово</t>
  </si>
  <si>
    <t>Правда</t>
  </si>
  <si>
    <t>Черник</t>
  </si>
  <si>
    <t>Чернолик</t>
  </si>
  <si>
    <t>Яребица</t>
  </si>
  <si>
    <t>Поройно</t>
  </si>
  <si>
    <t>Начално училище "Светлина"</t>
  </si>
  <si>
    <t>Професионална гимназия по облекло, обслужване и транспорт</t>
  </si>
  <si>
    <t>Кайнарджа</t>
  </si>
  <si>
    <t>Голеш</t>
  </si>
  <si>
    <t>Средище</t>
  </si>
  <si>
    <t>Основно училище "Цанко Церковски"</t>
  </si>
  <si>
    <t>Професионална гимназия по механизация на селското стопанство "Никола Йонков Вапцаров"</t>
  </si>
  <si>
    <t>Природоматематическа гимназия "Св.Климент Охридски"</t>
  </si>
  <si>
    <t>Езикова гимназия "Пейо Яворов"</t>
  </si>
  <si>
    <t>Професионална гимназия по механотехника "Владимир Комаров"</t>
  </si>
  <si>
    <t>Професионална гимназия по стопанско управление, администрация и услуги "Атанас Буров"</t>
  </si>
  <si>
    <t>Професионална земеделска гимназия "Добруджа"</t>
  </si>
  <si>
    <t>Професионална гимназия по строителство "Пеньо Пенев"</t>
  </si>
  <si>
    <t>Професионална гимназия по производствени технологии "Евлогий Георгиев"</t>
  </si>
  <si>
    <t>Брадвари</t>
  </si>
  <si>
    <t>Професор Иширково</t>
  </si>
  <si>
    <t>Калипетрово</t>
  </si>
  <si>
    <t>Спортно училище "Дръстър"</t>
  </si>
  <si>
    <t>Ситово</t>
  </si>
  <si>
    <t>Добротица</t>
  </si>
  <si>
    <t>Тутракан</t>
  </si>
  <si>
    <t>Варненци</t>
  </si>
  <si>
    <t>Социално-педагогически интернат "ХристоБотев"</t>
  </si>
  <si>
    <t>социално-педагогически интернат</t>
  </si>
  <si>
    <t>Цар Самуил</t>
  </si>
  <si>
    <t>Нова Черна</t>
  </si>
  <si>
    <t>Сливен</t>
  </si>
  <si>
    <t>Средно училище "Хаджи Мина Пашов"</t>
  </si>
  <si>
    <t>Основно училище "Д-р Иван Селимински"</t>
  </si>
  <si>
    <t>Основно училище "Димитър Петров"</t>
  </si>
  <si>
    <t>Средно училище " Пейо Крачолов Яворов "</t>
  </si>
  <si>
    <t>Основно училище "Панайот Хитов"</t>
  </si>
  <si>
    <t>Основно училище "Юрий Гагарин"</t>
  </si>
  <si>
    <t>Средно училище "Константин Константинов"</t>
  </si>
  <si>
    <t>Основно училище "Елисавета Багряна"</t>
  </si>
  <si>
    <t>Професионална гимназия по текстил и облекло "Добри Желязков"</t>
  </si>
  <si>
    <t>Професионална гимназия по електротехника и електроника "Мария Склодовска-Кюри"</t>
  </si>
  <si>
    <t>Професионална гимназия по икономика "Професор доктор Димитър Табаков"</t>
  </si>
  <si>
    <t>Професионална гимназия по хотелиерство и туризъм "Академик Неделчо Неделчев"</t>
  </si>
  <si>
    <t>Сливенска професионална гимназия по строителство и геодезия "Арх. Георги Козаров"</t>
  </si>
  <si>
    <t>Професионална гимназия по механотехника</t>
  </si>
  <si>
    <t>Профилирана природо-математическа гимназия "Добри П. Чинтулов"</t>
  </si>
  <si>
    <t>Профилирана гимназия с преподаване на западни езици "Захарий Стоянов"</t>
  </si>
  <si>
    <t>Спортно училище "Димитър Рохов"</t>
  </si>
  <si>
    <t>Профилирана хуманитарна гимназия "Дамян Дамянов"</t>
  </si>
  <si>
    <t>Център за специална образователна подкрепа "Д-р Власаки Шуманов"</t>
  </si>
  <si>
    <t>Основно училище "Хаджи Димитър"</t>
  </si>
  <si>
    <t>Блатец</t>
  </si>
  <si>
    <t>Гавраилово</t>
  </si>
  <si>
    <t>Основно училище " Найден Геров "</t>
  </si>
  <si>
    <t>Желю войвода</t>
  </si>
  <si>
    <t>Злати войвода</t>
  </si>
  <si>
    <t>Кермен</t>
  </si>
  <si>
    <t>Крушаре</t>
  </si>
  <si>
    <t>Обединено училище "Черноризец Храбър"</t>
  </si>
  <si>
    <t>Сотиря</t>
  </si>
  <si>
    <t>Самуилово</t>
  </si>
  <si>
    <t>Стара река</t>
  </si>
  <si>
    <t>Селиминово</t>
  </si>
  <si>
    <t>Тополчане</t>
  </si>
  <si>
    <t>Чинтулово</t>
  </si>
  <si>
    <t>Котел</t>
  </si>
  <si>
    <t>Основно училище "Димитър Камбуров"</t>
  </si>
  <si>
    <t>Тича</t>
  </si>
  <si>
    <t>Градец</t>
  </si>
  <si>
    <t>Основно училище "Капитан Петър Пармаков"</t>
  </si>
  <si>
    <t>Кипилово</t>
  </si>
  <si>
    <t>Мокрен</t>
  </si>
  <si>
    <t>Пъдарево</t>
  </si>
  <si>
    <t>Филаретово</t>
  </si>
  <si>
    <t>Ябланово</t>
  </si>
  <si>
    <t>Нова Загора</t>
  </si>
  <si>
    <t>Начално училище "Свети Паисий Хилендарски"</t>
  </si>
  <si>
    <t>Професионална гимназия по техника и технологии "Атанас Димитров"</t>
  </si>
  <si>
    <t>Основно училище "Злати Терзиев"</t>
  </si>
  <si>
    <t>Караново</t>
  </si>
  <si>
    <t>Коньово</t>
  </si>
  <si>
    <t>Кортен</t>
  </si>
  <si>
    <t>Любенова махала</t>
  </si>
  <si>
    <t>Основно училище "Иларион Макариополски"</t>
  </si>
  <si>
    <t>Стоил войвода</t>
  </si>
  <si>
    <t>Основно училище" Свети Паисий Хилендарски"</t>
  </si>
  <si>
    <t>Съдиево</t>
  </si>
  <si>
    <t>Твърдица</t>
  </si>
  <si>
    <t>Бяла паланка</t>
  </si>
  <si>
    <t>Оризари</t>
  </si>
  <si>
    <t>Сборище</t>
  </si>
  <si>
    <t>Основно училище "Никола Прокопиев"</t>
  </si>
  <si>
    <t>Шивачево</t>
  </si>
  <si>
    <t>Средно училище "Георги Алексиев Каравелов"</t>
  </si>
  <si>
    <t>Смолян</t>
  </si>
  <si>
    <t>ОСНОВНО УЧИЛИЩЕ "Юрий Гагарин"</t>
  </si>
  <si>
    <t>Основно училище "Стою Шишков"</t>
  </si>
  <si>
    <t>ОСНОВНО УЧИЛИЩЕ "ИВАН ВАЗОВ"</t>
  </si>
  <si>
    <t>Професионална гимназия по техника и технологии "Христо Ботев"</t>
  </si>
  <si>
    <t>Професионална гимназия по икономика "Карл Маркс"</t>
  </si>
  <si>
    <t>Смолянска професионална гимназия по туризъм и строителство "Никола Й. Вапцаров"</t>
  </si>
  <si>
    <t>Арда</t>
  </si>
  <si>
    <t>Момчиловци</t>
  </si>
  <si>
    <t>Смилян</t>
  </si>
  <si>
    <t>Търън</t>
  </si>
  <si>
    <t>Широка лъка</t>
  </si>
  <si>
    <t>Баните</t>
  </si>
  <si>
    <t>Давидково</t>
  </si>
  <si>
    <t>Борино</t>
  </si>
  <si>
    <t>Ягодина</t>
  </si>
  <si>
    <t>Девин</t>
  </si>
  <si>
    <t>Професионална гимназия по електротехника "А. С. Попов"</t>
  </si>
  <si>
    <t>Грохотно</t>
  </si>
  <si>
    <t>Гьоврен</t>
  </si>
  <si>
    <t>Триград</t>
  </si>
  <si>
    <t>Неделино</t>
  </si>
  <si>
    <t>Средно училище " Свети Свети Кирил и Методий"</t>
  </si>
  <si>
    <t>Златоград</t>
  </si>
  <si>
    <t>Старцево</t>
  </si>
  <si>
    <t>Средно училище "Свети княз Борис I"</t>
  </si>
  <si>
    <t>ОСНОВНО УЧИЛИЩЕ "Свети Свети Кирил и Методий"</t>
  </si>
  <si>
    <t>Ерма река</t>
  </si>
  <si>
    <t>Боровина</t>
  </si>
  <si>
    <t>Основно училище "ВАСИЛ ЛЕВСКИ"</t>
  </si>
  <si>
    <t>Букова поляна</t>
  </si>
  <si>
    <t>Основно училище Христо Ботев</t>
  </si>
  <si>
    <t>Средногорци</t>
  </si>
  <si>
    <t>ОСНОВНО УЧИЛИЩЕ "ПЕТКО РАЧОВ СЛАВЕЙКОВ"</t>
  </si>
  <si>
    <t>Рудозем</t>
  </si>
  <si>
    <t>Средно училище „Свети свети Кирил и Методий”</t>
  </si>
  <si>
    <t>Чепинци</t>
  </si>
  <si>
    <t>Елховец</t>
  </si>
  <si>
    <t>Чепеларе</t>
  </si>
  <si>
    <t>Средно Училище "Васил Дечев"</t>
  </si>
  <si>
    <t>Професионална гимназия по селско, горско стопанство и туризъм "Никола Йонков Вапцаров"</t>
  </si>
  <si>
    <t>Забърдо</t>
  </si>
  <si>
    <t>Павелско</t>
  </si>
  <si>
    <t>Спортно училище "Олимпийски надежди"</t>
  </si>
  <si>
    <t>Доспат</t>
  </si>
  <si>
    <t>Змеица</t>
  </si>
  <si>
    <t>Късак</t>
  </si>
  <si>
    <t>Барутин</t>
  </si>
  <si>
    <t>Чавдар</t>
  </si>
  <si>
    <t>Любча</t>
  </si>
  <si>
    <t>Црънча</t>
  </si>
  <si>
    <t>Основно училище " Никола Йонков Вапцаров"</t>
  </si>
  <si>
    <t>Бръщен</t>
  </si>
  <si>
    <t>Основно училище " Яне Сандански "</t>
  </si>
  <si>
    <t>Професионална гимназия "Васил Димитров"</t>
  </si>
  <si>
    <t>СРЕДНО УЧИЛИЩЕ "АНТИМ І"</t>
  </si>
  <si>
    <t>Профилирана природо-математическа гимназия "Васил Левски"</t>
  </si>
  <si>
    <t>Върбина</t>
  </si>
  <si>
    <t>София-град</t>
  </si>
  <si>
    <t>Столична</t>
  </si>
  <si>
    <t>Банкя</t>
  </si>
  <si>
    <t>78. Средно училище "Христо Смирненски"</t>
  </si>
  <si>
    <t>София</t>
  </si>
  <si>
    <t>2 Средно училище "Академик Емилиян Станев "</t>
  </si>
  <si>
    <t>5 Основно училище "Иван Вазов"</t>
  </si>
  <si>
    <t>26 Средно училище "Йордан Йовков"</t>
  </si>
  <si>
    <t>50. ОСНОВНО УЧИЛИЩЕ "ВАСИЛ ЛЕВСКИ"</t>
  </si>
  <si>
    <t>52. основно училище "Цанко Церковски"</t>
  </si>
  <si>
    <t>64 основно училище " Цар Симеон Велики "</t>
  </si>
  <si>
    <t>Владая</t>
  </si>
  <si>
    <t>86 Основно училище "Св. Климент Охридски"</t>
  </si>
  <si>
    <t>Мърчаево</t>
  </si>
  <si>
    <t>152 ОСНОВНО УЧИЛИЩЕ "СВ.СВ. КИРИЛ И МЕТОДИЙ"</t>
  </si>
  <si>
    <t>Професионална гимназия по екология и биотехнологии "Проф. д-р Асен Златаров"</t>
  </si>
  <si>
    <t>Център за специална образователна подкрепа "Проф. Димитър Кацаров"</t>
  </si>
  <si>
    <t>Специално училище за ученици с увреден слух "Проф. д-р Дечо Денев"</t>
  </si>
  <si>
    <t>61-во основно училище "Свети Свети Кирил и Методий"</t>
  </si>
  <si>
    <t>62. Основно училище "Христо Ботев"</t>
  </si>
  <si>
    <t>70-о основно училище "Свети Климент Охридски"</t>
  </si>
  <si>
    <t>74 СУ "ГОЦЕ ДЕЛЧЕВ"</t>
  </si>
  <si>
    <t>140. СРЕДНО УЧИЛИЩЕ "ИВАН БОГОРОВ"</t>
  </si>
  <si>
    <t>Волуяк</t>
  </si>
  <si>
    <t>146 Основно училище "Патриарх Евтимий"</t>
  </si>
  <si>
    <t>Мрамор</t>
  </si>
  <si>
    <t>175 основно училище "Васил Левски"</t>
  </si>
  <si>
    <t>Специално училище за ученици с нарушено зрение "ЛУИ БРАЙЛ"</t>
  </si>
  <si>
    <t>18 Средно училище "Уилям Гладстон"</t>
  </si>
  <si>
    <t>30 СРЕДНО УЧИЛИЩЕ "БРАТЯ МИЛАДИНОВИ"</t>
  </si>
  <si>
    <t>32. СРЕДНО УЧИЛИЩЕ С ИЗУЧАВАНЕ НА ЧУЖДИ ЕЗИЦИ "СВЕТИ КЛИМЕНТ ОХРИДСКИ"</t>
  </si>
  <si>
    <t>46 Основно училище "Константин Фотинов" с разширено изучаване на хореография</t>
  </si>
  <si>
    <t>67 ОСНОВНО УЧИЛИЩЕ "ВАСИЛ ДРУМЕВ"</t>
  </si>
  <si>
    <t>76. Основно училище "Уилям Сароян"</t>
  </si>
  <si>
    <t>91.НЕМСКА ЕЗИКОВА ГИМНАЗИЯ Професор Константин Гълъбов"</t>
  </si>
  <si>
    <t>134. средно училище "Димчо Дебелянов"</t>
  </si>
  <si>
    <t>136 ОСНОВНО УЧИЛИЩЕ "ЛЮБЕН КАРАВЕЛОВ"</t>
  </si>
  <si>
    <t>5. Вечерно средно училище "Пеньо Пенев"</t>
  </si>
  <si>
    <t>Профилирана гимназия с интензивно изучаване на румънски език "МИХАЙ ЕМИНЕСКУ"</t>
  </si>
  <si>
    <t>НАЦИОНАЛНА ПРОФЕСИОНАЛНА ГИМНАЗИЯ ПО ПРЕЦИЗНА ТЕХНИКА И ОПТИКА "М. В. Ломоносов"</t>
  </si>
  <si>
    <t>ПРОФЕСИОНАЛНА ГИМНАЗИЯ ПО ТЕКСТИЛНИ И КОЖЕНИ ИЗДЕЛИЯ</t>
  </si>
  <si>
    <t>ПРОФЕСИОНАЛНА ГИМНАЗИЯ ПО ПОДЕМНА, СТРОИТЕЛНА И ТРАНСПОРТНА ТЕХНИКА</t>
  </si>
  <si>
    <t>11 Основно училище Свети Пимен Зографски</t>
  </si>
  <si>
    <t>105. СРЕДНО УЧИЛИЩЕ "АТАНАС ДАЛЧЕВ"</t>
  </si>
  <si>
    <t>119. Средно училище "Академик Михаил Арнаудов"</t>
  </si>
  <si>
    <t>СОФИЙСКА ПРОФЕСИОНАЛНА ГИМНАЗИЯ по ЕЛЕКТРОНИКА "Джон Атанасов"</t>
  </si>
  <si>
    <t>Софийска професионална гимназия "Княгиня Евдокия"</t>
  </si>
  <si>
    <t>3. СУ "Марин Дринов"</t>
  </si>
  <si>
    <t>43. Основно училище "Христо Смирненски"</t>
  </si>
  <si>
    <t>45 основно училище "Константин Величков"</t>
  </si>
  <si>
    <t>113 СУ "САВА ФИЛАРЕТОВ"</t>
  </si>
  <si>
    <t>Втора английска езикова гимназия "Томас Джеферсън"</t>
  </si>
  <si>
    <t>Професионална гимназия по транспорт и енергетика "Хенри Форд"</t>
  </si>
  <si>
    <t>ПРОФЕСИОНАЛНА ГИМНАЗИЯ ПО АУДИО-, ВИДЕО- И ТЕЛЕКОМУНИКАЦИЯ "А. С. ПОПОВ"</t>
  </si>
  <si>
    <t>Професионална гимназия по хранително-вкусови технологии "Проф. д-р Георги Павлов"</t>
  </si>
  <si>
    <t>ЦЕНТЪР ЗА СПЕЦИАЛНА ОБРАЗОВАТЕЛНА ПОДКРЕПА "ПРОФ. ДПН ГЕОРГИ АНГУШЕВ" - ГР. СОФИЯ</t>
  </si>
  <si>
    <t>4. Основно училище "Проф. Джон Атанасов"</t>
  </si>
  <si>
    <t>Бусманци</t>
  </si>
  <si>
    <t>65 основно училище "Св. Св. Кирил и Методий"</t>
  </si>
  <si>
    <t>68. Средно училище "Академик Никола Обрешков"</t>
  </si>
  <si>
    <t>69 Средно училище "Димитър Маринов"</t>
  </si>
  <si>
    <t>89 ОУ "Д-р Христо Стамболски"</t>
  </si>
  <si>
    <t>108 Средно училище "Никола Беловеждов"</t>
  </si>
  <si>
    <t>150-то ОСНОВНО УЧИЛИЩЕ "ЦАР СИМЕОН ПЪРВИ"</t>
  </si>
  <si>
    <t>163 ОСНОВНО УЧИЛИЩЕ "ЧЕРНОРИЗЕЦ ХРАБЪР"</t>
  </si>
  <si>
    <t>17 СУ "Дамян Груев"</t>
  </si>
  <si>
    <t>28 Средно училище "Алеко Константинов"</t>
  </si>
  <si>
    <t>57 Спортно училище "Свети Наум Охридски"</t>
  </si>
  <si>
    <t>75.Основно училище " Тодор Каблешков "</t>
  </si>
  <si>
    <t>92 Основно училище "Димитър Талев"</t>
  </si>
  <si>
    <t>123 Средно училищe "Стефан Стамболов"</t>
  </si>
  <si>
    <t>135 средно училище "Ян Амос Коменски"</t>
  </si>
  <si>
    <t>147 Основно училище "Йордан Радичков"</t>
  </si>
  <si>
    <t>Софийска гимназия по хлебни  и сладкарски технологии</t>
  </si>
  <si>
    <t>19 СРЕДНО УЧИЛИЩЕ "ЕЛИН ПЕЛИН"</t>
  </si>
  <si>
    <t>25 основно училище "Д-р Петър Берон"</t>
  </si>
  <si>
    <t>34 ОСНОВНО УЧИЛИЩЕ "СТОЮ ШИШКОВ"</t>
  </si>
  <si>
    <t>36 Средно училище "Максим Горки"</t>
  </si>
  <si>
    <t>51 СРЕДНО УЧИЛИЩЕ "ЕЛИСАВЕТА БАГРЯНА"</t>
  </si>
  <si>
    <t>132. Средно училище "Ваня Войнова"</t>
  </si>
  <si>
    <t>142 ОСНОВНО УЧИЛИЩЕ "ВЕСЕЛИН ХАНЧЕВ"</t>
  </si>
  <si>
    <t>203. Профилирана езикова гимназия "Свети Методий"</t>
  </si>
  <si>
    <t>85 Средно училище "Отец Паисий"</t>
  </si>
  <si>
    <t>Горни Богров</t>
  </si>
  <si>
    <t>115. ОУ "Св. св. Кирил и Методий"</t>
  </si>
  <si>
    <t>Яна</t>
  </si>
  <si>
    <t>116 Основно училище "Паисий Хилендарски"</t>
  </si>
  <si>
    <t>Бухово</t>
  </si>
  <si>
    <t>117. Средно училище "Свети свети Кирил и Методий"</t>
  </si>
  <si>
    <t>156-о обединено училище "Васил Левски"</t>
  </si>
  <si>
    <t>159 основно училище "Васил Левски"</t>
  </si>
  <si>
    <t>162 Обединено училище "Отец Паисий"</t>
  </si>
  <si>
    <t>21 СРЕДНО УЧИЛИЩЕ "ХРИСТО БОТЕВ"</t>
  </si>
  <si>
    <t>35. СРЕДНО ЕЗИКОВО УЧИЛИЩЕ "ДОБРИ ВОЙНИКОВ"</t>
  </si>
  <si>
    <t>107. основно училище "Хан Крум"</t>
  </si>
  <si>
    <t>120 Основно училище "Георги Сава Раковски"</t>
  </si>
  <si>
    <t>122. ОСНОВНО УЧИЛИЩЕ "НИКОЛАЙ ЛИЛИЕВ" Иновативно училище с роботика и приложно програмиране</t>
  </si>
  <si>
    <t>139 Основно училище "Захарий Круша"</t>
  </si>
  <si>
    <t>Национална природо-математическа гимназия "Академик Любомир Чакалов"</t>
  </si>
  <si>
    <t>Професионална гимназия по облекло "Княгиня Мария Луиза"</t>
  </si>
  <si>
    <t>СОФИЙСКА ГИМНАЗИЯ ПО СТРОИТЕЛСТВО, АРХИТЕКТУРА И ГЕОДЕЗИЯ "ХРИСТО БОТЕВ"</t>
  </si>
  <si>
    <t>НАЦИОНАЛНА ФИНАНСОВО-СТОПАНСКА ГИМНАЗИЯ</t>
  </si>
  <si>
    <t>ЦЕНТЪР ЗА СПЕЦИАЛНА ОБРАЗОВАТЕЛНА ПОДКРЕПА "ЛОЗЕНЕЦ"</t>
  </si>
  <si>
    <t>27. Средно училище "Акад. Георги Караславов"</t>
  </si>
  <si>
    <t>33 основно училище "Санкт Петербург"</t>
  </si>
  <si>
    <t>37. Средно училище "Райна Княгиня"</t>
  </si>
  <si>
    <t>40 Средно училище "Луи Пастьор"</t>
  </si>
  <si>
    <t>56. Средно училище "Професор Константин Иречек"</t>
  </si>
  <si>
    <t>77 Основно училище  Св. Св. Кирил и Методий"</t>
  </si>
  <si>
    <t>79 средно училище "Индира Ганди"</t>
  </si>
  <si>
    <t>90 Средно училище "Генерал Хосе де Сан Мартин"</t>
  </si>
  <si>
    <t>96 Средно училище "Лев Николаевич Толстой"</t>
  </si>
  <si>
    <t>97 Средно училище "Братя Миладинови"</t>
  </si>
  <si>
    <t>103 Основно училище "Васил Левски"</t>
  </si>
  <si>
    <t>137 средно училище "Ангел Кънчев"</t>
  </si>
  <si>
    <t>33. Езикова гимназия "Света София"</t>
  </si>
  <si>
    <t>10 Средно училище " Теодор Траянов "</t>
  </si>
  <si>
    <t>39. Средно училище "Петър Динеков"</t>
  </si>
  <si>
    <t>81. Средно училище "Виктор Юго"</t>
  </si>
  <si>
    <t>82. основно училище "Васил Евстатиев Априлов"</t>
  </si>
  <si>
    <t>118 Средно училище "Академик Людмил Стоянов"</t>
  </si>
  <si>
    <t>125 СУ "Боян Пенев" с изучаване на чужди езици</t>
  </si>
  <si>
    <t>128 СРЕДНО УЧИЛИЩЕ "АЛБЕРТ АЙНЩАЙН"</t>
  </si>
  <si>
    <t>131. СУ "Климент Аркадиевич Тимирязев"</t>
  </si>
  <si>
    <t>144 Средно училище "Народни будители"</t>
  </si>
  <si>
    <t>145 Основно училище "Симеон Радев"</t>
  </si>
  <si>
    <t>СПОРТНО УЧИЛИЩЕ "ГЕН. ВЛАДИМИР СТОЙЧЕВ"</t>
  </si>
  <si>
    <t>Технологично училище "Електронни системи" към Технически Университет - София</t>
  </si>
  <si>
    <t>15 Средно училище " Адам Мицкевич"</t>
  </si>
  <si>
    <t>16 . ОСНОВНО УЧИЛИЩЕ " РАЙКО ЖИНЗИФОВ "</t>
  </si>
  <si>
    <t>54. СРЕДНО УЧИЛИЩЕ "СВЕТИ ИВАН РИЛСКИ"</t>
  </si>
  <si>
    <t>63 Основно училище "Христо Ботев"</t>
  </si>
  <si>
    <t>98 Начално училище "Св. св. Кирил и Методий"</t>
  </si>
  <si>
    <t>101. СРЕДНО УЧИЛИЩЕ "БАЧО КИРО"</t>
  </si>
  <si>
    <t>102. oсновно училище" Панайот Волов"</t>
  </si>
  <si>
    <t>141 Основно училище "Народни будители</t>
  </si>
  <si>
    <t>153 Спортно училище "Неофит Рилски"</t>
  </si>
  <si>
    <t>Център за специална образователна подкрепа "Едуард Сеген"</t>
  </si>
  <si>
    <t>160 Основно училище  " Кирил и Методий"</t>
  </si>
  <si>
    <t>Нови Искър</t>
  </si>
  <si>
    <t>170 Средно училище "Васил Левски"</t>
  </si>
  <si>
    <t>171 ОСНОВНО УЧИЛИЩЕ "СТОИЛ ПОПОВ"</t>
  </si>
  <si>
    <t>172 Обединено училище "Христо Ботев"</t>
  </si>
  <si>
    <t>Негован</t>
  </si>
  <si>
    <t>176 Обединено училище "Св. Св. Кирил и Методий"</t>
  </si>
  <si>
    <t>Световрачене</t>
  </si>
  <si>
    <t>177 Основно училище " Св.Св.Кирил и Методий"</t>
  </si>
  <si>
    <t>Доброславци</t>
  </si>
  <si>
    <t>179 Основно училище "Васил Левски"</t>
  </si>
  <si>
    <t>1 Средно училище "Пенчо П. Славейков"</t>
  </si>
  <si>
    <t>112 ОСНОВНО УЧИЛИЩЕ "СТОЯН ЗАИМОВ"</t>
  </si>
  <si>
    <t>129 Основно Училище  "Антим -І"</t>
  </si>
  <si>
    <t>164. гимназия с преподаване на испански език "Мигел де Сервантес"</t>
  </si>
  <si>
    <t>Първа английска езикова гимназия</t>
  </si>
  <si>
    <t>Софийска математическа гимназия "Паисий Хилендарски"</t>
  </si>
  <si>
    <t>IV Сменно-вечерна гимназия " Отец Паисий "</t>
  </si>
  <si>
    <t>Професионална гимназия по механоелектротехника "Н.Й.Вапцаров"</t>
  </si>
  <si>
    <t>СОФИЙСКА ПРОФЕСИОНАЛНА ГИМНАЗИЯ ПО ТУРИЗЪМ</t>
  </si>
  <si>
    <t>53 ОСНОВНО УЧИЛИЩЕ "НИКОЛАЙ ХРЕЛКОВ"</t>
  </si>
  <si>
    <t>66 Средно училище "Филип Станиславов"</t>
  </si>
  <si>
    <t>72 Основно училище " Христо Ботев "</t>
  </si>
  <si>
    <t>88. Средно училище "Димитър Попниколов"</t>
  </si>
  <si>
    <t>149 Средно училище Иван Хаджийски"</t>
  </si>
  <si>
    <t>НАЦИОНАЛНО СРЕДНО УЧИЛИЩЕ "СОФИЯ"</t>
  </si>
  <si>
    <t>ПРОФЕСИОНАЛНА ГИМНАЗИЯ ПО ЕЛЕКТРОТЕХНИКА И АВТОМАТИКА</t>
  </si>
  <si>
    <t>ПРОФЕСИОНАЛНА ГИМНАЗИЯ ПО СЕЛСКО СТОПАНСТВО "БУЗЕМА"</t>
  </si>
  <si>
    <t>Казичене</t>
  </si>
  <si>
    <t>71 Средно училище "Пейо Яворов"</t>
  </si>
  <si>
    <t>83. Основно училище "Елин Пелин"</t>
  </si>
  <si>
    <t>Герман</t>
  </si>
  <si>
    <t>84 ОСНОВНО УЧИЛИЩЕ "ВАСИЛ ЛЕВСКИ"</t>
  </si>
  <si>
    <t>Железница</t>
  </si>
  <si>
    <t>191 ОСНОВНО УЧИЛИЩЕ "ОТЕЦ ПАИСИЙ"</t>
  </si>
  <si>
    <t>Бистрица</t>
  </si>
  <si>
    <t>192. СРЕДНО УЧИЛИЩЕ "ХРИСТО БОТЕВ"</t>
  </si>
  <si>
    <t>Лозен</t>
  </si>
  <si>
    <t>200 Основно училище "Отец Паисий"</t>
  </si>
  <si>
    <t>201 ОСНОВНО УЧИЛИЩЕ "СВ.СВ. КИРИЛ И МЕТОДИЙ"</t>
  </si>
  <si>
    <t>Долни Пасарел</t>
  </si>
  <si>
    <t>202 ОСНОВНО УЧИЛИЩЕ "ХРИСТО БОТЕВ"</t>
  </si>
  <si>
    <t>24 Средно училище "П.К.Яворов"</t>
  </si>
  <si>
    <t>42. Основно училище " Хаджи Димитър"</t>
  </si>
  <si>
    <t>44. Средно училище "Неофит Бозвели"</t>
  </si>
  <si>
    <t>49-то Основно училище "Бенито Хуарес"</t>
  </si>
  <si>
    <t>95 СУ "Проф. Иван Шишманов"</t>
  </si>
  <si>
    <t>106 Основно училище " Григорий Цамблак "</t>
  </si>
  <si>
    <t>124 ОСНОВНО УЧИЛИЩЕ "ВАСИЛ ЛЕВСКИ"</t>
  </si>
  <si>
    <t>130. средно училище "Стефан Караджа"</t>
  </si>
  <si>
    <t>143 основно училище "Георги Бенковски"</t>
  </si>
  <si>
    <t>166 Спортно училище "Васил Левски"</t>
  </si>
  <si>
    <t>199 Основно Училище Свети Апостол Йоан Богослов</t>
  </si>
  <si>
    <t>14. СРЕДНО УЧИЛИЩЕ "Проф. д-р Асен Златаров"</t>
  </si>
  <si>
    <t>29. Средно училище "Кузман Шапкарев"</t>
  </si>
  <si>
    <t>48 ОСНОВНО УЧИЛИЩЕ "ЙОСИФ КОВАЧЕВ"</t>
  </si>
  <si>
    <t>58 Основно училище "Сергей Румянцев"</t>
  </si>
  <si>
    <t>59 ОБЕДИНЕНО УЧИЛИЩЕ "ВАСИЛ ЛЕВСКИ"</t>
  </si>
  <si>
    <t>60 ОУ "Св.св.Кирил и Методий"</t>
  </si>
  <si>
    <t>100 ОСНОВНО УЧИЛИЩЕ "НАЙДЕН ГЕРОВ"</t>
  </si>
  <si>
    <t>Профилирана гимназия за изобразителни изкуства "Професор Николай Райнов"</t>
  </si>
  <si>
    <t>23 Средно училище "Фредерик Жолио-Кюри"</t>
  </si>
  <si>
    <t>31 Средно училище за чужди езици и математика "Иван Вазов"</t>
  </si>
  <si>
    <t>93-то Средно училище "Александър Теодоров - Балан"</t>
  </si>
  <si>
    <t>94 СРЕДНО УЧИЛИЩЕ "Димитър Страшимиров"</t>
  </si>
  <si>
    <t>109 Основно училище "Христо Смирненски"</t>
  </si>
  <si>
    <t>138. СРЕДНО УЧИЛИЩЕ ЗА ЗАПАДНИ И ИЗТОЧНИ ЕЗИЦИ "ПРОФ. ВАСИЛ ЗЛАТАРСКИ"</t>
  </si>
  <si>
    <t>148 ОСНОВНО УЧИЛИЩЕ "ПРОФЕСОР Д-Р ЛЮБОМИР МИЛЕТИЧ"</t>
  </si>
  <si>
    <t>157 Гимназия с изучаване на чужд език "Сесар Вайехо"</t>
  </si>
  <si>
    <t>ПРОФЕСИОНАЛНА ГИМНАЗИЯ ПО ТРАНСПОРТ "МАКГАХАН"</t>
  </si>
  <si>
    <t>6 ОУ "Граф Игнатиев"</t>
  </si>
  <si>
    <t>7. СРЕДНО УЧИЛИЩЕ "СВ. СЕДМОЧИСЛЕНИЦИ"</t>
  </si>
  <si>
    <t>9 Френска езикова гимназия "Алфонс дьо Ламартин"</t>
  </si>
  <si>
    <t>12 Средно училище " Цар Иван Асен II"</t>
  </si>
  <si>
    <t>38 основно училище"Васил Априлов"</t>
  </si>
  <si>
    <t>127. Средно училище "Иван Николаевич Денкоглу"</t>
  </si>
  <si>
    <t>133 Средно училище „Александър Сергеевич Пушкин”</t>
  </si>
  <si>
    <t>8. Средно училище "Васил Левски"</t>
  </si>
  <si>
    <t>55 СРЕДНО УЧИЛИЩЕ "ПЕТКО КАРАВЕЛОВ"</t>
  </si>
  <si>
    <t>ПРОФЕСИОНАЛНА ГИМНАЗИЯ ПО ТЕЛЕКОМУНИКАЦИИ</t>
  </si>
  <si>
    <t>20.ОУ "Тодор Минков" с ранно чуждоезиково обучение по френски и немски език</t>
  </si>
  <si>
    <t>22 Средно езиково училище "Георги Стойков Раковски"</t>
  </si>
  <si>
    <t>41 основно училище "Св. Патриарх Евтимий"</t>
  </si>
  <si>
    <t>47 Средно училище "Христо Груев Данов"</t>
  </si>
  <si>
    <t>73.СУ с преподаване на чужди езици "Владислав Граматик"</t>
  </si>
  <si>
    <t>104 основно училище "Захари Стоянов"</t>
  </si>
  <si>
    <t>121 СРЕДНО УЧИЛИЩЕ "ГЕОРГИ ИЗМИРЛИЕВ"</t>
  </si>
  <si>
    <t>126 ОСНОВНО УЧИЛИЩЕ "Петко Юрданов Тодоров"</t>
  </si>
  <si>
    <t>Професионална гимназия по дизайн "Елисавета Вазова"</t>
  </si>
  <si>
    <t>НАЦИОНАЛНА ТЪРГОВСКО - БАНКОВА ГИМНАЗИЯ</t>
  </si>
  <si>
    <t>София-област</t>
  </si>
  <si>
    <t>Костинброд</t>
  </si>
  <si>
    <t>Драговищица</t>
  </si>
  <si>
    <t>Своге</t>
  </si>
  <si>
    <t>Свидня</t>
  </si>
  <si>
    <t>Самоков</t>
  </si>
  <si>
    <t>Говедарци</t>
  </si>
  <si>
    <t>Второ основно училище "Васил Левски"</t>
  </si>
  <si>
    <t>Ботевград</t>
  </si>
  <si>
    <t>Профилирана природо-математическа гимназия"Акад.проф.д-р Асен Златаров"</t>
  </si>
  <si>
    <t>Пирдоп</t>
  </si>
  <si>
    <t>Средно училище "Саво Ценов Савов"</t>
  </si>
  <si>
    <t>Трудовец</t>
  </si>
  <si>
    <t>Профилирана гимназия "КОНСТАНТИН ФОТИНОВ"</t>
  </si>
  <si>
    <t>Годеч</t>
  </si>
  <si>
    <t>Елин Пелин</t>
  </si>
  <si>
    <t>Ихтиман</t>
  </si>
  <si>
    <t>Етрополе</t>
  </si>
  <si>
    <t>Средно училище "Христо Ясенов"</t>
  </si>
  <si>
    <t>Драгоман</t>
  </si>
  <si>
    <t>Професионална гимназия по керамика</t>
  </si>
  <si>
    <t>Професионална гимназия по техника и мениджмънт "Христо Ботев"</t>
  </si>
  <si>
    <t>Професионална техническа гимназия "Никола Й. Вапцаров"</t>
  </si>
  <si>
    <t>Златица</t>
  </si>
  <si>
    <t>ПРОФЕСИОНАЛНА ГИМНАЗИЯ "Златица"</t>
  </si>
  <si>
    <t>Професионална гимназия "Тодор Пеев"</t>
  </si>
  <si>
    <t>Професионална гимназия по туризъм и хранителни технологии "Никола Димов"</t>
  </si>
  <si>
    <t>Сливница</t>
  </si>
  <si>
    <t>Професионална гимназия по транспорт "Никола Йонков Вапцаров"</t>
  </si>
  <si>
    <t>Професионална гимназия по туризъм</t>
  </si>
  <si>
    <t>Техническа професионална гимназия "Стамен Панчев"</t>
  </si>
  <si>
    <t>Петърч</t>
  </si>
  <si>
    <t>Професионална гимназия по механаноелектротехника</t>
  </si>
  <si>
    <t>Професионална гимназия "Велизар Пеев"</t>
  </si>
  <si>
    <t>Лопян</t>
  </si>
  <si>
    <t>Костенец</t>
  </si>
  <si>
    <t>Долна баня</t>
  </si>
  <si>
    <t>Професионална гимназия "Христо Ботев"</t>
  </si>
  <si>
    <t>Основно Училище "Димчо Дебелянов"</t>
  </si>
  <si>
    <t>Спортно училище "Никола Велчев"</t>
  </si>
  <si>
    <t>Професионална гимназия "Георги Сава Раковски"</t>
  </si>
  <si>
    <t>Основно училище "Константин Костенечки"</t>
  </si>
  <si>
    <t>Правец</t>
  </si>
  <si>
    <t>Профилирана гимназия с преподаване на чужди езици "Алеко Константинов"</t>
  </si>
  <si>
    <t>Копривщица</t>
  </si>
  <si>
    <t>Средно училище  Св.Св. Кирил и Методий"</t>
  </si>
  <si>
    <t>Алдомировци</t>
  </si>
  <si>
    <t>Обединено Училище "Иван Вазов"</t>
  </si>
  <si>
    <t>Челопеч</t>
  </si>
  <si>
    <t>Антон</t>
  </si>
  <si>
    <t>Мирково</t>
  </si>
  <si>
    <t>Литаково</t>
  </si>
  <si>
    <t>Основно училище "Стефан Стефанов"</t>
  </si>
  <si>
    <t>Средно училище "Свети Паисий Хилендарски"</t>
  </si>
  <si>
    <t>Искрец</t>
  </si>
  <si>
    <t>Начално училище "Тодор Генчев Влайков"</t>
  </si>
  <si>
    <t>Начално училище "Станислав Доспевски"</t>
  </si>
  <si>
    <t>Основно училище "Митрополит Авксентий Велешки"</t>
  </si>
  <si>
    <t>Основно училище "Христо Максимов"</t>
  </si>
  <si>
    <t>Божурище</t>
  </si>
  <si>
    <t>Средно училище "Летец Христо Топракчиев"</t>
  </si>
  <si>
    <t>Хераково</t>
  </si>
  <si>
    <t>Врачеш</t>
  </si>
  <si>
    <t>Скравена</t>
  </si>
  <si>
    <t>Вакарел</t>
  </si>
  <si>
    <t>Обединено Училище "Христо Смирненски"</t>
  </si>
  <si>
    <t>Габра</t>
  </si>
  <si>
    <t>Лакатник</t>
  </si>
  <si>
    <t>Горна Малина</t>
  </si>
  <si>
    <t>Априлово</t>
  </si>
  <si>
    <t>Равно поле</t>
  </si>
  <si>
    <t>Джурово</t>
  </si>
  <si>
    <t>Видраре</t>
  </si>
  <si>
    <t>Осиковица</t>
  </si>
  <si>
    <t>Основно училище Любен Каравелов</t>
  </si>
  <si>
    <t>Радуил</t>
  </si>
  <si>
    <t>Мусачево</t>
  </si>
  <si>
    <t>Нови хан</t>
  </si>
  <si>
    <t>Основно училище "Св.св. Кирил и Методий"</t>
  </si>
  <si>
    <t>Момин проход</t>
  </si>
  <si>
    <t>Основно училище " Христо Смирненски"</t>
  </si>
  <si>
    <t>Ярлово</t>
  </si>
  <si>
    <t>Основно училище " Васил Левски"</t>
  </si>
  <si>
    <t>Доганово</t>
  </si>
  <si>
    <t>Лесново</t>
  </si>
  <si>
    <t>Професионална гимназия по ветеринарна медицина и селско стопанство "Св. Г. Победоносец"</t>
  </si>
  <si>
    <t>Разлив</t>
  </si>
  <si>
    <t>Реброво</t>
  </si>
  <si>
    <t>Владо Тричков</t>
  </si>
  <si>
    <t>Бов</t>
  </si>
  <si>
    <t>Национална професионална гимназия по компютърни технологии и системи</t>
  </si>
  <si>
    <t>Стара Загора</t>
  </si>
  <si>
    <t>СРЕДНО УЧИЛИЩЕ "ЖЕЛЕЗНИК"</t>
  </si>
  <si>
    <t>Професионална гимназия по компютърни науки и математически анализи "Проф. Минко Балкански"</t>
  </si>
  <si>
    <t>Профилирана природоматематическа гимназия "Гео Милев"</t>
  </si>
  <si>
    <t>СРЕДНО УЧИЛИЩЕ "ВАСИЛ ЛЕВСКИ"</t>
  </si>
  <si>
    <t>Средно училище "Максим Горки"</t>
  </si>
  <si>
    <t>СПОРТНО УЧИЛИЩЕ "ТОДОР КАБЛЕШКОВ"</t>
  </si>
  <si>
    <t>Основно училище "Георги Райчев"</t>
  </si>
  <si>
    <t>Вечерно средно училище "Захари Стоянов"</t>
  </si>
  <si>
    <t>Професионална гимназия по механотехника и транспорт "Никола Йонков Вапцаров"</t>
  </si>
  <si>
    <t>ПРОФЕСИОНАЛНА ГИМНАЗИЯ ПО ЕЛЕКТРОТЕХНИКА И ТЕХНОЛОГИИ" Г. С. РАКОВСКИ"</t>
  </si>
  <si>
    <t>Национална професионална гимназия по ветеринарна медицина "Иван Павлов"</t>
  </si>
  <si>
    <t>Професионална гимназия по електроника "Джон Атанасов"</t>
  </si>
  <si>
    <t>Професионална гимназия по строителство и дървообработване "Инж. Недьо Ранчев"</t>
  </si>
  <si>
    <t>Второ основно училище "Петко Рачов Славейков"</t>
  </si>
  <si>
    <t>Основно училише "Кольо Ганчев"</t>
  </si>
  <si>
    <t>Основно училище "КИРИЛ ХРИСТОВ "</t>
  </si>
  <si>
    <t>Пето основно училище " Митьо Станев "</t>
  </si>
  <si>
    <t>Основно училище Самара</t>
  </si>
  <si>
    <t>Девето основно училище "Веселин Ханчев"</t>
  </si>
  <si>
    <t>Единадесето основно училище "Николай Лилиев"</t>
  </si>
  <si>
    <t>Дванадесето основно училище "Стефан Караджа"</t>
  </si>
  <si>
    <t>Тринадесето основно училище "Свети Паисий Хилендарски"</t>
  </si>
  <si>
    <t>Братя Кунчеви</t>
  </si>
  <si>
    <t>Горно Ботево</t>
  </si>
  <si>
    <t>Основно училище "Христо Ботев" с. Горно Ботево</t>
  </si>
  <si>
    <t>Дълбоки</t>
  </si>
  <si>
    <t>Основно училище "Иван Мирчев"</t>
  </si>
  <si>
    <t>Загоре</t>
  </si>
  <si>
    <t>Калояновец</t>
  </si>
  <si>
    <t>Преславен</t>
  </si>
  <si>
    <t>Основно училище "Бойчо Русев"</t>
  </si>
  <si>
    <t>Хан Аспарухово</t>
  </si>
  <si>
    <t>Хрищени</t>
  </si>
  <si>
    <t>Начално училище "Димитър Благоев"</t>
  </si>
  <si>
    <t>Начално училище "Зора"</t>
  </si>
  <si>
    <t>Професионална гимназия по облекло и хранене "Райна Княгиня"</t>
  </si>
  <si>
    <t>Казанлък</t>
  </si>
  <si>
    <t>Профилирана гимназия " Академик Петко Стайнов"</t>
  </si>
  <si>
    <t>Профилирана природо-математическа гимназия "Никола Обрешков"</t>
  </si>
  <si>
    <t>Профилирана хуманитарна гимназия "Св. Св. Кирил и Методий"</t>
  </si>
  <si>
    <t>Средно училище "Екзарх Антим І"</t>
  </si>
  <si>
    <t>ПРОФЕСИОНАЛНА ГИМНАЗИЯ "ИВАН ХАДЖИЕНОВ"</t>
  </si>
  <si>
    <t>ПРОФЕСИОНАЛНА ГИМНАЗИЯ ПО ТРАНСПОРТ И ТРАНСПОРТЕН МЕНИДЖМЪНТ</t>
  </si>
  <si>
    <t>Професионална гимназия по лека промишленост и туризъм</t>
  </si>
  <si>
    <t>Основно училище "Кулата"</t>
  </si>
  <si>
    <t>Основно училище "Георги Кирков"</t>
  </si>
  <si>
    <t>ОСНОВНО УЧИЛИЩЕ "МАТИ БОЛГАРИЯ"</t>
  </si>
  <si>
    <t>Основно училище "Чудомир"</t>
  </si>
  <si>
    <t>Бузовград</t>
  </si>
  <si>
    <t>Основно Училище " Васил Левски"</t>
  </si>
  <si>
    <t>Горно Черковище</t>
  </si>
  <si>
    <t>Основно училище"Свети Климент Охридски"</t>
  </si>
  <si>
    <t>Енина</t>
  </si>
  <si>
    <t>Копринка</t>
  </si>
  <si>
    <t>Крън</t>
  </si>
  <si>
    <t>Кънчево</t>
  </si>
  <si>
    <t>Основно училище Свети, Свети Кирил и Методий"</t>
  </si>
  <si>
    <t>Овощник</t>
  </si>
  <si>
    <t>Ръжена</t>
  </si>
  <si>
    <t>Хаджидимитрово</t>
  </si>
  <si>
    <t>Основно училище Свети Паисий Хилендарски</t>
  </si>
  <si>
    <t>Шейново</t>
  </si>
  <si>
    <t>ОУ "Д-Р ПЕТЪР БЕРОН"</t>
  </si>
  <si>
    <t>Шипка</t>
  </si>
  <si>
    <t>Опан</t>
  </si>
  <si>
    <t>Раднево</t>
  </si>
  <si>
    <t>Професионална гимназия "Св.Иван Рилски"</t>
  </si>
  <si>
    <t>Второ основно училище "Свети Паисий Хилендарски"</t>
  </si>
  <si>
    <t>Основно училище "Поп Минчо"</t>
  </si>
  <si>
    <t>Сърнево</t>
  </si>
  <si>
    <t>Чирпан</t>
  </si>
  <si>
    <t>Гита</t>
  </si>
  <si>
    <t>Зетьово</t>
  </si>
  <si>
    <t>Свобода</t>
  </si>
  <si>
    <t>Търговска гимназия "Княз Симеон Търновски"</t>
  </si>
  <si>
    <t>Професионална гимназия по строителство,архитектура и геодезия "Лубор Байер"</t>
  </si>
  <si>
    <t>Братя Даскалови</t>
  </si>
  <si>
    <t>СРЕДНО УЧИЛИЩЕ "ХРИСТО БОТЕВ"</t>
  </si>
  <si>
    <t>Гранит</t>
  </si>
  <si>
    <t>Мирово</t>
  </si>
  <si>
    <t>Оризово</t>
  </si>
  <si>
    <t>Партизанин</t>
  </si>
  <si>
    <t>Черна гора</t>
  </si>
  <si>
    <t>Основно училище „Свети свети Кирил и Методий"</t>
  </si>
  <si>
    <t>Шесто основно училище "Свети Никола"</t>
  </si>
  <si>
    <t>Гимназия с преподаване на чужди езици "Ромен Ролан"</t>
  </si>
  <si>
    <t>Гълъбово</t>
  </si>
  <si>
    <t>Средно училище „Васил Левски"</t>
  </si>
  <si>
    <t>Професионална гимназия по енергетика и електротехника</t>
  </si>
  <si>
    <t>Първо Основно Училище "Свети Паисий Хилендарски"</t>
  </si>
  <si>
    <t>Второ основно училище" Христо Ботев"</t>
  </si>
  <si>
    <t>Обручище</t>
  </si>
  <si>
    <t>Мъглиж</t>
  </si>
  <si>
    <t>Професионална гимназия по селско стопанство "Гео Милев"</t>
  </si>
  <si>
    <t>Основно Училище "Свети свети Кирил и Методий"</t>
  </si>
  <si>
    <t>Дъбово</t>
  </si>
  <si>
    <t>Тулово</t>
  </si>
  <si>
    <t>Ягода</t>
  </si>
  <si>
    <t>Зимница</t>
  </si>
  <si>
    <t>Начално училище Свeти Паисий Хилендарски"</t>
  </si>
  <si>
    <t>Гурково</t>
  </si>
  <si>
    <t>Паничерево</t>
  </si>
  <si>
    <t>Професионална гимназия "АТАНАС ДАМЯНОВ "</t>
  </si>
  <si>
    <t>Едрево</t>
  </si>
  <si>
    <t>Елхово</t>
  </si>
  <si>
    <t>Начално училище "Братя Жекови" с. Елхово общ. Николаево</t>
  </si>
  <si>
    <t>Начално училище " Св. Св. Кирил и Методий"</t>
  </si>
  <si>
    <t>ЦЕНТЪР ЗА СПЕЦИАЛНА ОБРАЗОВАТЕЛНА ПОДКРЕПА - гр. Стара Загора</t>
  </si>
  <si>
    <t>Павел баня</t>
  </si>
  <si>
    <t>Професионална гимназия по ресторантьорство и хотелиерство</t>
  </si>
  <si>
    <t>Габарево</t>
  </si>
  <si>
    <t>Горно Сахране</t>
  </si>
  <si>
    <t>Манолово</t>
  </si>
  <si>
    <t>Осетеново</t>
  </si>
  <si>
    <t>Скобелево</t>
  </si>
  <si>
    <t>Основно училище"Генерал Скобелев"</t>
  </si>
  <si>
    <t>Тъжа</t>
  </si>
  <si>
    <t>Основно училище "Просвета"</t>
  </si>
  <si>
    <t>Търничени</t>
  </si>
  <si>
    <t>ОСНОВНО УЧИЛИЩЕ "Свети Паисий Хилендарски"</t>
  </si>
  <si>
    <t>Търговище</t>
  </si>
  <si>
    <t>Първо основно училище "Христо Ботев"</t>
  </si>
  <si>
    <t>Трето основно училище "Петко Рачов Славейков"</t>
  </si>
  <si>
    <t>Вардун</t>
  </si>
  <si>
    <t>Голямо ново</t>
  </si>
  <si>
    <t>Драгановец</t>
  </si>
  <si>
    <t>Дралфа</t>
  </si>
  <si>
    <t>Лиляк</t>
  </si>
  <si>
    <t>Макариополско</t>
  </si>
  <si>
    <t>Надарево</t>
  </si>
  <si>
    <t>Подгорица</t>
  </si>
  <si>
    <t>Антоново</t>
  </si>
  <si>
    <t>Спортно училище " Никола Симов"</t>
  </si>
  <si>
    <t>Първо средно училище "Свети Седмочисленици"</t>
  </si>
  <si>
    <t>Професионална гимназия по икономическа информатика "Джон Атанасов"</t>
  </si>
  <si>
    <t>Професионална техническа гимназия "Цар Симеон Велики"</t>
  </si>
  <si>
    <t>Професионална гимназия по електротехника и строителство</t>
  </si>
  <si>
    <t>Професионална гимназия по туризъм и хранително-вкусови технологии "Алеко Константинов"</t>
  </si>
  <si>
    <t>Професионална гимназия по земеделие</t>
  </si>
  <si>
    <t>Специално училище за ученици с увреден слух "Свети Иван Рилски"</t>
  </si>
  <si>
    <t>Център за специална образователна подкрепа Търговище</t>
  </si>
  <si>
    <t>Второ средно училище "Професор Никола Маринов"</t>
  </si>
  <si>
    <t>Изворово</t>
  </si>
  <si>
    <t>Стеврек</t>
  </si>
  <si>
    <t>Основно Училище "Никола Йонков Вапцаров"</t>
  </si>
  <si>
    <t>Трескавец</t>
  </si>
  <si>
    <t>Омуртаг</t>
  </si>
  <si>
    <t>Първо начално училище "Христо Смирненски"</t>
  </si>
  <si>
    <t>Второ начално училище " Васил Левски "</t>
  </si>
  <si>
    <t>Беломорци</t>
  </si>
  <si>
    <t>Врани кон</t>
  </si>
  <si>
    <t>Зелена морава</t>
  </si>
  <si>
    <t>Камбурово</t>
  </si>
  <si>
    <t>Плъстина</t>
  </si>
  <si>
    <t>Профилирана гимназия "Симеон Велчев"</t>
  </si>
  <si>
    <t>Основно училище "Академик Даки Йорданов"</t>
  </si>
  <si>
    <t>Професионална гимназия по транспорт и лека промишленост</t>
  </si>
  <si>
    <t>Опака</t>
  </si>
  <si>
    <t>Голямо градище</t>
  </si>
  <si>
    <t>Крепча</t>
  </si>
  <si>
    <t>Попово</t>
  </si>
  <si>
    <t>Водица</t>
  </si>
  <si>
    <t>Зараево</t>
  </si>
  <si>
    <t>Ломци</t>
  </si>
  <si>
    <t>Садина</t>
  </si>
  <si>
    <t>Светлен</t>
  </si>
  <si>
    <t>Професионална гимназия по техника и лека промишленост</t>
  </si>
  <si>
    <t>Професионална гимназия по селско стопанство "Никола Пушкаров"</t>
  </si>
  <si>
    <t>Хасково</t>
  </si>
  <si>
    <t>Основно училище "Св. св. Кирил и Методий "</t>
  </si>
  <si>
    <t>Основно училище "Шандор Петьофи"</t>
  </si>
  <si>
    <t>Динево</t>
  </si>
  <si>
    <t>Узунджово</t>
  </si>
  <si>
    <t>Долно Големанци</t>
  </si>
  <si>
    <t>Войводово</t>
  </si>
  <si>
    <t>Конуш</t>
  </si>
  <si>
    <t>Книжовник</t>
  </si>
  <si>
    <t>ОСНОВНО УЧИЛИЩЕ "ВАСИЛ ЛЕВСКИ"</t>
  </si>
  <si>
    <t>Малево</t>
  </si>
  <si>
    <t>Средно училище " Васил Левски"</t>
  </si>
  <si>
    <t>СПОРТНО УЧИЛИЩЕ "СТЕФАН КАРАДЖА"</t>
  </si>
  <si>
    <t>Езикова гимназия "Проф. д-р Асен Златаров"</t>
  </si>
  <si>
    <t>Природо-математическа гимназия "Академик Боян Петканчин"</t>
  </si>
  <si>
    <t>Финансово-стопанска гимназия "Атанас Буров"</t>
  </si>
  <si>
    <t>Професионална гимназия по туризъм "Александър Паскалев"</t>
  </si>
  <si>
    <t>Професионална гимназия по дървообработване и строителство "Цар Иван Асен ІІ"</t>
  </si>
  <si>
    <t>Професионална гимназия по лека промишленост "Райна Княгиня"</t>
  </si>
  <si>
    <t>Професионална гимназия по механоелектротехника "Стойчо и Кица Марчеви"</t>
  </si>
  <si>
    <t>ЦЕНТЪР ЗА СПЕЦИАЛНА ОБРАЗОВАТЕЛНА ПОДКРЕПА "Д-Р ПЕТЪР БЕРОН"</t>
  </si>
  <si>
    <t>Професионална гимназия по транспорт и аграрни технологии "Н.Й.Вапцаров"</t>
  </si>
  <si>
    <t>Димитровград</t>
  </si>
  <si>
    <t>ОСНОВНО УЧИЛИЩЕ "Пейо Крачолов Яворов"</t>
  </si>
  <si>
    <t>ОСНОВНО УЧИЛИЩЕ "АЛЕКО КОНСТАНТИНОВ"</t>
  </si>
  <si>
    <t>Основно училище "Пенчо Славейков"</t>
  </si>
  <si>
    <t>Крепост</t>
  </si>
  <si>
    <t>Меричлери</t>
  </si>
  <si>
    <t>Основно училище "Димитър Недялков Матевски"</t>
  </si>
  <si>
    <t>Радиево</t>
  </si>
  <si>
    <t>Ябълково</t>
  </si>
  <si>
    <t>Природо-математическа гимназия със засилено изучаване на чужди езици "Иван Вазов"</t>
  </si>
  <si>
    <t>ПРОФИЛИРАНА ЕЗИКОВА ГИМНАЗИЯ "Д-р Иван Богоров"</t>
  </si>
  <si>
    <t>Харманли</t>
  </si>
  <si>
    <t>Начално училище "Алеко Константинов"</t>
  </si>
  <si>
    <t>Бисер</t>
  </si>
  <si>
    <t>ОСНОВНО УЧИЛИЩЕ " ИВАН ВАЗОВ "</t>
  </si>
  <si>
    <t>ОСНОВНО УЧИЛИЩЕ "СВЕТИ СВЕТИ КИРИЛ И МЕТОДИЙ"</t>
  </si>
  <si>
    <t>Българин</t>
  </si>
  <si>
    <t>Професионална гимназия по електропромишленост и текстил "Захари Стоянов"</t>
  </si>
  <si>
    <t>Център за специална образователна подкрепа "Петко Рачов Славейков"</t>
  </si>
  <si>
    <t>Симеоновград</t>
  </si>
  <si>
    <t>НАЧАЛНО УЧИЛИЩЕ "ОТЕЦ ПАИСИЙ"</t>
  </si>
  <si>
    <t>Основно училище " Иван Вазов "</t>
  </si>
  <si>
    <t>Свиленград</t>
  </si>
  <si>
    <t>Начално училище "Христо Попмарков"</t>
  </si>
  <si>
    <t>Първо основно училище"Иван Вазов"</t>
  </si>
  <si>
    <t>Левка</t>
  </si>
  <si>
    <t>Център за специална образователна подкрепа "Стефан Василев"</t>
  </si>
  <si>
    <t>Професионална гимназия по селско стопанство и икономика "Христо Ботев"</t>
  </si>
  <si>
    <t>Любимец</t>
  </si>
  <si>
    <t>Начално училище "Захари Стоянов"</t>
  </si>
  <si>
    <t>Малко градище</t>
  </si>
  <si>
    <t>Средно училище "Желязко Терпешев"</t>
  </si>
  <si>
    <t>Минерални бани</t>
  </si>
  <si>
    <t>СРЕДНО УЧИЛИЩЕ "ПРОФ. Д-Р АСЕН ЗЛАТАРОВ"</t>
  </si>
  <si>
    <t>Караманци</t>
  </si>
  <si>
    <t>Маджарово</t>
  </si>
  <si>
    <t>Средно училище "Димитър Маджаров"</t>
  </si>
  <si>
    <t>Стамболово</t>
  </si>
  <si>
    <t>Жълти бряг</t>
  </si>
  <si>
    <t>Долно Ботево</t>
  </si>
  <si>
    <t>Силен</t>
  </si>
  <si>
    <t>Средно училище " Свети Климент Охридски "</t>
  </si>
  <si>
    <t>Ивайловград</t>
  </si>
  <si>
    <t>Свирачи</t>
  </si>
  <si>
    <t>Основно училище „Св.св. Кирил и Методий“</t>
  </si>
  <si>
    <t>Железино</t>
  </si>
  <si>
    <t>Белополци</t>
  </si>
  <si>
    <t>Тополовград</t>
  </si>
  <si>
    <t>Хлябово</t>
  </si>
  <si>
    <t>Синапово</t>
  </si>
  <si>
    <t>Устрем</t>
  </si>
  <si>
    <t>Шумен</t>
  </si>
  <si>
    <t>Професионална гимназия по строителство, архитектура и геодезия</t>
  </si>
  <si>
    <t>ПРОФЕСИОНАЛНА ГИМНАЗИЯ ПО ИКОНОМИКА</t>
  </si>
  <si>
    <t>Велики Преслав</t>
  </si>
  <si>
    <t>Професионална техническа гимназия "Симеон Велики"</t>
  </si>
  <si>
    <t>Професионална гимназия по облекло, хранене и химични технологии „Проф. д-р Асен Златаров“</t>
  </si>
  <si>
    <t>Нови пазар</t>
  </si>
  <si>
    <t>Мировци</t>
  </si>
  <si>
    <t>Венец</t>
  </si>
  <si>
    <t>Изгрев</t>
  </si>
  <si>
    <t>Стоян Михайловски</t>
  </si>
  <si>
    <t>ОСНОВНО УЧИЛИЩЕ "Свети Климент Охридски"</t>
  </si>
  <si>
    <t>Памукчии</t>
  </si>
  <si>
    <t>Професионална гимназия по селско стопанство и хранителни технологии</t>
  </si>
  <si>
    <t>Каспичан</t>
  </si>
  <si>
    <t>Средно училище "Хан Исперих"</t>
  </si>
  <si>
    <t>Чернооково</t>
  </si>
  <si>
    <t>ОСНОВНО УЧИЛИЩЕ" ГЕО МИЛЕВ"</t>
  </si>
  <si>
    <t>Плиска</t>
  </si>
  <si>
    <t>Обединено училище "Свети Паисий Хилендарски"</t>
  </si>
  <si>
    <t>Никола Козлево</t>
  </si>
  <si>
    <t>Пет могили</t>
  </si>
  <si>
    <t>Начално училище "Илия Р. Блъсков"</t>
  </si>
  <si>
    <t>Профилирана езикова гимназия "Никола Йонков Вапцаров"</t>
  </si>
  <si>
    <t>Градище</t>
  </si>
  <si>
    <t>Хитрино</t>
  </si>
  <si>
    <t>Девето основно училище "Панайот Волов"</t>
  </si>
  <si>
    <t>Смядово</t>
  </si>
  <si>
    <t>Янково</t>
  </si>
  <si>
    <t>Второ основно училище "Д-р Петър Берон"</t>
  </si>
  <si>
    <t>Мадара</t>
  </si>
  <si>
    <t>Трето основно училище "Димитър Благоев"</t>
  </si>
  <si>
    <t>СРЕДНО УЧИЛИЩЕ "ТРАЙКО СИМЕОНОВ"</t>
  </si>
  <si>
    <t>Начално училище "Княз Борис І"</t>
  </si>
  <si>
    <t>Риш</t>
  </si>
  <si>
    <t>Друмево</t>
  </si>
  <si>
    <t>ОБЕДИНЕНО УЧИЛИЩЕ "ХРИСТО БОТЕВ"</t>
  </si>
  <si>
    <t>СРЕДНО УЧИЛИЩЕ "ЙОАН ЕКЗАРХ БЪЛГАРСКИ"</t>
  </si>
  <si>
    <t>Царев брод</t>
  </si>
  <si>
    <t>Средно училище "Цанко Бакалов Церковски"</t>
  </si>
  <si>
    <t>Златар</t>
  </si>
  <si>
    <t>Средно училище "Сава Доброплодни"</t>
  </si>
  <si>
    <t>Каолиново</t>
  </si>
  <si>
    <t>Пристое</t>
  </si>
  <si>
    <t>Профилирана природоматематическа гимназия "Нанчо Попович"</t>
  </si>
  <si>
    <t>Професионална гимназия по химични технологии и дизайн "Проф. д-р Асен Златаров"</t>
  </si>
  <si>
    <t>Климент</t>
  </si>
  <si>
    <t>Основно училище "Георги Ст. Раковски"</t>
  </si>
  <si>
    <t>Браничево</t>
  </si>
  <si>
    <t>Тодор Икономово</t>
  </si>
  <si>
    <t>Обединено училище "Панайот Волов"</t>
  </si>
  <si>
    <t>Вълнари</t>
  </si>
  <si>
    <t>Драгоево</t>
  </si>
  <si>
    <t>Лятно</t>
  </si>
  <si>
    <t>ОСНОВНО УЧИЛИЩЕ "НИКОЛА ЙОНКОВ ВАПЦАРОВ"</t>
  </si>
  <si>
    <t>Обединено училище "Пенчо Петков Славейков"</t>
  </si>
  <si>
    <t>Крива река</t>
  </si>
  <si>
    <t>Начално училище "Борис Първи"</t>
  </si>
  <si>
    <t>Църквица</t>
  </si>
  <si>
    <t>ЦЕНТЪР ЗА СПЕЦИАЛНА ОБРАЗОВАТЕЛНА ПОДКРЕПА "ХЕЛА"</t>
  </si>
  <si>
    <t>Шесто основно училище "Еньо Марковски"</t>
  </si>
  <si>
    <t>Ивански</t>
  </si>
  <si>
    <t>Ясенково</t>
  </si>
  <si>
    <t>Професионална гимназия по механотехника, електроника, телекомуникации и транспорт "Христо Ботев"</t>
  </si>
  <si>
    <t>Ямбол</t>
  </si>
  <si>
    <t>Начално училище "Професор Петър Нойков"</t>
  </si>
  <si>
    <t>Основно училище "Николай Петрини"</t>
  </si>
  <si>
    <t>Обединено училище "Доктор Петър Берон"</t>
  </si>
  <si>
    <t>Профилирана гимназия "Васил Левски"</t>
  </si>
  <si>
    <t>Природо-математическа гимназия "Атанас Радев"</t>
  </si>
  <si>
    <t>Езикова гимназия "Васил Карагьозов"</t>
  </si>
  <si>
    <t>Спортно училище "Пиер дьо Кубертен"</t>
  </si>
  <si>
    <t>Професионална техническа гимназия "Иван Райнов"</t>
  </si>
  <si>
    <t>Професионална гимназия по икономика "Георги Стойков Раковски"</t>
  </si>
  <si>
    <t>Професионална гимназия по земеделие "Христо Ботев"</t>
  </si>
  <si>
    <t>Гимназия по строителство и архитектура, графика и дизайн "Кольо Фичето"</t>
  </si>
  <si>
    <t>Професионална гимназия по подемна, строителна и транспортна техника "Н. Й. Вапцаров"</t>
  </si>
  <si>
    <t>Професионална гимназия по лека промишленост, екология и химични технологии</t>
  </si>
  <si>
    <t>Болярово</t>
  </si>
  <si>
    <t>Стефан Караджово</t>
  </si>
  <si>
    <t>Профилирана гимназия " Свети Климент Охридски"</t>
  </si>
  <si>
    <t>Гранитово</t>
  </si>
  <si>
    <t>Бояново</t>
  </si>
  <si>
    <t>Професионална гимназия "Стефан Караджа"</t>
  </si>
  <si>
    <t>Професионална гимназия по механизация на селското стопанство "Ернесто Че Гевара"</t>
  </si>
  <si>
    <t>Център за специална образователна подкрепа "Н. Й. Вапцаров"</t>
  </si>
  <si>
    <t>Стралджа</t>
  </si>
  <si>
    <t>Войника</t>
  </si>
  <si>
    <t>Тунджа</t>
  </si>
  <si>
    <t>Завой</t>
  </si>
  <si>
    <t>Роза</t>
  </si>
  <si>
    <t>Ботево</t>
  </si>
  <si>
    <t>Бояджик</t>
  </si>
  <si>
    <t>Oсновно училище "Св. св. Кирил и Методий"</t>
  </si>
  <si>
    <t>Кукорево</t>
  </si>
  <si>
    <t>Дражево</t>
  </si>
  <si>
    <t>Oсновно училище "Свети Свети Кирил и Методий"</t>
  </si>
  <si>
    <t>Веселиново</t>
  </si>
  <si>
    <t>Скалица</t>
  </si>
  <si>
    <t>Тенево</t>
  </si>
  <si>
    <t>Национално музикално училище "Любомир Пипков"</t>
  </si>
  <si>
    <t>по изкуствата</t>
  </si>
  <si>
    <t>Национално училище за музикално и танцово изкуство "Добрин Петков"</t>
  </si>
  <si>
    <t>Национално училище за музикално и сценично изкуство " Проф. Панчо Владигеров"</t>
  </si>
  <si>
    <t>Национално училище за музикални и сценични изкуства"Христина Морфова"</t>
  </si>
  <si>
    <t>НАЦИОНАЛНО УЧИЛИЩЕ ПО ИЗКУСТВАТА "ПРОФ.ВЕСЕЛИН СТОЯНОВ"</t>
  </si>
  <si>
    <t>НАЦИОНАЛНО УЧИЛИЩЕ ПО ИЗКУСТВАТА "ДОБРИ ХРИСТОВ"</t>
  </si>
  <si>
    <t>НАЦИОНАЛНО УЧИЛИЩЕ ПО ИЗКУСТВАТА ПАНАЙОТ ПИПКОВ</t>
  </si>
  <si>
    <t>Национално училище за фолклорни изкуства "Филип Кутев"</t>
  </si>
  <si>
    <t>Национално училище за фолклорни изкуства "Широка лъка"</t>
  </si>
  <si>
    <t>Национално училище за танцово изкуство</t>
  </si>
  <si>
    <t>Национална гимназия за сценични и екранни изкуства</t>
  </si>
  <si>
    <t>Национално училище за изящни изкуства "Илия Петров"</t>
  </si>
  <si>
    <t>Национална художествена гимназия "Цанко Лавренов"</t>
  </si>
  <si>
    <t>НАЦИОНАЛНА ГИМНАЗИЯ ЗА ПРИЛОЖНИ ИЗКУСТВА "СВЕТИ ЛУКА" - СОФИЯ</t>
  </si>
  <si>
    <t>Национално училище за приложни изкуства "Проф. Венко Колев "</t>
  </si>
  <si>
    <t>НАЦИОНАЛНА ГИМНАЗИЯ ЗА ПРИЛОЖНИ ИЗКУСТВА "ТРЕВНЕНСКА ШКОЛА"</t>
  </si>
  <si>
    <t>Национална художествена гимназия "Димитър Добрович"</t>
  </si>
  <si>
    <t>Национално училище по пластични изкуства и дизайн "Академик Дечко Узунов"</t>
  </si>
  <si>
    <t>Професионална гимназия за приложни изкуства</t>
  </si>
  <si>
    <t>Кунино</t>
  </si>
  <si>
    <t>Професионална гимназия по каменообработване</t>
  </si>
  <si>
    <t>Национална професионална гимназия по полиграфия и фотография</t>
  </si>
  <si>
    <t>Национален учебен комплекс по култура с лицей за изучаване на италиански език и култура с участието на Република Италия</t>
  </si>
  <si>
    <t>по културата</t>
  </si>
  <si>
    <t>Национална гимназия за древни езици и култури Константин Кирил Философ</t>
  </si>
  <si>
    <t>Училището Ви има ли изграден STEM център към момента на кандидатстване</t>
  </si>
  <si>
    <t>1 - Да, 2 - Не</t>
  </si>
  <si>
    <t>В кой/кои образователни етапи ще се използва центърът</t>
  </si>
  <si>
    <t>Начален</t>
  </si>
  <si>
    <t>Гимназиален</t>
  </si>
  <si>
    <t>Прогимназиален</t>
  </si>
  <si>
    <t>Декларирам</t>
  </si>
  <si>
    <t>000012465</t>
  </si>
  <si>
    <t>000012487</t>
  </si>
  <si>
    <t>000017003</t>
  </si>
  <si>
    <t>000016976</t>
  </si>
  <si>
    <t>000019399</t>
  </si>
  <si>
    <t>000019100</t>
  </si>
  <si>
    <t>000016983</t>
  </si>
  <si>
    <t>000014060</t>
  </si>
  <si>
    <t>000014078</t>
  </si>
  <si>
    <t>000019456</t>
  </si>
  <si>
    <t>000012472</t>
  </si>
  <si>
    <t>000012942</t>
  </si>
  <si>
    <t>000019050</t>
  </si>
  <si>
    <t>000019189</t>
  </si>
  <si>
    <t>101074104</t>
  </si>
  <si>
    <t>000014014</t>
  </si>
  <si>
    <t>000013916</t>
  </si>
  <si>
    <t>000012700</t>
  </si>
  <si>
    <t>000014249</t>
  </si>
  <si>
    <t>000013923</t>
  </si>
  <si>
    <t>000013081</t>
  </si>
  <si>
    <t>000014103</t>
  </si>
  <si>
    <t>000017163</t>
  </si>
  <si>
    <t>000014231</t>
  </si>
  <si>
    <t>000014306</t>
  </si>
  <si>
    <t>000014150</t>
  </si>
  <si>
    <t>000014199</t>
  </si>
  <si>
    <t>000014128</t>
  </si>
  <si>
    <t>101043817</t>
  </si>
  <si>
    <t>000014110</t>
  </si>
  <si>
    <t>000014313</t>
  </si>
  <si>
    <t>000014320</t>
  </si>
  <si>
    <t>000012497</t>
  </si>
  <si>
    <t>000016855</t>
  </si>
  <si>
    <t>000012604</t>
  </si>
  <si>
    <t>000013115</t>
  </si>
  <si>
    <t>000013097</t>
  </si>
  <si>
    <t>000012967</t>
  </si>
  <si>
    <t>000012950</t>
  </si>
  <si>
    <t>000011477</t>
  </si>
  <si>
    <t>000011502</t>
  </si>
  <si>
    <t>000013019</t>
  </si>
  <si>
    <t>000013962</t>
  </si>
  <si>
    <t>000012586</t>
  </si>
  <si>
    <t>000012878</t>
  </si>
  <si>
    <t>000012522</t>
  </si>
  <si>
    <t>000012530</t>
  </si>
  <si>
    <t>000010902</t>
  </si>
  <si>
    <t>000012935</t>
  </si>
  <si>
    <t>000011413</t>
  </si>
  <si>
    <t>000012885</t>
  </si>
  <si>
    <t>000012860</t>
  </si>
  <si>
    <t>000012928</t>
  </si>
  <si>
    <t>000012910</t>
  </si>
  <si>
    <t>000016990</t>
  </si>
  <si>
    <t>000013948</t>
  </si>
  <si>
    <t>000013909</t>
  </si>
  <si>
    <t>000012636</t>
  </si>
  <si>
    <t>000013236</t>
  </si>
  <si>
    <t>000012692</t>
  </si>
  <si>
    <t>000013026</t>
  </si>
  <si>
    <t>000014039</t>
  </si>
  <si>
    <t>000010927</t>
  </si>
  <si>
    <t>000010934</t>
  </si>
  <si>
    <t>000013930</t>
  </si>
  <si>
    <t>000019417</t>
  </si>
  <si>
    <t>000013439</t>
  </si>
  <si>
    <t>000013211</t>
  </si>
  <si>
    <t>000013460</t>
  </si>
  <si>
    <t>000012561</t>
  </si>
  <si>
    <t>000012579</t>
  </si>
  <si>
    <t>000012554</t>
  </si>
  <si>
    <t>000013631</t>
  </si>
  <si>
    <t>000013670</t>
  </si>
  <si>
    <t>000013204</t>
  </si>
  <si>
    <t>811147785</t>
  </si>
  <si>
    <t>000013955</t>
  </si>
  <si>
    <t>000012593</t>
  </si>
  <si>
    <t>000010959</t>
  </si>
  <si>
    <t>000019488</t>
  </si>
  <si>
    <t>000013745</t>
  </si>
  <si>
    <t>000013706</t>
  </si>
  <si>
    <t>000013976</t>
  </si>
  <si>
    <t>000012515</t>
  </si>
  <si>
    <t>000013987</t>
  </si>
  <si>
    <t>000012650</t>
  </si>
  <si>
    <t>000011096</t>
  </si>
  <si>
    <t>000012629</t>
  </si>
  <si>
    <t>811147205</t>
  </si>
  <si>
    <t>000012789</t>
  </si>
  <si>
    <t>000012508</t>
  </si>
  <si>
    <t>000012981</t>
  </si>
  <si>
    <t>000010891</t>
  </si>
  <si>
    <t>000013859</t>
  </si>
  <si>
    <t>000013866</t>
  </si>
  <si>
    <t>000012611</t>
  </si>
  <si>
    <t>000013873</t>
  </si>
  <si>
    <t>000013880</t>
  </si>
  <si>
    <t>000013791</t>
  </si>
  <si>
    <t>000013503</t>
  </si>
  <si>
    <t>000012999</t>
  </si>
  <si>
    <t>000013001</t>
  </si>
  <si>
    <t>000012305</t>
  </si>
  <si>
    <t>000014007</t>
  </si>
  <si>
    <t>000012745</t>
  </si>
  <si>
    <t>000013752</t>
  </si>
  <si>
    <t>000013777</t>
  </si>
  <si>
    <t>000013760</t>
  </si>
  <si>
    <t>000013784</t>
  </si>
  <si>
    <t>000013297</t>
  </si>
  <si>
    <t>000012052</t>
  </si>
  <si>
    <t>000012077</t>
  </si>
  <si>
    <t>000012066</t>
  </si>
  <si>
    <t>000013282</t>
  </si>
  <si>
    <t>000013555</t>
  </si>
  <si>
    <t>000011662</t>
  </si>
  <si>
    <t>000013542</t>
  </si>
  <si>
    <t>000013275</t>
  </si>
  <si>
    <t>000013574</t>
  </si>
  <si>
    <t>000013332</t>
  </si>
  <si>
    <t>176132767</t>
  </si>
  <si>
    <t>000042476</t>
  </si>
  <si>
    <t>000043507</t>
  </si>
  <si>
    <t>000043394</t>
  </si>
  <si>
    <t>000043514</t>
  </si>
  <si>
    <t>000043852</t>
  </si>
  <si>
    <t>000043973</t>
  </si>
  <si>
    <t>000042469</t>
  </si>
  <si>
    <t>000044235</t>
  </si>
  <si>
    <t>177252513</t>
  </si>
  <si>
    <t>000048792</t>
  </si>
  <si>
    <t>000042597</t>
  </si>
  <si>
    <t>000042584</t>
  </si>
  <si>
    <t>000042565</t>
  </si>
  <si>
    <t>000042871</t>
  </si>
  <si>
    <t>000048041</t>
  </si>
  <si>
    <t>000042615</t>
  </si>
  <si>
    <t>000042637</t>
  </si>
  <si>
    <t>000042490</t>
  </si>
  <si>
    <t>000042526</t>
  </si>
  <si>
    <t>000042519</t>
  </si>
  <si>
    <t>000049531</t>
  </si>
  <si>
    <t>000042842</t>
  </si>
  <si>
    <t>000043578</t>
  </si>
  <si>
    <t>000042622</t>
  </si>
  <si>
    <t>000042985</t>
  </si>
  <si>
    <t>000042750</t>
  </si>
  <si>
    <t>000042889</t>
  </si>
  <si>
    <t>000042832</t>
  </si>
  <si>
    <t>000042857</t>
  </si>
  <si>
    <t>000043222</t>
  </si>
  <si>
    <t>000042992</t>
  </si>
  <si>
    <t>000043628</t>
  </si>
  <si>
    <t>000042540</t>
  </si>
  <si>
    <t>000048803</t>
  </si>
  <si>
    <t>000048600</t>
  </si>
  <si>
    <t>000042533</t>
  </si>
  <si>
    <t>000042608</t>
  </si>
  <si>
    <t>000049271</t>
  </si>
  <si>
    <t>000048995</t>
  </si>
  <si>
    <t>000042558</t>
  </si>
  <si>
    <t>000043980</t>
  </si>
  <si>
    <t>000047480</t>
  </si>
  <si>
    <t>000044000</t>
  </si>
  <si>
    <t>000043998</t>
  </si>
  <si>
    <t>000047498</t>
  </si>
  <si>
    <t>000047787</t>
  </si>
  <si>
    <t>177136576</t>
  </si>
  <si>
    <t>000044203</t>
  </si>
  <si>
    <t>000044228</t>
  </si>
  <si>
    <t>000044160</t>
  </si>
  <si>
    <t>000044178</t>
  </si>
  <si>
    <t>000044185</t>
  </si>
  <si>
    <t>000044192</t>
  </si>
  <si>
    <t>000044299</t>
  </si>
  <si>
    <t>000044484</t>
  </si>
  <si>
    <t>102202635</t>
  </si>
  <si>
    <t>000044502</t>
  </si>
  <si>
    <t>000044096</t>
  </si>
  <si>
    <t>000044064</t>
  </si>
  <si>
    <t>000041933</t>
  </si>
  <si>
    <t>000043667</t>
  </si>
  <si>
    <t>000043705</t>
  </si>
  <si>
    <t>000042775</t>
  </si>
  <si>
    <t>000042693</t>
  </si>
  <si>
    <t>000041381</t>
  </si>
  <si>
    <t>000043126</t>
  </si>
  <si>
    <t>000043674</t>
  </si>
  <si>
    <t>000042679</t>
  </si>
  <si>
    <t>000042686</t>
  </si>
  <si>
    <t>175744334</t>
  </si>
  <si>
    <t>000044057</t>
  </si>
  <si>
    <t>000043496</t>
  </si>
  <si>
    <t>000043432</t>
  </si>
  <si>
    <t>000043447</t>
  </si>
  <si>
    <t>000043457</t>
  </si>
  <si>
    <t>000043464</t>
  </si>
  <si>
    <t>000042063</t>
  </si>
  <si>
    <t>000043471</t>
  </si>
  <si>
    <t>000042704</t>
  </si>
  <si>
    <t>000044413</t>
  </si>
  <si>
    <t>000041869</t>
  </si>
  <si>
    <t>000042743</t>
  </si>
  <si>
    <t>000042729</t>
  </si>
  <si>
    <t>000043560</t>
  </si>
  <si>
    <t>000042790</t>
  </si>
  <si>
    <t>000042953</t>
  </si>
  <si>
    <t>000042960</t>
  </si>
  <si>
    <t>000043231</t>
  </si>
  <si>
    <t>000042978</t>
  </si>
  <si>
    <t>000042800</t>
  </si>
  <si>
    <t>000042711</t>
  </si>
  <si>
    <t>000044420</t>
  </si>
  <si>
    <t>000043941</t>
  </si>
  <si>
    <t>000043585</t>
  </si>
  <si>
    <t>000042227</t>
  </si>
  <si>
    <t>000043635</t>
  </si>
  <si>
    <t>000043026</t>
  </si>
  <si>
    <t>000043717</t>
  </si>
  <si>
    <t>000043051</t>
  </si>
  <si>
    <t>000043642</t>
  </si>
  <si>
    <t>000043076</t>
  </si>
  <si>
    <t>000043592</t>
  </si>
  <si>
    <t>000042113</t>
  </si>
  <si>
    <t>000043083</t>
  </si>
  <si>
    <t>000043603</t>
  </si>
  <si>
    <t>000043838</t>
  </si>
  <si>
    <t>000043336</t>
  </si>
  <si>
    <t>000043037</t>
  </si>
  <si>
    <t>000043731</t>
  </si>
  <si>
    <t>000043044</t>
  </si>
  <si>
    <t>000043749</t>
  </si>
  <si>
    <t>000043343</t>
  </si>
  <si>
    <t>000043329</t>
  </si>
  <si>
    <t>000043652</t>
  </si>
  <si>
    <t>000043189</t>
  </si>
  <si>
    <t>000043215</t>
  </si>
  <si>
    <t>000043877</t>
  </si>
  <si>
    <t>000043884</t>
  </si>
  <si>
    <t>000043891</t>
  </si>
  <si>
    <t>000042736</t>
  </si>
  <si>
    <t>000043756</t>
  </si>
  <si>
    <t>000043133</t>
  </si>
  <si>
    <t>000043795</t>
  </si>
  <si>
    <t>000042654</t>
  </si>
  <si>
    <t>102666475</t>
  </si>
  <si>
    <t>000042946</t>
  </si>
  <si>
    <t>000043311</t>
  </si>
  <si>
    <t>000042914</t>
  </si>
  <si>
    <t>000043546</t>
  </si>
  <si>
    <t>000043553</t>
  </si>
  <si>
    <t>000042768</t>
  </si>
  <si>
    <t>000042483</t>
  </si>
  <si>
    <t>000044041</t>
  </si>
  <si>
    <t>000122310</t>
  </si>
  <si>
    <t>000121543</t>
  </si>
  <si>
    <t>000122353</t>
  </si>
  <si>
    <t>104100860</t>
  </si>
  <si>
    <t>000122335</t>
  </si>
  <si>
    <t>104096974</t>
  </si>
  <si>
    <t>000122716</t>
  </si>
  <si>
    <t>000122506</t>
  </si>
  <si>
    <t>104028012</t>
  </si>
  <si>
    <t>000123234</t>
  </si>
  <si>
    <t>104022618</t>
  </si>
  <si>
    <t>104096967</t>
  </si>
  <si>
    <t>104087726</t>
  </si>
  <si>
    <t>814220854</t>
  </si>
  <si>
    <t>104060743</t>
  </si>
  <si>
    <t>104100337</t>
  </si>
  <si>
    <t>000123483</t>
  </si>
  <si>
    <t>000123490</t>
  </si>
  <si>
    <t>000127617</t>
  </si>
  <si>
    <t>104075713</t>
  </si>
  <si>
    <t>000126725</t>
  </si>
  <si>
    <t>104076411</t>
  </si>
  <si>
    <t>000123637</t>
  </si>
  <si>
    <t>000123647</t>
  </si>
  <si>
    <t>000123750</t>
  </si>
  <si>
    <t>000123825</t>
  </si>
  <si>
    <t>000123896</t>
  </si>
  <si>
    <t>176358289</t>
  </si>
  <si>
    <t>104039681</t>
  </si>
  <si>
    <t>000122399</t>
  </si>
  <si>
    <t>104036564</t>
  </si>
  <si>
    <t>000122680</t>
  </si>
  <si>
    <t>000122774</t>
  </si>
  <si>
    <t>000122787</t>
  </si>
  <si>
    <t>000122762</t>
  </si>
  <si>
    <t>104040801</t>
  </si>
  <si>
    <t>000123451</t>
  </si>
  <si>
    <t>000123501</t>
  </si>
  <si>
    <t>000122374</t>
  </si>
  <si>
    <t>000123661</t>
  </si>
  <si>
    <t>104068633</t>
  </si>
  <si>
    <t>104029801</t>
  </si>
  <si>
    <t>000123768</t>
  </si>
  <si>
    <t>000127019</t>
  </si>
  <si>
    <t>000121589</t>
  </si>
  <si>
    <t>000122520</t>
  </si>
  <si>
    <t>000122972</t>
  </si>
  <si>
    <t>000122980</t>
  </si>
  <si>
    <t>000123526</t>
  </si>
  <si>
    <t>000122869</t>
  </si>
  <si>
    <t>000122844</t>
  </si>
  <si>
    <t>000123939</t>
  </si>
  <si>
    <t>000121607</t>
  </si>
  <si>
    <t>000122730</t>
  </si>
  <si>
    <t>000122417</t>
  </si>
  <si>
    <t>000122424</t>
  </si>
  <si>
    <t>000122577</t>
  </si>
  <si>
    <t>000122666</t>
  </si>
  <si>
    <t>000122919</t>
  </si>
  <si>
    <t>000123533</t>
  </si>
  <si>
    <t>000123704</t>
  </si>
  <si>
    <t>000123227</t>
  </si>
  <si>
    <t>000123184</t>
  </si>
  <si>
    <t>000123540</t>
  </si>
  <si>
    <t>000122449</t>
  </si>
  <si>
    <t>000122488</t>
  </si>
  <si>
    <t>000123070</t>
  </si>
  <si>
    <t>000123106</t>
  </si>
  <si>
    <t>000123298</t>
  </si>
  <si>
    <t>000127535</t>
  </si>
  <si>
    <t>000122456</t>
  </si>
  <si>
    <t>000122431</t>
  </si>
  <si>
    <t>000123686</t>
  </si>
  <si>
    <t>104525135</t>
  </si>
  <si>
    <t>000123323</t>
  </si>
  <si>
    <t>000123421</t>
  </si>
  <si>
    <t>000122876</t>
  </si>
  <si>
    <t>000123355</t>
  </si>
  <si>
    <t>000122940</t>
  </si>
  <si>
    <t>000122463</t>
  </si>
  <si>
    <t>000123864</t>
  </si>
  <si>
    <t>000122890</t>
  </si>
  <si>
    <t>104075663</t>
  </si>
  <si>
    <t>000081276</t>
  </si>
  <si>
    <t>000082022</t>
  </si>
  <si>
    <t>000081988</t>
  </si>
  <si>
    <t>103194223</t>
  </si>
  <si>
    <t>000082054</t>
  </si>
  <si>
    <t>000082218</t>
  </si>
  <si>
    <t>000086273</t>
  </si>
  <si>
    <t>000082093</t>
  </si>
  <si>
    <t>000082129</t>
  </si>
  <si>
    <t>000081995</t>
  </si>
  <si>
    <t>000081591</t>
  </si>
  <si>
    <t>000082428</t>
  </si>
  <si>
    <t>000081290</t>
  </si>
  <si>
    <t>000082410</t>
  </si>
  <si>
    <t>000081568</t>
  </si>
  <si>
    <t>000083074</t>
  </si>
  <si>
    <t>000082150</t>
  </si>
  <si>
    <t>000082175</t>
  </si>
  <si>
    <t>000087674</t>
  </si>
  <si>
    <t>000082196</t>
  </si>
  <si>
    <t>000082435</t>
  </si>
  <si>
    <t>000082136</t>
  </si>
  <si>
    <t>000082079</t>
  </si>
  <si>
    <t>000082033</t>
  </si>
  <si>
    <t>000086939</t>
  </si>
  <si>
    <t>000082015</t>
  </si>
  <si>
    <t>000085634</t>
  </si>
  <si>
    <t>000086191</t>
  </si>
  <si>
    <t>000082061</t>
  </si>
  <si>
    <t>000082104</t>
  </si>
  <si>
    <t>000086825</t>
  </si>
  <si>
    <t>000082143</t>
  </si>
  <si>
    <t>000087749</t>
  </si>
  <si>
    <t>000083081</t>
  </si>
  <si>
    <t>000083099</t>
  </si>
  <si>
    <t>000087877</t>
  </si>
  <si>
    <t>000083067</t>
  </si>
  <si>
    <t>000083124</t>
  </si>
  <si>
    <t>000087699</t>
  </si>
  <si>
    <t>000083156</t>
  </si>
  <si>
    <t>000083170</t>
  </si>
  <si>
    <t>000083245</t>
  </si>
  <si>
    <t>000083317</t>
  </si>
  <si>
    <t>000083213</t>
  </si>
  <si>
    <t>000082289</t>
  </si>
  <si>
    <t>000082862</t>
  </si>
  <si>
    <t>000082809</t>
  </si>
  <si>
    <t>000082875</t>
  </si>
  <si>
    <t>000082894</t>
  </si>
  <si>
    <t>000082887</t>
  </si>
  <si>
    <t>000082296</t>
  </si>
  <si>
    <t>000081439</t>
  </si>
  <si>
    <t>000082307</t>
  </si>
  <si>
    <t>000081454</t>
  </si>
  <si>
    <t>000082660</t>
  </si>
  <si>
    <t>000082481</t>
  </si>
  <si>
    <t>000082339</t>
  </si>
  <si>
    <t>000082346</t>
  </si>
  <si>
    <t>000086864</t>
  </si>
  <si>
    <t>000083277</t>
  </si>
  <si>
    <t>000081486</t>
  </si>
  <si>
    <t>000082353</t>
  </si>
  <si>
    <t>000082392</t>
  </si>
  <si>
    <t>177422346</t>
  </si>
  <si>
    <t>000083409</t>
  </si>
  <si>
    <t>000082442</t>
  </si>
  <si>
    <t>000082264</t>
  </si>
  <si>
    <t>000083423</t>
  </si>
  <si>
    <t>000082684</t>
  </si>
  <si>
    <t>000082937</t>
  </si>
  <si>
    <t>000082983</t>
  </si>
  <si>
    <t>000081333</t>
  </si>
  <si>
    <t>000082271</t>
  </si>
  <si>
    <t>000083252</t>
  </si>
  <si>
    <t>000081664</t>
  </si>
  <si>
    <t>000082570</t>
  </si>
  <si>
    <t>000082563</t>
  </si>
  <si>
    <t>000082531</t>
  </si>
  <si>
    <t>000082588</t>
  </si>
  <si>
    <t>000082912</t>
  </si>
  <si>
    <t>000083131</t>
  </si>
  <si>
    <t>000081365</t>
  </si>
  <si>
    <t>000082766</t>
  </si>
  <si>
    <t>000082773</t>
  </si>
  <si>
    <t>000082780</t>
  </si>
  <si>
    <t>000082798</t>
  </si>
  <si>
    <t>000082969</t>
  </si>
  <si>
    <t>000082225</t>
  </si>
  <si>
    <t>000082232</t>
  </si>
  <si>
    <t>000083101</t>
  </si>
  <si>
    <t>103098602</t>
  </si>
  <si>
    <t>000087578</t>
  </si>
  <si>
    <t>000082360</t>
  </si>
  <si>
    <t>000082830</t>
  </si>
  <si>
    <t>000082517</t>
  </si>
  <si>
    <t>000082638</t>
  </si>
  <si>
    <t>000082524</t>
  </si>
  <si>
    <t>000081618</t>
  </si>
  <si>
    <t>000086985</t>
  </si>
  <si>
    <t>000082944</t>
  </si>
  <si>
    <t>000082549</t>
  </si>
  <si>
    <t>000083398</t>
  </si>
  <si>
    <t>000083206</t>
  </si>
  <si>
    <t>103555093</t>
  </si>
  <si>
    <t>000083291</t>
  </si>
  <si>
    <t>103552688</t>
  </si>
  <si>
    <t>000083284</t>
  </si>
  <si>
    <t>000083264</t>
  </si>
  <si>
    <t>175539863</t>
  </si>
  <si>
    <t>175531126</t>
  </si>
  <si>
    <t>175549476</t>
  </si>
  <si>
    <t>175529335</t>
  </si>
  <si>
    <t>175779618</t>
  </si>
  <si>
    <t>000152061</t>
  </si>
  <si>
    <t>177209622</t>
  </si>
  <si>
    <t>000150808</t>
  </si>
  <si>
    <t>105523169</t>
  </si>
  <si>
    <t>000152182</t>
  </si>
  <si>
    <t>000151479</t>
  </si>
  <si>
    <t>000151447</t>
  </si>
  <si>
    <t>000152245</t>
  </si>
  <si>
    <t>000152015</t>
  </si>
  <si>
    <t>000150815</t>
  </si>
  <si>
    <t>000151899</t>
  </si>
  <si>
    <t>000155043</t>
  </si>
  <si>
    <t>000154055</t>
  </si>
  <si>
    <t>000151504</t>
  </si>
  <si>
    <t>000151536</t>
  </si>
  <si>
    <t>000151671</t>
  </si>
  <si>
    <t>000152086</t>
  </si>
  <si>
    <t>105522170</t>
  </si>
  <si>
    <t>000151867</t>
  </si>
  <si>
    <t>000152030</t>
  </si>
  <si>
    <t>000151949</t>
  </si>
  <si>
    <t>176744305</t>
  </si>
  <si>
    <t>000152008</t>
  </si>
  <si>
    <t>000151714</t>
  </si>
  <si>
    <t>000152168</t>
  </si>
  <si>
    <t>000152054</t>
  </si>
  <si>
    <t>000151461</t>
  </si>
  <si>
    <t>000150797</t>
  </si>
  <si>
    <t>105553900</t>
  </si>
  <si>
    <t>000151454</t>
  </si>
  <si>
    <t>000154030</t>
  </si>
  <si>
    <t>000152104</t>
  </si>
  <si>
    <t>000185193</t>
  </si>
  <si>
    <t>000183441</t>
  </si>
  <si>
    <t>000187308</t>
  </si>
  <si>
    <t>000181515</t>
  </si>
  <si>
    <t>000181532</t>
  </si>
  <si>
    <t>000181522</t>
  </si>
  <si>
    <t>175762485</t>
  </si>
  <si>
    <t>000182001</t>
  </si>
  <si>
    <t>000182948</t>
  </si>
  <si>
    <t>000182916</t>
  </si>
  <si>
    <t>000181579</t>
  </si>
  <si>
    <t>000182040</t>
  </si>
  <si>
    <t>000182866</t>
  </si>
  <si>
    <t>000181643</t>
  </si>
  <si>
    <t>000181629</t>
  </si>
  <si>
    <t>000181636</t>
  </si>
  <si>
    <t>000182663</t>
  </si>
  <si>
    <t>000185727</t>
  </si>
  <si>
    <t>000182389</t>
  </si>
  <si>
    <t>000183039</t>
  </si>
  <si>
    <t>000187183</t>
  </si>
  <si>
    <t>000182688</t>
  </si>
  <si>
    <t>000182250</t>
  </si>
  <si>
    <t>000181547</t>
  </si>
  <si>
    <t>000186291</t>
  </si>
  <si>
    <t>000182357</t>
  </si>
  <si>
    <t>000185499</t>
  </si>
  <si>
    <t>000185517</t>
  </si>
  <si>
    <t>000182962</t>
  </si>
  <si>
    <t>000182873</t>
  </si>
  <si>
    <t>000182282</t>
  </si>
  <si>
    <t>000182446</t>
  </si>
  <si>
    <t>000182275</t>
  </si>
  <si>
    <t>000182706</t>
  </si>
  <si>
    <t>000182097</t>
  </si>
  <si>
    <t>000182930</t>
  </si>
  <si>
    <t>000182599</t>
  </si>
  <si>
    <t>000182510</t>
  </si>
  <si>
    <t>000182115</t>
  </si>
  <si>
    <t>000182802</t>
  </si>
  <si>
    <t>000182777</t>
  </si>
  <si>
    <t>000182439</t>
  </si>
  <si>
    <t>000182600</t>
  </si>
  <si>
    <t>106033816</t>
  </si>
  <si>
    <t>000183046</t>
  </si>
  <si>
    <t>000186590</t>
  </si>
  <si>
    <t>000183288</t>
  </si>
  <si>
    <t>000186708</t>
  </si>
  <si>
    <t>000183053</t>
  </si>
  <si>
    <t>000182058</t>
  </si>
  <si>
    <t>000183231</t>
  </si>
  <si>
    <t>000183548</t>
  </si>
  <si>
    <t>175522060</t>
  </si>
  <si>
    <t>175549722</t>
  </si>
  <si>
    <t>000183142</t>
  </si>
  <si>
    <t>000186836</t>
  </si>
  <si>
    <t>000185872</t>
  </si>
  <si>
    <t>000186314</t>
  </si>
  <si>
    <t>000183060</t>
  </si>
  <si>
    <t>000182414</t>
  </si>
  <si>
    <t>000185232</t>
  </si>
  <si>
    <t>106019752</t>
  </si>
  <si>
    <t>000183402</t>
  </si>
  <si>
    <t>000183128</t>
  </si>
  <si>
    <t>000183085</t>
  </si>
  <si>
    <t>000183174</t>
  </si>
  <si>
    <t>000183199</t>
  </si>
  <si>
    <t>000186252</t>
  </si>
  <si>
    <t>000209014</t>
  </si>
  <si>
    <t>000209402</t>
  </si>
  <si>
    <t>000209419</t>
  </si>
  <si>
    <t>000209459</t>
  </si>
  <si>
    <t>000212131</t>
  </si>
  <si>
    <t>000209434</t>
  </si>
  <si>
    <t>000213048</t>
  </si>
  <si>
    <t>000212633</t>
  </si>
  <si>
    <t>000209975</t>
  </si>
  <si>
    <t>000212569</t>
  </si>
  <si>
    <t>000210073</t>
  </si>
  <si>
    <t>000210123</t>
  </si>
  <si>
    <t>000210034</t>
  </si>
  <si>
    <t>000209992</t>
  </si>
  <si>
    <t>176733928</t>
  </si>
  <si>
    <t>000209480</t>
  </si>
  <si>
    <t>000209498</t>
  </si>
  <si>
    <t>000209676</t>
  </si>
  <si>
    <t>000209815</t>
  </si>
  <si>
    <t>000209637</t>
  </si>
  <si>
    <t>000209726</t>
  </si>
  <si>
    <t>000209719</t>
  </si>
  <si>
    <t>000209594</t>
  </si>
  <si>
    <t>000209982</t>
  </si>
  <si>
    <t>000212100</t>
  </si>
  <si>
    <t>000210187</t>
  </si>
  <si>
    <t>176557063</t>
  </si>
  <si>
    <t>000212658</t>
  </si>
  <si>
    <t>000209473</t>
  </si>
  <si>
    <t>000210002</t>
  </si>
  <si>
    <t>000842710</t>
  </si>
  <si>
    <t>000845247</t>
  </si>
  <si>
    <t>000841894</t>
  </si>
  <si>
    <t>000841925</t>
  </si>
  <si>
    <t>000841918</t>
  </si>
  <si>
    <t>000847383</t>
  </si>
  <si>
    <t>000841900</t>
  </si>
  <si>
    <t>000841875</t>
  </si>
  <si>
    <t>000846979</t>
  </si>
  <si>
    <t>000847230</t>
  </si>
  <si>
    <t>000846331</t>
  </si>
  <si>
    <t>000841747</t>
  </si>
  <si>
    <t>000841882</t>
  </si>
  <si>
    <t>000842653</t>
  </si>
  <si>
    <t>000842660</t>
  </si>
  <si>
    <t>000845852</t>
  </si>
  <si>
    <t>000846986</t>
  </si>
  <si>
    <t>000846655</t>
  </si>
  <si>
    <t>000842757</t>
  </si>
  <si>
    <t>000842774</t>
  </si>
  <si>
    <t>000842906</t>
  </si>
  <si>
    <t>000842386</t>
  </si>
  <si>
    <t>000842571</t>
  </si>
  <si>
    <t>000842105</t>
  </si>
  <si>
    <t>000842176</t>
  </si>
  <si>
    <t>000842265</t>
  </si>
  <si>
    <t>000842475</t>
  </si>
  <si>
    <t>000842322</t>
  </si>
  <si>
    <t>000842482</t>
  </si>
  <si>
    <t>000842443</t>
  </si>
  <si>
    <t>000842023</t>
  </si>
  <si>
    <t>000842541</t>
  </si>
  <si>
    <t>000842137</t>
  </si>
  <si>
    <t>000842499</t>
  </si>
  <si>
    <t>000841957</t>
  </si>
  <si>
    <t>000842429</t>
  </si>
  <si>
    <t>000841811</t>
  </si>
  <si>
    <t>000841829</t>
  </si>
  <si>
    <t>000842678</t>
  </si>
  <si>
    <t>000842315</t>
  </si>
  <si>
    <t>000842468</t>
  </si>
  <si>
    <t>124114885</t>
  </si>
  <si>
    <t>000842233</t>
  </si>
  <si>
    <t>000842190</t>
  </si>
  <si>
    <t>000841843</t>
  </si>
  <si>
    <t>000842639</t>
  </si>
  <si>
    <t>000847248</t>
  </si>
  <si>
    <t>000841850</t>
  </si>
  <si>
    <t>000842703</t>
  </si>
  <si>
    <t>000842646</t>
  </si>
  <si>
    <t>000841989</t>
  </si>
  <si>
    <t>000842767</t>
  </si>
  <si>
    <t>000842219</t>
  </si>
  <si>
    <t>000842258</t>
  </si>
  <si>
    <t>000842240</t>
  </si>
  <si>
    <t>000842685</t>
  </si>
  <si>
    <t>000842283</t>
  </si>
  <si>
    <t>000842201</t>
  </si>
  <si>
    <t>000842308</t>
  </si>
  <si>
    <t>000841971</t>
  </si>
  <si>
    <t>000842361</t>
  </si>
  <si>
    <t>000842379</t>
  </si>
  <si>
    <t>000846274</t>
  </si>
  <si>
    <t>000842120</t>
  </si>
  <si>
    <t>000841947</t>
  </si>
  <si>
    <t>834053291</t>
  </si>
  <si>
    <t>175550048</t>
  </si>
  <si>
    <t>108015610</t>
  </si>
  <si>
    <t>108017426</t>
  </si>
  <si>
    <t>000228609</t>
  </si>
  <si>
    <t>000228580</t>
  </si>
  <si>
    <t>000258404</t>
  </si>
  <si>
    <t>108014298</t>
  </si>
  <si>
    <t>000230745</t>
  </si>
  <si>
    <t>000233499</t>
  </si>
  <si>
    <t>108515117</t>
  </si>
  <si>
    <t>000233563</t>
  </si>
  <si>
    <t>000232881</t>
  </si>
  <si>
    <t>108001030</t>
  </si>
  <si>
    <t>000230762</t>
  </si>
  <si>
    <t>108501740</t>
  </si>
  <si>
    <t>818033364</t>
  </si>
  <si>
    <t>108501498</t>
  </si>
  <si>
    <t>108501822</t>
  </si>
  <si>
    <t>108502123</t>
  </si>
  <si>
    <t>108501363</t>
  </si>
  <si>
    <t>000230720</t>
  </si>
  <si>
    <t>108504284</t>
  </si>
  <si>
    <t>108501621</t>
  </si>
  <si>
    <t>108502358</t>
  </si>
  <si>
    <t>108504238</t>
  </si>
  <si>
    <t>108501391</t>
  </si>
  <si>
    <t>108501480</t>
  </si>
  <si>
    <t>108501683</t>
  </si>
  <si>
    <t>108502536</t>
  </si>
  <si>
    <t>108501270</t>
  </si>
  <si>
    <t>108502721</t>
  </si>
  <si>
    <t>108501579</t>
  </si>
  <si>
    <t>108501644</t>
  </si>
  <si>
    <t>108502244</t>
  </si>
  <si>
    <t>108503780</t>
  </si>
  <si>
    <t>108501548</t>
  </si>
  <si>
    <t>108070279</t>
  </si>
  <si>
    <t>108501352</t>
  </si>
  <si>
    <t>108502194</t>
  </si>
  <si>
    <t>000230873</t>
  </si>
  <si>
    <t>108560758</t>
  </si>
  <si>
    <t>108503086</t>
  </si>
  <si>
    <t>108503111</t>
  </si>
  <si>
    <t>108502689</t>
  </si>
  <si>
    <t>108503036</t>
  </si>
  <si>
    <t>108503054</t>
  </si>
  <si>
    <t>108503225</t>
  </si>
  <si>
    <t>108502988</t>
  </si>
  <si>
    <t>108502852</t>
  </si>
  <si>
    <t>108503741</t>
  </si>
  <si>
    <t>108503766</t>
  </si>
  <si>
    <t>000232899</t>
  </si>
  <si>
    <t>108503652</t>
  </si>
  <si>
    <t>108503428</t>
  </si>
  <si>
    <t>108503499</t>
  </si>
  <si>
    <t>108503403</t>
  </si>
  <si>
    <t>108503531</t>
  </si>
  <si>
    <t>108503481</t>
  </si>
  <si>
    <t>108503474</t>
  </si>
  <si>
    <t>108503442</t>
  </si>
  <si>
    <t>108503346</t>
  </si>
  <si>
    <t>000230670</t>
  </si>
  <si>
    <t>000256996</t>
  </si>
  <si>
    <t>108502486</t>
  </si>
  <si>
    <t>108502422</t>
  </si>
  <si>
    <t>000225787</t>
  </si>
  <si>
    <t>108502408</t>
  </si>
  <si>
    <t>108502454</t>
  </si>
  <si>
    <t>108501982</t>
  </si>
  <si>
    <t>108501904</t>
  </si>
  <si>
    <t>108501975</t>
  </si>
  <si>
    <t>108502109</t>
  </si>
  <si>
    <t>108502333</t>
  </si>
  <si>
    <t>000252745</t>
  </si>
  <si>
    <t>000252318</t>
  </si>
  <si>
    <t>000252649</t>
  </si>
  <si>
    <t>177059941</t>
  </si>
  <si>
    <t>000251892</t>
  </si>
  <si>
    <t>000252624</t>
  </si>
  <si>
    <t>000251967</t>
  </si>
  <si>
    <t>000252250</t>
  </si>
  <si>
    <t>000252631</t>
  </si>
  <si>
    <t>000251878</t>
  </si>
  <si>
    <t>000251860</t>
  </si>
  <si>
    <t>000251846</t>
  </si>
  <si>
    <t>000251853</t>
  </si>
  <si>
    <t>000251839</t>
  </si>
  <si>
    <t>000255531</t>
  </si>
  <si>
    <t>000252268</t>
  </si>
  <si>
    <t>000252122</t>
  </si>
  <si>
    <t>000252147</t>
  </si>
  <si>
    <t>000254810</t>
  </si>
  <si>
    <t>000252923</t>
  </si>
  <si>
    <t>177060299</t>
  </si>
  <si>
    <t>000251771</t>
  </si>
  <si>
    <t>109021160</t>
  </si>
  <si>
    <t>000255894</t>
  </si>
  <si>
    <t>000254995</t>
  </si>
  <si>
    <t>109513133</t>
  </si>
  <si>
    <t>000252713</t>
  </si>
  <si>
    <t>109024418</t>
  </si>
  <si>
    <t>000251807</t>
  </si>
  <si>
    <t>000252784</t>
  </si>
  <si>
    <t>000252421</t>
  </si>
  <si>
    <t>000254803</t>
  </si>
  <si>
    <t>000251764</t>
  </si>
  <si>
    <t>000252720</t>
  </si>
  <si>
    <t>000252738</t>
  </si>
  <si>
    <t>000252777</t>
  </si>
  <si>
    <t>177179563</t>
  </si>
  <si>
    <t>177179830</t>
  </si>
  <si>
    <t>000281565</t>
  </si>
  <si>
    <t>000281444</t>
  </si>
  <si>
    <t>000281106</t>
  </si>
  <si>
    <t>000281490</t>
  </si>
  <si>
    <t>000282165</t>
  </si>
  <si>
    <t>000281476</t>
  </si>
  <si>
    <t>000281469</t>
  </si>
  <si>
    <t>000282393</t>
  </si>
  <si>
    <t>000284230</t>
  </si>
  <si>
    <t>000281572</t>
  </si>
  <si>
    <t>000282489</t>
  </si>
  <si>
    <t>000282350</t>
  </si>
  <si>
    <t>000282546</t>
  </si>
  <si>
    <t>820179846</t>
  </si>
  <si>
    <t>000282005</t>
  </si>
  <si>
    <t>000281451</t>
  </si>
  <si>
    <t>000282382</t>
  </si>
  <si>
    <t>000281636</t>
  </si>
  <si>
    <t>000281864</t>
  </si>
  <si>
    <t>000282197</t>
  </si>
  <si>
    <t>000282025</t>
  </si>
  <si>
    <t>820194175</t>
  </si>
  <si>
    <t>000281120</t>
  </si>
  <si>
    <t>000281743</t>
  </si>
  <si>
    <t>000281750</t>
  </si>
  <si>
    <t>000282254</t>
  </si>
  <si>
    <t>000281800</t>
  </si>
  <si>
    <t>000281799</t>
  </si>
  <si>
    <t>000282279</t>
  </si>
  <si>
    <t>000282286</t>
  </si>
  <si>
    <t>000282368</t>
  </si>
  <si>
    <t>000281348</t>
  </si>
  <si>
    <t>000282521</t>
  </si>
  <si>
    <t>000281145</t>
  </si>
  <si>
    <t>175760922</t>
  </si>
  <si>
    <t>000281526</t>
  </si>
  <si>
    <t>000281914</t>
  </si>
  <si>
    <t>000282140</t>
  </si>
  <si>
    <t>000282158</t>
  </si>
  <si>
    <t>000282375</t>
  </si>
  <si>
    <t>000285297</t>
  </si>
  <si>
    <t>000281533</t>
  </si>
  <si>
    <t>000281162</t>
  </si>
  <si>
    <t>000282496</t>
  </si>
  <si>
    <t>000282044</t>
  </si>
  <si>
    <t>000282037</t>
  </si>
  <si>
    <t>000281558</t>
  </si>
  <si>
    <t>000281693</t>
  </si>
  <si>
    <t>000281711</t>
  </si>
  <si>
    <t>820180695</t>
  </si>
  <si>
    <t>000282400</t>
  </si>
  <si>
    <t>000311019</t>
  </si>
  <si>
    <t>000312402</t>
  </si>
  <si>
    <t>000314556</t>
  </si>
  <si>
    <t>000311624</t>
  </si>
  <si>
    <t>000311631</t>
  </si>
  <si>
    <t>000311649</t>
  </si>
  <si>
    <t>000311656</t>
  </si>
  <si>
    <t>000311663</t>
  </si>
  <si>
    <t>000315551</t>
  </si>
  <si>
    <t>111541378</t>
  </si>
  <si>
    <t>111038277</t>
  </si>
  <si>
    <t>000312498</t>
  </si>
  <si>
    <t>111030736</t>
  </si>
  <si>
    <t>111011045</t>
  </si>
  <si>
    <t>176538885</t>
  </si>
  <si>
    <t>177061173</t>
  </si>
  <si>
    <t>000311688</t>
  </si>
  <si>
    <t>000312295</t>
  </si>
  <si>
    <t>000312377</t>
  </si>
  <si>
    <t>000311503</t>
  </si>
  <si>
    <t>000311510</t>
  </si>
  <si>
    <t>000311528</t>
  </si>
  <si>
    <t>000311535</t>
  </si>
  <si>
    <t>000311745</t>
  </si>
  <si>
    <t>000312021</t>
  </si>
  <si>
    <t>000312459</t>
  </si>
  <si>
    <t>000312523</t>
  </si>
  <si>
    <t>000312637</t>
  </si>
  <si>
    <t>000312669</t>
  </si>
  <si>
    <t>000311706</t>
  </si>
  <si>
    <t>000312078</t>
  </si>
  <si>
    <t>000311802</t>
  </si>
  <si>
    <t>000312142</t>
  </si>
  <si>
    <t>000311815</t>
  </si>
  <si>
    <t>000311599</t>
  </si>
  <si>
    <t>000311713</t>
  </si>
  <si>
    <t>000311784</t>
  </si>
  <si>
    <t>000311777</t>
  </si>
  <si>
    <t>000312410</t>
  </si>
  <si>
    <t>000312217</t>
  </si>
  <si>
    <t>000311898</t>
  </si>
  <si>
    <t>000312605</t>
  </si>
  <si>
    <t>000315220</t>
  </si>
  <si>
    <t>000311542</t>
  </si>
  <si>
    <t>000311557</t>
  </si>
  <si>
    <t>000311962</t>
  </si>
  <si>
    <t>000311916</t>
  </si>
  <si>
    <t>000310351</t>
  </si>
  <si>
    <t>000312384</t>
  </si>
  <si>
    <t>000312338</t>
  </si>
  <si>
    <t>000310981</t>
  </si>
  <si>
    <t>000311600</t>
  </si>
  <si>
    <t>000314549</t>
  </si>
  <si>
    <t>000312391</t>
  </si>
  <si>
    <t>000312092</t>
  </si>
  <si>
    <t>000312046</t>
  </si>
  <si>
    <t>000311791</t>
  </si>
  <si>
    <t>000312572</t>
  </si>
  <si>
    <t>000312587</t>
  </si>
  <si>
    <t>000312466</t>
  </si>
  <si>
    <t>177160171</t>
  </si>
  <si>
    <t>000341795</t>
  </si>
  <si>
    <t>000344994</t>
  </si>
  <si>
    <t>000342331</t>
  </si>
  <si>
    <t>000342413</t>
  </si>
  <si>
    <t>000343013</t>
  </si>
  <si>
    <t>000342751</t>
  </si>
  <si>
    <t>000341215</t>
  </si>
  <si>
    <t>000341222</t>
  </si>
  <si>
    <t>000345644</t>
  </si>
  <si>
    <t>000341247</t>
  </si>
  <si>
    <t>000341254</t>
  </si>
  <si>
    <t>000341329</t>
  </si>
  <si>
    <t>000341343</t>
  </si>
  <si>
    <t>000341368</t>
  </si>
  <si>
    <t>000341375</t>
  </si>
  <si>
    <t>000341382</t>
  </si>
  <si>
    <t>000341514</t>
  </si>
  <si>
    <t>000341521</t>
  </si>
  <si>
    <t>000342609</t>
  </si>
  <si>
    <t>000341610</t>
  </si>
  <si>
    <t>000341628</t>
  </si>
  <si>
    <t>000341654</t>
  </si>
  <si>
    <t>000341674</t>
  </si>
  <si>
    <t>000341699</t>
  </si>
  <si>
    <t>000341707</t>
  </si>
  <si>
    <t>000341717</t>
  </si>
  <si>
    <t>000341724</t>
  </si>
  <si>
    <t>000341731</t>
  </si>
  <si>
    <t>000341749</t>
  </si>
  <si>
    <t>000341763</t>
  </si>
  <si>
    <t>000341770</t>
  </si>
  <si>
    <t>000341788</t>
  </si>
  <si>
    <t>000341806</t>
  </si>
  <si>
    <t>000342356</t>
  </si>
  <si>
    <t>000342694</t>
  </si>
  <si>
    <t>000341813</t>
  </si>
  <si>
    <t>000341838</t>
  </si>
  <si>
    <t>000341852</t>
  </si>
  <si>
    <t>000341860</t>
  </si>
  <si>
    <t>000341891</t>
  </si>
  <si>
    <t>000341902</t>
  </si>
  <si>
    <t>000342801</t>
  </si>
  <si>
    <t>000341980</t>
  </si>
  <si>
    <t>000342025</t>
  </si>
  <si>
    <t>000342032</t>
  </si>
  <si>
    <t>000342043</t>
  </si>
  <si>
    <t>000342064</t>
  </si>
  <si>
    <t>000342071</t>
  </si>
  <si>
    <t>000342096</t>
  </si>
  <si>
    <t>000342121</t>
  </si>
  <si>
    <t>000342146</t>
  </si>
  <si>
    <t>000342178</t>
  </si>
  <si>
    <t>000342185</t>
  </si>
  <si>
    <t>000342192</t>
  </si>
  <si>
    <t>000342228</t>
  </si>
  <si>
    <t>000342235</t>
  </si>
  <si>
    <t>000342299</t>
  </si>
  <si>
    <t>000342301</t>
  </si>
  <si>
    <t>000342324</t>
  </si>
  <si>
    <t>000342349</t>
  </si>
  <si>
    <t>000342406</t>
  </si>
  <si>
    <t>000342420</t>
  </si>
  <si>
    <t>000342438</t>
  </si>
  <si>
    <t>000342445</t>
  </si>
  <si>
    <t>000342452</t>
  </si>
  <si>
    <t>000342491</t>
  </si>
  <si>
    <t>000342502</t>
  </si>
  <si>
    <t>000342517</t>
  </si>
  <si>
    <t>000342534</t>
  </si>
  <si>
    <t>000342566</t>
  </si>
  <si>
    <t>000342573</t>
  </si>
  <si>
    <t>000342580</t>
  </si>
  <si>
    <t>000342623</t>
  </si>
  <si>
    <t>000342630</t>
  </si>
  <si>
    <t>000342662</t>
  </si>
  <si>
    <t>000342705</t>
  </si>
  <si>
    <t>000342722</t>
  </si>
  <si>
    <t>000342769</t>
  </si>
  <si>
    <t>000342783</t>
  </si>
  <si>
    <t>000342819</t>
  </si>
  <si>
    <t>000342961</t>
  </si>
  <si>
    <t>000342979</t>
  </si>
  <si>
    <t>000342993</t>
  </si>
  <si>
    <t>000343006</t>
  </si>
  <si>
    <t>000342388</t>
  </si>
  <si>
    <t>112010754</t>
  </si>
  <si>
    <t>000344670</t>
  </si>
  <si>
    <t>000342655</t>
  </si>
  <si>
    <t>000334231</t>
  </si>
  <si>
    <t>000344290</t>
  </si>
  <si>
    <t>000344332</t>
  </si>
  <si>
    <t>000344357</t>
  </si>
  <si>
    <t>000344510</t>
  </si>
  <si>
    <t>000344923</t>
  </si>
  <si>
    <t>000344930</t>
  </si>
  <si>
    <t>000344948</t>
  </si>
  <si>
    <t>000345320</t>
  </si>
  <si>
    <t>000345338</t>
  </si>
  <si>
    <t>000342267</t>
  </si>
  <si>
    <t>175740396</t>
  </si>
  <si>
    <t>000345831</t>
  </si>
  <si>
    <t>000341681</t>
  </si>
  <si>
    <t>000341172</t>
  </si>
  <si>
    <t>000342527</t>
  </si>
  <si>
    <t>000342203</t>
  </si>
  <si>
    <t>000341877</t>
  </si>
  <si>
    <t>112518560</t>
  </si>
  <si>
    <t>112518667</t>
  </si>
  <si>
    <t>112059018</t>
  </si>
  <si>
    <t>000341998</t>
  </si>
  <si>
    <t>000342790</t>
  </si>
  <si>
    <t>000378911</t>
  </si>
  <si>
    <t>000379027</t>
  </si>
  <si>
    <t>000379066</t>
  </si>
  <si>
    <t>000378847</t>
  </si>
  <si>
    <t>000381868</t>
  </si>
  <si>
    <t>000378459</t>
  </si>
  <si>
    <t>000378466</t>
  </si>
  <si>
    <t>113022193</t>
  </si>
  <si>
    <t>000378480</t>
  </si>
  <si>
    <t>000378498</t>
  </si>
  <si>
    <t>000378509</t>
  </si>
  <si>
    <t>000378530</t>
  </si>
  <si>
    <t>113050755</t>
  </si>
  <si>
    <t>000378434</t>
  </si>
  <si>
    <t>000378441</t>
  </si>
  <si>
    <t>000378719</t>
  </si>
  <si>
    <t>000381590</t>
  </si>
  <si>
    <t>113022987</t>
  </si>
  <si>
    <t>000379073</t>
  </si>
  <si>
    <t>000379002</t>
  </si>
  <si>
    <t>823090139</t>
  </si>
  <si>
    <t>000378726</t>
  </si>
  <si>
    <t>000378975</t>
  </si>
  <si>
    <t>000378950</t>
  </si>
  <si>
    <t>000378701</t>
  </si>
  <si>
    <t>000381319</t>
  </si>
  <si>
    <t>000379109</t>
  </si>
  <si>
    <t>113553589</t>
  </si>
  <si>
    <t>000379187</t>
  </si>
  <si>
    <t>000379155</t>
  </si>
  <si>
    <t>823090146</t>
  </si>
  <si>
    <t>823090153</t>
  </si>
  <si>
    <t>000377764</t>
  </si>
  <si>
    <t>000381430</t>
  </si>
  <si>
    <t>000381302</t>
  </si>
  <si>
    <t>000378637</t>
  </si>
  <si>
    <t>000378644</t>
  </si>
  <si>
    <t>113033866</t>
  </si>
  <si>
    <t>000379162</t>
  </si>
  <si>
    <t>000381042</t>
  </si>
  <si>
    <t>000379041</t>
  </si>
  <si>
    <t>000401672</t>
  </si>
  <si>
    <t>000401630</t>
  </si>
  <si>
    <t>000401623</t>
  </si>
  <si>
    <t>000401655</t>
  </si>
  <si>
    <t>000401979</t>
  </si>
  <si>
    <t>000401801</t>
  </si>
  <si>
    <t>824104549</t>
  </si>
  <si>
    <t>000401705</t>
  </si>
  <si>
    <t>000406848</t>
  </si>
  <si>
    <t>000402084</t>
  </si>
  <si>
    <t>000402102</t>
  </si>
  <si>
    <t>000402114</t>
  </si>
  <si>
    <t>000402535</t>
  </si>
  <si>
    <t>000402401</t>
  </si>
  <si>
    <t>000402682</t>
  </si>
  <si>
    <t>000403229</t>
  </si>
  <si>
    <t>000402586</t>
  </si>
  <si>
    <t>000402732</t>
  </si>
  <si>
    <t>000403033</t>
  </si>
  <si>
    <t>000402216</t>
  </si>
  <si>
    <t>000402725</t>
  </si>
  <si>
    <t>000402440</t>
  </si>
  <si>
    <t>000402981</t>
  </si>
  <si>
    <t>000403147</t>
  </si>
  <si>
    <t>000403122</t>
  </si>
  <si>
    <t>000403130</t>
  </si>
  <si>
    <t>000406008</t>
  </si>
  <si>
    <t>000405644</t>
  </si>
  <si>
    <t>000402091</t>
  </si>
  <si>
    <t>000402967</t>
  </si>
  <si>
    <t>000403243</t>
  </si>
  <si>
    <t>000403154</t>
  </si>
  <si>
    <t>824104556</t>
  </si>
  <si>
    <t>000403345</t>
  </si>
  <si>
    <t>000403421</t>
  </si>
  <si>
    <t>000403414</t>
  </si>
  <si>
    <t>000403332</t>
  </si>
  <si>
    <t>000403371</t>
  </si>
  <si>
    <t>000403439</t>
  </si>
  <si>
    <t>114550603</t>
  </si>
  <si>
    <t>824124007</t>
  </si>
  <si>
    <t>000403542</t>
  </si>
  <si>
    <t>000403510</t>
  </si>
  <si>
    <t>114608362</t>
  </si>
  <si>
    <t>114043151</t>
  </si>
  <si>
    <t>000403282</t>
  </si>
  <si>
    <t>177177530</t>
  </si>
  <si>
    <t>000402159</t>
  </si>
  <si>
    <t>114079254</t>
  </si>
  <si>
    <t>000182154</t>
  </si>
  <si>
    <t>000182898</t>
  </si>
  <si>
    <t>000402935</t>
  </si>
  <si>
    <t>000401954</t>
  </si>
  <si>
    <t>000402141</t>
  </si>
  <si>
    <t>000183152</t>
  </si>
  <si>
    <t>824106525</t>
  </si>
  <si>
    <t>000406467</t>
  </si>
  <si>
    <t>000403396</t>
  </si>
  <si>
    <t>000183498</t>
  </si>
  <si>
    <t>000402277</t>
  </si>
  <si>
    <t>000403058</t>
  </si>
  <si>
    <t>000402419</t>
  </si>
  <si>
    <t>000403211</t>
  </si>
  <si>
    <t>000401573</t>
  </si>
  <si>
    <t>000402482</t>
  </si>
  <si>
    <t>000402789</t>
  </si>
  <si>
    <t>000402668</t>
  </si>
  <si>
    <t>000402305</t>
  </si>
  <si>
    <t>000402698</t>
  </si>
  <si>
    <t>000405333</t>
  </si>
  <si>
    <t>824085878</t>
  </si>
  <si>
    <t>000403275</t>
  </si>
  <si>
    <t>000402061</t>
  </si>
  <si>
    <t>000402497</t>
  </si>
  <si>
    <t>000402262</t>
  </si>
  <si>
    <t>000402636</t>
  </si>
  <si>
    <t>000403193</t>
  </si>
  <si>
    <t>000403688</t>
  </si>
  <si>
    <t>000402052</t>
  </si>
  <si>
    <t>000405326</t>
  </si>
  <si>
    <t>000406887</t>
  </si>
  <si>
    <t>000402554</t>
  </si>
  <si>
    <t>000402173</t>
  </si>
  <si>
    <t>175762670</t>
  </si>
  <si>
    <t>000402740</t>
  </si>
  <si>
    <t>000403019</t>
  </si>
  <si>
    <t>000403026</t>
  </si>
  <si>
    <t>000402465</t>
  </si>
  <si>
    <t>000402650</t>
  </si>
  <si>
    <t>000402821</t>
  </si>
  <si>
    <t>000402390</t>
  </si>
  <si>
    <t>000403250</t>
  </si>
  <si>
    <t>000403292</t>
  </si>
  <si>
    <t>000402611</t>
  </si>
  <si>
    <t>000403204</t>
  </si>
  <si>
    <t>000181586</t>
  </si>
  <si>
    <t>000182072</t>
  </si>
  <si>
    <t>000182084</t>
  </si>
  <si>
    <t>000182987</t>
  </si>
  <si>
    <t>000182407</t>
  </si>
  <si>
    <t>000183135</t>
  </si>
  <si>
    <t>000183295</t>
  </si>
  <si>
    <t>000185289</t>
  </si>
  <si>
    <t>175756735</t>
  </si>
  <si>
    <t>000451964</t>
  </si>
  <si>
    <t>000452863</t>
  </si>
  <si>
    <t>000452856</t>
  </si>
  <si>
    <t>000452849</t>
  </si>
  <si>
    <t>000452831</t>
  </si>
  <si>
    <t>000453424</t>
  </si>
  <si>
    <t>000453409</t>
  </si>
  <si>
    <t>000453431</t>
  </si>
  <si>
    <t>000453777</t>
  </si>
  <si>
    <t>000454661</t>
  </si>
  <si>
    <t>000454476</t>
  </si>
  <si>
    <t>000452824</t>
  </si>
  <si>
    <t>825081605</t>
  </si>
  <si>
    <t>115012867</t>
  </si>
  <si>
    <t>115016253</t>
  </si>
  <si>
    <t>000460454</t>
  </si>
  <si>
    <t>000454424</t>
  </si>
  <si>
    <t>000453513</t>
  </si>
  <si>
    <t>000454792</t>
  </si>
  <si>
    <t>000460810</t>
  </si>
  <si>
    <t>000454063</t>
  </si>
  <si>
    <t>000455343</t>
  </si>
  <si>
    <t>000453883</t>
  </si>
  <si>
    <t>000453723</t>
  </si>
  <si>
    <t>000453890</t>
  </si>
  <si>
    <t>000454316</t>
  </si>
  <si>
    <t>000454526</t>
  </si>
  <si>
    <t>000454686</t>
  </si>
  <si>
    <t>000460397</t>
  </si>
  <si>
    <t>000454818</t>
  </si>
  <si>
    <t>000452913</t>
  </si>
  <si>
    <t>000452906</t>
  </si>
  <si>
    <t>000458827</t>
  </si>
  <si>
    <t>000454298</t>
  </si>
  <si>
    <t>000454444</t>
  </si>
  <si>
    <t>000453958</t>
  </si>
  <si>
    <t>000453926</t>
  </si>
  <si>
    <t>000454451</t>
  </si>
  <si>
    <t>000452920</t>
  </si>
  <si>
    <t>000459886</t>
  </si>
  <si>
    <t>000454362</t>
  </si>
  <si>
    <t>000455400</t>
  </si>
  <si>
    <t>115564794</t>
  </si>
  <si>
    <t>115012828</t>
  </si>
  <si>
    <t>000451989</t>
  </si>
  <si>
    <t>000452938</t>
  </si>
  <si>
    <t>000608419</t>
  </si>
  <si>
    <t>000452411</t>
  </si>
  <si>
    <t>000454273</t>
  </si>
  <si>
    <t>000453577</t>
  </si>
  <si>
    <t>000454558</t>
  </si>
  <si>
    <t>000454615</t>
  </si>
  <si>
    <t>000454483</t>
  </si>
  <si>
    <t>000454490</t>
  </si>
  <si>
    <t>000453506</t>
  </si>
  <si>
    <t>000454106</t>
  </si>
  <si>
    <t>000453876</t>
  </si>
  <si>
    <t>000454266</t>
  </si>
  <si>
    <t>000454501</t>
  </si>
  <si>
    <t>000452258</t>
  </si>
  <si>
    <t>000454608</t>
  </si>
  <si>
    <t>000460408</t>
  </si>
  <si>
    <t>000453614</t>
  </si>
  <si>
    <t>000453869</t>
  </si>
  <si>
    <t>000453709</t>
  </si>
  <si>
    <t>000454259</t>
  </si>
  <si>
    <t>000892574</t>
  </si>
  <si>
    <t>000453552</t>
  </si>
  <si>
    <t>000452354</t>
  </si>
  <si>
    <t>000452105</t>
  </si>
  <si>
    <t>000454768</t>
  </si>
  <si>
    <t>000458599</t>
  </si>
  <si>
    <t>000453335</t>
  </si>
  <si>
    <t>000455293</t>
  </si>
  <si>
    <t>000453356</t>
  </si>
  <si>
    <t>000453342</t>
  </si>
  <si>
    <t>000454437</t>
  </si>
  <si>
    <t>000453488</t>
  </si>
  <si>
    <t>000453470</t>
  </si>
  <si>
    <t>115009942</t>
  </si>
  <si>
    <t>115016029</t>
  </si>
  <si>
    <t>000453463</t>
  </si>
  <si>
    <t>000454234</t>
  </si>
  <si>
    <t>000454049</t>
  </si>
  <si>
    <t>000453520</t>
  </si>
  <si>
    <t>000453762</t>
  </si>
  <si>
    <t>000454227</t>
  </si>
  <si>
    <t>000452201</t>
  </si>
  <si>
    <t>000454184</t>
  </si>
  <si>
    <t>000454622</t>
  </si>
  <si>
    <t>000454572</t>
  </si>
  <si>
    <t>000454056</t>
  </si>
  <si>
    <t>000453997</t>
  </si>
  <si>
    <t>000454330</t>
  </si>
  <si>
    <t>000454348</t>
  </si>
  <si>
    <t>000454202</t>
  </si>
  <si>
    <t>000454871</t>
  </si>
  <si>
    <t>000453982</t>
  </si>
  <si>
    <t>000453972</t>
  </si>
  <si>
    <t>115567655</t>
  </si>
  <si>
    <t>000454031</t>
  </si>
  <si>
    <t>000454070</t>
  </si>
  <si>
    <t>000454138</t>
  </si>
  <si>
    <t>000452945</t>
  </si>
  <si>
    <t>000452952</t>
  </si>
  <si>
    <t>000454145</t>
  </si>
  <si>
    <t>000459612</t>
  </si>
  <si>
    <t>000453374</t>
  </si>
  <si>
    <t>000453367</t>
  </si>
  <si>
    <t>000459808</t>
  </si>
  <si>
    <t>000453381</t>
  </si>
  <si>
    <t>000454519</t>
  </si>
  <si>
    <t>000454017</t>
  </si>
  <si>
    <t>000454825</t>
  </si>
  <si>
    <t>000452967</t>
  </si>
  <si>
    <t>000452023</t>
  </si>
  <si>
    <t>000459780</t>
  </si>
  <si>
    <t>000453171</t>
  </si>
  <si>
    <t>000453029</t>
  </si>
  <si>
    <t>000453196</t>
  </si>
  <si>
    <t>000453075</t>
  </si>
  <si>
    <t>000453100</t>
  </si>
  <si>
    <t>115112771</t>
  </si>
  <si>
    <t>115112757</t>
  </si>
  <si>
    <t>000453140</t>
  </si>
  <si>
    <t>000454704</t>
  </si>
  <si>
    <t>115889082</t>
  </si>
  <si>
    <t>000453278</t>
  </si>
  <si>
    <t>000454907</t>
  </si>
  <si>
    <t>115013798</t>
  </si>
  <si>
    <t>000454939</t>
  </si>
  <si>
    <t>000454960</t>
  </si>
  <si>
    <t>000455012</t>
  </si>
  <si>
    <t>000455172</t>
  </si>
  <si>
    <t>000452072</t>
  </si>
  <si>
    <t>000460618</t>
  </si>
  <si>
    <t>000452991</t>
  </si>
  <si>
    <t>000459574</t>
  </si>
  <si>
    <t>000453157</t>
  </si>
  <si>
    <t>000453125</t>
  </si>
  <si>
    <t>000460041</t>
  </si>
  <si>
    <t>000454864</t>
  </si>
  <si>
    <t>000454914</t>
  </si>
  <si>
    <t>000455418</t>
  </si>
  <si>
    <t>000452984</t>
  </si>
  <si>
    <t>000459861</t>
  </si>
  <si>
    <t>000453043</t>
  </si>
  <si>
    <t>000453310</t>
  </si>
  <si>
    <t>000458631</t>
  </si>
  <si>
    <t>000458282</t>
  </si>
  <si>
    <t>000458275</t>
  </si>
  <si>
    <t>000453214</t>
  </si>
  <si>
    <t>000453246</t>
  </si>
  <si>
    <t>000453118</t>
  </si>
  <si>
    <t>000459797</t>
  </si>
  <si>
    <t>000453285</t>
  </si>
  <si>
    <t>000453292</t>
  </si>
  <si>
    <t>000454743</t>
  </si>
  <si>
    <t>000453260</t>
  </si>
  <si>
    <t>000454750</t>
  </si>
  <si>
    <t>000454729</t>
  </si>
  <si>
    <t>000461015</t>
  </si>
  <si>
    <t>000454992</t>
  </si>
  <si>
    <t>000454978</t>
  </si>
  <si>
    <t>115777575</t>
  </si>
  <si>
    <t>000452048</t>
  </si>
  <si>
    <t>000458204</t>
  </si>
  <si>
    <t>000453303</t>
  </si>
  <si>
    <t>000453011</t>
  </si>
  <si>
    <t>000453239</t>
  </si>
  <si>
    <t>000460010</t>
  </si>
  <si>
    <t>115890886</t>
  </si>
  <si>
    <t>000454845</t>
  </si>
  <si>
    <t>000454896</t>
  </si>
  <si>
    <t>000455208</t>
  </si>
  <si>
    <t>000459995</t>
  </si>
  <si>
    <t>825168476</t>
  </si>
  <si>
    <t>115889019</t>
  </si>
  <si>
    <t>000459562</t>
  </si>
  <si>
    <t>000498451</t>
  </si>
  <si>
    <t>000499311</t>
  </si>
  <si>
    <t>000498501</t>
  </si>
  <si>
    <t>000498743</t>
  </si>
  <si>
    <t>000498597</t>
  </si>
  <si>
    <t>000498615</t>
  </si>
  <si>
    <t>000499158</t>
  </si>
  <si>
    <t>000498405</t>
  </si>
  <si>
    <t>000498412</t>
  </si>
  <si>
    <t>000500920</t>
  </si>
  <si>
    <t>000498914</t>
  </si>
  <si>
    <t>000498622</t>
  </si>
  <si>
    <t>000498572</t>
  </si>
  <si>
    <t>000498797</t>
  </si>
  <si>
    <t>000498985</t>
  </si>
  <si>
    <t>000498437</t>
  </si>
  <si>
    <t>000499336</t>
  </si>
  <si>
    <t>000499208</t>
  </si>
  <si>
    <t>000498444</t>
  </si>
  <si>
    <t>000498469</t>
  </si>
  <si>
    <t>000498661</t>
  </si>
  <si>
    <t>000499119</t>
  </si>
  <si>
    <t>000498476</t>
  </si>
  <si>
    <t>000499083</t>
  </si>
  <si>
    <t>000501097</t>
  </si>
  <si>
    <t>000499279</t>
  </si>
  <si>
    <t>000498191</t>
  </si>
  <si>
    <t>000498533</t>
  </si>
  <si>
    <t>000498686</t>
  </si>
  <si>
    <t>000499254</t>
  </si>
  <si>
    <t>000499247</t>
  </si>
  <si>
    <t>116510002</t>
  </si>
  <si>
    <t>000499329</t>
  </si>
  <si>
    <t>116544289</t>
  </si>
  <si>
    <t>000505312</t>
  </si>
  <si>
    <t>826006089</t>
  </si>
  <si>
    <t>000499140</t>
  </si>
  <si>
    <t>000498387</t>
  </si>
  <si>
    <t>000498362</t>
  </si>
  <si>
    <t>000498376</t>
  </si>
  <si>
    <t>000501958</t>
  </si>
  <si>
    <t>000498394</t>
  </si>
  <si>
    <t>000498736</t>
  </si>
  <si>
    <t>000498818</t>
  </si>
  <si>
    <t>000498750</t>
  </si>
  <si>
    <t>000499126</t>
  </si>
  <si>
    <t>000498800</t>
  </si>
  <si>
    <t>000498857</t>
  </si>
  <si>
    <t>826051255</t>
  </si>
  <si>
    <t>116587753</t>
  </si>
  <si>
    <t>000498889</t>
  </si>
  <si>
    <t>000499076</t>
  </si>
  <si>
    <t>000498519</t>
  </si>
  <si>
    <t>000499186</t>
  </si>
  <si>
    <t>000498729</t>
  </si>
  <si>
    <t>000521722</t>
  </si>
  <si>
    <t>000521989</t>
  </si>
  <si>
    <t>117027095</t>
  </si>
  <si>
    <t>117027088</t>
  </si>
  <si>
    <t>117027298</t>
  </si>
  <si>
    <t>117004043</t>
  </si>
  <si>
    <t>117090544</t>
  </si>
  <si>
    <t>117089403</t>
  </si>
  <si>
    <t>000521761</t>
  </si>
  <si>
    <t>000498960</t>
  </si>
  <si>
    <t>117043822</t>
  </si>
  <si>
    <t>000521779</t>
  </si>
  <si>
    <t>000521626</t>
  </si>
  <si>
    <t>000521398</t>
  </si>
  <si>
    <t>827233218</t>
  </si>
  <si>
    <t>000521829</t>
  </si>
  <si>
    <t>000522112</t>
  </si>
  <si>
    <t>000522201</t>
  </si>
  <si>
    <t>000522079</t>
  </si>
  <si>
    <t>000522272</t>
  </si>
  <si>
    <t>000521505</t>
  </si>
  <si>
    <t>000521494</t>
  </si>
  <si>
    <t>000521409</t>
  </si>
  <si>
    <t>000521416</t>
  </si>
  <si>
    <t>000521462</t>
  </si>
  <si>
    <t>000521487</t>
  </si>
  <si>
    <t>000521551</t>
  </si>
  <si>
    <t>000521537</t>
  </si>
  <si>
    <t>000521455</t>
  </si>
  <si>
    <t>000521576</t>
  </si>
  <si>
    <t>000521900</t>
  </si>
  <si>
    <t>000522087</t>
  </si>
  <si>
    <t>000521964</t>
  </si>
  <si>
    <t>000522169</t>
  </si>
  <si>
    <t>000498978</t>
  </si>
  <si>
    <t>117018783</t>
  </si>
  <si>
    <t>000522233</t>
  </si>
  <si>
    <t>000522226</t>
  </si>
  <si>
    <t>000522240</t>
  </si>
  <si>
    <t>000521474</t>
  </si>
  <si>
    <t>000521527</t>
  </si>
  <si>
    <t>000521430</t>
  </si>
  <si>
    <t>000523989</t>
  </si>
  <si>
    <t>000524750</t>
  </si>
  <si>
    <t>000521423</t>
  </si>
  <si>
    <t>000522322</t>
  </si>
  <si>
    <t>000522393</t>
  </si>
  <si>
    <t>000522436</t>
  </si>
  <si>
    <t>117004142</t>
  </si>
  <si>
    <t>000522354</t>
  </si>
  <si>
    <t>000522607</t>
  </si>
  <si>
    <t>000522361</t>
  </si>
  <si>
    <t>000522337</t>
  </si>
  <si>
    <t>000522532</t>
  </si>
  <si>
    <t>000522347</t>
  </si>
  <si>
    <t>117003945</t>
  </si>
  <si>
    <t>000523972</t>
  </si>
  <si>
    <t>000521786</t>
  </si>
  <si>
    <t>000521619</t>
  </si>
  <si>
    <t>117519043</t>
  </si>
  <si>
    <t>000522144</t>
  </si>
  <si>
    <t>000521843</t>
  </si>
  <si>
    <t>000521957</t>
  </si>
  <si>
    <t>000522137</t>
  </si>
  <si>
    <t>000558279</t>
  </si>
  <si>
    <t>000558350</t>
  </si>
  <si>
    <t>000558457</t>
  </si>
  <si>
    <t>000558927</t>
  </si>
  <si>
    <t>000558585</t>
  </si>
  <si>
    <t>000558635</t>
  </si>
  <si>
    <t>000558705</t>
  </si>
  <si>
    <t>000558877</t>
  </si>
  <si>
    <t>000558222</t>
  </si>
  <si>
    <t>000558891</t>
  </si>
  <si>
    <t>000558902</t>
  </si>
  <si>
    <t>000557743</t>
  </si>
  <si>
    <t>000558425</t>
  </si>
  <si>
    <t>118500462</t>
  </si>
  <si>
    <t>000558375</t>
  </si>
  <si>
    <t>000558489</t>
  </si>
  <si>
    <t>000558806</t>
  </si>
  <si>
    <t>000559025</t>
  </si>
  <si>
    <t>000558261</t>
  </si>
  <si>
    <t>000558959</t>
  </si>
  <si>
    <t>000561602</t>
  </si>
  <si>
    <t>118509365</t>
  </si>
  <si>
    <t>000558998</t>
  </si>
  <si>
    <t>000559000</t>
  </si>
  <si>
    <t>000560383</t>
  </si>
  <si>
    <t>118023484</t>
  </si>
  <si>
    <t>000558231</t>
  </si>
  <si>
    <t>000558254</t>
  </si>
  <si>
    <t>118030190</t>
  </si>
  <si>
    <t>000558667</t>
  </si>
  <si>
    <t>000558681</t>
  </si>
  <si>
    <t>118003065</t>
  </si>
  <si>
    <t>000558973</t>
  </si>
  <si>
    <t>118559973</t>
  </si>
  <si>
    <t>000558394</t>
  </si>
  <si>
    <t>000558717</t>
  </si>
  <si>
    <t>000558724</t>
  </si>
  <si>
    <t>000561695</t>
  </si>
  <si>
    <t>000558934</t>
  </si>
  <si>
    <t>000557768</t>
  </si>
  <si>
    <t>000560682</t>
  </si>
  <si>
    <t>000558553</t>
  </si>
  <si>
    <t>000558546</t>
  </si>
  <si>
    <t>829061285</t>
  </si>
  <si>
    <t>829091269</t>
  </si>
  <si>
    <t>000581721</t>
  </si>
  <si>
    <t>000581737</t>
  </si>
  <si>
    <t>000580546</t>
  </si>
  <si>
    <t>000581751</t>
  </si>
  <si>
    <t>119077823</t>
  </si>
  <si>
    <t>000581776</t>
  </si>
  <si>
    <t>000584637</t>
  </si>
  <si>
    <t>000581865</t>
  </si>
  <si>
    <t>119105991</t>
  </si>
  <si>
    <t>000581388</t>
  </si>
  <si>
    <t>829095214</t>
  </si>
  <si>
    <t>000582675</t>
  </si>
  <si>
    <t>000582650</t>
  </si>
  <si>
    <t>119082998</t>
  </si>
  <si>
    <t>000582682</t>
  </si>
  <si>
    <t>000582764</t>
  </si>
  <si>
    <t>000582643</t>
  </si>
  <si>
    <t>000582561</t>
  </si>
  <si>
    <t>000584644</t>
  </si>
  <si>
    <t>119005701</t>
  </si>
  <si>
    <t>119063581</t>
  </si>
  <si>
    <t>829094849</t>
  </si>
  <si>
    <t>000582110</t>
  </si>
  <si>
    <t>829091251</t>
  </si>
  <si>
    <t>000582166</t>
  </si>
  <si>
    <t>000582255</t>
  </si>
  <si>
    <t>119500789</t>
  </si>
  <si>
    <t>000582305</t>
  </si>
  <si>
    <t>000582426</t>
  </si>
  <si>
    <t>119038749</t>
  </si>
  <si>
    <t>119500579</t>
  </si>
  <si>
    <t>000581884</t>
  </si>
  <si>
    <t>000581908</t>
  </si>
  <si>
    <t>000582173</t>
  </si>
  <si>
    <t>000582262</t>
  </si>
  <si>
    <t>000581484</t>
  </si>
  <si>
    <t>000582586</t>
  </si>
  <si>
    <t>829091529</t>
  </si>
  <si>
    <t>000581986</t>
  </si>
  <si>
    <t>000582216</t>
  </si>
  <si>
    <t>000582326</t>
  </si>
  <si>
    <t>000582068</t>
  </si>
  <si>
    <t>000582077</t>
  </si>
  <si>
    <t>000582020</t>
  </si>
  <si>
    <t>000582038</t>
  </si>
  <si>
    <t>000581235</t>
  </si>
  <si>
    <t>000585598</t>
  </si>
  <si>
    <t>000581783</t>
  </si>
  <si>
    <t>000582554</t>
  </si>
  <si>
    <t>000582579</t>
  </si>
  <si>
    <t>000582694</t>
  </si>
  <si>
    <t>000582771</t>
  </si>
  <si>
    <t>000582629</t>
  </si>
  <si>
    <t>000582052</t>
  </si>
  <si>
    <t>000582401</t>
  </si>
  <si>
    <t>000582351</t>
  </si>
  <si>
    <t>000582376</t>
  </si>
  <si>
    <t>000582440</t>
  </si>
  <si>
    <t>000581872</t>
  </si>
  <si>
    <t>000581947</t>
  </si>
  <si>
    <t>000582593</t>
  </si>
  <si>
    <t>000582159</t>
  </si>
  <si>
    <t>000581648</t>
  </si>
  <si>
    <t>000581979</t>
  </si>
  <si>
    <t>829091486</t>
  </si>
  <si>
    <t>000607559</t>
  </si>
  <si>
    <t>000607598</t>
  </si>
  <si>
    <t>000611187</t>
  </si>
  <si>
    <t>000607566</t>
  </si>
  <si>
    <t>000607580</t>
  </si>
  <si>
    <t>830190507</t>
  </si>
  <si>
    <t>120565499</t>
  </si>
  <si>
    <t>000608440</t>
  </si>
  <si>
    <t>000608458</t>
  </si>
  <si>
    <t>000607616</t>
  </si>
  <si>
    <t>000608020</t>
  </si>
  <si>
    <t>000608173</t>
  </si>
  <si>
    <t>000608255</t>
  </si>
  <si>
    <t>000608305</t>
  </si>
  <si>
    <t>000607865</t>
  </si>
  <si>
    <t>000607687</t>
  </si>
  <si>
    <t>000607623</t>
  </si>
  <si>
    <t>000608312</t>
  </si>
  <si>
    <t>000608369</t>
  </si>
  <si>
    <t>000610995</t>
  </si>
  <si>
    <t>000607712</t>
  </si>
  <si>
    <t>000608230</t>
  </si>
  <si>
    <t>000607922</t>
  </si>
  <si>
    <t>000607720</t>
  </si>
  <si>
    <t>000608248</t>
  </si>
  <si>
    <t>000608324</t>
  </si>
  <si>
    <t>000607826</t>
  </si>
  <si>
    <t>000607783</t>
  </si>
  <si>
    <t>000605871</t>
  </si>
  <si>
    <t>000607801</t>
  </si>
  <si>
    <t>000608383</t>
  </si>
  <si>
    <t>000607534</t>
  </si>
  <si>
    <t>000607648</t>
  </si>
  <si>
    <t>000607655</t>
  </si>
  <si>
    <t>000607961</t>
  </si>
  <si>
    <t>000608390</t>
  </si>
  <si>
    <t>000608134</t>
  </si>
  <si>
    <t>000608102</t>
  </si>
  <si>
    <t>000608401</t>
  </si>
  <si>
    <t>175787129</t>
  </si>
  <si>
    <t>000607769</t>
  </si>
  <si>
    <t>000608262</t>
  </si>
  <si>
    <t>120595791</t>
  </si>
  <si>
    <t>000608337</t>
  </si>
  <si>
    <t>000607833</t>
  </si>
  <si>
    <t>000606140</t>
  </si>
  <si>
    <t>000607744</t>
  </si>
  <si>
    <t>000607840</t>
  </si>
  <si>
    <t>000607751</t>
  </si>
  <si>
    <t>000011677</t>
  </si>
  <si>
    <t>000011655</t>
  </si>
  <si>
    <t>000608465</t>
  </si>
  <si>
    <t>000608376</t>
  </si>
  <si>
    <t>000608351</t>
  </si>
  <si>
    <t>000610982</t>
  </si>
  <si>
    <t>000607662</t>
  </si>
  <si>
    <t>000669436</t>
  </si>
  <si>
    <t>000670292</t>
  </si>
  <si>
    <t>000674853</t>
  </si>
  <si>
    <t>000667809</t>
  </si>
  <si>
    <t>000667937</t>
  </si>
  <si>
    <t>000668074</t>
  </si>
  <si>
    <t>000668099</t>
  </si>
  <si>
    <t>000668213</t>
  </si>
  <si>
    <t>000668409</t>
  </si>
  <si>
    <t>000668804</t>
  </si>
  <si>
    <t>000669692</t>
  </si>
  <si>
    <t>000669518</t>
  </si>
  <si>
    <t>121743467</t>
  </si>
  <si>
    <t>000668188</t>
  </si>
  <si>
    <t>000668195</t>
  </si>
  <si>
    <t>000668277</t>
  </si>
  <si>
    <t>000668313</t>
  </si>
  <si>
    <t>000668793</t>
  </si>
  <si>
    <t>000668836</t>
  </si>
  <si>
    <t>000668940</t>
  </si>
  <si>
    <t>000669557</t>
  </si>
  <si>
    <t>000669190</t>
  </si>
  <si>
    <t>000668252</t>
  </si>
  <si>
    <t>000669404</t>
  </si>
  <si>
    <t>000668042</t>
  </si>
  <si>
    <t>000668245</t>
  </si>
  <si>
    <t>000668334</t>
  </si>
  <si>
    <t>000669265</t>
  </si>
  <si>
    <t>000668734</t>
  </si>
  <si>
    <t>000668754</t>
  </si>
  <si>
    <t>121847103</t>
  </si>
  <si>
    <t>130104098</t>
  </si>
  <si>
    <t>000669596</t>
  </si>
  <si>
    <t>121307879</t>
  </si>
  <si>
    <t>000670157</t>
  </si>
  <si>
    <t>000674440</t>
  </si>
  <si>
    <t>000667556</t>
  </si>
  <si>
    <t>000668601</t>
  </si>
  <si>
    <t>000669660</t>
  </si>
  <si>
    <t>000673146</t>
  </si>
  <si>
    <t>000673370</t>
  </si>
  <si>
    <t>000668028</t>
  </si>
  <si>
    <t>000667499</t>
  </si>
  <si>
    <t>000667570</t>
  </si>
  <si>
    <t>000678143</t>
  </si>
  <si>
    <t>130077053</t>
  </si>
  <si>
    <t>121240131</t>
  </si>
  <si>
    <t>000669728</t>
  </si>
  <si>
    <t>175564973</t>
  </si>
  <si>
    <t>000667798</t>
  </si>
  <si>
    <t>000668220</t>
  </si>
  <si>
    <t>000669144</t>
  </si>
  <si>
    <t>000668260</t>
  </si>
  <si>
    <t>000668430</t>
  </si>
  <si>
    <t>000673388</t>
  </si>
  <si>
    <t>000677098</t>
  </si>
  <si>
    <t>000677792</t>
  </si>
  <si>
    <t>000670310</t>
  </si>
  <si>
    <t>000667871</t>
  </si>
  <si>
    <t>000669386</t>
  </si>
  <si>
    <t>000668149</t>
  </si>
  <si>
    <t>130807770</t>
  </si>
  <si>
    <t>000668448</t>
  </si>
  <si>
    <t>000668633</t>
  </si>
  <si>
    <t>000668747</t>
  </si>
  <si>
    <t>130955056</t>
  </si>
  <si>
    <t>000669824</t>
  </si>
  <si>
    <t>000669201</t>
  </si>
  <si>
    <t>000667924</t>
  </si>
  <si>
    <t>000667481</t>
  </si>
  <si>
    <t>000667976</t>
  </si>
  <si>
    <t>000668081</t>
  </si>
  <si>
    <t>000668715</t>
  </si>
  <si>
    <t>121745906</t>
  </si>
  <si>
    <t>121742408</t>
  </si>
  <si>
    <t>000668398</t>
  </si>
  <si>
    <t>000675453</t>
  </si>
  <si>
    <t>000759271</t>
  </si>
  <si>
    <t>000759047</t>
  </si>
  <si>
    <t>000668850</t>
  </si>
  <si>
    <t>000668875</t>
  </si>
  <si>
    <t>000667620</t>
  </si>
  <si>
    <t>000669361</t>
  </si>
  <si>
    <t>831383031</t>
  </si>
  <si>
    <t>000668551</t>
  </si>
  <si>
    <t>000668619</t>
  </si>
  <si>
    <t>831385783</t>
  </si>
  <si>
    <t>000668786</t>
  </si>
  <si>
    <t>000669308</t>
  </si>
  <si>
    <t>000669646</t>
  </si>
  <si>
    <t>831381497</t>
  </si>
  <si>
    <t>000669653</t>
  </si>
  <si>
    <t>000674839</t>
  </si>
  <si>
    <t>000674974</t>
  </si>
  <si>
    <t>831908909</t>
  </si>
  <si>
    <t>000667983</t>
  </si>
  <si>
    <t>000668003</t>
  </si>
  <si>
    <t>000668131</t>
  </si>
  <si>
    <t>000668341</t>
  </si>
  <si>
    <t>000675154</t>
  </si>
  <si>
    <t>000674472</t>
  </si>
  <si>
    <t>000668476</t>
  </si>
  <si>
    <t>000667531</t>
  </si>
  <si>
    <t>000668529</t>
  </si>
  <si>
    <t>831902370</t>
  </si>
  <si>
    <t>831619414</t>
  </si>
  <si>
    <t>000667823</t>
  </si>
  <si>
    <t>000669429</t>
  </si>
  <si>
    <t>000675026</t>
  </si>
  <si>
    <t>000668366</t>
  </si>
  <si>
    <t>000673107</t>
  </si>
  <si>
    <t>000668658</t>
  </si>
  <si>
    <t>000668681</t>
  </si>
  <si>
    <t>000668708</t>
  </si>
  <si>
    <t>000676413</t>
  </si>
  <si>
    <t>000676555</t>
  </si>
  <si>
    <t>000673114</t>
  </si>
  <si>
    <t>8319178340100</t>
  </si>
  <si>
    <t>000669183</t>
  </si>
  <si>
    <t>000667862</t>
  </si>
  <si>
    <t>000668117</t>
  </si>
  <si>
    <t>000668206</t>
  </si>
  <si>
    <t>000667549</t>
  </si>
  <si>
    <t>000668505</t>
  </si>
  <si>
    <t>000668512</t>
  </si>
  <si>
    <t>000675485</t>
  </si>
  <si>
    <t>000678136</t>
  </si>
  <si>
    <t>000669500</t>
  </si>
  <si>
    <t>000668882</t>
  </si>
  <si>
    <t>000668900</t>
  </si>
  <si>
    <t>000668918</t>
  </si>
  <si>
    <t>000668925</t>
  </si>
  <si>
    <t>000668957</t>
  </si>
  <si>
    <t>000668964</t>
  </si>
  <si>
    <t>000668971</t>
  </si>
  <si>
    <t>000669123</t>
  </si>
  <si>
    <t>000668590</t>
  </si>
  <si>
    <t>000669070</t>
  </si>
  <si>
    <t>000677899</t>
  </si>
  <si>
    <t>000669286</t>
  </si>
  <si>
    <t>000669151</t>
  </si>
  <si>
    <t>000669468</t>
  </si>
  <si>
    <t>000669685</t>
  </si>
  <si>
    <t>000669831</t>
  </si>
  <si>
    <t>000668108</t>
  </si>
  <si>
    <t>000669258</t>
  </si>
  <si>
    <t>000668291</t>
  </si>
  <si>
    <t>831905038</t>
  </si>
  <si>
    <t>000677123</t>
  </si>
  <si>
    <t>000677397</t>
  </si>
  <si>
    <t>000669607</t>
  </si>
  <si>
    <t>000670278</t>
  </si>
  <si>
    <t>000668284</t>
  </si>
  <si>
    <t>000668373</t>
  </si>
  <si>
    <t>000668380</t>
  </si>
  <si>
    <t>000668989</t>
  </si>
  <si>
    <t>000668996</t>
  </si>
  <si>
    <t>000669016</t>
  </si>
  <si>
    <t>000669023</t>
  </si>
  <si>
    <t>000669030</t>
  </si>
  <si>
    <t>000667912</t>
  </si>
  <si>
    <t>000668010</t>
  </si>
  <si>
    <t>000668035</t>
  </si>
  <si>
    <t>000667503</t>
  </si>
  <si>
    <t>000673096</t>
  </si>
  <si>
    <t>000668544</t>
  </si>
  <si>
    <t>000668640</t>
  </si>
  <si>
    <t>000669443</t>
  </si>
  <si>
    <t>000668829</t>
  </si>
  <si>
    <t>121202771</t>
  </si>
  <si>
    <t>121267986</t>
  </si>
  <si>
    <t>000669176</t>
  </si>
  <si>
    <t>000667951</t>
  </si>
  <si>
    <t>000668067</t>
  </si>
  <si>
    <t>000668156</t>
  </si>
  <si>
    <t>000668163</t>
  </si>
  <si>
    <t>000668170</t>
  </si>
  <si>
    <t>000668494</t>
  </si>
  <si>
    <t>831602703</t>
  </si>
  <si>
    <t>000669219</t>
  </si>
  <si>
    <t>000669393</t>
  </si>
  <si>
    <t>000668455</t>
  </si>
  <si>
    <t>131265001</t>
  </si>
  <si>
    <t>000668569</t>
  </si>
  <si>
    <t>000668779</t>
  </si>
  <si>
    <t>000677251</t>
  </si>
  <si>
    <t>000677760</t>
  </si>
  <si>
    <t>831917617</t>
  </si>
  <si>
    <t>000667816</t>
  </si>
  <si>
    <t>000669347</t>
  </si>
  <si>
    <t>000669272</t>
  </si>
  <si>
    <t>000667830</t>
  </si>
  <si>
    <t>000667990</t>
  </si>
  <si>
    <t>000668672</t>
  </si>
  <si>
    <t>000673121</t>
  </si>
  <si>
    <t>000669354</t>
  </si>
  <si>
    <t>000668124</t>
  </si>
  <si>
    <t>000672806</t>
  </si>
  <si>
    <t>000667905</t>
  </si>
  <si>
    <t>000669379</t>
  </si>
  <si>
    <t>000669062</t>
  </si>
  <si>
    <t>000668055</t>
  </si>
  <si>
    <t>000668302</t>
  </si>
  <si>
    <t>000668537</t>
  </si>
  <si>
    <t>000667606</t>
  </si>
  <si>
    <t>000668665</t>
  </si>
  <si>
    <t>000669742</t>
  </si>
  <si>
    <t>000669817</t>
  </si>
  <si>
    <t>000759645</t>
  </si>
  <si>
    <t>000760028</t>
  </si>
  <si>
    <t>000759182</t>
  </si>
  <si>
    <t>000760067</t>
  </si>
  <si>
    <t>000760099</t>
  </si>
  <si>
    <t>000760105</t>
  </si>
  <si>
    <t>000759033</t>
  </si>
  <si>
    <t>000760131</t>
  </si>
  <si>
    <t>000760163</t>
  </si>
  <si>
    <t>000760170</t>
  </si>
  <si>
    <t>000760188</t>
  </si>
  <si>
    <t>000760195</t>
  </si>
  <si>
    <t>000758803</t>
  </si>
  <si>
    <t>000760341</t>
  </si>
  <si>
    <t>000760284</t>
  </si>
  <si>
    <t>000760291</t>
  </si>
  <si>
    <t>000760302</t>
  </si>
  <si>
    <t>175552323</t>
  </si>
  <si>
    <t>122053405</t>
  </si>
  <si>
    <t>000760448</t>
  </si>
  <si>
    <t>000760455</t>
  </si>
  <si>
    <t>000760505</t>
  </si>
  <si>
    <t>000760373</t>
  </si>
  <si>
    <t>175474586</t>
  </si>
  <si>
    <t>000758881</t>
  </si>
  <si>
    <t>000760003</t>
  </si>
  <si>
    <t>000759816</t>
  </si>
  <si>
    <t>000763152</t>
  </si>
  <si>
    <t>000764445</t>
  </si>
  <si>
    <t>000763106</t>
  </si>
  <si>
    <t>000759712</t>
  </si>
  <si>
    <t>000763490</t>
  </si>
  <si>
    <t>000763582</t>
  </si>
  <si>
    <t>000763825</t>
  </si>
  <si>
    <t>000764051</t>
  </si>
  <si>
    <t>000764101</t>
  </si>
  <si>
    <t>131104610</t>
  </si>
  <si>
    <t>000764717</t>
  </si>
  <si>
    <t>000764763</t>
  </si>
  <si>
    <t>000764770</t>
  </si>
  <si>
    <t>000760213</t>
  </si>
  <si>
    <t>000760156</t>
  </si>
  <si>
    <t>832076477</t>
  </si>
  <si>
    <t>000760124</t>
  </si>
  <si>
    <t>000760035</t>
  </si>
  <si>
    <t>000759507</t>
  </si>
  <si>
    <t>000759830</t>
  </si>
  <si>
    <t>000759727</t>
  </si>
  <si>
    <t>000757576</t>
  </si>
  <si>
    <t>000758290</t>
  </si>
  <si>
    <t>176117377</t>
  </si>
  <si>
    <t>000758753</t>
  </si>
  <si>
    <t>000758760</t>
  </si>
  <si>
    <t>000758778</t>
  </si>
  <si>
    <t>000758785</t>
  </si>
  <si>
    <t>000758792</t>
  </si>
  <si>
    <t>000758810</t>
  </si>
  <si>
    <t>000759531</t>
  </si>
  <si>
    <t>000758850</t>
  </si>
  <si>
    <t>000758867</t>
  </si>
  <si>
    <t>000758899</t>
  </si>
  <si>
    <t>000758917</t>
  </si>
  <si>
    <t>000758924</t>
  </si>
  <si>
    <t>000758970</t>
  </si>
  <si>
    <t>000758988</t>
  </si>
  <si>
    <t>000759015</t>
  </si>
  <si>
    <t>000759022</t>
  </si>
  <si>
    <t>000759054</t>
  </si>
  <si>
    <t>000759086</t>
  </si>
  <si>
    <t>000759111</t>
  </si>
  <si>
    <t>000759200</t>
  </si>
  <si>
    <t>000759225</t>
  </si>
  <si>
    <t>000759264</t>
  </si>
  <si>
    <t>000759314</t>
  </si>
  <si>
    <t>000759321</t>
  </si>
  <si>
    <t>000759339</t>
  </si>
  <si>
    <t>000759353</t>
  </si>
  <si>
    <t>000759403</t>
  </si>
  <si>
    <t>000759410</t>
  </si>
  <si>
    <t>000759499</t>
  </si>
  <si>
    <t>000758828</t>
  </si>
  <si>
    <t>000758835</t>
  </si>
  <si>
    <t>000759606</t>
  </si>
  <si>
    <t>000759638</t>
  </si>
  <si>
    <t>000759684</t>
  </si>
  <si>
    <t>000759691</t>
  </si>
  <si>
    <t>000669735</t>
  </si>
  <si>
    <t>000759766</t>
  </si>
  <si>
    <t>000759862</t>
  </si>
  <si>
    <t>000759875</t>
  </si>
  <si>
    <t>000759912</t>
  </si>
  <si>
    <t>000759928</t>
  </si>
  <si>
    <t>000759990</t>
  </si>
  <si>
    <t>8319178340172</t>
  </si>
  <si>
    <t>000808334</t>
  </si>
  <si>
    <t>177438560</t>
  </si>
  <si>
    <t>000803497</t>
  </si>
  <si>
    <t>000802445</t>
  </si>
  <si>
    <t>000802484</t>
  </si>
  <si>
    <t>000803458</t>
  </si>
  <si>
    <t>000803481</t>
  </si>
  <si>
    <t>000806785</t>
  </si>
  <si>
    <t>000807773</t>
  </si>
  <si>
    <t>000803515</t>
  </si>
  <si>
    <t>123533460</t>
  </si>
  <si>
    <t>000803675</t>
  </si>
  <si>
    <t>000803697</t>
  </si>
  <si>
    <t>000808213</t>
  </si>
  <si>
    <t>000806319</t>
  </si>
  <si>
    <t>000802420</t>
  </si>
  <si>
    <t>000802438</t>
  </si>
  <si>
    <t>833022827</t>
  </si>
  <si>
    <t>000802452</t>
  </si>
  <si>
    <t>000808074</t>
  </si>
  <si>
    <t>000802491</t>
  </si>
  <si>
    <t>000807168</t>
  </si>
  <si>
    <t>000807727</t>
  </si>
  <si>
    <t>000808327</t>
  </si>
  <si>
    <t>000802598</t>
  </si>
  <si>
    <t>000802783</t>
  </si>
  <si>
    <t>000802790</t>
  </si>
  <si>
    <t>000802833</t>
  </si>
  <si>
    <t>000802897</t>
  </si>
  <si>
    <t>000803255</t>
  </si>
  <si>
    <t>000803223</t>
  </si>
  <si>
    <t>000803262</t>
  </si>
  <si>
    <t>000801592</t>
  </si>
  <si>
    <t>123127569</t>
  </si>
  <si>
    <t>000803757</t>
  </si>
  <si>
    <t>176377866</t>
  </si>
  <si>
    <t>000802349</t>
  </si>
  <si>
    <t>000806438</t>
  </si>
  <si>
    <t>000803433</t>
  </si>
  <si>
    <t>000802356</t>
  </si>
  <si>
    <t>123533357</t>
  </si>
  <si>
    <t>000803955</t>
  </si>
  <si>
    <t>000803974</t>
  </si>
  <si>
    <t>000802303</t>
  </si>
  <si>
    <t>000802317</t>
  </si>
  <si>
    <t>000802324</t>
  </si>
  <si>
    <t>000802331</t>
  </si>
  <si>
    <t>000802370</t>
  </si>
  <si>
    <t>000803426</t>
  </si>
  <si>
    <t>000801560</t>
  </si>
  <si>
    <t>000802616</t>
  </si>
  <si>
    <t>000802623</t>
  </si>
  <si>
    <t>000802801</t>
  </si>
  <si>
    <t>000802872</t>
  </si>
  <si>
    <t>000802819</t>
  </si>
  <si>
    <t>000803159</t>
  </si>
  <si>
    <t>000801959</t>
  </si>
  <si>
    <t>000803173</t>
  </si>
  <si>
    <t>000802826</t>
  </si>
  <si>
    <t>000803337</t>
  </si>
  <si>
    <t>000803351</t>
  </si>
  <si>
    <t>000803084</t>
  </si>
  <si>
    <t>000802406</t>
  </si>
  <si>
    <t>000807195</t>
  </si>
  <si>
    <t>000802395</t>
  </si>
  <si>
    <t>000807766</t>
  </si>
  <si>
    <t>000802922</t>
  </si>
  <si>
    <t>000803294</t>
  </si>
  <si>
    <t>000807442</t>
  </si>
  <si>
    <t>000803999</t>
  </si>
  <si>
    <t>000802527</t>
  </si>
  <si>
    <t>000802534</t>
  </si>
  <si>
    <t>000802724</t>
  </si>
  <si>
    <t>000802840</t>
  </si>
  <si>
    <t>000803180</t>
  </si>
  <si>
    <t>000801642</t>
  </si>
  <si>
    <t>000803636</t>
  </si>
  <si>
    <t>000803629</t>
  </si>
  <si>
    <t>000802566</t>
  </si>
  <si>
    <t>000802744</t>
  </si>
  <si>
    <t>000803091</t>
  </si>
  <si>
    <t>000803102</t>
  </si>
  <si>
    <t>000802573</t>
  </si>
  <si>
    <t>000802580</t>
  </si>
  <si>
    <t>000802466</t>
  </si>
  <si>
    <t>000803465</t>
  </si>
  <si>
    <t>000808028</t>
  </si>
  <si>
    <t>000803668</t>
  </si>
  <si>
    <t>000802281</t>
  </si>
  <si>
    <t>000802299</t>
  </si>
  <si>
    <t>000803060</t>
  </si>
  <si>
    <t>000802388</t>
  </si>
  <si>
    <t>000807595</t>
  </si>
  <si>
    <t>000802662</t>
  </si>
  <si>
    <t>000802776</t>
  </si>
  <si>
    <t>000803369</t>
  </si>
  <si>
    <t>000803383</t>
  </si>
  <si>
    <t>000801749</t>
  </si>
  <si>
    <t>000803593</t>
  </si>
  <si>
    <t>000802541</t>
  </si>
  <si>
    <t>000803045</t>
  </si>
  <si>
    <t>000803878</t>
  </si>
  <si>
    <t>000803052</t>
  </si>
  <si>
    <t>000802057</t>
  </si>
  <si>
    <t>123087944</t>
  </si>
  <si>
    <t>000802064</t>
  </si>
  <si>
    <t>000803534</t>
  </si>
  <si>
    <t>000803127</t>
  </si>
  <si>
    <t>833159740</t>
  </si>
  <si>
    <t>000802947</t>
  </si>
  <si>
    <t>000802705</t>
  </si>
  <si>
    <t>000802751</t>
  </si>
  <si>
    <t>000801998</t>
  </si>
  <si>
    <t>123522081</t>
  </si>
  <si>
    <t>000803198</t>
  </si>
  <si>
    <t>000802961</t>
  </si>
  <si>
    <t>000802712</t>
  </si>
  <si>
    <t>000866985</t>
  </si>
  <si>
    <t>000871103</t>
  </si>
  <si>
    <t>000871644</t>
  </si>
  <si>
    <t>000871854</t>
  </si>
  <si>
    <t>000867090</t>
  </si>
  <si>
    <t>000867247</t>
  </si>
  <si>
    <t>000867592</t>
  </si>
  <si>
    <t>000867254</t>
  </si>
  <si>
    <t>000867382</t>
  </si>
  <si>
    <t>000867418</t>
  </si>
  <si>
    <t>000867464</t>
  </si>
  <si>
    <t>000867553</t>
  </si>
  <si>
    <t>000867037</t>
  </si>
  <si>
    <t>000871523</t>
  </si>
  <si>
    <t>000867756</t>
  </si>
  <si>
    <t>000870108</t>
  </si>
  <si>
    <t>129004720</t>
  </si>
  <si>
    <t>125508566</t>
  </si>
  <si>
    <t>000867927</t>
  </si>
  <si>
    <t>000867973</t>
  </si>
  <si>
    <t>000867795</t>
  </si>
  <si>
    <t>125583946</t>
  </si>
  <si>
    <t>000870058</t>
  </si>
  <si>
    <t>000867311</t>
  </si>
  <si>
    <t>000867699</t>
  </si>
  <si>
    <t>000867442</t>
  </si>
  <si>
    <t>000866939</t>
  </si>
  <si>
    <t>000866953</t>
  </si>
  <si>
    <t>000867496</t>
  </si>
  <si>
    <t>000867158</t>
  </si>
  <si>
    <t>000867279</t>
  </si>
  <si>
    <t>000867329</t>
  </si>
  <si>
    <t>000867546</t>
  </si>
  <si>
    <t>000867731</t>
  </si>
  <si>
    <t>000871135</t>
  </si>
  <si>
    <t>125508491</t>
  </si>
  <si>
    <t>000867126</t>
  </si>
  <si>
    <t>000867184</t>
  </si>
  <si>
    <t>000867521</t>
  </si>
  <si>
    <t>000866978</t>
  </si>
  <si>
    <t>000866960</t>
  </si>
  <si>
    <t>000867749</t>
  </si>
  <si>
    <t>000867119</t>
  </si>
  <si>
    <t>000867261</t>
  </si>
  <si>
    <t>000867400</t>
  </si>
  <si>
    <t>000867667</t>
  </si>
  <si>
    <t>000867674</t>
  </si>
  <si>
    <t>000867681</t>
  </si>
  <si>
    <t>125503380</t>
  </si>
  <si>
    <t>125508573</t>
  </si>
  <si>
    <t>000877832</t>
  </si>
  <si>
    <t>000891255</t>
  </si>
  <si>
    <t>000898171</t>
  </si>
  <si>
    <t>000892250</t>
  </si>
  <si>
    <t>000896170</t>
  </si>
  <si>
    <t>000892204</t>
  </si>
  <si>
    <t>000892268</t>
  </si>
  <si>
    <t>126152888</t>
  </si>
  <si>
    <t>000892236</t>
  </si>
  <si>
    <t>000892421</t>
  </si>
  <si>
    <t>000893103</t>
  </si>
  <si>
    <t>126057333</t>
  </si>
  <si>
    <t>000892347</t>
  </si>
  <si>
    <t>000892631</t>
  </si>
  <si>
    <t>000892617</t>
  </si>
  <si>
    <t>000892745</t>
  </si>
  <si>
    <t>836024388</t>
  </si>
  <si>
    <t>126157440</t>
  </si>
  <si>
    <t>000895905</t>
  </si>
  <si>
    <t>126526325</t>
  </si>
  <si>
    <t>000896163</t>
  </si>
  <si>
    <t>126004590</t>
  </si>
  <si>
    <t>126003499</t>
  </si>
  <si>
    <t>000896213</t>
  </si>
  <si>
    <t>126526357</t>
  </si>
  <si>
    <t>126004462</t>
  </si>
  <si>
    <t>126067562</t>
  </si>
  <si>
    <t>177061045</t>
  </si>
  <si>
    <t>000892072</t>
  </si>
  <si>
    <t>000892097</t>
  </si>
  <si>
    <t>000892108</t>
  </si>
  <si>
    <t>000892122</t>
  </si>
  <si>
    <t>000892407</t>
  </si>
  <si>
    <t>000892777</t>
  </si>
  <si>
    <t>000892898</t>
  </si>
  <si>
    <t>000893199</t>
  </si>
  <si>
    <t>000892147</t>
  </si>
  <si>
    <t>000892154</t>
  </si>
  <si>
    <t>000893231</t>
  </si>
  <si>
    <t>836024783</t>
  </si>
  <si>
    <t>176735651</t>
  </si>
  <si>
    <t>000892161</t>
  </si>
  <si>
    <t>000891230</t>
  </si>
  <si>
    <t>000892282</t>
  </si>
  <si>
    <t>000893046</t>
  </si>
  <si>
    <t>000892535</t>
  </si>
  <si>
    <t>000892325</t>
  </si>
  <si>
    <t>000892179</t>
  </si>
  <si>
    <t>000893256</t>
  </si>
  <si>
    <t>126614412</t>
  </si>
  <si>
    <t>000893338</t>
  </si>
  <si>
    <t>000891180</t>
  </si>
  <si>
    <t>000893217</t>
  </si>
  <si>
    <t>000891419</t>
  </si>
  <si>
    <t>000891209</t>
  </si>
  <si>
    <t>000893200</t>
  </si>
  <si>
    <t>000892930</t>
  </si>
  <si>
    <t>000892670</t>
  </si>
  <si>
    <t>000898189</t>
  </si>
  <si>
    <t>000897685</t>
  </si>
  <si>
    <t>126003937</t>
  </si>
  <si>
    <t>000891305</t>
  </si>
  <si>
    <t>000891294</t>
  </si>
  <si>
    <t>000892752</t>
  </si>
  <si>
    <t>000893295</t>
  </si>
  <si>
    <t>000892784</t>
  </si>
  <si>
    <t>000892581</t>
  </si>
  <si>
    <t>000892713</t>
  </si>
  <si>
    <t>000893174</t>
  </si>
  <si>
    <t>000892492</t>
  </si>
  <si>
    <t>000892973</t>
  </si>
  <si>
    <t>000893181</t>
  </si>
  <si>
    <t>000229312</t>
  </si>
  <si>
    <t>000229209</t>
  </si>
  <si>
    <t>000227717</t>
  </si>
  <si>
    <t>000230656</t>
  </si>
  <si>
    <t>000961465</t>
  </si>
  <si>
    <t>000962371</t>
  </si>
  <si>
    <t>000961903</t>
  </si>
  <si>
    <t>000962357</t>
  </si>
  <si>
    <t>000962414</t>
  </si>
  <si>
    <t>000925214</t>
  </si>
  <si>
    <t>000922843</t>
  </si>
  <si>
    <t>000922947</t>
  </si>
  <si>
    <t>127593647</t>
  </si>
  <si>
    <t>000922284</t>
  </si>
  <si>
    <t>000922170</t>
  </si>
  <si>
    <t>000921734</t>
  </si>
  <si>
    <t>000922537</t>
  </si>
  <si>
    <t>000922334</t>
  </si>
  <si>
    <t>000921894</t>
  </si>
  <si>
    <t>000921983</t>
  </si>
  <si>
    <t>000922882</t>
  </si>
  <si>
    <t>000921727</t>
  </si>
  <si>
    <t>000922220</t>
  </si>
  <si>
    <t>000921944</t>
  </si>
  <si>
    <t>000922754</t>
  </si>
  <si>
    <t>000921990</t>
  </si>
  <si>
    <t>000921759</t>
  </si>
  <si>
    <t>000922448</t>
  </si>
  <si>
    <t>000922423</t>
  </si>
  <si>
    <t>000921136</t>
  </si>
  <si>
    <t>000922761</t>
  </si>
  <si>
    <t>000921830</t>
  </si>
  <si>
    <t>000922028</t>
  </si>
  <si>
    <t>000922786</t>
  </si>
  <si>
    <t>000922074</t>
  </si>
  <si>
    <t>000922697</t>
  </si>
  <si>
    <t>000921766</t>
  </si>
  <si>
    <t>000922829</t>
  </si>
  <si>
    <t>000922252</t>
  </si>
  <si>
    <t>000921773</t>
  </si>
  <si>
    <t>000921823</t>
  </si>
  <si>
    <t>000921150</t>
  </si>
  <si>
    <t>000921976</t>
  </si>
  <si>
    <t>000922117</t>
  </si>
  <si>
    <t>000921111</t>
  </si>
  <si>
    <t>127532060</t>
  </si>
  <si>
    <t>000922658</t>
  </si>
  <si>
    <t>000924926</t>
  </si>
  <si>
    <t>127071161</t>
  </si>
  <si>
    <t>000921741</t>
  </si>
  <si>
    <t>000922105</t>
  </si>
  <si>
    <t>000921816</t>
  </si>
  <si>
    <t>000921879</t>
  </si>
  <si>
    <t>000922551</t>
  </si>
  <si>
    <t>837101649</t>
  </si>
  <si>
    <t>000922747</t>
  </si>
  <si>
    <t>000922868</t>
  </si>
  <si>
    <t>000921129</t>
  </si>
  <si>
    <t>000922188</t>
  </si>
  <si>
    <t>000921855</t>
  </si>
  <si>
    <t>000922569</t>
  </si>
  <si>
    <t>127503128</t>
  </si>
  <si>
    <t>000922124</t>
  </si>
  <si>
    <t>000922099</t>
  </si>
  <si>
    <t>000922494</t>
  </si>
  <si>
    <t>000922268</t>
  </si>
  <si>
    <t>000921691</t>
  </si>
  <si>
    <t>000922633</t>
  </si>
  <si>
    <t>000922804</t>
  </si>
  <si>
    <t>000921809</t>
  </si>
  <si>
    <t>000922722</t>
  </si>
  <si>
    <t>000922875</t>
  </si>
  <si>
    <t>000921951</t>
  </si>
  <si>
    <t>000922836</t>
  </si>
  <si>
    <t>000965467</t>
  </si>
  <si>
    <t>000960979</t>
  </si>
  <si>
    <t>000964828</t>
  </si>
  <si>
    <t>000965474</t>
  </si>
  <si>
    <t>000964842</t>
  </si>
  <si>
    <t>000961480</t>
  </si>
  <si>
    <t>000964835</t>
  </si>
  <si>
    <t>177294672</t>
  </si>
  <si>
    <t>000961472</t>
  </si>
  <si>
    <t>000962439</t>
  </si>
  <si>
    <t>000964415</t>
  </si>
  <si>
    <t>000962421</t>
  </si>
  <si>
    <t>838100055</t>
  </si>
  <si>
    <t>000962492</t>
  </si>
  <si>
    <t>000962503</t>
  </si>
  <si>
    <t>000962510</t>
  </si>
  <si>
    <t>000962528</t>
  </si>
  <si>
    <t>128042698</t>
  </si>
  <si>
    <t>000962670</t>
  </si>
  <si>
    <t>000962567</t>
  </si>
  <si>
    <t>000961515</t>
  </si>
  <si>
    <t>000962243</t>
  </si>
  <si>
    <t>000962407</t>
  </si>
  <si>
    <t>000961440</t>
  </si>
  <si>
    <t>000961433</t>
  </si>
  <si>
    <t>000961682</t>
  </si>
  <si>
    <t>000961586</t>
  </si>
  <si>
    <t>000964237</t>
  </si>
  <si>
    <t>000964479</t>
  </si>
  <si>
    <t>000962453</t>
  </si>
  <si>
    <t>000961458</t>
  </si>
  <si>
    <t>000964949</t>
  </si>
  <si>
    <t>000961771</t>
  </si>
  <si>
    <t>000961643</t>
  </si>
  <si>
    <t>000961091</t>
  </si>
  <si>
    <t>000961814</t>
  </si>
  <si>
    <t>000962147</t>
  </si>
  <si>
    <t>000961533</t>
  </si>
  <si>
    <t>000961554</t>
  </si>
  <si>
    <t>000961878</t>
  </si>
  <si>
    <t>000961718</t>
  </si>
  <si>
    <t>000961611</t>
  </si>
  <si>
    <t>000962204</t>
  </si>
  <si>
    <t>000962290</t>
  </si>
  <si>
    <t>000669774</t>
  </si>
  <si>
    <t>000455029</t>
  </si>
  <si>
    <t>000044210</t>
  </si>
  <si>
    <t>000807453</t>
  </si>
  <si>
    <t>000522379</t>
  </si>
  <si>
    <t>000083302</t>
  </si>
  <si>
    <t>000403460</t>
  </si>
  <si>
    <t>000582700</t>
  </si>
  <si>
    <t>000610128</t>
  </si>
  <si>
    <t>000669799</t>
  </si>
  <si>
    <t>000458930</t>
  </si>
  <si>
    <t>000669781</t>
  </si>
  <si>
    <t>000458948</t>
  </si>
  <si>
    <t>000669678</t>
  </si>
  <si>
    <t>000284789</t>
  </si>
  <si>
    <t>000212722</t>
  </si>
  <si>
    <t>000585002</t>
  </si>
  <si>
    <t>000803725</t>
  </si>
  <si>
    <t>000610929</t>
  </si>
  <si>
    <t>000183306</t>
  </si>
  <si>
    <t>000669802</t>
  </si>
  <si>
    <t>831154303</t>
  </si>
  <si>
    <t>000674508</t>
  </si>
  <si>
    <t>Булстат/ЕИК</t>
  </si>
  <si>
    <t>преносим компютър</t>
  </si>
  <si>
    <t>65-инчов 4K интерактивен плосък панел с камера и микрофон,  с OPS/OPS-C устройства, реализирайки плавно превключване между вградените системи.</t>
  </si>
  <si>
    <t>Рутер, 5.4Gbps, черен</t>
  </si>
  <si>
    <t>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t>
  </si>
  <si>
    <t>Очила за виртуална реалност</t>
  </si>
  <si>
    <t>Платки</t>
  </si>
  <si>
    <t>Режещ плотер</t>
  </si>
  <si>
    <t>3D Принтер</t>
  </si>
  <si>
    <t>HDMI кабел</t>
  </si>
  <si>
    <t xml:space="preserve">HDMI кабел 15м </t>
  </si>
  <si>
    <t>видеорегистратор</t>
  </si>
  <si>
    <t>камери</t>
  </si>
  <si>
    <t>микрофон</t>
  </si>
  <si>
    <t>интерактивен дисплей</t>
  </si>
  <si>
    <t>мрежово оборудване</t>
  </si>
  <si>
    <t>3D очила</t>
  </si>
  <si>
    <t>плотер</t>
  </si>
  <si>
    <t>принтер</t>
  </si>
  <si>
    <t>Интерактивен дисплей с широкоъгълна камера и микрофон</t>
  </si>
  <si>
    <t>интерактивен дисплей с вграден компютърен OPS модул и вградена точка за достъп с интегрирана широкоъгълна камера и микрофон</t>
  </si>
  <si>
    <t>софтуер за управление на дигитално съдържание</t>
  </si>
  <si>
    <t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t>
  </si>
  <si>
    <t>Монитор за наблюдение</t>
  </si>
  <si>
    <t>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t>
  </si>
  <si>
    <t>програмируем робот</t>
  </si>
  <si>
    <t>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t>
  </si>
  <si>
    <t xml:space="preserve">Консуматив за 3D принтер </t>
  </si>
  <si>
    <t>Софтуерни и хардуерни науки, Чужди езици</t>
  </si>
  <si>
    <t>Учители по математика, информатика, информационни технологии, компютърно моделиране и информационни технологии</t>
  </si>
  <si>
    <t>мултифункционално устройство</t>
  </si>
  <si>
    <t>Ученически чин 1</t>
  </si>
  <si>
    <t>Ученически чин 2</t>
  </si>
  <si>
    <t>Ученически стол 1</t>
  </si>
  <si>
    <t>Ученически стол 3</t>
  </si>
  <si>
    <t>Стол за висока маса</t>
  </si>
  <si>
    <t>Учителско бюро с помощен шкаф</t>
  </si>
  <si>
    <t>Учителски стол</t>
  </si>
  <si>
    <t>Демонстрационна маса /маса за роботи</t>
  </si>
  <si>
    <t xml:space="preserve">Висока маса Чичи </t>
  </si>
  <si>
    <t>Г-образна маса</t>
  </si>
  <si>
    <t>Работна маса</t>
  </si>
  <si>
    <t>Модулна маса Полукръг</t>
  </si>
  <si>
    <t>Модулна маса Алис</t>
  </si>
  <si>
    <t>Табуретка (квадрат)</t>
  </si>
  <si>
    <t>Табуретка (кръг)</t>
  </si>
  <si>
    <t>Табуретка (триъгълник)</t>
  </si>
  <si>
    <t>Пуф тип "Круша"</t>
  </si>
  <si>
    <t>Диван тип "Чакалня"</t>
  </si>
  <si>
    <t xml:space="preserve">Подиум на вълни </t>
  </si>
  <si>
    <t>Диван Кръг</t>
  </si>
  <si>
    <t>Табуретка Вълна голяма</t>
  </si>
  <si>
    <t>Открита етажерка Вълна</t>
  </si>
  <si>
    <t>Нисък шкаф с термоплот</t>
  </si>
  <si>
    <t>Етажерка с дистанционери</t>
  </si>
  <si>
    <t>Етажерка Дърво</t>
  </si>
  <si>
    <t>Етажерка кутия в кутия</t>
  </si>
  <si>
    <t>Въртящ се шкаф на колелца</t>
  </si>
  <si>
    <t>Шкаф с шест вратички</t>
  </si>
  <si>
    <t>Секция Пчелна пита</t>
  </si>
  <si>
    <t xml:space="preserve">Модулна маса с трапецовидна форма. Дизайнът на масата позволява подредбата на няколко маси в различни конфигурации. Плот от ЛПДЧ 18 мм със заоблени ъгли, с ABS кантове с UV защита. Метална конструкция от прахово боядисана тръба с размери Ф20x1.5 мм. Размери: дължина 128.8 см, широчина 68 см, височина 54/60/64/ 68/72/76 см. </t>
  </si>
  <si>
    <r>
      <t xml:space="preserve">Модулна маса Кръг. Плотът е изработена от ЛПДЧ 18 мм с ABS кантове с UV защита. Ламинираното покритие позволява лесно почистване и поддържане. Конструкцията е с четири прахово боядисани крака Роси, изработени от стоманена тръба Ф50х1.5 мм. Размери: диаметър 80 см, </t>
    </r>
    <r>
      <rPr>
        <sz val="11"/>
        <color theme="1"/>
        <rFont val="Calibri"/>
        <family val="2"/>
        <scheme val="minor"/>
      </rPr>
      <t>височина 54/60/64/68/70/72/76 см</t>
    </r>
  </si>
  <si>
    <t>Ученически стол със заоблени ръбове, ергономична моноблок седалка и облегалка от пластмаса с височина 45 см.</t>
  </si>
  <si>
    <t>Ергономична моноблок седалка и облегалка от пластмаса. Облегалка с отвор за удобен захват и допълнителни две извивки за удобно окачване на раници. Височина 45 см.</t>
  </si>
  <si>
    <t xml:space="preserve">Седалищна част - въртяща се и с твърда основа. Облегална част - твърда основа. Конструкция - метален крак, регулиреума височина. Дамаска - еко кожа. </t>
  </si>
  <si>
    <t xml:space="preserve">Бюрото с модерен дизайн. Помощният шкаф е с врата и 3 чекмеджета с централно заключване. Плотът е изработен от ЛПДЧ 18 мм с ABS кантове с UV защита. Конструкция: метал с Т-образен крак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120 см,  широчина 138.5 см, височина 75 см
</t>
  </si>
  <si>
    <t>Офис въртящ се стол с колелца и подлакътници</t>
  </si>
  <si>
    <t>Изработена от ЛПДЧ 18 мм с ABS кантове с UV защита. С четири прахово боядисани крака Роси, изработени от стоманена тръба Ф50х1.5 мм. Размери: дължина 150/200 см, широчина 90 см, височина 80 см</t>
  </si>
  <si>
    <t>Висока маса Чичи 169Х40 Н=100см</t>
  </si>
  <si>
    <t>Съчетание от здрава метална конструкция и ламинирани плоскости. Плотът и подплотната са изработени от ЛПДЧ 18 мм с ABS кантове с UV защита.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боядисана стоманена тръба Ф38х1.5 мм, с основа от тръба 50х30х1.5 мм. Декоративен елемент от перфорирана ламарина. PVC регулируеми стъпки. Размери: дължина 140 см, широчина 130 см, височина 75 см</t>
  </si>
  <si>
    <t>Изчистен дизайн. Масивният плот от ЛПДЧ 25 мм с ABS кантове с UV защита я прави изключително здрава и устойчива.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180 см, широчина 70 см, височина 76 см</t>
  </si>
  <si>
    <t>Изчистен дизайн. Масивният плот от ЛПДЧ 25 мм с ABS кантове с UV защита я прави изключително здрава и устойчива. Конструкцията е с четири прахово боядисани крака Роси, изработени от стоманена тръба Ф50х1.5 мм. Размери: диаметър 140 см, широчина 70 см, височина 76 см</t>
  </si>
  <si>
    <t xml:space="preserve">Модулна маса изработена от ЛПДЧ 18 мм със заоблени ъгли, с ABS кантове с UV защита, с три прахово боядисани крака Роси, изработени от стоманена тръба Ф50х1.5 мм. Дизайнът ѝ позволява и подреждане в композиция (образува окръжност, като подредбата и се осъществява само от леви или само от десни масички). Размери: дължина 68 см, широчина 74 см, височина 54/60/64/ 68/72/76 см
</t>
  </si>
  <si>
    <t>Табуретка Квадрат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дълочина 40 см, височина 43 см</t>
  </si>
  <si>
    <t>Табуретка Кръг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диаметър 40 см, височина 43 см</t>
  </si>
  <si>
    <t>Табуретка Триъгълник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дълбочина 40 см, височина 43 см</t>
  </si>
  <si>
    <t>Меки и удобни круши, пълни с гранули, приспособяващи формата към седящия човек. Покрит с издръжлива PVC тъкан без фталати, която е лесна за почистване. Размери: ширина 40 см, височина 60 см</t>
  </si>
  <si>
    <t>Диван със здрава конструкция от метал, отличаваща се с устойчивост при дълъг период на употреба. Подходящ за обществени помещения. Размери: широчина 180 см,  дълбочина 60 см,  височина 70 см</t>
  </si>
  <si>
    <t>Подиум на вълни 280Х200 Н=40СМ - две нива</t>
  </si>
  <si>
    <t xml:space="preserve">Удобен и комфортен, със здрава конструкция от метал, отличаваща се с устойчивост при дълъг период на употреба. При повече диванчета може да се образува вълнообразна композиция. Размери: диаметър 150 см, дълбочина 55 см, височина 42 см
</t>
  </si>
  <si>
    <t>Размери:  160Х60 Н=42см. Табуретка вълна + етажерка вълна може да се подреждат в различни комбинации</t>
  </si>
  <si>
    <t>Размери: 110Х40/25 Н=100 см. Табуретка вълна + етажерка вълна може да се подреждат в различни комбинации</t>
  </si>
  <si>
    <t>Шкаф с термоплот, две врати и открити рафтове. Изработен от ЛПДЧ 18 мм със заоблени ъгли, с ABS кантове с UV защита и с кантиран термоплот 38 мм. Размери: широчина 170 см, дълбочина 60 см, височина 80 см</t>
  </si>
  <si>
    <t>Етажерката с дистанционери е с модерен и елегантен дизайн. Изработена от ЛПДЧ 18 мм с ABS кантове с UV защита. Размери: широчина 70 см,  дълбочина 25 см,  височина 105 см</t>
  </si>
  <si>
    <t>Етажерка Дърво е с модерен и забавен дизайн, изработена от ЛПДЧ 18 мм с ABS кантове с UV защита.  Размери: широчина 150 см,  дълбочина 22 см,  височина 200 см</t>
  </si>
  <si>
    <t>Етажерката е с две дълбочини. Разполага с 11 отворени ниши, подходящи за поставяне на книги, учебни помагала и други. Изработена е от ЛПДЧ 18 мм с ABS кантове с UV защита. Размери: широчина 170 см, дълбочина 30/40 см, височина 183 см</t>
  </si>
  <si>
    <t xml:space="preserve">Шкафът на колелца е с модерен дизайн. Изработен изцяло от ЛПДЧ 18 мм с ABS кантове с UV защита. Размери: широчина 50 см,  дълбочина 50 см,  височина 170 см
</t>
  </si>
  <si>
    <t xml:space="preserve">Шкаф с шест заоблени вратички със заключване за съхранение на лични вещи и учебни помагала. Изработен изцяло от ЛПДЧ 18 мм с ABS кантове с UV защита. Ламинираното покритие позволява лесно почистване и поддържане. Размери: широчина 80 см, дълбочина 40 см, височина 133 см
</t>
  </si>
  <si>
    <t>Секция Пчелна пита е изработена изцяло от ЛПДЧ 18 мм с ABS кантове с UV защита. Разполага с отворени и затворени модули и ниши във формата на шестоъгълник, имитиращи пчелна пита. Високите крайни шкафове са със заключване. С място за прибиране на табуретки Шестоъгълник, които се поръчват допълнително.  Размери: широчина 675 см,  дълбочина 45 см,  височина 215 см</t>
  </si>
  <si>
    <t>https://mebelikan.bg/%D0%BF%D1%80%D0%BE%D0%B4%D1%83%D0%BA%D1%82%D0%B8/%D1%82%D0%B0%D0%B1%D1%83%D1%80%D0%B5%D1%82%D0%BA%D0%B0-%D0%9A%D1%80%D1%8A%D0%B3;https://teodoros.com/bg-bg/category/product/33495891595756531/</t>
  </si>
  <si>
    <t>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t>
  </si>
  <si>
    <t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t>
  </si>
  <si>
    <t>контролерни платки с микроконтролери или микропроцесори</t>
  </si>
  <si>
    <t>Комплект за програмиране с многобройни компоненти</t>
  </si>
  <si>
    <t>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t>
  </si>
  <si>
    <t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t>
  </si>
  <si>
    <t xml:space="preserve"> суич-комутатор</t>
  </si>
  <si>
    <t>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t>
  </si>
  <si>
    <t>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t>
  </si>
  <si>
    <t>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t>
  </si>
  <si>
    <t>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t>
  </si>
  <si>
    <t>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t>
  </si>
  <si>
    <t>Софтуер за дигитализация на учебния процес</t>
  </si>
  <si>
    <t>Софтуер в подкрепа на дигиталната трансформация в образованието</t>
  </si>
  <si>
    <t>софтуер за  централизирано
 управление  на интерактивни дисплеи</t>
  </si>
  <si>
    <t>друго</t>
  </si>
  <si>
    <t>Поддържан формат на хартията до SRA3
   Стандартна памет от 8 GB RAM
   25 ppm, за да бъдете в крак с нарастващото натоварване
   Капацитет на зареждане с хартията до 6 650 листа 
   Скорост при цветно сканиране до 200 ipmПълна интеграция със система за управление на печата</t>
  </si>
  <si>
    <t xml:space="preserve"> Робот играчка
Дистанционно С дистанционно устройство
Батерия Литиево-йонна
Зареждане USB
Тип сглобяване Сглобен
Тип придвижване -Колелца.Програмируемият робот  може да се движи се по линия, реагира на звуци и светлина.
Зарежда се посредством microUSB кабел. Управление чрез Bluetooth таблет/смартфон;
Поддържани програмни езици:
USB за връзка  с компютър;
</t>
  </si>
  <si>
    <t>Модул на огъване: 1,882-2,385Mpa
Якост на огъване: 40-58MPa
Температура на гореща деформация: 80 ℃
Термично разширение: 95*E-6
Свиване на обема: 3,35-4,24%
Линейно свиване: 1,05-1,35%
Якост на опън: 30-52MPa
Модул на опън: 1,779-2,385 MPa
Удължение при скъсване: 4-10%
Твърдост (Shore D): 85-88 D
Температура на стъкловиден преход: 100 ℃
Плътност: 1,05-1,25 g/cm3
Устойчивост на удар в зъб: 41-48j/m
Вискозитет: 100-350MPa-s</t>
  </si>
  <si>
    <t>Оферта №1 т дата 18.08.2023г. И №3 от 03.07.23г.</t>
  </si>
  <si>
    <t>оферта №1 Тех Смарт ЕООД 18.08.2023 и №4 от 13.08.23г.</t>
  </si>
  <si>
    <t>Оферта 1 от 18.08.2023 и №6 31.07.23г.</t>
  </si>
  <si>
    <t>Софтуер за редакция на изображения и графики</t>
  </si>
  <si>
    <t>професионален графичен софтуер, предназначен за обработка на изображения.Предлага богат набор от инструменти и функции, включително редактор за корекции на цветове, създаване на слоеве, ретуш и множество филтри, които подпомагат при създаването, редактирането и подобряването на графични проекти.</t>
  </si>
  <si>
    <t>https://www.ozone.bg/product/laptop-dell-vostro-3530-intel-core-5-1335u-12-mb-cache-up-to-4-60-ghz-15-6-fhd-1920x1080-ag-120hz-wva-250nits-8gb-1x8gb-ddr4-512gb-pcie-m-2-uhd-graphics-hd-cam-and-mic-802-11ac-bg-kb-win-11-pro-3y-bos/ - 1699 лв с ДДС
https://ardes.bg/product/dell-vostro-3520-n1614pvnb3520emea01-ubu-16gb-w11h-317367 - 1178 лв с ддс</t>
  </si>
  <si>
    <t>https://ont.bg/bg-product-details-158.html - 6048 лв с ддс 
https://www.jmt.bg/newline-tt-6522z-pid78504 - 8897 лв с ддс</t>
  </si>
  <si>
    <t>https://www.ozone.bg/product/ruter-ubiquiti-edgerouter-4-er-4/ - 424.15 лв с ддс
https://www.senetic.bg/product/Archer_AXE75?gclid=CjwKCAjwhJukBhBPEiwAniIcNbRIJRtkjYYCUmD0ZTKvhfRwv3d1ujC9Ky3D1i7maGRIk-r1MpMNKxoC7zwQAvD_BwE - 424.52 лв с ддс</t>
  </si>
  <si>
    <t>https://ardes.bg/product/oculus-quest-2-128gb-all-in-one-byal-301-00355-01-276169?utm_source=pazaruvaj.com&amp;utm_medium=VR+%D0%BE%D1%87%D0%B8%D0%BB%D0%B0 949 лв с ддс
https://bestpc.bg/bg/aksesoari-drugi/facebook/komplekt-za-virtualna-realnost-oculus-quest-2-256gb-295270 1109 лв с ддс</t>
  </si>
  <si>
    <t>https://vikiwat.com/prototipna-platka-razvoen-komplekt-arduino-uno-rev3-bg.html 75.11лв с ддс
https://erelement.com/arduino-ethernet-shield-2 60лв с ддс</t>
  </si>
  <si>
    <t xml:space="preserve">https://www.adcom.bg/produkti/rejeshti-ploteri/rolni/expert-ii-24-detail 1432.8 с ддс 
https://hansbg.com/product/7781/rezhesht-ploter-expert-ii-24-lx.html 986.15лв </t>
  </si>
  <si>
    <t>https://www.emag.bg/3d-printer-wanhao-duplicator-7-plus-dlp-12x6-8x18-cm-cveten-tychskrijn-d7plus/pd/DXRWR5BBM/?_gl=1*6kclas*_up*MQ..&amp;gclid=CjwKCAjwyqWkBhBMEiwAp2yUFkYUEmmdIPZQRpb7r8RhSc5fuPE-usVOuKwoUd5gWSWfMMAcqEOQlxoC5hwQAvD_BwE - 1213,20 лв с ддс 
https://3dprintx.bg/magazin/k1c-creality/ - 1228 лв.с ддс</t>
  </si>
  <si>
    <t>https://dice.bg/belkin-8k-ultra-high-speed-hdmi-cable-with-dolby-vision-hdmi-kabel-s-poddrazhka-na-dolby-vision-200-sm-cheren-item36117/ - 99 лв с ддс 
https://www.jarcomputers.com/belkin-8k-ultra-high-speed-hdmi-cable-with-dolby-vision-hdmi-kabel-s-poddryjka-na-dolby-vi_sprod_413629.html - 99 лв с ддс</t>
  </si>
  <si>
    <t>https://www.ozone.bg/product/16-portov-gigabiten-komutator-ubiquiti-usw-16-poe-gen2/ 999 лв с ддс
https://www.senetic.bg/product/USW-16-POE?gclid=CjwKCAjwhJukBhBPEiwAniIcNfnBbHTFT4xonsu4nT9CzpPaEG_NgTyeqUMPj0BDPhBoANkb_5y2ahoC0RwQAvD_BwE 591,43 лв с ДДС</t>
  </si>
  <si>
    <t>https://www.bhphotovideo.com/c/product/1702838-REG/hikvision_ids_2cd7186g0_izs_2_812_mm_deepinview_ids_2cd7186g0_izs_8mp_network.html 1049.39 лв 
https://www.networkcamerastore.com/hikvision-ids-2cd7186g0-izs-8-32mm-8mp-deepinview-m-vf-in-o-dome/ 1762.4 лв</t>
  </si>
  <si>
    <t>https://www.networkcamerastore.com/hikvision-ids-2cd7186g0-izs-8-32mm-8mp-deepinview-m-vf-in-o-dome/ 1762.40 лв 
https://www.bhphotovideo.com/c/product/1702838-REG/hikvision_ids_2cd7186g0_izs_2_812_mm_deepinview_ids_2cd7186g0_izs_8mp_network.html 1049.39лв</t>
  </si>
  <si>
    <t>https://www.polvision.eu/en_US/p/DS-D5050UC-C/5875 2165.77 лв
https://bestpc.bg/bg/monitori-lcd-monitors/hikvision/hikvision-ds-d5055uc-c-316374 2049лв с ддс</t>
  </si>
  <si>
    <t>https://3dprintx.bg/magazin/primacreator-value-uv-smola-koyato-mozhe-da-se-mie-s-voda-1000-ml-byala/
https://tonermall.eu/product/7494/konsumativ-za-3d-printer-xyzprinting-color-rfplfxeu00c-1-75mm-color-inkjet-pla-byal.html</t>
  </si>
  <si>
    <t>https://ont.bg/bg-product-details-187.html;
https://www.store.bg/p239976997/robot-za-programirane-photon-edu.html</t>
  </si>
  <si>
    <t>https://mpsbulgaria.com/produkti/harduer/multifunkcionalni-ustroystva/konica-minolta-bizhub-c250i-multifunkcionalno-ustroystvo.html
https://dilex.bg/pechat/kopirni-mashini/cveten-pechat/konica-minolta-bizhub-c250i-nov-model-sra3-cvetna-kopirna-mashina.osnovno-tyalo-cveten-kopir-cveten-skener-i-dvustranen-cveten-printer.300gr.hartiya.html</t>
  </si>
  <si>
    <t>https://www.adobe.com/bg/creativecloud/plans.html
https://pixlr.com/pricing/</t>
  </si>
  <si>
    <t>https://mebelikan.bg/%D0%BF%D1%80%D0%BE%D0%B4%D1%83%D0%BA%D1%82%D0%B8/%D0%BC%D0%B0%D1%81%D0%B0-%D0%BC%D0%BE%D0%B4%D1%83%D0%BB%D0%BD%D0%B0-%D1%82%D1%80%D0%B0%D0%BF%D0%B5%D1%86%D0%BE%D0%B2%D0%B8%D0%B4%D0%BD%D0%B0?sector=schools
https://uchmag.com/bg-bg/category/product/masa-modulna-trapetsovidna-s-metalni-kraka-129h68-n-54-300052694540759005/</t>
  </si>
  <si>
    <t>https://mebelikan.bg/%D0%BF%D1%80%D0%BE%D0%B4%D1%83%D0%BA%D1%82%D0%B8/%D0%BC%D0%B0%D1%81%D0%B0-%D0%BC%D0%BE%D0%B4%D1%83%D0%BB%D0%BD%D0%B0-%D1%86%D0%B2%D0%B5%D1%82%D0%B5-%D0%BA%D1%80%D1%8A%D0%B3
https://uchmag.com/bg-bg/category/product/masa-modulna-tsvete-krag-f-80-n-70-300052694540747641/</t>
  </si>
  <si>
    <t>https://mebelikan.bg/%D0%BF%D1%80%D0%BE%D0%B4%D1%83%D0%BA%D1%82%D0%B8/%D1%81%D1%82%D0%BE%D0%BB-%D0%BC%D0%B0%D0%BA%D1%81%D0%B8%D0%BC%D0%B0-%D0%B0
https://www.toytown.bg/uchenicheski-stol-maxima-a-43-h-45-h-46-cm-krusha.html</t>
  </si>
  <si>
    <t>https://mebelikan.bg/%D0%BF%D1%80%D0%BE%D0%B4%D1%83%D0%BA%D1%82%D0%B8/%D1%81%D1%82%D0%BE%D0%BB-%D1%83%D1%87%D0%B5%D0%BD%D0%B8%D1%87%D0%B5%D1%81%D0%BA%D0%B8-%D0%BA%D1%8E%D1%82
https://www.toytown.bg/uchenicheski-stol-cute-430-h-425-h-460-mm-sin-ot-viii-do-xii-klas.html</t>
  </si>
  <si>
    <t>https://moemax.bg/product-11111111803289
https://jysk.bg/trapezariya/bar-masi/stolove/bar-stol-grindsted-kadife-sivo/cherno</t>
  </si>
  <si>
    <t>https://mebelikan.bg/%D0%BF%D1%80%D0%BE%D0%B4%D1%83%D0%BA%D1%82%D0%B8/%D0%B1%D1%8E%D1%80%D0%BE-%D0%BF%D0%BE%D0%BC%D0%BE%D1%89%D0%B5%D0%BD-%D1%88%D0%BA%D0%B0%D1%84-%D0%BC%D0%B0%D1%81%D0%B0
https://uchmag.com/bg-bg/category/product/byuro-uchitelsko-dyasno-sas-zaklyuchvane-118h65-n-76-300052694540759067/</t>
  </si>
  <si>
    <t>https://mebelikan.bg/%D0%BF%D1%80%D0%BE%D0%B4%D1%83%D0%BA%D1%82%D0%B8/%D1%80%D0%B0%D0%B1%D0%BE%D1%82%D0%B5%D0%BD-%D1%81%D1%82%D0%BE%D0%BB-monti
https://stem1.bg/product/rfg-raboten-stol-smart-w-damaska-i-mesh-cherna-sedalka-cherna-oblegalka</t>
  </si>
  <si>
    <t>https://mebelikan.bg/%D0%BF%D1%80%D0%BE%D0%B4%D1%83%D0%BA%D1%82%D0%B8/%D0%BC%D0%B0%D1%81%D0%B0-%D0%B7%D0%B0%D1%81%D0%B5%D0%B4%D0%B0%D1%82%D0%B5%D0%BB%D0%BD%D0%B0-%D0%B0%D1%82%D0%B8%D0%BD%D0%B0
https://uchmag.com/bg-bg/category/product/masa-zasedatelna-atina-240h100-n-76-0-25-300052694540759033/</t>
  </si>
  <si>
    <t>https://www.ikea.bg/products/tommaryd-masa/29304826
https://aiko-bg.com/product-78453040002</t>
  </si>
  <si>
    <t>https://mebelikan.bg/%D0%BF%D1%80%D0%BE%D0%B4%D1%83%D0%BA%D1%82%D0%B8/%D0%BC%D0%B0%D1%81%D0%B0-%D0%B3-%D0%BE%D0%B1%D1%80%D0%B0%D0%B7%D0%BD%D0%B0
https://www.aliexpress.com/item/1005005465356172.html?spm=a2g0o.productlist.main.7.4f927b1eKF0HSk&amp;algo_pvid=53db55ae-aed2-4c88-a3e7-6b7860e7f66f&amp;algo_exp_id=53db55ae-aed2-4c88-a3e7-6b7860e7f66f-3&amp;pdp_npi=4%40dis%21BGN%21677.58%21677.58%21%21%21369.78%21%21%402101d8f416926065593156377eb025%2112000033193048853%21sea%21BG%210%21A&amp;curPageLogUid=OdyWjDvA6Ivq</t>
  </si>
  <si>
    <t>https://mebelikan.bg/%D0%BF%D1%80%D0%BE%D0%B4%D1%83%D0%BA%D1%82%D0%B8/%D0%BC%D0%B0%D1%81%D0%B0-%D0%BA%D0%BE%D0%BD%D1%84%D0%B5%D1%80%D0%B5%D0%BD%D1%82%D0%BD%D0%B0-%D1%81%D0%BB%D0%B8%D0%B2%D0%B5%D0%BD-%D0%BF%D1%80%D0%B0%D0%B2%D0%B0
https://uchmag.com/bg-bg/category/product/masa-konferentna-sliven-prava-180h70-n-76-0-25-300052694540759031/</t>
  </si>
  <si>
    <t>https://mebelikan.bg/%D0%BF%D1%80%D0%BE%D0%B4%D1%83%D0%BA%D1%82%D0%B8/%D0%BC%D0%B0%D1%81%D0%B0-%D0%BA%D0%BE%D0%BD%D1%84%D0%B5%D1%80%D0%B5%D0%BD%D1%82%D0%BD%D0%B0-%D1%81%D0%BB%D0%B8%D0%B2%D0%B5%D0%BD-%D0%BF%D0%BE%D0%BB%D1%83%D0%BA%D1%80%D1%8A%D0%B3
https://uchitel.bg/uchenicheska-masa-rondo-polukrag-120h60sm-n71sm</t>
  </si>
  <si>
    <t>https://mebelikan.bg/%D0%BF%D1%80%D0%BE%D0%B4%D1%83%D0%BA%D1%82%D0%B8/%D0%BC%D0%B0%D1%81%D0%B0-%D0%BC%D0%BE%D0%B4%D1%83%D0%BB%D0%BD%D0%B0-%D0%B0%D0%BB%D0%B8%D1%81
https://uchmag.com/bg-bg/category/product/masa-modulna-alis-68h74-n-76-300052694540747551/</t>
  </si>
  <si>
    <t>https://mebelikan.bg/%D0%BF%D1%80%D0%BE%D0%B4%D1%83%D0%BA%D1%82%D0%B8/%D1%82%D0%B0%D0%B1%D1%83%D1%80%D0%B5%D1%82%D0%BA%D0%B0-%D0%BA%D0%B2%D0%B0%D0%B4%D1%80%D0%B0%D1%82
https://bomi.bg/%D0%BC%D0%B0%D0%B3%D0%B0%D0%B7%D0%B8%D0%BD/%D0%BF%D0%B0%D0%BD%D0%B4%D0%BE%D1%80%D0%B0-%D0%BC/</t>
  </si>
  <si>
    <t>https://mebelikan.bg/%D0%BF%D1%80%D0%BE%D0%B4%D1%83%D0%BA%D1%82%D0%B8/%D1%82%D0%B0%D0%B1%D1%83%D1%80%D0%B5%D1%82%D0%BA%D0%B0-%D1%82%D1%80%D0%B8%D1%8A%D0%B3%D1%8A%D0%BB%D0%BD%D0%B8%D0%BA
https://www.barbaron.bg/taburetka.html</t>
  </si>
  <si>
    <t>https://uchitel.bg/mini-puf-za-syadane-kruSha-oranzhev
https://www.barbaron.bg/puf-krusha.html?gclid=CjwKCAjwloynBhBbEiwAGY25dLnF6q-38jycIDzGHthCp0Q2Ooyi48MWtMm7CCXdiS5JxpD0OUlmfBoCEPAQAvD_BwE</t>
  </si>
  <si>
    <t>https://mebelikan.bg/%D0%BF%D1%80%D0%BE%D0%B4%D1%83%D0%BA%D1%82%D0%B8/%D0%B4%D0%B8%D0%B2%D0%B0%D0%BD-%D1%82%D1%80%D0%B8%D0%BC%D0%B5%D1%81%D1%82%D0%B5%D0%BD-%D0%B7%D0%B0-%D1%87%D0%B0%D0%BA%D0%B0%D0%BB%D0%BD%D1%8F
https://uchmag.com/bg-bg/category/product/divan-trimesten-za-chakalnya-180h60-n-70-300052694540763770/</t>
  </si>
  <si>
    <t>https://www.office1.bg/taburetki-i-moduli-za-syadane-stem-1003 (комбиниране на елементи)
https://mebelikan.bg/%D0%BF%D1%80%D0%BE%D0%B4%D1%83%D0%BA%D1%82%D0%B8/%D0%BC%D0%BE%D0%B4%D1%83%D0%BB%D0%B5%D0%BD-%D0%BF%D0%BE%D0%B4%D0%B8%D1%83%D0%BC-%D0%B5%D0%B4%D0%B8%D0%BD%D0%B8%D1%87%D0%B5%D0%BD?sector=stem (комбиниране на елементи)</t>
  </si>
  <si>
    <t>https://mebelikan.bg/%D0%BF%D1%80%D0%BE%D0%B4%D1%83%D0%BA%D1%82%D0%B8/%D0%B4%D0%B8%D0%B2%D0%B0%D0%BD-%D0%BA%D1%80%D1%8A%D0%B3
https://www.schoolbg.com/divan-krag-1.html</t>
  </si>
  <si>
    <t>https://www.schoolbg.com/mobilen-laboratoren-kabinet.html/product/details?Id=21656 
https://uchitel.bg/komplekt-paolo-krag-ot-meki-taburetki-cherno-sivo-zhalto?rlv_rid=99f94aea-c27e-4d01-845d-be4ee95f8fff&amp;amp;rlv_rpid=16439_bg_BGN&amp;amp;rlv_rpos=1</t>
  </si>
  <si>
    <t>https://www.schoolbg.com/otkrita-etazerka-valna-75h25-n-100-sm-modul-1.html 
https://uchmag.com/bg-bg/category/product/etazherka-s-distantsioneri-70h25-n-105-300052694540748841/</t>
  </si>
  <si>
    <t>https://mebelikan.bg/%D0%BF%D1%80%D0%BE%D0%B4%D1%83%D0%BA%D1%82%D0%B8/%D1%88%D0%BA%D0%B0%D1%84-%D1%81-%D1%82%D0%B5%D1%80%D0%BC%D0%BE%D0%BF%D0%BB%D0%BE%D1%82-2-%D0%B2%D1%80%D0%B0%D1%82%D0%B8-%D0%BE%D1%82%D0%BA%D1%80%D0%B8%D1%82%D0%B8-%D1%80%D0%B0%D1%84%D1%82%D0%BE%D0%B2%D0%B5
https://praktis.bg/dolen-shkaf-s-chekmedzhe-i-2-vrati-modul-3-dab-kraft-siv-s-termoplot?rlv_rid=f7d6fd43-0aab-42f3-9932-ea7bd872dc61&amp;rlv_rpid=207542&amp;rlv_rpos=1</t>
  </si>
  <si>
    <t>https://mebelikan.bg/%D0%BF%D1%80%D0%BE%D0%B4%D1%83%D0%BA%D1%82%D0%B8/%D0%B5%D1%82%D0%B0%D0%B6%D0%B5%D1%80%D0%BA%D0%B0-%D1%81-%D0%B4%D0%B8%D1%81%D1%82%D0%B0%D0%BD%D1%86%D0%B8%D0%BE%D0%BD%D0%B5%D1%80%D0%B8
https://uchmag.com/bg-bg/category/product/etazherka-s-distantsioneri-70h25-n-105-300052694540748841/</t>
  </si>
  <si>
    <t>https://mebelikan.bg/%D0%BF%D1%80%D0%BE%D0%B4%D1%83%D0%BA%D1%82%D0%B8/%D0%B5%D1%82%D0%B0%D0%B6%D0%B5%D1%80%D0%BA%D0%B0-%D0%B4%D1%8A%D1%80%D0%B2%D0%BE
https://mipa-bg.com/product/%D0%B5%D1%82%D0%B0%D0%B6%D0%B5%D1%80%D0%BA%D0%B0-%D0%BB%D0%B8%D0%B1%D1%80%D0%BE-2/</t>
  </si>
  <si>
    <t>https://mebelikan.bg/%D0%BF%D1%80%D0%BE%D0%B4%D1%83%D0%BA%D1%82%D0%B8/%D0%B5%D1%82%D0%B0%D0%B6%D0%B5%D1%80%D0%BA%D0%B0-%D0%BA%D1%83%D1%82%D0%B8%D1%8F-%D0%B2-%D0%BA%D1%83%D1%82%D0%B8%D1%8F
https://emdesign.bg/product/holna-etajerka-aden-dab-sonoma</t>
  </si>
  <si>
    <t>https://mebelikan.bg/%D0%BF%D1%80%D0%BE%D0%B4%D1%83%D0%BA%D1%82%D0%B8/%D1%88%D0%BA%D0%B0%D1%84-%D0%B2%D1%8A%D1%80%D1%82%D1%8F%D1%89-%D1%81%D0%B5-%D0%BD%D0%B0-%D0%BA%D0%BE%D0%BB%D0%B5%D0%BB%D0%B0
https://www.bogdanmebel.com/dnevna/shkafove-vitrini-modulni-sekcii/fmd-mobilen-shkaf-s-5-chekmedzheta-byal</t>
  </si>
  <si>
    <t>https://mebelikan.bg/%D0%BF%D1%80%D0%BE%D0%B4%D1%83%D0%BA%D1%82%D0%B8/%D1%88%D0%BA%D0%B0%D1%84-%D1%81-%D1%88%D0%B5%D1%81%D1%82-%D0%B7%D0%B0%D0%BE%D0%B1%D0%BB%D0%B5%D0%BD%D0%B8-%D0%B2%D1%80%D0%B0%D1%82%D0%B8
https://uchmag.com/bg-bg/category/product/shkaf-6-vrati-bez-zaklyuchvane-80h40-n-133-300052694540758117/</t>
  </si>
  <si>
    <t>https://mebelikan.bg/%D0%BF%D1%80%D0%BE%D0%B4%D1%83%D0%BA%D1%82%D0%B8/%D1%81%D0%B5%D0%BA%D1%86%D0%B8%D1%8F-%D0%BF%D1%87%D0%B5%D0%BB%D0%BD%D0%B0-%D0%BF%D0%B8%D1%82%D0%B0
https://mipa-bg.com/product/%D0%B1%D0%B8%D0%BE-%D1%81%D1%82%D0%B5%D0%BB%D0%B0%D0%B6-%D0%BF%D1%87%D0%B5%D0%BB%D0%BD%D0%B0-%D0%BF%D0%B8%D1%82%D0%B0/</t>
  </si>
  <si>
    <t xml:space="preserve">Учебната STEM среда на училище "Х" ще бъде съставена от 1 лаборатория в направление „Математика и информатика“ със зона "Център за дигитални създатели", съответстваща на 2 класни стаи и фоайе, с подходяща локация на 4. етаж, с иновативни архитектурни решения, които позволяват ученето да е динамично, многофункционално, да следва съвременните тенденции както за изработка на специфичната мебелировка, така и да съответства на учебното съдържание и възрастта на учениците. Преобразеното пространство ще предлага свободно движение и места за отдих, усамотяване, работа по групи, комуникация на учениците от различните класове. Предвижда се и изграждане на пространство за учителите във фоайето.
Планираната зона по направление „Математика и информатика“ ще бъде интегрирана по следния начин:
Технологично пространство за симулации и експерименти – включващо интерактивен дисплей, преносими компютри, 3D очила за виртуална реалност, 3D принтер, програрируем робот, прилежащо мрежово оборудване и интерактивна мултимедийна система за обучение, осигуряваща различни функционалности (вкл. за дистанционно обучение). Системата се състои от интерактивен дисплей, микрофон, видеорегистратор, камери, професионален монитор и съответен софтуер, необходим за функционирането на системата. Една от ключовите функции е мултимедийната тъч "черна дъска“, позволяваща връзка с други устройства и потребители и взаимодействие с учебното съдържание по интерактивен начин - то може да бъде споделяно и използвано от различни източници. Възможността за запис позволява на учениците да преглеждат материалите повторно и да ги използват за подготовка. Системата дава възможност за споделянето на учебни ресурси в рамките на една платформа, което ще допринесе за уеднаквяване на качеството на образованието в различните професионални области.
За функционирането на системата е необходим и съответен софтуер, предлагащ разширени възможности за учебна дейност - с професионални хардуерни устройства и софтуерни инструменти, учителите и учениците в основната класна стая могат да споделят експериментите с други класни стаи в реално време и да взаимодействат помежду си.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Свободно пространство за дискусии, позволяващо подготовка и работа по групи. 
Планира се изграждане на 6 ВОСКС извън STEM лабораторията, като целта е премахване на съществуващите бариери за комуникация. Специализираната зона "Център за дигитални създатели" е подходяща за ученици в прогимназиален и гимназиален етап и позволява да учат „чрез правене“, да експериментират, да разработват нови идеи, да демонстрират и обсъждат успешните си проекти. Планираното специализирано оборудване в зоната за дигитални създатели играе ключова роля в образователния процес, като предоставя реални и практически възможности на учениците да изследват и опознават различни научни концепции и явления, което им помага да разбират заобикалящия ги свят; оборудването стимулира активното участие и инициатива. Децата имат възможност да изпълняват реални експерименти, да правят наблюдения и да изследват, което ги мотивира да проявяват своето собствено любопитство и съзнателност. 
Промененото учебно съдържание с фокус върху SТЕМ ще бъде насочено към следните учебни предмети: Математика, Информатика, Информационни технологии и Компютърно моделиране и информационни технологии и ще се базира на : интегрирани учебни модули, , нови модули на учебно съдържание и нови извънкласни дейности.
Допълнителното оборудване кореспондира с профила на учителите - специалисти по математика, информатика и информационни технологии, които ще са свързващото звено към новото иновативно учебно пространство. Избраните учебни предмети са обвързани с конкретното оборудване, като се надгражда задължителният учебен материал с възможности за изследвания, за създаване на практически умения с примери от реалния живот и „context based“ технологично обучение. Цели се подготовка и достигане на конкурентно равнище на учениците в дигиталната ера. Ще бъдат приложени различни видове методи на оценяване, включително и на учениците със СОП, като се пристъпва към проектно-базиран и проблемно-базиран образователен процес и ще се създаде възможност за индивидуално мониториране. Процесът е интерактивен, мотивиращ ученика, с игрови елементи .
Училищното ръководство не предвижда закупуването на допълнително специализирано оборудване понастоящото проектно предложение.
</t>
  </si>
  <si>
    <t xml:space="preserve">Изграждането на STEM учебната среда ще доведе до създаване на нова организация на учебните и административни процеси, подкрепяща иновативните дейности. С цел ефективно използване на оборудването ръководството ще работи съвместно с учители със съответния на оборудването профил, а именно специалисти по информационни технологии, математика и информатика, компютърно моделиране. Училищният персонал е високо квалифициран и ще бъде приобщен към модерната среда с възможност за по-улеснена комуникация. Също така ще бъде приветстван и обменът на добри практики от по-опитните към по-неопитните специалисти. Проектното предложение предвижда и създаването на група от учители “лидери”, чиято цел ще бъде подкрепа и взаимодействие. Планира се “технически мениджър” да води учителите по пътя на дигиталното израстване и “специалист по учебно съдържание” да интегрира различните учебни дисциплини в единен учебен проект.
Необходима е правилна организация на учебните и административни дейности, техническо подпомагане на работещите по проекта. За целта ще се създаде нова роля: техническа и дигитална подкрепа, където учители с технологичен опит ще съдействат при проблеми. Всички заинтересовани страни са силно мотивирани и вярват в необходимостта от изграждане на модерна архитектурна среда, предлагаща подходящи и иновативни образователни технологии.
Лабораторният комплекс, който училището планира да изгради, е цялостно съчетание на мебелна и архитектурна среда, оборудване, софтуер, компютърна мрежа. Съществуващите  класни стаи с прилежащо фоайе ще бъдат съединени в лабораторно пространство - ще бъдат извършени ремонти дейности за обединяване, освежаване, полагане на подходяща подова настилка и техническа обособеност, включваща постоянен високоскоростен интернет, достатъчен брой контакти и кабели за електричество на зоната. Дейностите не изискват разрешително за строеж и са съобразени с мерките за екологична устоучивост и не са предвидени за реализиране по други процедури на НПВУ и предишните финансирания на училището, така че да се избегне двойно финансиране по програмата.
Планираният брой технологично оборудване, част от което са 28 преносими компютъра, 2 интерактивни дисплея, заедно с прилежащото мрежово оборудване и програмируемите роботи, са съобразени със специфични нужди, произтичащи от изброените вече изучавани предмети, така и с нуждите на училището за обособяване на брой учебни места - всичко това за достъп на 52 ученици в един момент. Интериорното оформление, включващо чинове и столове, учителски маси и столове, етажерки и шкафове, е така проектирано, че да предлага гъвкавост и мобилност в учебния процес – мебелите ще бъдат леки, позволяващи бърза адаптация според нуждите, възрастта на учениците, учебния предмет. По този начин ще се постигне ефективна организация и на пространствата, и на учебния процес, като се дава възможност за работа с 2 класа едновременно при нужда, за групова и индивидуална работа. С професионални хардуерни устройства и софтуерни инструменти учителите и учениците в основните и вторичните класни стаи ще могат да виждат класните стаи на другия в реално време и да взаимодействат помежду си.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Дигиталните и недигитални технологии ще бъдат интегрирани във физическата среда с възможност активно да се включат и ученици със СОП, ще се създаде възможност за индивидуално мониториране и на активността им. Дизайнът на учебните пространства ще позволи на учениците да бъдат групирани по алтернативни начини, съобразно на техните интереси.
</t>
  </si>
  <si>
    <t>Описаното проектно предложение и планът за СМР дейности за създаване на иновативна STEM среда в училище "Х" са с нужната техническа обезпеченост, в т.ч. с поставяне на достатъчен брой контакти и кабели за електричество. В стаите е планирано създаване на условия за постоянен високоскоростен интернет, както и възможност за гъвкаво използване на специфичното оборудване. С оглед на факта, че текущата електрическа инсталация е остаряла и не е способна да поеме натоварването от новото оборудване и с цел избягване на аварии и повреда на техниката, се предвижда реновирането ѝ в рамките на бюджета за СМР дейности. 
Планираното за закупуване оборудване, което ще бъде инсталирано в пространството, предвидено за изграждането на STEM средата, е ново и фигурира в текущата производствена листа на производителя му, придружено с гаранционни документи и необходимите софтурени компоненти за неговото функциониране. Също така е в пълен синхрон със стандартите в Република България относно техническа експлоатация, пожаробезопасност, норми за безопасност, включване към електрическата мрежа.
За да бъде осигурена максимална ефективност и управление на техническото съоръжение на новия STEM център и в същото време да се гарантира обезпечаване на образователния процес, ръководството на училище "Х" планира да осигури дългосрочен абонамент за поддръжка на оборудването. Това включва предприемане на рутинни профилактични проверки, сервизиране и обновяване на необходимите части. Редовната поддръжка гарантира, че оборудването ще работи ефективно и ефикасно в най-дълъг период от време. Също така за постигане на екологична устоичивост при евентуална повреда на дадени части се планира рециклирането или преизползването им, вместо изхвърляне. Това намалява вредното въздействие върху околната среда и допринася за устойчивостта на образователната система, като дава добър пример на учениците как могат да прилагат принципите на кръговата икономика.
С оглед устойчивост на идеята са планирани  активното използване на профилите на учителите в онлайн платформи, които дават възможност за заимстване на идеи и обмен на добри практики при разработване на учебните STEM уроци и работа с конкретното оборудване. Някои учебни материали и експерименти могат да бъдат представени във виртуална среда, където всички заинтересовани страни – учители и ученици, в т.ч. и от други училища ще имат достъп до тях чрез компютри или мобилни устройства. По този начин ще бъдат създадени и STEM области, което води до подобряване на образователната среда не само на локално ниво. Планира се и oрганизирането на допълнителни квалификацинни курсове на учителите, свързани с работата в лабораторията.
Поради бързо и постоянно развиващия се характер на дигиталните услуги проектното предложение предвижда на всеки 12 месеца да се актуализират знаниятa и уменията на учителите в зависимост от промените в заобикалящия ни свят.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</si>
</sst>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quot;лв.&quot;_-;\-* #,##0.00\ &quot;лв.&quot;_-;_-* &quot;-&quot;??\ &quot;лв.&quot;_-;_-@_-"/>
    <numFmt numFmtId="165" formatCode="0.0"/>
    <numFmt numFmtId="166" formatCode="_-* #,##0\ &quot;лв.&quot;_-;\-* #,##0\ &quot;лв.&quot;_-;_-* &quot;-&quot;??\ &quot;лв.&quot;_-;_-@_-"/>
    <numFmt numFmtId="167" formatCode="0\ \б\р."/>
    <numFmt numFmtId="168" formatCode="#,##0\ _л_в_."/>
  </numFmts>
  <fonts count="33"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04"/>
      <scheme val="minor"/>
    </font>
    <font>
      <sz val="11"/>
      <color rgb="FF000000"/>
      <name val="Calibri"/>
      <family val="2"/>
      <charset val="204"/>
    </font>
    <font>
      <b/>
      <sz val="12"/>
      <color theme="1"/>
      <name val="Calibri"/>
      <family val="2"/>
      <charset val="204"/>
      <scheme val="minor"/>
    </font>
    <font>
      <sz val="12"/>
      <color rgb="FF000000"/>
      <name val="Calibri"/>
      <family val="2"/>
      <charset val="204"/>
    </font>
    <font>
      <b/>
      <sz val="11"/>
      <color theme="1"/>
      <name val="Calibri"/>
      <family val="2"/>
      <charset val="204"/>
      <scheme val="minor"/>
    </font>
    <font>
      <sz val="12"/>
      <color theme="1"/>
      <name val="Times New Roman"/>
      <family val="1"/>
      <charset val="204"/>
    </font>
    <font>
      <b/>
      <sz val="12"/>
      <color rgb="FF000000"/>
      <name val="Calibri"/>
      <family val="2"/>
      <charset val="204"/>
    </font>
    <font>
      <b/>
      <i/>
      <sz val="12"/>
      <color rgb="FF000000"/>
      <name val="Calibri"/>
      <family val="2"/>
      <charset val="204"/>
    </font>
    <font>
      <sz val="11"/>
      <name val="Calibri"/>
      <family val="2"/>
      <charset val="204"/>
      <scheme val="minor"/>
    </font>
    <font>
      <b/>
      <sz val="10"/>
      <name val="Arial"/>
      <family val="2"/>
      <charset val="204"/>
    </font>
    <font>
      <sz val="11"/>
      <color theme="1"/>
      <name val="Calibri"/>
      <family val="2"/>
      <scheme val="minor"/>
    </font>
    <font>
      <i/>
      <sz val="10"/>
      <color theme="1"/>
      <name val="Arial"/>
      <family val="2"/>
      <charset val="204"/>
    </font>
    <font>
      <b/>
      <i/>
      <sz val="10"/>
      <color theme="1"/>
      <name val="Arial"/>
      <family val="2"/>
      <charset val="204"/>
    </font>
    <font>
      <b/>
      <i/>
      <sz val="10"/>
      <name val="Arial"/>
      <family val="2"/>
      <charset val="204"/>
    </font>
    <font>
      <sz val="10"/>
      <color theme="1"/>
      <name val="Arial"/>
      <family val="2"/>
      <charset val="204"/>
    </font>
    <font>
      <sz val="10"/>
      <name val="Arial"/>
      <family val="2"/>
      <charset val="204"/>
    </font>
    <font>
      <sz val="11"/>
      <color theme="1"/>
      <name val="Arial"/>
      <family val="2"/>
      <charset val="204"/>
    </font>
    <font>
      <b/>
      <sz val="10"/>
      <color theme="1"/>
      <name val="Arial"/>
      <family val="2"/>
      <charset val="204"/>
    </font>
    <font>
      <b/>
      <sz val="12"/>
      <name val="Arial"/>
      <family val="2"/>
      <charset val="204"/>
    </font>
    <font>
      <b/>
      <sz val="12"/>
      <color rgb="FFFF0000"/>
      <name val="Calibri"/>
      <family val="2"/>
      <charset val="204"/>
    </font>
    <font>
      <b/>
      <sz val="12"/>
      <color theme="1"/>
      <name val="Calibri"/>
      <family val="2"/>
      <charset val="204"/>
    </font>
    <font>
      <sz val="12"/>
      <color theme="1"/>
      <name val="Calibri"/>
      <family val="2"/>
      <charset val="204"/>
    </font>
    <font>
      <i/>
      <sz val="10"/>
      <name val="Arial"/>
      <family val="2"/>
      <charset val="204"/>
    </font>
    <font>
      <sz val="10"/>
      <color rgb="FF000000"/>
      <name val="Arial"/>
      <family val="2"/>
      <charset val="204"/>
    </font>
    <font>
      <sz val="13"/>
      <color rgb="FF2C2C2C"/>
      <name val="Times New Roman"/>
      <family val="1"/>
      <charset val="204"/>
    </font>
    <font>
      <sz val="8"/>
      <color rgb="FF000000"/>
      <name val="Segoe UI"/>
      <family val="2"/>
      <charset val="204"/>
    </font>
    <font>
      <b/>
      <sz val="12"/>
      <color rgb="FF000000"/>
      <name val="Arial"/>
      <family val="2"/>
      <charset val="204"/>
    </font>
    <font>
      <sz val="11"/>
      <color theme="1"/>
      <name val="Arial"/>
      <family val="2"/>
    </font>
    <font>
      <sz val="7"/>
      <color theme="1"/>
      <name val="Tahoma"/>
      <family val="2"/>
    </font>
  </fonts>
  <fills count="17">
    <fill>
      <patternFill patternType="none"/>
    </fill>
    <fill>
      <patternFill patternType="gray125"/>
    </fill>
    <fill>
      <patternFill patternType="solid">
        <fgColor theme="6" tint="0.39997558519241921"/>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8CBAD"/>
        <bgColor indexed="64"/>
      </patternFill>
    </fill>
    <fill>
      <patternFill patternType="solid">
        <fgColor rgb="FFFFFFFF"/>
        <bgColor indexed="64"/>
      </patternFill>
    </fill>
    <fill>
      <patternFill patternType="solid">
        <fgColor rgb="FFECECEC"/>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59999389629810485"/>
        <bgColor indexed="64"/>
      </patternFill>
    </fill>
  </fills>
  <borders count="82">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indexed="64"/>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top style="medium">
        <color rgb="FF000000"/>
      </top>
      <bottom style="medium">
        <color rgb="FF000000"/>
      </bottom>
      <diagonal/>
    </border>
    <border>
      <left/>
      <right style="medium">
        <color indexed="64"/>
      </right>
      <top style="medium">
        <color rgb="FF000000"/>
      </top>
      <bottom/>
      <diagonal/>
    </border>
    <border>
      <left/>
      <right style="medium">
        <color indexed="64"/>
      </right>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auto="1"/>
      </right>
      <top/>
      <bottom style="thin">
        <color auto="1"/>
      </bottom>
      <diagonal/>
    </border>
    <border>
      <left/>
      <right style="medium">
        <color indexed="64"/>
      </right>
      <top style="thin">
        <color auto="1"/>
      </top>
      <bottom/>
      <diagonal/>
    </border>
    <border>
      <left style="medium">
        <color indexed="64"/>
      </left>
      <right style="thin">
        <color auto="1"/>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medium">
        <color auto="1"/>
      </left>
      <right style="thin">
        <color auto="1"/>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rgb="FF000000"/>
      </top>
      <bottom/>
      <diagonal/>
    </border>
    <border>
      <left style="medium">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medium">
        <color indexed="64"/>
      </left>
      <right style="medium">
        <color indexed="64"/>
      </right>
      <top style="medium">
        <color rgb="FF000000"/>
      </top>
      <bottom style="medium">
        <color rgb="FF000000"/>
      </bottom>
      <diagonal/>
    </border>
    <border>
      <left style="thin">
        <color rgb="FF000000"/>
      </left>
      <right style="medium">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medium">
        <color indexed="64"/>
      </right>
      <top style="thin">
        <color auto="1"/>
      </top>
      <bottom style="thin">
        <color auto="1"/>
      </bottom>
      <diagonal/>
    </border>
    <border>
      <left style="thin">
        <color rgb="FF000000"/>
      </left>
      <right style="medium">
        <color indexed="64"/>
      </right>
      <top/>
      <bottom/>
      <diagonal/>
    </border>
    <border>
      <left/>
      <right style="medium">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4" fillId="2" borderId="0"/>
    <xf numFmtId="0" fontId="5" fillId="0" borderId="0"/>
    <xf numFmtId="0" fontId="5" fillId="0" borderId="0"/>
    <xf numFmtId="164" fontId="4" fillId="0" borderId="0"/>
    <xf numFmtId="0" fontId="4" fillId="3" borderId="0"/>
    <xf numFmtId="0" fontId="4" fillId="4" borderId="0"/>
    <xf numFmtId="0" fontId="5" fillId="0" borderId="0"/>
    <xf numFmtId="164" fontId="4" fillId="0" borderId="0"/>
    <xf numFmtId="0" fontId="14" fillId="0" borderId="0"/>
    <xf numFmtId="0" fontId="4" fillId="2" borderId="0" applyNumberFormat="0" applyBorder="0" applyAlignment="0" applyProtection="0"/>
    <xf numFmtId="164" fontId="4" fillId="0" borderId="0" applyFont="0" applyFill="0" applyBorder="0" applyAlignment="0" applyProtection="0"/>
    <xf numFmtId="0" fontId="4" fillId="3" borderId="0" applyNumberFormat="0" applyBorder="0" applyAlignment="0" applyProtection="0"/>
    <xf numFmtId="0" fontId="4" fillId="4" borderId="0" applyNumberFormat="0" applyBorder="0" applyAlignment="0" applyProtection="0"/>
    <xf numFmtId="164" fontId="4" fillId="0" borderId="0" applyFont="0" applyFill="0" applyBorder="0" applyAlignment="0" applyProtection="0"/>
  </cellStyleXfs>
  <cellXfs count="271">
    <xf numFmtId="0" fontId="0" fillId="0" borderId="0" xfId="0"/>
    <xf numFmtId="2" fontId="0" fillId="0" borderId="0" xfId="0" applyNumberFormat="1"/>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vertical="center" wrapText="1"/>
    </xf>
    <xf numFmtId="0" fontId="14" fillId="0" borderId="0" xfId="9"/>
    <xf numFmtId="0" fontId="14" fillId="0" borderId="0" xfId="9" applyAlignment="1">
      <alignment horizontal="center" vertical="center"/>
    </xf>
    <xf numFmtId="0" fontId="17" fillId="8" borderId="3" xfId="9" applyFont="1" applyFill="1" applyBorder="1" applyAlignment="1">
      <alignment horizontal="center" vertical="center" wrapText="1"/>
    </xf>
    <xf numFmtId="0" fontId="21" fillId="10" borderId="1" xfId="9" applyFont="1" applyFill="1" applyBorder="1" applyAlignment="1">
      <alignment horizontal="center" vertical="center" wrapText="1"/>
    </xf>
    <xf numFmtId="0" fontId="13" fillId="8" borderId="1" xfId="9" applyFont="1" applyFill="1" applyBorder="1" applyAlignment="1">
      <alignment horizontal="center" vertical="center" wrapText="1"/>
    </xf>
    <xf numFmtId="2" fontId="24" fillId="2" borderId="1" xfId="1" applyNumberFormat="1" applyFont="1" applyBorder="1" applyAlignment="1">
      <alignment horizontal="center" vertical="center"/>
    </xf>
    <xf numFmtId="2" fontId="24" fillId="2" borderId="49" xfId="1" applyNumberFormat="1" applyFont="1" applyBorder="1" applyAlignment="1">
      <alignment horizontal="center" vertical="center"/>
    </xf>
    <xf numFmtId="0" fontId="25" fillId="0" borderId="0" xfId="0" applyFont="1"/>
    <xf numFmtId="0" fontId="24" fillId="4" borderId="6" xfId="6" applyFont="1" applyBorder="1" applyAlignment="1">
      <alignment horizontal="center" vertical="center"/>
    </xf>
    <xf numFmtId="0" fontId="24" fillId="4" borderId="51" xfId="6" applyFont="1" applyBorder="1" applyAlignment="1">
      <alignment horizontal="center" vertical="center" wrapText="1"/>
    </xf>
    <xf numFmtId="0" fontId="24" fillId="4" borderId="52" xfId="6" applyFont="1" applyBorder="1" applyAlignment="1">
      <alignment horizontal="center" vertical="center" wrapText="1"/>
    </xf>
    <xf numFmtId="0" fontId="24" fillId="4" borderId="7" xfId="6" applyFont="1" applyBorder="1" applyAlignment="1">
      <alignment horizontal="center" vertical="center"/>
    </xf>
    <xf numFmtId="0" fontId="24" fillId="4" borderId="9" xfId="6" applyFont="1" applyBorder="1" applyAlignment="1">
      <alignment horizontal="center" vertical="center"/>
    </xf>
    <xf numFmtId="2" fontId="24" fillId="4" borderId="8" xfId="6" applyNumberFormat="1" applyFont="1" applyBorder="1" applyAlignment="1">
      <alignment horizontal="center" vertical="center"/>
    </xf>
    <xf numFmtId="0" fontId="10" fillId="5" borderId="38" xfId="0" applyFont="1" applyFill="1" applyBorder="1" applyAlignment="1">
      <alignment horizontal="center" vertical="center"/>
    </xf>
    <xf numFmtId="0" fontId="24" fillId="3" borderId="21" xfId="5" applyFont="1" applyBorder="1" applyAlignment="1">
      <alignment horizontal="center" vertical="center"/>
    </xf>
    <xf numFmtId="0" fontId="25" fillId="3" borderId="19" xfId="5" applyFont="1" applyBorder="1"/>
    <xf numFmtId="0" fontId="25" fillId="3" borderId="47" xfId="5" applyFont="1" applyBorder="1" applyAlignment="1">
      <alignment horizontal="center"/>
    </xf>
    <xf numFmtId="0" fontId="25" fillId="3" borderId="9" xfId="5" applyFont="1" applyBorder="1" applyAlignment="1">
      <alignment horizontal="center"/>
    </xf>
    <xf numFmtId="0" fontId="25" fillId="3" borderId="48" xfId="5" applyFont="1" applyBorder="1" applyAlignment="1">
      <alignment horizontal="center"/>
    </xf>
    <xf numFmtId="0" fontId="25" fillId="3" borderId="20" xfId="5" applyFont="1" applyBorder="1" applyAlignment="1">
      <alignment horizontal="center"/>
    </xf>
    <xf numFmtId="0" fontId="25" fillId="3" borderId="20" xfId="5" applyFont="1" applyBorder="1"/>
    <xf numFmtId="0" fontId="25" fillId="3" borderId="22" xfId="5" applyFont="1" applyBorder="1" applyAlignment="1">
      <alignment horizontal="center"/>
    </xf>
    <xf numFmtId="0" fontId="24" fillId="3" borderId="8" xfId="5" applyFont="1" applyBorder="1" applyAlignment="1">
      <alignment horizontal="center" vertical="center"/>
    </xf>
    <xf numFmtId="0" fontId="10" fillId="11" borderId="38" xfId="0" applyFont="1" applyFill="1" applyBorder="1" applyAlignment="1">
      <alignment horizontal="center" vertical="center"/>
    </xf>
    <xf numFmtId="0" fontId="10" fillId="11" borderId="24" xfId="0" applyFont="1" applyFill="1" applyBorder="1" applyAlignment="1">
      <alignment horizontal="center" vertical="center"/>
    </xf>
    <xf numFmtId="0" fontId="24" fillId="12" borderId="21" xfId="5" applyFont="1" applyFill="1" applyBorder="1" applyAlignment="1">
      <alignment horizontal="center" vertical="center"/>
    </xf>
    <xf numFmtId="0" fontId="24" fillId="13" borderId="21" xfId="5" applyFont="1" applyFill="1" applyBorder="1" applyAlignment="1">
      <alignment horizontal="center" vertical="center"/>
    </xf>
    <xf numFmtId="0" fontId="25" fillId="13" borderId="19" xfId="5" applyFont="1" applyFill="1" applyBorder="1"/>
    <xf numFmtId="0" fontId="25" fillId="13" borderId="47" xfId="5" applyFont="1" applyFill="1" applyBorder="1" applyAlignment="1">
      <alignment horizontal="center"/>
    </xf>
    <xf numFmtId="0" fontId="25" fillId="13" borderId="9" xfId="5" applyFont="1" applyFill="1" applyBorder="1" applyAlignment="1">
      <alignment horizontal="center"/>
    </xf>
    <xf numFmtId="0" fontId="25" fillId="13" borderId="48" xfId="5" applyFont="1" applyFill="1" applyBorder="1" applyAlignment="1">
      <alignment horizontal="center"/>
    </xf>
    <xf numFmtId="0" fontId="25" fillId="13" borderId="20" xfId="5" applyFont="1" applyFill="1" applyBorder="1" applyAlignment="1">
      <alignment horizontal="center"/>
    </xf>
    <xf numFmtId="0" fontId="25" fillId="12" borderId="19" xfId="5" applyFont="1" applyFill="1" applyBorder="1"/>
    <xf numFmtId="0" fontId="25" fillId="12" borderId="47" xfId="5" applyFont="1" applyFill="1" applyBorder="1" applyAlignment="1">
      <alignment horizontal="center"/>
    </xf>
    <xf numFmtId="0" fontId="25" fillId="12" borderId="9" xfId="5" applyFont="1" applyFill="1" applyBorder="1" applyAlignment="1">
      <alignment horizontal="center"/>
    </xf>
    <xf numFmtId="0" fontId="25" fillId="12" borderId="48" xfId="5" applyFont="1" applyFill="1" applyBorder="1" applyAlignment="1">
      <alignment horizontal="center"/>
    </xf>
    <xf numFmtId="0" fontId="25" fillId="12" borderId="20" xfId="5" applyFont="1" applyFill="1" applyBorder="1" applyAlignment="1">
      <alignment horizontal="center"/>
    </xf>
    <xf numFmtId="0" fontId="25" fillId="12" borderId="30" xfId="5" applyFont="1" applyFill="1" applyBorder="1" applyAlignment="1">
      <alignment horizontal="center"/>
    </xf>
    <xf numFmtId="0" fontId="25" fillId="12" borderId="2" xfId="5" applyFont="1" applyFill="1" applyBorder="1" applyAlignment="1">
      <alignment horizontal="center"/>
    </xf>
    <xf numFmtId="0" fontId="25" fillId="12" borderId="46" xfId="5" applyFont="1" applyFill="1" applyBorder="1" applyAlignment="1">
      <alignment horizontal="center"/>
    </xf>
    <xf numFmtId="0" fontId="25" fillId="12" borderId="19" xfId="5" applyFont="1" applyFill="1" applyBorder="1" applyAlignment="1">
      <alignment horizontal="center"/>
    </xf>
    <xf numFmtId="0" fontId="24" fillId="14" borderId="20" xfId="5" applyFont="1" applyFill="1" applyBorder="1" applyAlignment="1">
      <alignment horizontal="center" vertical="center"/>
    </xf>
    <xf numFmtId="0" fontId="24" fillId="12" borderId="6" xfId="5" applyFont="1" applyFill="1" applyBorder="1" applyAlignment="1">
      <alignment horizontal="center" vertical="center"/>
    </xf>
    <xf numFmtId="0" fontId="24" fillId="13" borderId="6" xfId="5" applyFont="1" applyFill="1" applyBorder="1" applyAlignment="1">
      <alignment horizontal="center" vertical="center"/>
    </xf>
    <xf numFmtId="0" fontId="25" fillId="0" borderId="14" xfId="0" applyFont="1" applyBorder="1" applyAlignment="1">
      <alignment horizontal="center" vertical="top" wrapText="1"/>
    </xf>
    <xf numFmtId="0" fontId="24" fillId="2" borderId="16" xfId="1" applyFont="1" applyBorder="1" applyAlignment="1">
      <alignment horizontal="center" vertical="center"/>
    </xf>
    <xf numFmtId="0" fontId="24" fillId="2" borderId="55" xfId="1" applyFont="1" applyBorder="1" applyAlignment="1">
      <alignment horizontal="center"/>
    </xf>
    <xf numFmtId="0" fontId="5" fillId="0" borderId="0" xfId="3"/>
    <xf numFmtId="0" fontId="10" fillId="15" borderId="16"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49" xfId="0" applyFont="1" applyFill="1" applyBorder="1" applyAlignment="1">
      <alignment horizontal="center" vertical="center"/>
    </xf>
    <xf numFmtId="0" fontId="10" fillId="16" borderId="24" xfId="0" applyFont="1" applyFill="1" applyBorder="1" applyAlignment="1">
      <alignment vertical="center"/>
    </xf>
    <xf numFmtId="0" fontId="10" fillId="11" borderId="6" xfId="0" applyFont="1" applyFill="1" applyBorder="1" applyAlignment="1">
      <alignment horizontal="center" vertical="center"/>
    </xf>
    <xf numFmtId="0" fontId="24" fillId="11" borderId="6" xfId="5" applyFont="1" applyFill="1" applyBorder="1" applyAlignment="1">
      <alignment horizontal="center" vertical="center"/>
    </xf>
    <xf numFmtId="0" fontId="25" fillId="11" borderId="6" xfId="0" applyFont="1" applyFill="1" applyBorder="1" applyAlignment="1">
      <alignment vertical="center" wrapText="1"/>
    </xf>
    <xf numFmtId="0" fontId="25" fillId="0" borderId="14" xfId="0" applyFont="1" applyBorder="1" applyAlignment="1">
      <alignment horizontal="center" wrapText="1"/>
    </xf>
    <xf numFmtId="166" fontId="25" fillId="0" borderId="16" xfId="4" applyNumberFormat="1" applyFont="1" applyBorder="1" applyAlignment="1">
      <alignment vertical="center" wrapText="1"/>
    </xf>
    <xf numFmtId="166" fontId="25" fillId="0" borderId="1" xfId="4" applyNumberFormat="1" applyFont="1" applyBorder="1" applyAlignment="1">
      <alignment vertical="center" wrapText="1"/>
    </xf>
    <xf numFmtId="0" fontId="20" fillId="0" borderId="1" xfId="9" applyFont="1" applyBorder="1" applyAlignment="1" applyProtection="1">
      <alignment horizontal="center" wrapText="1"/>
      <protection locked="0"/>
    </xf>
    <xf numFmtId="1" fontId="18" fillId="0" borderId="1" xfId="9" applyNumberFormat="1" applyFont="1" applyBorder="1" applyAlignment="1" applyProtection="1">
      <alignment horizontal="center" wrapText="1"/>
      <protection locked="0"/>
    </xf>
    <xf numFmtId="4" fontId="18" fillId="0" borderId="1" xfId="9" applyNumberFormat="1" applyFont="1" applyBorder="1" applyAlignment="1" applyProtection="1">
      <alignment horizontal="center" wrapText="1"/>
      <protection locked="0"/>
    </xf>
    <xf numFmtId="4" fontId="19" fillId="0" borderId="3" xfId="9" applyNumberFormat="1" applyFont="1" applyBorder="1" applyAlignment="1">
      <alignment horizontal="center" wrapText="1"/>
    </xf>
    <xf numFmtId="4" fontId="18" fillId="0" borderId="1" xfId="9" applyNumberFormat="1" applyFont="1" applyBorder="1" applyAlignment="1">
      <alignment wrapText="1"/>
    </xf>
    <xf numFmtId="0" fontId="14" fillId="0" borderId="1" xfId="9" applyBorder="1" applyAlignment="1" applyProtection="1">
      <alignment wrapText="1"/>
      <protection locked="0"/>
    </xf>
    <xf numFmtId="0" fontId="20" fillId="0" borderId="5" xfId="9" applyFont="1" applyBorder="1" applyAlignment="1" applyProtection="1">
      <alignment horizontal="center" wrapText="1"/>
      <protection locked="0"/>
    </xf>
    <xf numFmtId="0" fontId="17" fillId="8" borderId="1" xfId="9" applyFont="1" applyFill="1" applyBorder="1" applyAlignment="1">
      <alignment vertical="top" wrapText="1"/>
    </xf>
    <xf numFmtId="4" fontId="17" fillId="8" borderId="1" xfId="9" applyNumberFormat="1" applyFont="1" applyFill="1" applyBorder="1" applyAlignment="1">
      <alignment vertical="top" wrapText="1"/>
    </xf>
    <xf numFmtId="4" fontId="17" fillId="8" borderId="3" xfId="9" applyNumberFormat="1" applyFont="1" applyFill="1" applyBorder="1" applyAlignment="1">
      <alignment horizontal="center" vertical="top" wrapText="1"/>
    </xf>
    <xf numFmtId="4" fontId="16" fillId="10" borderId="1" xfId="9" applyNumberFormat="1" applyFont="1" applyFill="1" applyBorder="1" applyAlignment="1">
      <alignment vertical="top" wrapText="1"/>
    </xf>
    <xf numFmtId="0" fontId="20" fillId="0" borderId="1" xfId="9" applyFont="1" applyBorder="1" applyAlignment="1">
      <alignment horizontal="center" vertical="center" wrapText="1"/>
    </xf>
    <xf numFmtId="0" fontId="20" fillId="0" borderId="1" xfId="9" applyFont="1" applyBorder="1" applyAlignment="1">
      <alignment horizontal="center" wrapText="1"/>
    </xf>
    <xf numFmtId="0" fontId="14" fillId="0" borderId="5" xfId="9" applyBorder="1" applyAlignment="1" applyProtection="1">
      <alignment wrapText="1"/>
      <protection locked="0"/>
    </xf>
    <xf numFmtId="1" fontId="18" fillId="0" borderId="1" xfId="9" applyNumberFormat="1" applyFont="1" applyBorder="1" applyAlignment="1">
      <alignment horizontal="center" wrapText="1"/>
    </xf>
    <xf numFmtId="0" fontId="17" fillId="9" borderId="1" xfId="9" applyFont="1" applyFill="1" applyBorder="1" applyAlignment="1">
      <alignment vertical="top" wrapText="1"/>
    </xf>
    <xf numFmtId="4" fontId="17" fillId="9" borderId="1" xfId="9" applyNumberFormat="1" applyFont="1" applyFill="1" applyBorder="1" applyAlignment="1">
      <alignment vertical="top" wrapText="1"/>
    </xf>
    <xf numFmtId="4" fontId="17" fillId="10" borderId="1" xfId="9" applyNumberFormat="1" applyFont="1" applyFill="1" applyBorder="1" applyAlignment="1">
      <alignment horizontal="center" vertical="top" wrapText="1"/>
    </xf>
    <xf numFmtId="0" fontId="25" fillId="0" borderId="1" xfId="0" applyFont="1" applyBorder="1" applyAlignment="1">
      <alignment horizontal="centerContinuous" wrapText="1"/>
    </xf>
    <xf numFmtId="0" fontId="25" fillId="13" borderId="30" xfId="5" applyFont="1" applyFill="1" applyBorder="1" applyAlignment="1">
      <alignment horizontal="centerContinuous" wrapText="1"/>
    </xf>
    <xf numFmtId="0" fontId="25" fillId="13" borderId="2" xfId="5" applyFont="1" applyFill="1" applyBorder="1" applyAlignment="1">
      <alignment horizontal="centerContinuous" wrapText="1"/>
    </xf>
    <xf numFmtId="0" fontId="25" fillId="13" borderId="46" xfId="5" applyFont="1" applyFill="1" applyBorder="1" applyAlignment="1">
      <alignment horizontal="centerContinuous" wrapText="1"/>
    </xf>
    <xf numFmtId="0" fontId="25" fillId="0" borderId="14" xfId="0" applyFont="1" applyBorder="1" applyAlignment="1">
      <alignment horizontal="centerContinuous" vertical="top" wrapText="1"/>
    </xf>
    <xf numFmtId="0" fontId="25" fillId="13" borderId="19" xfId="5" applyFont="1" applyFill="1" applyBorder="1" applyAlignment="1">
      <alignment horizontal="centerContinuous" wrapText="1"/>
    </xf>
    <xf numFmtId="0" fontId="10" fillId="7" borderId="58" xfId="0" applyFont="1" applyFill="1" applyBorder="1" applyAlignment="1">
      <alignment horizontal="center" vertical="center"/>
    </xf>
    <xf numFmtId="0" fontId="25" fillId="0" borderId="56" xfId="0" applyFont="1" applyBorder="1" applyAlignment="1">
      <alignment horizontal="center" vertical="top" wrapText="1"/>
    </xf>
    <xf numFmtId="0" fontId="14" fillId="0" borderId="1" xfId="9" applyBorder="1" applyAlignment="1">
      <alignment horizontal="center" wrapText="1"/>
    </xf>
    <xf numFmtId="0" fontId="9" fillId="0" borderId="0" xfId="0" applyFont="1" applyAlignment="1">
      <alignment vertical="center" wrapText="1"/>
    </xf>
    <xf numFmtId="0" fontId="10" fillId="13" borderId="38" xfId="0" applyFont="1" applyFill="1" applyBorder="1" applyAlignment="1">
      <alignment horizontal="center" vertical="center"/>
    </xf>
    <xf numFmtId="0" fontId="10" fillId="13" borderId="34" xfId="0" applyFont="1" applyFill="1" applyBorder="1" applyAlignment="1">
      <alignment horizontal="center" vertical="center"/>
    </xf>
    <xf numFmtId="0" fontId="24" fillId="2" borderId="1" xfId="1" applyFont="1" applyBorder="1" applyAlignment="1">
      <alignment horizontal="center" vertical="center"/>
    </xf>
    <xf numFmtId="0" fontId="13" fillId="8" borderId="3" xfId="9" applyFont="1" applyFill="1" applyBorder="1" applyAlignment="1">
      <alignment horizontal="center" vertical="center" wrapText="1"/>
    </xf>
    <xf numFmtId="0" fontId="13" fillId="8" borderId="5" xfId="9" applyFont="1" applyFill="1" applyBorder="1" applyAlignment="1">
      <alignment horizontal="left" vertical="top" wrapText="1"/>
    </xf>
    <xf numFmtId="0" fontId="13" fillId="10" borderId="4" xfId="9" applyFont="1" applyFill="1" applyBorder="1" applyAlignment="1">
      <alignment horizontal="left" vertical="top" wrapText="1"/>
    </xf>
    <xf numFmtId="2" fontId="6" fillId="0" borderId="0" xfId="0" applyNumberFormat="1" applyFont="1" applyAlignment="1">
      <alignment horizontal="center"/>
    </xf>
    <xf numFmtId="165" fontId="24" fillId="2" borderId="1" xfId="1" applyNumberFormat="1" applyFont="1" applyBorder="1" applyAlignment="1">
      <alignment horizontal="center" vertical="center"/>
    </xf>
    <xf numFmtId="165" fontId="24" fillId="4" borderId="9" xfId="6" applyNumberFormat="1" applyFont="1" applyBorder="1" applyAlignment="1">
      <alignment horizontal="center" vertical="center"/>
    </xf>
    <xf numFmtId="164" fontId="25" fillId="0" borderId="72" xfId="4" applyFont="1" applyBorder="1" applyAlignment="1">
      <alignment vertical="center" wrapText="1"/>
    </xf>
    <xf numFmtId="0" fontId="8" fillId="0" borderId="1" xfId="0" applyFont="1" applyBorder="1" applyAlignment="1">
      <alignment vertical="center" wrapText="1"/>
    </xf>
    <xf numFmtId="0" fontId="8" fillId="0" borderId="49" xfId="0" applyFont="1" applyBorder="1" applyAlignment="1">
      <alignment vertical="center" wrapText="1"/>
    </xf>
    <xf numFmtId="0" fontId="8" fillId="0" borderId="49" xfId="0" applyFont="1" applyBorder="1" applyAlignment="1">
      <alignment horizontal="center" vertical="center" wrapText="1"/>
    </xf>
    <xf numFmtId="0" fontId="0" fillId="0" borderId="80" xfId="0" applyBorder="1" applyAlignment="1">
      <alignment vertical="center" wrapText="1"/>
    </xf>
    <xf numFmtId="0" fontId="0" fillId="0" borderId="72" xfId="0" applyBorder="1" applyAlignment="1">
      <alignment vertical="center" wrapText="1"/>
    </xf>
    <xf numFmtId="0" fontId="12" fillId="0" borderId="49" xfId="0" applyFont="1" applyBorder="1" applyAlignment="1">
      <alignment vertical="center" wrapText="1"/>
    </xf>
    <xf numFmtId="0" fontId="0" fillId="0" borderId="1" xfId="0" applyBorder="1" applyAlignment="1">
      <alignment vertical="center" wrapText="1"/>
    </xf>
    <xf numFmtId="0" fontId="12" fillId="0" borderId="1" xfId="0" applyFont="1" applyBorder="1" applyAlignment="1">
      <alignment vertical="center" wrapText="1"/>
    </xf>
    <xf numFmtId="0" fontId="0" fillId="9" borderId="1" xfId="0" applyFill="1" applyBorder="1"/>
    <xf numFmtId="168" fontId="0" fillId="9" borderId="1" xfId="0" applyNumberFormat="1" applyFill="1" applyBorder="1"/>
    <xf numFmtId="49" fontId="0" fillId="0" borderId="0" xfId="0" applyNumberFormat="1"/>
    <xf numFmtId="0" fontId="8" fillId="0" borderId="0" xfId="0" applyFont="1" applyAlignment="1">
      <alignment horizontal="center" vertical="center" wrapText="1"/>
    </xf>
    <xf numFmtId="0" fontId="27" fillId="0" borderId="1" xfId="9" applyFont="1" applyBorder="1" applyAlignment="1" applyProtection="1">
      <alignment horizontal="center" wrapText="1"/>
      <protection locked="0"/>
    </xf>
    <xf numFmtId="0" fontId="28" fillId="0" borderId="1" xfId="9" applyFont="1" applyBorder="1" applyAlignment="1" applyProtection="1">
      <alignment horizontal="center" vertical="center" wrapText="1"/>
      <protection locked="0"/>
    </xf>
    <xf numFmtId="0" fontId="30" fillId="0" borderId="1" xfId="9" applyFont="1" applyBorder="1" applyAlignment="1" applyProtection="1">
      <alignment horizontal="center" vertical="center" wrapText="1"/>
      <protection locked="0"/>
    </xf>
    <xf numFmtId="0" fontId="0" fillId="0" borderId="1" xfId="0" applyBorder="1" applyAlignment="1">
      <alignment vertical="top" wrapText="1"/>
    </xf>
    <xf numFmtId="0" fontId="0" fillId="0" borderId="1" xfId="0" applyBorder="1" applyAlignment="1">
      <alignment vertical="top"/>
    </xf>
    <xf numFmtId="0" fontId="14"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14" fillId="0" borderId="1" xfId="0" applyFont="1" applyBorder="1" applyAlignment="1">
      <alignment vertical="top"/>
    </xf>
    <xf numFmtId="0" fontId="14" fillId="0" borderId="0" xfId="0" applyFont="1" applyAlignment="1">
      <alignment vertical="top" wrapText="1"/>
    </xf>
    <xf numFmtId="0" fontId="31" fillId="0" borderId="81" xfId="0" applyFont="1" applyBorder="1" applyAlignment="1" applyProtection="1">
      <alignment horizontal="center" wrapText="1"/>
      <protection locked="0"/>
    </xf>
    <xf numFmtId="0" fontId="14" fillId="0" borderId="0" xfId="9" applyProtection="1">
      <protection locked="0"/>
    </xf>
    <xf numFmtId="0" fontId="3" fillId="0" borderId="1" xfId="9" applyFont="1" applyBorder="1" applyAlignment="1" applyProtection="1">
      <alignment wrapText="1"/>
      <protection locked="0"/>
    </xf>
    <xf numFmtId="0" fontId="32" fillId="0" borderId="81" xfId="0" applyFont="1" applyBorder="1" applyAlignment="1" applyProtection="1">
      <alignment horizontal="center" wrapText="1"/>
      <protection locked="0"/>
    </xf>
    <xf numFmtId="0" fontId="2" fillId="0" borderId="1" xfId="9" applyFont="1" applyBorder="1" applyAlignment="1" applyProtection="1">
      <alignment wrapText="1"/>
      <protection locked="0"/>
    </xf>
    <xf numFmtId="0" fontId="2" fillId="0" borderId="5" xfId="9" applyFont="1" applyBorder="1" applyAlignment="1" applyProtection="1">
      <alignment wrapText="1"/>
      <protection locked="0"/>
    </xf>
    <xf numFmtId="0" fontId="25" fillId="0" borderId="1" xfId="0" applyFont="1" applyBorder="1" applyAlignment="1">
      <alignment horizontal="center" wrapText="1"/>
    </xf>
    <xf numFmtId="0" fontId="0" fillId="0" borderId="5" xfId="0" applyBorder="1"/>
    <xf numFmtId="0" fontId="25" fillId="0" borderId="5" xfId="0" applyFont="1" applyBorder="1" applyAlignment="1">
      <alignment horizontal="center" wrapText="1"/>
    </xf>
    <xf numFmtId="0" fontId="0" fillId="0" borderId="4" xfId="0" applyBorder="1"/>
    <xf numFmtId="0" fontId="24" fillId="3" borderId="6" xfId="5" applyFont="1" applyBorder="1" applyAlignment="1">
      <alignment horizontal="center" vertical="center"/>
    </xf>
    <xf numFmtId="0" fontId="0" fillId="0" borderId="25" xfId="0" applyBorder="1"/>
    <xf numFmtId="0" fontId="0" fillId="0" borderId="26" xfId="0" applyBorder="1"/>
    <xf numFmtId="0" fontId="24" fillId="0" borderId="27" xfId="0" applyFont="1" applyBorder="1" applyAlignment="1">
      <alignment horizontal="center"/>
    </xf>
    <xf numFmtId="0" fontId="0" fillId="0" borderId="23" xfId="0" applyBorder="1"/>
    <xf numFmtId="0" fontId="0" fillId="0" borderId="27" xfId="0" applyBorder="1"/>
    <xf numFmtId="0" fontId="25" fillId="0" borderId="1" xfId="0" applyFont="1" applyBorder="1" applyAlignment="1">
      <alignment horizontal="center" vertical="top" wrapText="1"/>
    </xf>
    <xf numFmtId="0" fontId="25" fillId="0" borderId="29" xfId="0" applyFont="1" applyBorder="1" applyAlignment="1">
      <alignment horizontal="center" vertical="top" wrapText="1"/>
    </xf>
    <xf numFmtId="0" fontId="25" fillId="0" borderId="16" xfId="0" applyFont="1" applyBorder="1" applyAlignment="1">
      <alignment horizontal="center" vertical="top" wrapText="1"/>
    </xf>
    <xf numFmtId="0" fontId="0" fillId="0" borderId="64" xfId="0" applyBorder="1"/>
    <xf numFmtId="0" fontId="25" fillId="0" borderId="29" xfId="0" applyFont="1" applyBorder="1" applyAlignment="1">
      <alignment horizontal="center" wrapText="1"/>
    </xf>
    <xf numFmtId="0" fontId="0" fillId="0" borderId="0" xfId="0"/>
    <xf numFmtId="0" fontId="24" fillId="0" borderId="5" xfId="0" applyFont="1" applyBorder="1" applyAlignment="1">
      <alignment horizontal="left" vertical="top" wrapText="1"/>
    </xf>
    <xf numFmtId="0" fontId="25" fillId="0" borderId="73" xfId="0" applyFont="1" applyBorder="1" applyAlignment="1">
      <alignment horizontal="center" vertical="top" wrapText="1"/>
    </xf>
    <xf numFmtId="0" fontId="0" fillId="0" borderId="68" xfId="0" applyBorder="1"/>
    <xf numFmtId="0" fontId="25" fillId="0" borderId="62" xfId="0" applyFont="1" applyBorder="1" applyAlignment="1">
      <alignment horizontal="center" vertical="top" wrapText="1"/>
    </xf>
    <xf numFmtId="0" fontId="25" fillId="0" borderId="62" xfId="0" applyFont="1" applyBorder="1" applyAlignment="1">
      <alignment horizontal="center" wrapText="1"/>
    </xf>
    <xf numFmtId="0" fontId="24" fillId="0" borderId="6" xfId="0" applyFont="1" applyBorder="1" applyAlignment="1">
      <alignment horizontal="center"/>
    </xf>
    <xf numFmtId="0" fontId="24" fillId="12" borderId="65" xfId="5" applyFont="1" applyFill="1" applyBorder="1" applyAlignment="1">
      <alignment horizontal="center" vertical="top" wrapText="1"/>
    </xf>
    <xf numFmtId="0" fontId="0" fillId="0" borderId="31" xfId="0" applyBorder="1"/>
    <xf numFmtId="0" fontId="0" fillId="0" borderId="45" xfId="0" applyBorder="1"/>
    <xf numFmtId="0" fontId="25" fillId="0" borderId="61" xfId="0" applyFont="1" applyBorder="1" applyAlignment="1">
      <alignment horizontal="center" vertical="top" wrapText="1"/>
    </xf>
    <xf numFmtId="0" fontId="0" fillId="0" borderId="12" xfId="0" applyBorder="1"/>
    <xf numFmtId="0" fontId="0" fillId="0" borderId="13" xfId="0" applyBorder="1"/>
    <xf numFmtId="0" fontId="0" fillId="0" borderId="63" xfId="0" applyBorder="1"/>
    <xf numFmtId="0" fontId="24" fillId="2" borderId="50" xfId="1" applyFont="1" applyBorder="1" applyAlignment="1">
      <alignment horizontal="center" vertical="center"/>
    </xf>
    <xf numFmtId="0" fontId="0" fillId="0" borderId="50" xfId="0" applyBorder="1"/>
    <xf numFmtId="0" fontId="24" fillId="0" borderId="13" xfId="0" applyFont="1" applyBorder="1" applyAlignment="1">
      <alignment horizontal="left"/>
    </xf>
    <xf numFmtId="0" fontId="25" fillId="0" borderId="16" xfId="0" applyFont="1" applyBorder="1" applyAlignment="1" applyProtection="1">
      <alignment horizontal="center" wrapText="1"/>
      <protection locked="0"/>
    </xf>
    <xf numFmtId="0" fontId="0" fillId="0" borderId="63" xfId="0" applyBorder="1" applyProtection="1">
      <protection locked="0"/>
    </xf>
    <xf numFmtId="0" fontId="0" fillId="0" borderId="64" xfId="0" applyBorder="1" applyProtection="1">
      <protection locked="0"/>
    </xf>
    <xf numFmtId="0" fontId="24" fillId="0" borderId="5" xfId="0" applyFont="1" applyBorder="1" applyAlignment="1">
      <alignment horizontal="left"/>
    </xf>
    <xf numFmtId="0" fontId="25" fillId="0" borderId="73" xfId="0" applyFont="1" applyBorder="1" applyAlignment="1">
      <alignment horizontal="center" wrapText="1"/>
    </xf>
    <xf numFmtId="0" fontId="7" fillId="0" borderId="73" xfId="0" applyFont="1" applyBorder="1" applyAlignment="1">
      <alignment horizontal="center" vertical="center" wrapText="1"/>
    </xf>
    <xf numFmtId="0" fontId="24" fillId="0" borderId="5" xfId="0" applyFont="1" applyBorder="1" applyAlignment="1">
      <alignment horizontal="left" wrapText="1"/>
    </xf>
    <xf numFmtId="1" fontId="25" fillId="0" borderId="73" xfId="0" applyNumberFormat="1" applyFont="1" applyBorder="1" applyAlignment="1">
      <alignment horizontal="center" wrapText="1"/>
    </xf>
    <xf numFmtId="0" fontId="7" fillId="0" borderId="14" xfId="0" applyFont="1" applyBorder="1" applyAlignment="1" applyProtection="1">
      <alignment horizontal="center" vertical="center" wrapText="1"/>
      <protection locked="0"/>
    </xf>
    <xf numFmtId="0" fontId="0" fillId="0" borderId="4" xfId="0" applyBorder="1" applyProtection="1">
      <protection locked="0"/>
    </xf>
    <xf numFmtId="0" fontId="0" fillId="0" borderId="75" xfId="0" applyBorder="1" applyProtection="1">
      <protection locked="0"/>
    </xf>
    <xf numFmtId="0" fontId="7" fillId="0" borderId="73" xfId="0" applyFont="1" applyBorder="1" applyAlignment="1" applyProtection="1">
      <alignment horizontal="center" vertical="center" wrapText="1"/>
      <protection locked="0"/>
    </xf>
    <xf numFmtId="0" fontId="0" fillId="0" borderId="68" xfId="0" applyBorder="1" applyProtection="1">
      <protection locked="0"/>
    </xf>
    <xf numFmtId="0" fontId="24" fillId="4" borderId="50" xfId="6" applyFont="1" applyBorder="1" applyAlignment="1">
      <alignment horizontal="center" vertical="center"/>
    </xf>
    <xf numFmtId="0" fontId="24" fillId="0" borderId="13" xfId="0" applyFont="1" applyBorder="1" applyAlignment="1">
      <alignment vertical="center" wrapText="1"/>
    </xf>
    <xf numFmtId="0" fontId="11" fillId="0" borderId="6" xfId="0" applyFont="1" applyBorder="1" applyAlignment="1">
      <alignment horizontal="left" vertical="justify" wrapText="1"/>
    </xf>
    <xf numFmtId="0" fontId="24" fillId="0" borderId="5" xfId="0" applyFont="1" applyBorder="1" applyAlignment="1">
      <alignment vertical="center" wrapText="1"/>
    </xf>
    <xf numFmtId="0" fontId="24" fillId="0" borderId="5" xfId="0" applyFont="1" applyBorder="1" applyAlignment="1">
      <alignment horizontal="left" vertical="center" wrapText="1"/>
    </xf>
    <xf numFmtId="0" fontId="7" fillId="6" borderId="79" xfId="0" applyFont="1" applyFill="1" applyBorder="1" applyAlignment="1">
      <alignment horizontal="center" vertical="center" wrapText="1"/>
    </xf>
    <xf numFmtId="0" fontId="7" fillId="6" borderId="44" xfId="0" applyFont="1" applyFill="1" applyBorder="1" applyAlignment="1">
      <alignment horizontal="center" vertical="center" wrapText="1"/>
    </xf>
    <xf numFmtId="0" fontId="24" fillId="0" borderId="20" xfId="0" applyFont="1" applyBorder="1" applyAlignment="1">
      <alignment horizontal="center"/>
    </xf>
    <xf numFmtId="0" fontId="25" fillId="0" borderId="0" xfId="0" applyFont="1"/>
    <xf numFmtId="0" fontId="0" fillId="0" borderId="28" xfId="0" applyBorder="1"/>
    <xf numFmtId="0" fontId="10" fillId="13" borderId="69" xfId="0" applyFont="1" applyFill="1" applyBorder="1" applyAlignment="1">
      <alignment horizontal="center" vertical="center"/>
    </xf>
    <xf numFmtId="0" fontId="0" fillId="0" borderId="33" xfId="0" applyBorder="1"/>
    <xf numFmtId="0" fontId="0" fillId="0" borderId="44" xfId="0" applyBorder="1"/>
    <xf numFmtId="0" fontId="9" fillId="0" borderId="0" xfId="0" applyFont="1" applyAlignment="1">
      <alignment vertical="center" wrapText="1"/>
    </xf>
    <xf numFmtId="0" fontId="25" fillId="3" borderId="66" xfId="5" applyFont="1" applyBorder="1" applyAlignment="1">
      <alignment horizontal="center" vertical="top" wrapText="1"/>
    </xf>
    <xf numFmtId="0" fontId="0" fillId="0" borderId="39" xfId="0" applyBorder="1"/>
    <xf numFmtId="0" fontId="0" fillId="0" borderId="42" xfId="0" applyBorder="1"/>
    <xf numFmtId="0" fontId="10" fillId="6" borderId="41" xfId="0" applyFont="1" applyFill="1" applyBorder="1" applyAlignment="1">
      <alignment horizontal="justify" vertical="top" wrapText="1"/>
    </xf>
    <xf numFmtId="0" fontId="10" fillId="6" borderId="33" xfId="0" applyFont="1" applyFill="1" applyBorder="1" applyAlignment="1">
      <alignment horizontal="justify" vertical="top" wrapText="1"/>
    </xf>
    <xf numFmtId="0" fontId="10" fillId="6" borderId="32" xfId="0" applyFont="1" applyFill="1" applyBorder="1" applyAlignment="1">
      <alignment horizontal="justify" vertical="top" wrapText="1"/>
    </xf>
    <xf numFmtId="0" fontId="24" fillId="11" borderId="6" xfId="5" applyFont="1" applyFill="1" applyBorder="1" applyAlignment="1">
      <alignment horizontal="center" vertical="center"/>
    </xf>
    <xf numFmtId="0" fontId="24" fillId="3" borderId="67" xfId="5" applyFont="1" applyBorder="1" applyAlignment="1">
      <alignment horizontal="center" vertical="center"/>
    </xf>
    <xf numFmtId="0" fontId="24" fillId="13" borderId="6" xfId="0" applyFont="1" applyFill="1" applyBorder="1" applyAlignment="1">
      <alignment horizontal="center"/>
    </xf>
    <xf numFmtId="0" fontId="7" fillId="6" borderId="26" xfId="0" applyFont="1" applyFill="1" applyBorder="1" applyAlignment="1" applyProtection="1">
      <alignment horizontal="left" vertical="top" wrapText="1"/>
      <protection locked="0"/>
    </xf>
    <xf numFmtId="0" fontId="0" fillId="0" borderId="25" xfId="0" applyBorder="1" applyProtection="1">
      <protection locked="0"/>
    </xf>
    <xf numFmtId="0" fontId="0" fillId="0" borderId="26" xfId="0" applyBorder="1" applyProtection="1">
      <protection locked="0"/>
    </xf>
    <xf numFmtId="0" fontId="24" fillId="11" borderId="21" xfId="5" applyFont="1" applyFill="1" applyBorder="1" applyAlignment="1">
      <alignment horizontal="center" vertical="center"/>
    </xf>
    <xf numFmtId="0" fontId="10" fillId="13" borderId="41" xfId="0" applyFont="1" applyFill="1" applyBorder="1" applyAlignment="1">
      <alignment horizontal="center" vertical="center"/>
    </xf>
    <xf numFmtId="0" fontId="0" fillId="0" borderId="34" xfId="0" applyBorder="1"/>
    <xf numFmtId="0" fontId="10" fillId="0" borderId="38" xfId="0" applyFont="1" applyBorder="1" applyAlignment="1">
      <alignment vertical="justify" wrapText="1"/>
    </xf>
    <xf numFmtId="0" fontId="10" fillId="0" borderId="39" xfId="0" applyFont="1" applyBorder="1" applyAlignment="1">
      <alignment vertical="justify" wrapText="1"/>
    </xf>
    <xf numFmtId="0" fontId="10" fillId="0" borderId="40" xfId="0" applyFont="1" applyBorder="1" applyAlignment="1">
      <alignment vertical="justify" wrapText="1"/>
    </xf>
    <xf numFmtId="0" fontId="10" fillId="0" borderId="34" xfId="0" applyFont="1" applyBorder="1" applyAlignment="1">
      <alignment vertical="justify" wrapText="1"/>
    </xf>
    <xf numFmtId="0" fontId="10" fillId="0" borderId="36" xfId="0" applyFont="1" applyBorder="1" applyAlignment="1">
      <alignment vertical="justify" wrapText="1"/>
    </xf>
    <xf numFmtId="0" fontId="10" fillId="0" borderId="37" xfId="0" applyFont="1" applyBorder="1" applyAlignment="1">
      <alignment vertical="justify" wrapText="1"/>
    </xf>
    <xf numFmtId="167" fontId="7" fillId="0" borderId="70" xfId="0" applyNumberFormat="1" applyFont="1" applyBorder="1" applyAlignment="1" applyProtection="1">
      <alignment horizontal="center" vertical="center" wrapText="1"/>
      <protection locked="0"/>
    </xf>
    <xf numFmtId="0" fontId="0" fillId="0" borderId="71" xfId="0" applyBorder="1" applyProtection="1">
      <protection locked="0"/>
    </xf>
    <xf numFmtId="0" fontId="0" fillId="0" borderId="15" xfId="0" applyBorder="1" applyProtection="1">
      <protection locked="0"/>
    </xf>
    <xf numFmtId="0" fontId="24" fillId="0" borderId="5" xfId="0" applyFont="1" applyBorder="1" applyAlignment="1">
      <alignment horizontal="center" vertical="center" wrapText="1"/>
    </xf>
    <xf numFmtId="0" fontId="0" fillId="0" borderId="10" xfId="0" applyBorder="1"/>
    <xf numFmtId="0" fontId="0" fillId="0" borderId="11" xfId="0" applyBorder="1"/>
    <xf numFmtId="0" fontId="24" fillId="2" borderId="1" xfId="1" applyFont="1" applyBorder="1" applyAlignment="1">
      <alignment horizontal="center" vertical="center"/>
    </xf>
    <xf numFmtId="0" fontId="0" fillId="0" borderId="72" xfId="0" applyBorder="1"/>
    <xf numFmtId="0" fontId="24" fillId="0" borderId="65" xfId="0" applyFont="1" applyBorder="1" applyAlignment="1">
      <alignment horizontal="center"/>
    </xf>
    <xf numFmtId="0" fontId="7" fillId="0" borderId="78" xfId="0" applyFont="1" applyBorder="1" applyAlignment="1">
      <alignment horizontal="center" vertical="center"/>
    </xf>
    <xf numFmtId="0" fontId="7" fillId="0" borderId="39" xfId="0" applyFont="1" applyBorder="1" applyAlignment="1">
      <alignment horizontal="center" vertical="center"/>
    </xf>
    <xf numFmtId="0" fontId="7" fillId="0" borderId="42" xfId="0" applyFont="1" applyBorder="1" applyAlignment="1">
      <alignment horizontal="center" vertical="center"/>
    </xf>
    <xf numFmtId="0" fontId="7" fillId="0" borderId="35" xfId="0" applyFont="1" applyBorder="1" applyAlignment="1">
      <alignment horizontal="center" vertical="center"/>
    </xf>
    <xf numFmtId="0" fontId="7" fillId="0" borderId="36" xfId="0" applyFont="1" applyBorder="1" applyAlignment="1">
      <alignment horizontal="center" vertical="center"/>
    </xf>
    <xf numFmtId="0" fontId="7" fillId="0" borderId="43" xfId="0" applyFont="1" applyBorder="1" applyAlignment="1">
      <alignment horizontal="center" vertical="center"/>
    </xf>
    <xf numFmtId="0" fontId="24" fillId="0" borderId="11" xfId="0" applyFont="1" applyBorder="1" applyAlignment="1">
      <alignment horizontal="left" vertical="center" wrapText="1"/>
    </xf>
    <xf numFmtId="0" fontId="25" fillId="0" borderId="3" xfId="0" applyFont="1" applyBorder="1" applyAlignment="1" applyProtection="1">
      <alignment horizontal="center" wrapText="1"/>
      <protection locked="0"/>
    </xf>
    <xf numFmtId="0" fontId="25" fillId="0" borderId="71" xfId="0" applyFont="1" applyBorder="1" applyAlignment="1" applyProtection="1">
      <alignment horizontal="center" wrapText="1"/>
      <protection locked="0"/>
    </xf>
    <xf numFmtId="0" fontId="25" fillId="0" borderId="75" xfId="0" applyFont="1" applyBorder="1" applyAlignment="1" applyProtection="1">
      <alignment horizontal="center" wrapText="1"/>
      <protection locked="0"/>
    </xf>
    <xf numFmtId="0" fontId="7" fillId="0" borderId="74" xfId="0" applyFont="1" applyBorder="1" applyAlignment="1" applyProtection="1">
      <alignment horizontal="center" vertical="center" wrapText="1"/>
      <protection locked="0"/>
    </xf>
    <xf numFmtId="0" fontId="0" fillId="0" borderId="0" xfId="0" applyProtection="1">
      <protection locked="0"/>
    </xf>
    <xf numFmtId="0" fontId="0" fillId="0" borderId="28" xfId="0" applyBorder="1" applyProtection="1">
      <protection locked="0"/>
    </xf>
    <xf numFmtId="0" fontId="25" fillId="0" borderId="3" xfId="0" applyFont="1" applyBorder="1" applyAlignment="1">
      <alignment horizontal="center" wrapText="1"/>
    </xf>
    <xf numFmtId="0" fontId="25" fillId="0" borderId="71" xfId="0" applyFont="1" applyBorder="1" applyAlignment="1">
      <alignment horizontal="center" wrapText="1"/>
    </xf>
    <xf numFmtId="0" fontId="25" fillId="0" borderId="75" xfId="0" applyFont="1" applyBorder="1" applyAlignment="1">
      <alignment horizontal="center" wrapText="1"/>
    </xf>
    <xf numFmtId="0" fontId="24" fillId="0" borderId="62" xfId="0" applyFont="1" applyBorder="1" applyAlignment="1">
      <alignment horizontal="left" vertical="center" wrapText="1"/>
    </xf>
    <xf numFmtId="0" fontId="24" fillId="13" borderId="65" xfId="5" applyFont="1" applyFill="1" applyBorder="1" applyAlignment="1">
      <alignment horizontal="center" vertical="top" wrapText="1"/>
    </xf>
    <xf numFmtId="0" fontId="24" fillId="14" borderId="6" xfId="5" applyFont="1" applyFill="1" applyBorder="1" applyAlignment="1">
      <alignment horizontal="center" vertical="top" wrapText="1"/>
    </xf>
    <xf numFmtId="0" fontId="10" fillId="5" borderId="21" xfId="0" applyFont="1" applyFill="1" applyBorder="1" applyAlignment="1">
      <alignment horizontal="left" vertical="justify" wrapText="1"/>
    </xf>
    <xf numFmtId="0" fontId="10" fillId="0" borderId="1" xfId="0" applyFont="1" applyBorder="1" applyAlignment="1">
      <alignment vertical="center"/>
    </xf>
    <xf numFmtId="0" fontId="10" fillId="0" borderId="49" xfId="0" applyFont="1" applyBorder="1" applyAlignment="1">
      <alignment vertical="center"/>
    </xf>
    <xf numFmtId="0" fontId="24" fillId="12" borderId="6" xfId="5" applyFont="1" applyFill="1" applyBorder="1" applyAlignment="1">
      <alignment horizontal="center" vertical="top" wrapText="1"/>
    </xf>
    <xf numFmtId="0" fontId="24" fillId="0" borderId="21" xfId="0" applyFont="1" applyBorder="1" applyAlignment="1">
      <alignment horizontal="center"/>
    </xf>
    <xf numFmtId="0" fontId="25" fillId="0" borderId="77" xfId="0" applyFont="1" applyBorder="1" applyAlignment="1">
      <alignment horizontal="center" wrapText="1"/>
    </xf>
    <xf numFmtId="0" fontId="25" fillId="0" borderId="10" xfId="0" applyFont="1" applyBorder="1" applyAlignment="1">
      <alignment horizontal="center" wrapText="1"/>
    </xf>
    <xf numFmtId="0" fontId="25" fillId="0" borderId="57" xfId="0" applyFont="1" applyBorder="1" applyAlignment="1">
      <alignment horizontal="center" wrapText="1"/>
    </xf>
    <xf numFmtId="0" fontId="25" fillId="0" borderId="76" xfId="0" applyFont="1" applyBorder="1" applyAlignment="1">
      <alignment horizontal="center" wrapText="1"/>
    </xf>
    <xf numFmtId="0" fontId="25" fillId="0" borderId="63" xfId="0" applyFont="1" applyBorder="1" applyAlignment="1">
      <alignment horizontal="center" wrapText="1"/>
    </xf>
    <xf numFmtId="0" fontId="25" fillId="0" borderId="18" xfId="0" applyFont="1" applyBorder="1" applyAlignment="1">
      <alignment horizontal="center" wrapText="1"/>
    </xf>
    <xf numFmtId="0" fontId="23" fillId="0" borderId="55" xfId="0" applyFont="1" applyBorder="1" applyAlignment="1">
      <alignment horizontal="center" vertical="center"/>
    </xf>
    <xf numFmtId="0" fontId="10" fillId="7" borderId="60" xfId="0" applyFont="1" applyFill="1" applyBorder="1" applyAlignment="1">
      <alignment horizontal="center" vertical="center"/>
    </xf>
    <xf numFmtId="0" fontId="0" fillId="0" borderId="59" xfId="0" applyBorder="1"/>
    <xf numFmtId="0" fontId="0" fillId="0" borderId="60" xfId="0" applyBorder="1"/>
    <xf numFmtId="0" fontId="10" fillId="0" borderId="16" xfId="0" applyFont="1" applyBorder="1" applyAlignment="1">
      <alignment vertical="center" wrapText="1"/>
    </xf>
    <xf numFmtId="0" fontId="25" fillId="0" borderId="48" xfId="0" applyFont="1" applyBorder="1" applyAlignment="1" applyProtection="1">
      <alignment horizontal="left" vertical="top" wrapText="1"/>
      <protection locked="0"/>
    </xf>
    <xf numFmtId="0" fontId="0" fillId="0" borderId="53" xfId="0" applyBorder="1" applyProtection="1">
      <protection locked="0"/>
    </xf>
    <xf numFmtId="0" fontId="0" fillId="0" borderId="54" xfId="0" applyBorder="1" applyProtection="1">
      <protection locked="0"/>
    </xf>
    <xf numFmtId="0" fontId="10" fillId="0" borderId="1" xfId="0" applyFont="1" applyBorder="1" applyAlignment="1">
      <alignment vertical="center" wrapText="1"/>
    </xf>
    <xf numFmtId="0" fontId="24" fillId="3" borderId="45" xfId="5" applyFont="1" applyBorder="1" applyAlignment="1">
      <alignment horizontal="center" vertical="top" wrapText="1"/>
    </xf>
    <xf numFmtId="0" fontId="22" fillId="0" borderId="17" xfId="9" applyFont="1" applyBorder="1" applyAlignment="1">
      <alignment horizontal="center" vertical="center"/>
    </xf>
    <xf numFmtId="0" fontId="26" fillId="0" borderId="1" xfId="9" applyFont="1" applyBorder="1" applyAlignment="1">
      <alignment horizontal="left" vertical="top" wrapText="1"/>
    </xf>
    <xf numFmtId="0" fontId="0" fillId="0" borderId="76" xfId="0" applyBorder="1"/>
    <xf numFmtId="0" fontId="13" fillId="8" borderId="1" xfId="9" applyFont="1" applyFill="1" applyBorder="1" applyAlignment="1">
      <alignment horizontal="center" vertical="center" wrapText="1"/>
    </xf>
    <xf numFmtId="0" fontId="13" fillId="8" borderId="1" xfId="9" applyFont="1" applyFill="1" applyBorder="1" applyAlignment="1">
      <alignment horizontal="left" vertical="top" wrapText="1"/>
    </xf>
    <xf numFmtId="0" fontId="13" fillId="8" borderId="5" xfId="9" applyFont="1" applyFill="1" applyBorder="1" applyAlignment="1">
      <alignment horizontal="center" vertical="center" wrapText="1"/>
    </xf>
    <xf numFmtId="0" fontId="13" fillId="10" borderId="3" xfId="9" applyFont="1" applyFill="1" applyBorder="1" applyAlignment="1">
      <alignment horizontal="left" vertical="top" wrapText="1"/>
    </xf>
    <xf numFmtId="0" fontId="13" fillId="10" borderId="71" xfId="9" applyFont="1" applyFill="1" applyBorder="1" applyAlignment="1">
      <alignment horizontal="left" vertical="top" wrapText="1"/>
    </xf>
    <xf numFmtId="0" fontId="15" fillId="0" borderId="1" xfId="9" applyFont="1" applyBorder="1" applyAlignment="1">
      <alignment horizontal="left" vertical="top" wrapText="1"/>
    </xf>
    <xf numFmtId="0" fontId="6" fillId="0" borderId="0" xfId="0" applyFont="1" applyAlignment="1">
      <alignment horizontal="center"/>
    </xf>
    <xf numFmtId="0" fontId="6" fillId="0" borderId="0" xfId="0" applyFont="1" applyAlignment="1">
      <alignment horizontal="center" wrapText="1"/>
    </xf>
    <xf numFmtId="2" fontId="6" fillId="0" borderId="0" xfId="0" applyNumberFormat="1" applyFont="1" applyAlignment="1">
      <alignment horizontal="center"/>
    </xf>
  </cellXfs>
  <cellStyles count="15">
    <cellStyle name="40% - Accent5" xfId="5" builtinId="47"/>
    <cellStyle name="40% - Accent5 2" xfId="12"/>
    <cellStyle name="40% - Accent6" xfId="6" builtinId="51"/>
    <cellStyle name="40% - Accent6 2" xfId="13"/>
    <cellStyle name="60% - Accent3" xfId="1" builtinId="40"/>
    <cellStyle name="60% - Accent3 2" xfId="10"/>
    <cellStyle name="Currency" xfId="4" builtinId="4"/>
    <cellStyle name="Currency 2" xfId="8"/>
    <cellStyle name="Currency 2 2" xfId="14"/>
    <cellStyle name="Currency 3" xfId="11"/>
    <cellStyle name="Normal" xfId="0" builtinId="0"/>
    <cellStyle name="Normal 2" xfId="3"/>
    <cellStyle name="Normal 2 2" xfId="7"/>
    <cellStyle name="Normal 3" xfId="9"/>
    <cellStyle name="Нормален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Radio" firstButton="1" fmlaLink="Стойности!$B$3"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Стойности!$B$6" lockText="1" noThreeD="1"/>
</file>

<file path=xl/ctrlProps/ctrlProp4.xml><?xml version="1.0" encoding="utf-8"?>
<formControlPr xmlns="http://schemas.microsoft.com/office/spreadsheetml/2009/9/main" objectType="CheckBox" checked="Checked" fmlaLink="Стойности!$D$6" lockText="1" noThreeD="1"/>
</file>

<file path=xl/ctrlProps/ctrlProp5.xml><?xml version="1.0" encoding="utf-8"?>
<formControlPr xmlns="http://schemas.microsoft.com/office/spreadsheetml/2009/9/main" objectType="CheckBox" checked="Checked" fmlaLink="Стойности!$C$6" lockText="1" noThreeD="1"/>
</file>

<file path=xl/ctrlProps/ctrlProp6.xml><?xml version="1.0" encoding="utf-8"?>
<formControlPr xmlns="http://schemas.microsoft.com/office/spreadsheetml/2009/9/main" objectType="CheckBox" checked="Checked" fmlaLink="Стойности!$B$8" lockText="1" noThreeD="1"/>
</file>

<file path=xl/ctrlProps/ctrlProp7.xml><?xml version="1.0" encoding="utf-8"?>
<formControlPr xmlns="http://schemas.microsoft.com/office/spreadsheetml/2009/9/main" objectType="CheckBox" checked="Checked" fmlaLink="Стойности!$B$9"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365760</xdr:colOff>
          <xdr:row>28</xdr:row>
          <xdr:rowOff>289560</xdr:rowOff>
        </xdr:from>
        <xdr:to>
          <xdr:col>7</xdr:col>
          <xdr:colOff>441960</xdr:colOff>
          <xdr:row>29</xdr:row>
          <xdr:rowOff>213360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Да, има.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1059180</xdr:colOff>
          <xdr:row>28</xdr:row>
          <xdr:rowOff>297180</xdr:rowOff>
        </xdr:from>
        <xdr:to>
          <xdr:col>9</xdr:col>
          <xdr:colOff>754380</xdr:colOff>
          <xdr:row>29</xdr:row>
          <xdr:rowOff>182880</xdr:rowOff>
        </xdr:to>
        <xdr:sp macro="" textlink="">
          <xdr:nvSpPr>
            <xdr:cNvPr id="1052" name="Option Button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Не, няма.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68580</xdr:rowOff>
        </xdr:from>
        <xdr:to>
          <xdr:col>7</xdr:col>
          <xdr:colOff>594360</xdr:colOff>
          <xdr:row>31</xdr:row>
          <xdr:rowOff>289560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Начален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381000</xdr:rowOff>
        </xdr:from>
        <xdr:to>
          <xdr:col>7</xdr:col>
          <xdr:colOff>571500</xdr:colOff>
          <xdr:row>31</xdr:row>
          <xdr:rowOff>601980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Прогимназиален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297180</xdr:colOff>
          <xdr:row>31</xdr:row>
          <xdr:rowOff>76200</xdr:rowOff>
        </xdr:from>
        <xdr:to>
          <xdr:col>9</xdr:col>
          <xdr:colOff>403860</xdr:colOff>
          <xdr:row>31</xdr:row>
          <xdr:rowOff>297180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601980</xdr:colOff>
          <xdr:row>49</xdr:row>
          <xdr:rowOff>60960</xdr:rowOff>
        </xdr:from>
        <xdr:to>
          <xdr:col>9</xdr:col>
          <xdr:colOff>220980</xdr:colOff>
          <xdr:row>49</xdr:row>
          <xdr:rowOff>289560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381000</xdr:colOff>
          <xdr:row>51</xdr:row>
          <xdr:rowOff>99060</xdr:rowOff>
        </xdr:from>
        <xdr:to>
          <xdr:col>9</xdr:col>
          <xdr:colOff>601980</xdr:colOff>
          <xdr:row>51</xdr:row>
          <xdr:rowOff>381000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xdr:wsDr>
</file>

<file path=xl/theme/theme1.xml><?xml version="1.0" encoding="utf-8"?>
<a:theme xmlns:a="http://schemas.openxmlformats.org/drawingml/2006/main" name="Тема на Office">
  <a:themeElements>
    <a:clrScheme name="О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dimension ref="A2:L1345"/>
  <sheetViews>
    <sheetView showGridLines="0" tabSelected="1" topLeftCell="A31" zoomScale="90" zoomScaleNormal="90" workbookViewId="0">
      <selection activeCell="B55" sqref="B55:J55"/>
    </sheetView>
  </sheetViews>
  <sheetFormatPr defaultRowHeight="15.6" x14ac:dyDescent="0.3"/>
  <cols>
    <col min="1" max="1" width="5.6640625" style="12" customWidth="1"/>
    <col min="2" max="2" width="9.33203125" style="12" customWidth="1"/>
    <col min="3" max="3" width="8.33203125" style="12" customWidth="1"/>
    <col min="4" max="4" width="12.33203125" style="12" customWidth="1"/>
    <col min="5" max="5" width="20.6640625" style="12" customWidth="1"/>
    <col min="6" max="7" width="8.6640625" style="12" customWidth="1"/>
    <col min="8" max="8" width="9.33203125" style="12" customWidth="1"/>
    <col min="9" max="9" width="27.5546875" style="12" customWidth="1"/>
    <col min="10" max="10" width="28.33203125" style="12" customWidth="1"/>
    <col min="11" max="11" width="13.33203125" customWidth="1"/>
  </cols>
  <sheetData>
    <row r="2" spans="1:12" x14ac:dyDescent="0.3">
      <c r="B2" s="53"/>
      <c r="C2" s="53"/>
      <c r="D2" s="53"/>
      <c r="K2" s="145"/>
      <c r="L2" s="145"/>
    </row>
    <row r="3" spans="1:12" ht="40.950000000000003" customHeight="1" x14ac:dyDescent="0.3">
      <c r="B3" s="53"/>
      <c r="E3" s="53"/>
      <c r="F3" s="53"/>
    </row>
    <row r="4" spans="1:12" ht="33" customHeight="1" x14ac:dyDescent="0.3">
      <c r="B4" s="53"/>
    </row>
    <row r="5" spans="1:12" ht="16.5" customHeight="1" thickBot="1" x14ac:dyDescent="0.35"/>
    <row r="6" spans="1:12" ht="30" customHeight="1" thickBot="1" x14ac:dyDescent="0.35">
      <c r="A6" s="249" t="s">
        <v>0</v>
      </c>
      <c r="B6" s="135"/>
      <c r="C6" s="135"/>
      <c r="D6" s="135"/>
      <c r="E6" s="135"/>
      <c r="F6" s="135"/>
      <c r="G6" s="135"/>
      <c r="H6" s="135"/>
      <c r="I6" s="135"/>
      <c r="J6" s="160"/>
    </row>
    <row r="7" spans="1:12" ht="16.5" customHeight="1" thickBot="1" x14ac:dyDescent="0.35">
      <c r="A7" s="88">
        <v>1</v>
      </c>
      <c r="B7" s="250" t="s">
        <v>1</v>
      </c>
      <c r="C7" s="251"/>
      <c r="D7" s="251"/>
      <c r="E7" s="251"/>
      <c r="F7" s="251"/>
      <c r="G7" s="251"/>
      <c r="H7" s="251"/>
      <c r="I7" s="251"/>
      <c r="J7" s="252"/>
    </row>
    <row r="8" spans="1:12" ht="15.75" customHeight="1" x14ac:dyDescent="0.3">
      <c r="A8" s="54">
        <v>1.1000000000000001</v>
      </c>
      <c r="B8" s="253" t="s">
        <v>2</v>
      </c>
      <c r="C8" s="158"/>
      <c r="D8" s="158"/>
      <c r="E8" s="143"/>
      <c r="F8" s="170"/>
      <c r="G8" s="171"/>
      <c r="H8" s="171"/>
      <c r="I8" s="171"/>
      <c r="J8" s="172"/>
    </row>
    <row r="9" spans="1:12" x14ac:dyDescent="0.3">
      <c r="A9" s="55">
        <v>1.2</v>
      </c>
      <c r="B9" s="239" t="s">
        <v>3</v>
      </c>
      <c r="C9" s="133"/>
      <c r="D9" s="133"/>
      <c r="E9" s="131"/>
      <c r="F9" s="170"/>
      <c r="G9" s="171"/>
      <c r="H9" s="171"/>
      <c r="I9" s="171"/>
      <c r="J9" s="172"/>
    </row>
    <row r="10" spans="1:12" x14ac:dyDescent="0.3">
      <c r="A10" s="55">
        <v>1.3</v>
      </c>
      <c r="B10" s="257" t="s">
        <v>4</v>
      </c>
      <c r="C10" s="133"/>
      <c r="D10" s="133"/>
      <c r="E10" s="131"/>
      <c r="F10" s="170"/>
      <c r="G10" s="171"/>
      <c r="H10" s="171"/>
      <c r="I10" s="171"/>
      <c r="J10" s="172"/>
    </row>
    <row r="11" spans="1:12" x14ac:dyDescent="0.3">
      <c r="A11" s="55">
        <v>1.4</v>
      </c>
      <c r="B11" s="239" t="s">
        <v>5</v>
      </c>
      <c r="C11" s="133"/>
      <c r="D11" s="133"/>
      <c r="E11" s="131"/>
      <c r="F11" s="170"/>
      <c r="G11" s="171"/>
      <c r="H11" s="171"/>
      <c r="I11" s="171"/>
      <c r="J11" s="172"/>
    </row>
    <row r="12" spans="1:12" x14ac:dyDescent="0.3">
      <c r="A12" s="55">
        <v>1.5</v>
      </c>
      <c r="B12" s="239" t="s">
        <v>3</v>
      </c>
      <c r="C12" s="133"/>
      <c r="D12" s="133"/>
      <c r="E12" s="131"/>
      <c r="F12" s="170"/>
      <c r="G12" s="171"/>
      <c r="H12" s="171"/>
      <c r="I12" s="171"/>
      <c r="J12" s="172"/>
    </row>
    <row r="13" spans="1:12" ht="16.5" customHeight="1" thickBot="1" x14ac:dyDescent="0.35">
      <c r="A13" s="56">
        <v>1.6</v>
      </c>
      <c r="B13" s="240" t="s">
        <v>6</v>
      </c>
      <c r="C13" s="214"/>
      <c r="D13" s="214"/>
      <c r="E13" s="215"/>
      <c r="F13" s="170"/>
      <c r="G13" s="171"/>
      <c r="H13" s="171"/>
      <c r="I13" s="171"/>
      <c r="J13" s="172"/>
    </row>
    <row r="14" spans="1:12" ht="22.5" customHeight="1" thickBot="1" x14ac:dyDescent="0.35">
      <c r="A14" s="52">
        <v>2</v>
      </c>
      <c r="B14" s="159" t="s">
        <v>7</v>
      </c>
      <c r="C14" s="135"/>
      <c r="D14" s="135"/>
      <c r="E14" s="135"/>
      <c r="F14" s="135"/>
      <c r="G14" s="135"/>
      <c r="H14" s="135"/>
      <c r="I14" s="135"/>
      <c r="J14" s="160"/>
    </row>
    <row r="15" spans="1:12" x14ac:dyDescent="0.3">
      <c r="A15" s="51">
        <v>2.1</v>
      </c>
      <c r="B15" s="161" t="s">
        <v>8</v>
      </c>
      <c r="C15" s="156"/>
      <c r="D15" s="156"/>
      <c r="E15" s="157"/>
      <c r="F15" s="162"/>
      <c r="G15" s="163"/>
      <c r="H15" s="163"/>
      <c r="I15" s="163"/>
      <c r="J15" s="164"/>
    </row>
    <row r="16" spans="1:12" x14ac:dyDescent="0.3">
      <c r="A16" s="94">
        <v>2.2000000000000002</v>
      </c>
      <c r="B16" s="165" t="s">
        <v>9</v>
      </c>
      <c r="C16" s="133"/>
      <c r="D16" s="133"/>
      <c r="E16" s="131"/>
      <c r="F16" s="166" t="str">
        <f>IFERROR(VLOOKUP(F15, Училища!A:W, 23, FALSE()), "")</f>
        <v/>
      </c>
      <c r="G16" s="133"/>
      <c r="H16" s="133"/>
      <c r="I16" s="133"/>
      <c r="J16" s="148"/>
    </row>
    <row r="17" spans="1:10" ht="21" customHeight="1" x14ac:dyDescent="0.3">
      <c r="A17" s="94">
        <v>2.2999999999999998</v>
      </c>
      <c r="B17" s="146" t="s">
        <v>10</v>
      </c>
      <c r="C17" s="133"/>
      <c r="D17" s="133"/>
      <c r="E17" s="131"/>
      <c r="F17" s="147" t="str">
        <f>IFERROR(VLOOKUP(F15, Училища!A:W, 5, FALSE()), "")</f>
        <v/>
      </c>
      <c r="G17" s="133"/>
      <c r="H17" s="133"/>
      <c r="I17" s="133"/>
      <c r="J17" s="148"/>
    </row>
    <row r="18" spans="1:10" x14ac:dyDescent="0.3">
      <c r="A18" s="94">
        <v>2.4</v>
      </c>
      <c r="B18" s="165" t="s">
        <v>11</v>
      </c>
      <c r="C18" s="133"/>
      <c r="D18" s="133"/>
      <c r="E18" s="131"/>
      <c r="F18" s="166" t="str">
        <f>IFERROR(VLOOKUP(F15, Училища!A:F, 2, FALSE()), "")</f>
        <v/>
      </c>
      <c r="G18" s="133"/>
      <c r="H18" s="133"/>
      <c r="I18" s="133"/>
      <c r="J18" s="148"/>
    </row>
    <row r="19" spans="1:10" x14ac:dyDescent="0.3">
      <c r="A19" s="94">
        <v>2.5</v>
      </c>
      <c r="B19" s="165" t="s">
        <v>12</v>
      </c>
      <c r="C19" s="133"/>
      <c r="D19" s="133"/>
      <c r="E19" s="131"/>
      <c r="F19" s="166" t="str">
        <f>IFERROR(VLOOKUP(F15, Училища!A:F, 3, FALSE()), "")</f>
        <v/>
      </c>
      <c r="G19" s="133"/>
      <c r="H19" s="133"/>
      <c r="I19" s="133"/>
      <c r="J19" s="148"/>
    </row>
    <row r="20" spans="1:10" x14ac:dyDescent="0.3">
      <c r="A20" s="94">
        <v>2.6</v>
      </c>
      <c r="B20" s="165" t="s">
        <v>13</v>
      </c>
      <c r="C20" s="133"/>
      <c r="D20" s="133"/>
      <c r="E20" s="131"/>
      <c r="F20" s="166" t="str">
        <f>IFERROR(VLOOKUP(F15, Училища!A:F, 4, FALSE()), "")</f>
        <v/>
      </c>
      <c r="G20" s="133"/>
      <c r="H20" s="133"/>
      <c r="I20" s="133"/>
      <c r="J20" s="148"/>
    </row>
    <row r="21" spans="1:10" x14ac:dyDescent="0.3">
      <c r="A21" s="94">
        <v>2.7</v>
      </c>
      <c r="B21" s="165" t="s">
        <v>14</v>
      </c>
      <c r="C21" s="133"/>
      <c r="D21" s="133"/>
      <c r="E21" s="131"/>
      <c r="F21" s="166" t="str">
        <f>IFERROR(VLOOKUP(F15, Училища!A:G, 7, FALSE()), "")</f>
        <v/>
      </c>
      <c r="G21" s="133"/>
      <c r="H21" s="133"/>
      <c r="I21" s="133"/>
      <c r="J21" s="148"/>
    </row>
    <row r="22" spans="1:10" x14ac:dyDescent="0.3">
      <c r="A22" s="94">
        <v>2.8</v>
      </c>
      <c r="B22" s="165" t="s">
        <v>15</v>
      </c>
      <c r="C22" s="133"/>
      <c r="D22" s="133"/>
      <c r="E22" s="131"/>
      <c r="F22" s="167" t="str">
        <f>IFERROR(VLOOKUP(F15, Училища!A:V, 6, FALSE()), "")</f>
        <v/>
      </c>
      <c r="G22" s="133"/>
      <c r="H22" s="133"/>
      <c r="I22" s="133"/>
      <c r="J22" s="148"/>
    </row>
    <row r="23" spans="1:10" ht="32.25" customHeight="1" x14ac:dyDescent="0.3">
      <c r="A23" s="99">
        <v>2.9</v>
      </c>
      <c r="B23" s="168" t="s">
        <v>16</v>
      </c>
      <c r="C23" s="133"/>
      <c r="D23" s="133"/>
      <c r="E23" s="131"/>
      <c r="F23" s="170" t="s">
        <v>4762</v>
      </c>
      <c r="G23" s="171"/>
      <c r="H23" s="171"/>
      <c r="I23" s="171"/>
      <c r="J23" s="172"/>
    </row>
    <row r="24" spans="1:10" ht="25.2" customHeight="1" x14ac:dyDescent="0.3">
      <c r="A24" s="10">
        <v>2.1</v>
      </c>
      <c r="B24" s="168" t="s">
        <v>17</v>
      </c>
      <c r="C24" s="133"/>
      <c r="D24" s="133"/>
      <c r="E24" s="131"/>
      <c r="F24" s="173" t="str">
        <f>IFERROR(VLOOKUP(F15, Училища!A:V, 8, FALSE()), "")</f>
        <v/>
      </c>
      <c r="G24" s="171"/>
      <c r="H24" s="171"/>
      <c r="I24" s="171"/>
      <c r="J24" s="174"/>
    </row>
    <row r="25" spans="1:10" ht="27" customHeight="1" x14ac:dyDescent="0.3">
      <c r="A25" s="94">
        <v>2.11</v>
      </c>
      <c r="B25" s="168" t="s">
        <v>18</v>
      </c>
      <c r="C25" s="133"/>
      <c r="D25" s="133"/>
      <c r="E25" s="131"/>
      <c r="F25" s="166" t="str">
        <f>IFERROR(VLOOKUP(F15, Училища!A:V, 9, FALSE()), "")</f>
        <v/>
      </c>
      <c r="G25" s="133"/>
      <c r="H25" s="133"/>
      <c r="I25" s="133"/>
      <c r="J25" s="148"/>
    </row>
    <row r="26" spans="1:10" ht="22.95" customHeight="1" x14ac:dyDescent="0.3">
      <c r="A26" s="10">
        <v>2.12</v>
      </c>
      <c r="B26" s="168" t="s">
        <v>19</v>
      </c>
      <c r="C26" s="133"/>
      <c r="D26" s="133"/>
      <c r="E26" s="131"/>
      <c r="F26" s="166" t="str">
        <f>IFERROR(VLOOKUP(F15, Училища!A:V, 10, FALSE()), "")</f>
        <v/>
      </c>
      <c r="G26" s="133"/>
      <c r="H26" s="133"/>
      <c r="I26" s="133"/>
      <c r="J26" s="148"/>
    </row>
    <row r="27" spans="1:10" ht="38.25" customHeight="1" x14ac:dyDescent="0.3">
      <c r="A27" s="10">
        <v>2.13</v>
      </c>
      <c r="B27" s="168" t="s">
        <v>20</v>
      </c>
      <c r="C27" s="133"/>
      <c r="D27" s="133"/>
      <c r="E27" s="131"/>
      <c r="F27" s="169" t="str">
        <f>IFERROR(VLOOKUP(F15, Училища!A:V, 11, FALSE()), "")</f>
        <v/>
      </c>
      <c r="G27" s="133"/>
      <c r="H27" s="133"/>
      <c r="I27" s="133"/>
      <c r="J27" s="148"/>
    </row>
    <row r="28" spans="1:10" ht="34.5" customHeight="1" x14ac:dyDescent="0.3">
      <c r="A28" s="94">
        <v>2.14</v>
      </c>
      <c r="B28" s="168" t="s">
        <v>21</v>
      </c>
      <c r="C28" s="133"/>
      <c r="D28" s="133"/>
      <c r="E28" s="131"/>
      <c r="F28" s="210">
        <v>85</v>
      </c>
      <c r="G28" s="211"/>
      <c r="H28" s="211"/>
      <c r="I28" s="211"/>
      <c r="J28" s="212"/>
    </row>
    <row r="29" spans="1:10" ht="29.25" customHeight="1" x14ac:dyDescent="0.3">
      <c r="A29" s="216">
        <v>2.15</v>
      </c>
      <c r="B29" s="213" t="s">
        <v>22</v>
      </c>
      <c r="C29" s="214"/>
      <c r="D29" s="214"/>
      <c r="E29" s="215"/>
      <c r="F29" s="243"/>
      <c r="G29" s="244"/>
      <c r="H29" s="244"/>
      <c r="I29" s="244"/>
      <c r="J29" s="245"/>
    </row>
    <row r="30" spans="1:10" ht="29.25" customHeight="1" x14ac:dyDescent="0.3">
      <c r="A30" s="217"/>
      <c r="B30" s="156"/>
      <c r="C30" s="156"/>
      <c r="D30" s="156"/>
      <c r="E30" s="157"/>
      <c r="F30" s="246"/>
      <c r="G30" s="247"/>
      <c r="H30" s="247"/>
      <c r="I30" s="247"/>
      <c r="J30" s="248"/>
    </row>
    <row r="31" spans="1:10" ht="18.75" customHeight="1" x14ac:dyDescent="0.3">
      <c r="A31" s="94">
        <v>2.16</v>
      </c>
      <c r="B31" s="179" t="s">
        <v>23</v>
      </c>
      <c r="C31" s="133"/>
      <c r="D31" s="133"/>
      <c r="E31" s="131"/>
      <c r="F31" s="232" t="str">
        <f>IFERROR(VLOOKUP(F15, Училища!A:V, 7, FALSE()), "")</f>
        <v/>
      </c>
      <c r="G31" s="233"/>
      <c r="H31" s="233"/>
      <c r="I31" s="233"/>
      <c r="J31" s="234"/>
    </row>
    <row r="32" spans="1:10" ht="54.75" customHeight="1" x14ac:dyDescent="0.3">
      <c r="A32" s="94">
        <v>2.17</v>
      </c>
      <c r="B32" s="179" t="s">
        <v>24</v>
      </c>
      <c r="C32" s="133"/>
      <c r="D32" s="133"/>
      <c r="E32" s="131"/>
      <c r="F32" s="226"/>
      <c r="G32" s="227"/>
      <c r="H32" s="227"/>
      <c r="I32" s="227"/>
      <c r="J32" s="228"/>
    </row>
    <row r="33" spans="1:10" ht="64.5" customHeight="1" x14ac:dyDescent="0.3">
      <c r="A33" s="10">
        <v>2.1800000000000002</v>
      </c>
      <c r="B33" s="179" t="s">
        <v>25</v>
      </c>
      <c r="C33" s="133"/>
      <c r="D33" s="133"/>
      <c r="E33" s="131"/>
      <c r="F33" s="210">
        <v>6</v>
      </c>
      <c r="G33" s="211"/>
      <c r="H33" s="211"/>
      <c r="I33" s="211"/>
      <c r="J33" s="212"/>
    </row>
    <row r="34" spans="1:10" ht="56.7" customHeight="1" thickBot="1" x14ac:dyDescent="0.35">
      <c r="A34" s="11">
        <v>2.19</v>
      </c>
      <c r="B34" s="225" t="s">
        <v>26</v>
      </c>
      <c r="C34" s="214"/>
      <c r="D34" s="214"/>
      <c r="E34" s="215"/>
      <c r="F34" s="229" t="s">
        <v>4763</v>
      </c>
      <c r="G34" s="230"/>
      <c r="H34" s="230"/>
      <c r="I34" s="230"/>
      <c r="J34" s="231"/>
    </row>
    <row r="35" spans="1:10" ht="104.25" customHeight="1" thickBot="1" x14ac:dyDescent="0.35">
      <c r="A35" s="13">
        <v>3</v>
      </c>
      <c r="B35" s="175" t="s">
        <v>27</v>
      </c>
      <c r="C35" s="135"/>
      <c r="D35" s="135"/>
      <c r="E35" s="135"/>
      <c r="F35" s="135"/>
      <c r="G35" s="135"/>
      <c r="H35" s="160"/>
      <c r="I35" s="14" t="s">
        <v>28</v>
      </c>
      <c r="J35" s="15" t="s">
        <v>29</v>
      </c>
    </row>
    <row r="36" spans="1:10" x14ac:dyDescent="0.3">
      <c r="A36" s="16">
        <v>3.1</v>
      </c>
      <c r="B36" s="176" t="s">
        <v>30</v>
      </c>
      <c r="C36" s="156"/>
      <c r="D36" s="156"/>
      <c r="E36" s="156"/>
      <c r="F36" s="156"/>
      <c r="G36" s="156"/>
      <c r="H36" s="157"/>
      <c r="I36" s="62" t="str">
        <f>IFERROR(VLOOKUP(F15, Училища!A:V, 12, FALSE()), "")</f>
        <v/>
      </c>
      <c r="J36" s="101">
        <f>J37+J38+J39+J40</f>
        <v>299575.46399999998</v>
      </c>
    </row>
    <row r="37" spans="1:10" ht="34.5" customHeight="1" x14ac:dyDescent="0.3">
      <c r="A37" s="17">
        <v>3.2</v>
      </c>
      <c r="B37" s="178" t="s">
        <v>31</v>
      </c>
      <c r="C37" s="133"/>
      <c r="D37" s="133"/>
      <c r="E37" s="133"/>
      <c r="F37" s="133"/>
      <c r="G37" s="133"/>
      <c r="H37" s="131"/>
      <c r="I37" s="63" t="str">
        <f>IFERROR(VLOOKUP(F15, Училища!A:V, 13, FALSE()), "")</f>
        <v/>
      </c>
      <c r="J37" s="101">
        <f>+'Направление 1'!H208+'Направление 1'!H211+'Направление 2'!H208+'Направление 2'!H211+'Направление 3'!H208+'Направление 3'!H211+'Направление 4'!H208+'Направление 4'!H211+'Направление 5'!H208+'Направление 5'!H211</f>
        <v>99126.527999999991</v>
      </c>
    </row>
    <row r="38" spans="1:10" ht="36" customHeight="1" x14ac:dyDescent="0.3">
      <c r="A38" s="17">
        <v>3.3</v>
      </c>
      <c r="B38" s="178" t="s">
        <v>32</v>
      </c>
      <c r="C38" s="133"/>
      <c r="D38" s="133"/>
      <c r="E38" s="133"/>
      <c r="F38" s="133"/>
      <c r="G38" s="133"/>
      <c r="H38" s="131"/>
      <c r="I38" s="63" t="str">
        <f>IFERROR(VLOOKUP(F15, Училища!A:V, 14, FALSE()), "")</f>
        <v/>
      </c>
      <c r="J38" s="101">
        <f>+'Направление 1'!H84++'Направление 2'!H84+'Направление 3'!H84+'Направление 4'!H84+'Направление 5'!H84</f>
        <v>170496.93599999999</v>
      </c>
    </row>
    <row r="39" spans="1:10" ht="46.95" customHeight="1" x14ac:dyDescent="0.3">
      <c r="A39" s="17">
        <v>3.4</v>
      </c>
      <c r="B39" s="178" t="s">
        <v>33</v>
      </c>
      <c r="C39" s="133"/>
      <c r="D39" s="133"/>
      <c r="E39" s="133"/>
      <c r="F39" s="133"/>
      <c r="G39" s="133"/>
      <c r="H39" s="131"/>
      <c r="I39" s="63" t="str">
        <f>IFERROR(VLOOKUP(F15, Училища!A:V, 15, FALSE()), "")</f>
        <v/>
      </c>
      <c r="J39" s="101">
        <f>+'Специализирано оборудване'!H84</f>
        <v>0</v>
      </c>
    </row>
    <row r="40" spans="1:10" ht="33.75" customHeight="1" x14ac:dyDescent="0.3">
      <c r="A40" s="17">
        <v>3.5</v>
      </c>
      <c r="B40" s="178" t="s">
        <v>34</v>
      </c>
      <c r="C40" s="133"/>
      <c r="D40" s="133"/>
      <c r="E40" s="133"/>
      <c r="F40" s="133"/>
      <c r="G40" s="133"/>
      <c r="H40" s="131"/>
      <c r="I40" s="63" t="str">
        <f>IFERROR(VLOOKUP(F15, Училища!A:V, 16, FALSE()), "")</f>
        <v/>
      </c>
      <c r="J40" s="101">
        <f>+'Направление 1'!H126+'Направление 2'!H126+'Направление 3'!H126+'Направление 4'!H126+'Направление 5'!H126+'Специализирано оборудване'!H126</f>
        <v>29952</v>
      </c>
    </row>
    <row r="41" spans="1:10" ht="23.25" customHeight="1" x14ac:dyDescent="0.3">
      <c r="A41" s="17">
        <v>3.6</v>
      </c>
      <c r="B41" s="178" t="s">
        <v>35</v>
      </c>
      <c r="C41" s="133"/>
      <c r="D41" s="133"/>
      <c r="E41" s="133"/>
      <c r="F41" s="133"/>
      <c r="G41" s="133"/>
      <c r="H41" s="131"/>
      <c r="I41" s="63" t="str">
        <f>IFERROR(VLOOKUP(F15, Училища!A:V, 17, FALSE()), "")</f>
        <v/>
      </c>
      <c r="J41" s="101">
        <f>+ВОСКС!H127</f>
        <v>59310</v>
      </c>
    </row>
    <row r="42" spans="1:10" ht="33.75" customHeight="1" x14ac:dyDescent="0.3">
      <c r="A42" s="17">
        <v>3.7</v>
      </c>
      <c r="B42" s="235" t="s">
        <v>36</v>
      </c>
      <c r="C42" s="133"/>
      <c r="D42" s="133"/>
      <c r="E42" s="133"/>
      <c r="F42" s="133"/>
      <c r="G42" s="133"/>
      <c r="H42" s="131"/>
      <c r="I42" s="63" t="str">
        <f>IFERROR(VLOOKUP(F15, Училища!A:V, 19, FALSE()), "")</f>
        <v/>
      </c>
      <c r="J42" s="101">
        <f>+ВОСКС!H126</f>
        <v>5904</v>
      </c>
    </row>
    <row r="43" spans="1:10" ht="24" customHeight="1" x14ac:dyDescent="0.3">
      <c r="A43" s="17">
        <v>3.8</v>
      </c>
      <c r="B43" s="235" t="s">
        <v>37</v>
      </c>
      <c r="C43" s="133"/>
      <c r="D43" s="133"/>
      <c r="E43" s="133"/>
      <c r="F43" s="133"/>
      <c r="G43" s="133"/>
      <c r="H43" s="131"/>
      <c r="I43" s="63" t="str">
        <f>IFERROR(VLOOKUP(F15, Училища!A:V, 20, FALSE()), "")</f>
        <v/>
      </c>
      <c r="J43" s="101">
        <f>J36+J41</f>
        <v>358885.46399999998</v>
      </c>
    </row>
    <row r="44" spans="1:10" ht="33.75" customHeight="1" x14ac:dyDescent="0.3">
      <c r="A44" s="100">
        <v>3.9</v>
      </c>
      <c r="B44" s="235" t="s">
        <v>38</v>
      </c>
      <c r="C44" s="133"/>
      <c r="D44" s="133"/>
      <c r="E44" s="133"/>
      <c r="F44" s="133"/>
      <c r="G44" s="133"/>
      <c r="H44" s="131"/>
      <c r="I44" s="63" t="str">
        <f>IFERROR(VLOOKUP(F15, Училища!A:V, 21, FALSE()), "")</f>
        <v/>
      </c>
      <c r="J44" s="101">
        <f>+J43*0.01</f>
        <v>3588.85464</v>
      </c>
    </row>
    <row r="45" spans="1:10" ht="24.75" customHeight="1" thickBot="1" x14ac:dyDescent="0.35">
      <c r="A45" s="18">
        <v>3.1</v>
      </c>
      <c r="B45" s="179" t="s">
        <v>39</v>
      </c>
      <c r="C45" s="133"/>
      <c r="D45" s="133"/>
      <c r="E45" s="133"/>
      <c r="F45" s="133"/>
      <c r="G45" s="133"/>
      <c r="H45" s="131"/>
      <c r="I45" s="63" t="str">
        <f>IFERROR(VLOOKUP(F15, Училища!A:V, 22, FALSE()), "")</f>
        <v/>
      </c>
      <c r="J45" s="101">
        <f>+J43+J44</f>
        <v>362474.31863999995</v>
      </c>
    </row>
    <row r="46" spans="1:10" ht="36" customHeight="1" thickBot="1" x14ac:dyDescent="0.35">
      <c r="A46" s="19">
        <v>4</v>
      </c>
      <c r="B46" s="238" t="s">
        <v>40</v>
      </c>
      <c r="C46" s="138"/>
      <c r="D46" s="138"/>
      <c r="E46" s="138"/>
      <c r="F46" s="138"/>
      <c r="G46" s="138"/>
      <c r="H46" s="138"/>
      <c r="I46" s="138"/>
      <c r="J46" s="139"/>
    </row>
    <row r="47" spans="1:10" ht="34.950000000000003" customHeight="1" thickBot="1" x14ac:dyDescent="0.35">
      <c r="A47" s="57">
        <v>4.0999999999999996</v>
      </c>
      <c r="B47" s="177" t="s">
        <v>41</v>
      </c>
      <c r="C47" s="135"/>
      <c r="D47" s="135"/>
      <c r="E47" s="135"/>
      <c r="F47" s="135"/>
      <c r="G47" s="135"/>
      <c r="H47" s="135"/>
      <c r="I47" s="135"/>
      <c r="J47" s="136"/>
    </row>
    <row r="48" spans="1:10" ht="36.6" customHeight="1" thickBot="1" x14ac:dyDescent="0.35">
      <c r="A48" s="57">
        <v>4.2</v>
      </c>
      <c r="B48" s="177" t="s">
        <v>42</v>
      </c>
      <c r="C48" s="135"/>
      <c r="D48" s="135"/>
      <c r="E48" s="135"/>
      <c r="F48" s="135"/>
      <c r="G48" s="135"/>
      <c r="H48" s="135"/>
      <c r="I48" s="135"/>
      <c r="J48" s="136"/>
    </row>
    <row r="49" spans="1:10" ht="24.75" customHeight="1" thickBot="1" x14ac:dyDescent="0.35">
      <c r="A49" s="93">
        <v>5</v>
      </c>
      <c r="B49" s="185" t="s">
        <v>43</v>
      </c>
      <c r="C49" s="186"/>
      <c r="D49" s="186"/>
      <c r="E49" s="186"/>
      <c r="F49" s="186"/>
      <c r="G49" s="186"/>
      <c r="H49" s="186"/>
      <c r="I49" s="186"/>
      <c r="J49" s="187"/>
    </row>
    <row r="50" spans="1:10" ht="24.75" customHeight="1" thickBot="1" x14ac:dyDescent="0.35">
      <c r="A50" s="202">
        <v>5.0999999999999996</v>
      </c>
      <c r="B50" s="204" t="s">
        <v>44</v>
      </c>
      <c r="C50" s="205"/>
      <c r="D50" s="205"/>
      <c r="E50" s="205"/>
      <c r="F50" s="205"/>
      <c r="G50" s="206"/>
      <c r="H50" s="219"/>
      <c r="I50" s="220"/>
      <c r="J50" s="221"/>
    </row>
    <row r="51" spans="1:10" ht="18" customHeight="1" thickBot="1" x14ac:dyDescent="0.35">
      <c r="A51" s="203"/>
      <c r="B51" s="207"/>
      <c r="C51" s="208"/>
      <c r="D51" s="208"/>
      <c r="E51" s="208"/>
      <c r="F51" s="208"/>
      <c r="G51" s="209"/>
      <c r="H51" s="222"/>
      <c r="I51" s="223"/>
      <c r="J51" s="224"/>
    </row>
    <row r="52" spans="1:10" ht="86.7" customHeight="1" thickBot="1" x14ac:dyDescent="0.35">
      <c r="A52" s="92">
        <v>5.2</v>
      </c>
      <c r="B52" s="192" t="s">
        <v>45</v>
      </c>
      <c r="C52" s="193"/>
      <c r="D52" s="193"/>
      <c r="E52" s="193"/>
      <c r="F52" s="193"/>
      <c r="G52" s="193"/>
      <c r="H52" s="194"/>
      <c r="I52" s="180"/>
      <c r="J52" s="181"/>
    </row>
    <row r="53" spans="1:10" ht="26.7" customHeight="1" thickBot="1" x14ac:dyDescent="0.35">
      <c r="A53" s="20">
        <v>6</v>
      </c>
      <c r="B53" s="189" t="s">
        <v>46</v>
      </c>
      <c r="C53" s="190"/>
      <c r="D53" s="190"/>
      <c r="E53" s="190"/>
      <c r="F53" s="190"/>
      <c r="G53" s="190"/>
      <c r="H53" s="190"/>
      <c r="I53" s="190"/>
      <c r="J53" s="191"/>
    </row>
    <row r="54" spans="1:10" ht="25.95" customHeight="1" thickBot="1" x14ac:dyDescent="0.35">
      <c r="A54" s="29">
        <v>6.1</v>
      </c>
      <c r="B54" s="201" t="s">
        <v>47</v>
      </c>
      <c r="C54" s="138"/>
      <c r="D54" s="138"/>
      <c r="E54" s="138"/>
      <c r="F54" s="138"/>
      <c r="G54" s="138"/>
      <c r="H54" s="138"/>
      <c r="I54" s="138"/>
      <c r="J54" s="139"/>
    </row>
    <row r="55" spans="1:10" ht="409.5" customHeight="1" thickBot="1" x14ac:dyDescent="0.35">
      <c r="A55" s="58"/>
      <c r="B55" s="198" t="s">
        <v>4892</v>
      </c>
      <c r="C55" s="199"/>
      <c r="D55" s="199"/>
      <c r="E55" s="199"/>
      <c r="F55" s="199"/>
      <c r="G55" s="199"/>
      <c r="H55" s="199"/>
      <c r="I55" s="199"/>
      <c r="J55" s="200"/>
    </row>
    <row r="56" spans="1:10" ht="26.7" customHeight="1" thickBot="1" x14ac:dyDescent="0.35">
      <c r="A56" s="30">
        <v>6.2</v>
      </c>
      <c r="B56" s="195" t="s">
        <v>48</v>
      </c>
      <c r="C56" s="135"/>
      <c r="D56" s="135"/>
      <c r="E56" s="135"/>
      <c r="F56" s="135"/>
      <c r="G56" s="135"/>
      <c r="H56" s="135"/>
      <c r="I56" s="135"/>
      <c r="J56" s="136"/>
    </row>
    <row r="57" spans="1:10" ht="409.5" customHeight="1" thickBot="1" x14ac:dyDescent="0.35">
      <c r="A57" s="58"/>
      <c r="B57" s="198" t="s">
        <v>4893</v>
      </c>
      <c r="C57" s="199"/>
      <c r="D57" s="199"/>
      <c r="E57" s="199"/>
      <c r="F57" s="199"/>
      <c r="G57" s="199"/>
      <c r="H57" s="199"/>
      <c r="I57" s="199"/>
      <c r="J57" s="200"/>
    </row>
    <row r="58" spans="1:10" ht="27.6" customHeight="1" thickBot="1" x14ac:dyDescent="0.35">
      <c r="A58" s="59">
        <v>6.3</v>
      </c>
      <c r="B58" s="196" t="s">
        <v>49</v>
      </c>
      <c r="C58" s="133"/>
      <c r="D58" s="133"/>
      <c r="E58" s="133"/>
      <c r="F58" s="133"/>
      <c r="G58" s="133"/>
      <c r="H58" s="133"/>
      <c r="I58" s="133"/>
      <c r="J58" s="148"/>
    </row>
    <row r="59" spans="1:10" ht="409.5" customHeight="1" thickBot="1" x14ac:dyDescent="0.35">
      <c r="A59" s="60"/>
      <c r="B59" s="254" t="s">
        <v>4894</v>
      </c>
      <c r="C59" s="255"/>
      <c r="D59" s="255"/>
      <c r="E59" s="255"/>
      <c r="F59" s="255"/>
      <c r="G59" s="255"/>
      <c r="H59" s="255"/>
      <c r="I59" s="255"/>
      <c r="J59" s="256"/>
    </row>
    <row r="60" spans="1:10" ht="16.5" customHeight="1" thickBot="1" x14ac:dyDescent="0.35">
      <c r="A60" s="32">
        <v>7</v>
      </c>
      <c r="B60" s="197" t="s">
        <v>50</v>
      </c>
      <c r="C60" s="135"/>
      <c r="D60" s="135"/>
      <c r="E60" s="135"/>
      <c r="F60" s="135"/>
      <c r="G60" s="135"/>
      <c r="H60" s="135"/>
      <c r="I60" s="135"/>
      <c r="J60" s="136"/>
    </row>
    <row r="61" spans="1:10" ht="16.5" customHeight="1" thickBot="1" x14ac:dyDescent="0.35">
      <c r="A61" s="32">
        <v>7.1</v>
      </c>
      <c r="B61" s="236" t="s">
        <v>51</v>
      </c>
      <c r="C61" s="153"/>
      <c r="D61" s="153"/>
      <c r="E61" s="153"/>
      <c r="F61" s="153"/>
      <c r="G61" s="153"/>
      <c r="H61" s="153"/>
      <c r="I61" s="153"/>
      <c r="J61" s="154"/>
    </row>
    <row r="62" spans="1:10" x14ac:dyDescent="0.3">
      <c r="A62" s="33"/>
      <c r="B62" s="242" t="s">
        <v>52</v>
      </c>
      <c r="C62" s="138"/>
      <c r="D62" s="138"/>
      <c r="E62" s="138"/>
      <c r="F62" s="138"/>
      <c r="G62" s="138"/>
      <c r="H62" s="138"/>
      <c r="I62" s="138"/>
      <c r="J62" s="139"/>
    </row>
    <row r="63" spans="1:10" ht="36.6" customHeight="1" thickBot="1" x14ac:dyDescent="0.35">
      <c r="A63" s="87"/>
      <c r="B63" s="149" t="s">
        <v>53</v>
      </c>
      <c r="C63" s="133"/>
      <c r="D63" s="131"/>
      <c r="E63" s="140" t="s">
        <v>54</v>
      </c>
      <c r="F63" s="133"/>
      <c r="G63" s="131"/>
      <c r="H63" s="140" t="s">
        <v>55</v>
      </c>
      <c r="I63" s="131"/>
      <c r="J63" s="86" t="s">
        <v>56</v>
      </c>
    </row>
    <row r="64" spans="1:10" ht="150" customHeight="1" x14ac:dyDescent="0.3">
      <c r="A64" s="83">
        <v>1</v>
      </c>
      <c r="B64" s="130" t="str">
        <f>IF('Направление 1'!B4="","",'Направление 1'!B4)</f>
        <v/>
      </c>
      <c r="C64" s="133"/>
      <c r="D64" s="131"/>
      <c r="E64" s="130" t="str">
        <f>IF('Направление 1'!C4="","",'Направление 1'!C4)</f>
        <v/>
      </c>
      <c r="F64" s="133"/>
      <c r="G64" s="131"/>
      <c r="H64" s="130" t="str">
        <f>IF('Направление 1'!D4="","",'Направление 1'!D4)</f>
        <v/>
      </c>
      <c r="I64" s="131"/>
      <c r="J64" s="82" t="str">
        <f>IF('Направление 1'!E4=0,"",'Направление 1'!E4)</f>
        <v/>
      </c>
    </row>
    <row r="65" spans="1:10" ht="150" customHeight="1" x14ac:dyDescent="0.3">
      <c r="A65" s="84">
        <v>2</v>
      </c>
      <c r="B65" s="130" t="str">
        <f>IF('Направление 1'!B5="","",'Направление 1'!B5)</f>
        <v/>
      </c>
      <c r="C65" s="133"/>
      <c r="D65" s="131"/>
      <c r="E65" s="130" t="str">
        <f>IF('Направление 1'!C5="","",'Направление 1'!C5)</f>
        <v/>
      </c>
      <c r="F65" s="133"/>
      <c r="G65" s="131"/>
      <c r="H65" s="130" t="str">
        <f>IF('Направление 1'!D5="","",'Направление 1'!D5)</f>
        <v/>
      </c>
      <c r="I65" s="131"/>
      <c r="J65" s="82" t="str">
        <f>IF('Направление 1'!E5=0,"",'Направление 1'!E5)</f>
        <v/>
      </c>
    </row>
    <row r="66" spans="1:10" ht="150" customHeight="1" x14ac:dyDescent="0.3">
      <c r="A66" s="84">
        <v>3</v>
      </c>
      <c r="B66" s="130" t="str">
        <f>IF('Направление 1'!B6="","",'Направление 1'!B6)</f>
        <v/>
      </c>
      <c r="C66" s="133"/>
      <c r="D66" s="131"/>
      <c r="E66" s="130" t="str">
        <f>IF('Направление 1'!C6="","",'Направление 1'!C6)</f>
        <v/>
      </c>
      <c r="F66" s="133"/>
      <c r="G66" s="131"/>
      <c r="H66" s="130" t="str">
        <f>IF('Направление 1'!D6="","",'Направление 1'!D6)</f>
        <v/>
      </c>
      <c r="I66" s="131"/>
      <c r="J66" s="82" t="str">
        <f>IF('Направление 1'!E6=0,"",'Направление 1'!E6)</f>
        <v/>
      </c>
    </row>
    <row r="67" spans="1:10" ht="150" customHeight="1" x14ac:dyDescent="0.3">
      <c r="A67" s="84">
        <v>4</v>
      </c>
      <c r="B67" s="130" t="str">
        <f>IF('Направление 1'!B7="","",'Направление 1'!B7)</f>
        <v/>
      </c>
      <c r="C67" s="133"/>
      <c r="D67" s="131"/>
      <c r="E67" s="130" t="str">
        <f>IF('Направление 1'!C7="","",'Направление 1'!C7)</f>
        <v/>
      </c>
      <c r="F67" s="133"/>
      <c r="G67" s="131"/>
      <c r="H67" s="130" t="str">
        <f>IF('Направление 1'!D7="","",'Направление 1'!D7)</f>
        <v/>
      </c>
      <c r="I67" s="131"/>
      <c r="J67" s="82" t="str">
        <f>IF('Направление 1'!E7=0,"",'Направление 1'!E7)</f>
        <v/>
      </c>
    </row>
    <row r="68" spans="1:10" ht="150" customHeight="1" x14ac:dyDescent="0.3">
      <c r="A68" s="84">
        <v>5</v>
      </c>
      <c r="B68" s="130" t="str">
        <f>IF('Направление 1'!B8="","",'Направление 1'!B8)</f>
        <v/>
      </c>
      <c r="C68" s="133"/>
      <c r="D68" s="131"/>
      <c r="E68" s="130" t="str">
        <f>IF('Направление 1'!C8="","",'Направление 1'!C8)</f>
        <v/>
      </c>
      <c r="F68" s="133"/>
      <c r="G68" s="131"/>
      <c r="H68" s="130" t="str">
        <f>IF('Направление 1'!D8="","",'Направление 1'!D8)</f>
        <v/>
      </c>
      <c r="I68" s="131"/>
      <c r="J68" s="82" t="str">
        <f>IF('Направление 1'!E8=0,"",'Направление 1'!E8)</f>
        <v/>
      </c>
    </row>
    <row r="69" spans="1:10" ht="150" customHeight="1" x14ac:dyDescent="0.3">
      <c r="A69" s="84">
        <v>6</v>
      </c>
      <c r="B69" s="130" t="str">
        <f>IF('Направление 1'!B9="","",'Направление 1'!B9)</f>
        <v/>
      </c>
      <c r="C69" s="133"/>
      <c r="D69" s="131"/>
      <c r="E69" s="130" t="str">
        <f>IF('Направление 1'!C9="","",'Направление 1'!C9)</f>
        <v/>
      </c>
      <c r="F69" s="133"/>
      <c r="G69" s="131"/>
      <c r="H69" s="130" t="str">
        <f>IF('Направление 1'!D9="","",'Направление 1'!D9)</f>
        <v/>
      </c>
      <c r="I69" s="131"/>
      <c r="J69" s="82" t="str">
        <f>IF('Направление 1'!E9=0,"",'Направление 1'!E9)</f>
        <v/>
      </c>
    </row>
    <row r="70" spans="1:10" ht="150" customHeight="1" x14ac:dyDescent="0.3">
      <c r="A70" s="84">
        <v>7</v>
      </c>
      <c r="B70" s="130" t="str">
        <f>IF('Направление 1'!B10="","",'Направление 1'!B10)</f>
        <v/>
      </c>
      <c r="C70" s="133"/>
      <c r="D70" s="131"/>
      <c r="E70" s="130" t="str">
        <f>IF('Направление 1'!C10="","",'Направление 1'!C10)</f>
        <v/>
      </c>
      <c r="F70" s="133"/>
      <c r="G70" s="131"/>
      <c r="H70" s="130" t="str">
        <f>IF('Направление 1'!D10="","",'Направление 1'!D10)</f>
        <v/>
      </c>
      <c r="I70" s="131"/>
      <c r="J70" s="82" t="str">
        <f>IF('Направление 1'!E10=0,"",'Направление 1'!E10)</f>
        <v/>
      </c>
    </row>
    <row r="71" spans="1:10" ht="150" customHeight="1" x14ac:dyDescent="0.3">
      <c r="A71" s="84">
        <v>8</v>
      </c>
      <c r="B71" s="130" t="str">
        <f>IF('Направление 1'!B11="","",'Направление 1'!B11)</f>
        <v/>
      </c>
      <c r="C71" s="133"/>
      <c r="D71" s="131"/>
      <c r="E71" s="130" t="str">
        <f>IF('Направление 1'!C11="","",'Направление 1'!C11)</f>
        <v/>
      </c>
      <c r="F71" s="133"/>
      <c r="G71" s="131"/>
      <c r="H71" s="130" t="str">
        <f>IF('Направление 1'!D11="","",'Направление 1'!D11)</f>
        <v/>
      </c>
      <c r="I71" s="131"/>
      <c r="J71" s="82" t="str">
        <f>IF('Направление 1'!E11=0,"",'Направление 1'!E11)</f>
        <v/>
      </c>
    </row>
    <row r="72" spans="1:10" ht="150" customHeight="1" x14ac:dyDescent="0.3">
      <c r="A72" s="84">
        <v>9</v>
      </c>
      <c r="B72" s="130" t="str">
        <f>IF('Направление 1'!B12="","",'Направление 1'!B12)</f>
        <v/>
      </c>
      <c r="C72" s="133"/>
      <c r="D72" s="131"/>
      <c r="E72" s="130" t="str">
        <f>IF('Направление 1'!C12="","",'Направление 1'!C12)</f>
        <v/>
      </c>
      <c r="F72" s="133"/>
      <c r="G72" s="131"/>
      <c r="H72" s="130" t="str">
        <f>IF('Направление 1'!D12="","",'Направление 1'!D12)</f>
        <v/>
      </c>
      <c r="I72" s="131"/>
      <c r="J72" s="82" t="str">
        <f>IF('Направление 1'!E12=0,"",'Направление 1'!E12)</f>
        <v/>
      </c>
    </row>
    <row r="73" spans="1:10" ht="150" customHeight="1" x14ac:dyDescent="0.3">
      <c r="A73" s="84">
        <v>10</v>
      </c>
      <c r="B73" s="130" t="str">
        <f>IF('Направление 1'!B13="","",'Направление 1'!B13)</f>
        <v/>
      </c>
      <c r="C73" s="133"/>
      <c r="D73" s="131"/>
      <c r="E73" s="130" t="str">
        <f>IF('Направление 1'!C13="","",'Направление 1'!C13)</f>
        <v/>
      </c>
      <c r="F73" s="133"/>
      <c r="G73" s="131"/>
      <c r="H73" s="130" t="str">
        <f>IF('Направление 1'!D13="","",'Направление 1'!D13)</f>
        <v/>
      </c>
      <c r="I73" s="131"/>
      <c r="J73" s="82" t="str">
        <f>IF('Направление 1'!E13=0,"",'Направление 1'!E13)</f>
        <v/>
      </c>
    </row>
    <row r="74" spans="1:10" ht="150" customHeight="1" x14ac:dyDescent="0.3">
      <c r="A74" s="84">
        <v>11</v>
      </c>
      <c r="B74" s="130" t="str">
        <f>IF('Направление 1'!B14="","",'Направление 1'!B14)</f>
        <v/>
      </c>
      <c r="C74" s="133"/>
      <c r="D74" s="131"/>
      <c r="E74" s="130" t="str">
        <f>IF('Направление 1'!C14="","",'Направление 1'!C14)</f>
        <v/>
      </c>
      <c r="F74" s="133"/>
      <c r="G74" s="131"/>
      <c r="H74" s="130" t="str">
        <f>IF('Направление 1'!D14="","",'Направление 1'!D14)</f>
        <v/>
      </c>
      <c r="I74" s="131"/>
      <c r="J74" s="82" t="str">
        <f>IF('Направление 1'!E14=0,"",'Направление 1'!E14)</f>
        <v/>
      </c>
    </row>
    <row r="75" spans="1:10" ht="150" customHeight="1" x14ac:dyDescent="0.3">
      <c r="A75" s="84">
        <v>12</v>
      </c>
      <c r="B75" s="130" t="str">
        <f>IF('Направление 1'!B15="","",'Направление 1'!B15)</f>
        <v/>
      </c>
      <c r="C75" s="133"/>
      <c r="D75" s="131"/>
      <c r="E75" s="130" t="str">
        <f>IF('Направление 1'!C15="","",'Направление 1'!C15)</f>
        <v/>
      </c>
      <c r="F75" s="133"/>
      <c r="G75" s="131"/>
      <c r="H75" s="130" t="str">
        <f>IF('Направление 1'!D15="","",'Направление 1'!D15)</f>
        <v/>
      </c>
      <c r="I75" s="131"/>
      <c r="J75" s="82" t="str">
        <f>IF('Направление 1'!E15=0,"",'Направление 1'!E15)</f>
        <v/>
      </c>
    </row>
    <row r="76" spans="1:10" ht="150" customHeight="1" x14ac:dyDescent="0.3">
      <c r="A76" s="84">
        <v>13</v>
      </c>
      <c r="B76" s="130" t="str">
        <f>IF('Направление 1'!B16="","",'Направление 1'!B16)</f>
        <v/>
      </c>
      <c r="C76" s="133"/>
      <c r="D76" s="131"/>
      <c r="E76" s="130" t="str">
        <f>IF('Направление 1'!C16="","",'Направление 1'!C16)</f>
        <v/>
      </c>
      <c r="F76" s="133"/>
      <c r="G76" s="131"/>
      <c r="H76" s="130" t="str">
        <f>IF('Направление 1'!D16="","",'Направление 1'!D16)</f>
        <v/>
      </c>
      <c r="I76" s="131"/>
      <c r="J76" s="82" t="str">
        <f>IF('Направление 1'!E16=0,"",'Направление 1'!E16)</f>
        <v/>
      </c>
    </row>
    <row r="77" spans="1:10" ht="150" customHeight="1" x14ac:dyDescent="0.3">
      <c r="A77" s="84">
        <v>14</v>
      </c>
      <c r="B77" s="130" t="str">
        <f>IF('Направление 1'!B17="","",'Направление 1'!B17)</f>
        <v/>
      </c>
      <c r="C77" s="133"/>
      <c r="D77" s="131"/>
      <c r="E77" s="130" t="str">
        <f>IF('Направление 1'!C17="","",'Направление 1'!C17)</f>
        <v/>
      </c>
      <c r="F77" s="133"/>
      <c r="G77" s="131"/>
      <c r="H77" s="130" t="str">
        <f>IF('Направление 1'!D17="","",'Направление 1'!D17)</f>
        <v/>
      </c>
      <c r="I77" s="131"/>
      <c r="J77" s="82" t="str">
        <f>IF('Направление 1'!E17=0,"",'Направление 1'!E17)</f>
        <v/>
      </c>
    </row>
    <row r="78" spans="1:10" ht="150" customHeight="1" x14ac:dyDescent="0.3">
      <c r="A78" s="84">
        <v>15</v>
      </c>
      <c r="B78" s="130" t="str">
        <f>IF('Направление 1'!B18="","",'Направление 1'!B18)</f>
        <v/>
      </c>
      <c r="C78" s="133"/>
      <c r="D78" s="131"/>
      <c r="E78" s="130" t="str">
        <f>IF('Направление 1'!C18="","",'Направление 1'!C18)</f>
        <v/>
      </c>
      <c r="F78" s="133"/>
      <c r="G78" s="131"/>
      <c r="H78" s="130" t="str">
        <f>IF('Направление 1'!D18="","",'Направление 1'!D18)</f>
        <v/>
      </c>
      <c r="I78" s="131"/>
      <c r="J78" s="82" t="str">
        <f>IF('Направление 1'!E18=0,"",'Направление 1'!E18)</f>
        <v/>
      </c>
    </row>
    <row r="79" spans="1:10" ht="150" customHeight="1" x14ac:dyDescent="0.3">
      <c r="A79" s="84">
        <v>16</v>
      </c>
      <c r="B79" s="130" t="str">
        <f>IF('Направление 1'!B19="","",'Направление 1'!B19)</f>
        <v/>
      </c>
      <c r="C79" s="133"/>
      <c r="D79" s="131"/>
      <c r="E79" s="130" t="str">
        <f>IF('Направление 1'!C19="","",'Направление 1'!C19)</f>
        <v/>
      </c>
      <c r="F79" s="133"/>
      <c r="G79" s="131"/>
      <c r="H79" s="130" t="str">
        <f>IF('Направление 1'!D19="","",'Направление 1'!D19)</f>
        <v/>
      </c>
      <c r="I79" s="131"/>
      <c r="J79" s="82" t="str">
        <f>IF('Направление 1'!E19=0,"",'Направление 1'!E19)</f>
        <v/>
      </c>
    </row>
    <row r="80" spans="1:10" ht="150" customHeight="1" x14ac:dyDescent="0.3">
      <c r="A80" s="84">
        <v>17</v>
      </c>
      <c r="B80" s="130" t="str">
        <f>IF('Направление 1'!B20="","",'Направление 1'!B20)</f>
        <v/>
      </c>
      <c r="C80" s="133"/>
      <c r="D80" s="131"/>
      <c r="E80" s="130" t="str">
        <f>IF('Направление 1'!C20="","",'Направление 1'!C20)</f>
        <v/>
      </c>
      <c r="F80" s="133"/>
      <c r="G80" s="131"/>
      <c r="H80" s="130" t="str">
        <f>IF('Направление 1'!D20="","",'Направление 1'!D20)</f>
        <v/>
      </c>
      <c r="I80" s="131"/>
      <c r="J80" s="82" t="str">
        <f>IF('Направление 1'!E20=0,"",'Направление 1'!E20)</f>
        <v/>
      </c>
    </row>
    <row r="81" spans="1:10" ht="150" customHeight="1" x14ac:dyDescent="0.3">
      <c r="A81" s="84">
        <v>18</v>
      </c>
      <c r="B81" s="130" t="str">
        <f>IF('Направление 1'!B21="","",'Направление 1'!B21)</f>
        <v/>
      </c>
      <c r="C81" s="133"/>
      <c r="D81" s="131"/>
      <c r="E81" s="130" t="str">
        <f>IF('Направление 1'!C21="","",'Направление 1'!C21)</f>
        <v/>
      </c>
      <c r="F81" s="133"/>
      <c r="G81" s="131"/>
      <c r="H81" s="130" t="str">
        <f>IF('Направление 1'!D21="","",'Направление 1'!D21)</f>
        <v/>
      </c>
      <c r="I81" s="131"/>
      <c r="J81" s="82" t="str">
        <f>IF('Направление 1'!E21=0,"",'Направление 1'!E21)</f>
        <v/>
      </c>
    </row>
    <row r="82" spans="1:10" ht="150" customHeight="1" x14ac:dyDescent="0.3">
      <c r="A82" s="84">
        <v>19</v>
      </c>
      <c r="B82" s="130" t="str">
        <f>IF('Направление 1'!B22="","",'Направление 1'!B22)</f>
        <v/>
      </c>
      <c r="C82" s="133"/>
      <c r="D82" s="131"/>
      <c r="E82" s="130" t="str">
        <f>IF('Направление 1'!C22="","",'Направление 1'!C22)</f>
        <v/>
      </c>
      <c r="F82" s="133"/>
      <c r="G82" s="131"/>
      <c r="H82" s="130" t="str">
        <f>IF('Направление 1'!D22="","",'Направление 1'!D22)</f>
        <v/>
      </c>
      <c r="I82" s="131"/>
      <c r="J82" s="82" t="str">
        <f>IF('Направление 1'!E22=0,"",'Направление 1'!E22)</f>
        <v/>
      </c>
    </row>
    <row r="83" spans="1:10" ht="150" customHeight="1" thickBot="1" x14ac:dyDescent="0.35">
      <c r="A83" s="85">
        <v>20</v>
      </c>
      <c r="B83" s="130" t="str">
        <f>IF('Направление 1'!B23="","",'Направление 1'!B23)</f>
        <v/>
      </c>
      <c r="C83" s="133"/>
      <c r="D83" s="131"/>
      <c r="E83" s="130" t="str">
        <f>IF('Направление 1'!C23="","",'Направление 1'!C23)</f>
        <v/>
      </c>
      <c r="F83" s="133"/>
      <c r="G83" s="131"/>
      <c r="H83" s="130" t="str">
        <f>IF('Направление 1'!D23="","",'Направление 1'!D23)</f>
        <v/>
      </c>
      <c r="I83" s="131"/>
      <c r="J83" s="82" t="str">
        <f>IF('Направление 1'!E23=0,"",'Направление 1'!E23)</f>
        <v/>
      </c>
    </row>
    <row r="84" spans="1:10" ht="150" customHeight="1" x14ac:dyDescent="0.3">
      <c r="A84" s="83">
        <v>21</v>
      </c>
      <c r="B84" s="130" t="str">
        <f>IF('Направление 1'!B24="","",'Направление 1'!B24)</f>
        <v/>
      </c>
      <c r="C84" s="133"/>
      <c r="D84" s="131"/>
      <c r="E84" s="130" t="str">
        <f>IF('Направление 1'!C24="","",'Направление 1'!C24)</f>
        <v/>
      </c>
      <c r="F84" s="133"/>
      <c r="G84" s="131"/>
      <c r="H84" s="130" t="str">
        <f>IF('Направление 1'!D24="","",'Направление 1'!D24)</f>
        <v/>
      </c>
      <c r="I84" s="131"/>
      <c r="J84" s="82" t="str">
        <f>IF('Направление 1'!E24=0,"",'Направление 1'!E24)</f>
        <v/>
      </c>
    </row>
    <row r="85" spans="1:10" ht="150" customHeight="1" x14ac:dyDescent="0.3">
      <c r="A85" s="84">
        <v>22</v>
      </c>
      <c r="B85" s="130" t="str">
        <f>IF('Направление 1'!B25="","",'Направление 1'!B25)</f>
        <v/>
      </c>
      <c r="C85" s="133"/>
      <c r="D85" s="131"/>
      <c r="E85" s="130" t="str">
        <f>IF('Направление 1'!C25="","",'Направление 1'!C25)</f>
        <v/>
      </c>
      <c r="F85" s="133"/>
      <c r="G85" s="131"/>
      <c r="H85" s="130" t="str">
        <f>IF('Направление 1'!D25="","",'Направление 1'!D25)</f>
        <v/>
      </c>
      <c r="I85" s="131"/>
      <c r="J85" s="82" t="str">
        <f>IF('Направление 1'!E25=0,"",'Направление 1'!E25)</f>
        <v/>
      </c>
    </row>
    <row r="86" spans="1:10" ht="150" customHeight="1" x14ac:dyDescent="0.3">
      <c r="A86" s="84">
        <v>23</v>
      </c>
      <c r="B86" s="130" t="str">
        <f>IF('Направление 1'!B26="","",'Направление 1'!B26)</f>
        <v/>
      </c>
      <c r="C86" s="133"/>
      <c r="D86" s="131"/>
      <c r="E86" s="130" t="str">
        <f>IF('Направление 1'!C26="","",'Направление 1'!C26)</f>
        <v/>
      </c>
      <c r="F86" s="133"/>
      <c r="G86" s="131"/>
      <c r="H86" s="130" t="str">
        <f>IF('Направление 1'!D26="","",'Направление 1'!D26)</f>
        <v/>
      </c>
      <c r="I86" s="131"/>
      <c r="J86" s="82" t="str">
        <f>IF('Направление 1'!E26=0,"",'Направление 1'!E26)</f>
        <v/>
      </c>
    </row>
    <row r="87" spans="1:10" ht="150" customHeight="1" x14ac:dyDescent="0.3">
      <c r="A87" s="84">
        <v>24</v>
      </c>
      <c r="B87" s="130" t="str">
        <f>IF('Направление 1'!B27="","",'Направление 1'!B27)</f>
        <v/>
      </c>
      <c r="C87" s="133"/>
      <c r="D87" s="131"/>
      <c r="E87" s="130" t="str">
        <f>IF('Направление 1'!C27="","",'Направление 1'!C27)</f>
        <v/>
      </c>
      <c r="F87" s="133"/>
      <c r="G87" s="131"/>
      <c r="H87" s="130" t="str">
        <f>IF('Направление 1'!D27="","",'Направление 1'!D27)</f>
        <v/>
      </c>
      <c r="I87" s="131"/>
      <c r="J87" s="82" t="str">
        <f>IF('Направление 1'!E27=0,"",'Направление 1'!E27)</f>
        <v/>
      </c>
    </row>
    <row r="88" spans="1:10" ht="150" customHeight="1" x14ac:dyDescent="0.3">
      <c r="A88" s="84">
        <v>25</v>
      </c>
      <c r="B88" s="130" t="str">
        <f>IF('Направление 1'!B28="","",'Направление 1'!B28)</f>
        <v/>
      </c>
      <c r="C88" s="133"/>
      <c r="D88" s="131"/>
      <c r="E88" s="130" t="str">
        <f>IF('Направление 1'!C28="","",'Направление 1'!C28)</f>
        <v/>
      </c>
      <c r="F88" s="133"/>
      <c r="G88" s="131"/>
      <c r="H88" s="130" t="str">
        <f>IF('Направление 1'!D28="","",'Направление 1'!D28)</f>
        <v/>
      </c>
      <c r="I88" s="131"/>
      <c r="J88" s="82" t="str">
        <f>IF('Направление 1'!E28=0,"",'Направление 1'!E28)</f>
        <v/>
      </c>
    </row>
    <row r="89" spans="1:10" ht="150" customHeight="1" x14ac:dyDescent="0.3">
      <c r="A89" s="84">
        <v>26</v>
      </c>
      <c r="B89" s="130" t="str">
        <f>IF('Направление 1'!B29="","",'Направление 1'!B29)</f>
        <v/>
      </c>
      <c r="C89" s="133"/>
      <c r="D89" s="131"/>
      <c r="E89" s="130" t="str">
        <f>IF('Направление 1'!C29="","",'Направление 1'!C29)</f>
        <v/>
      </c>
      <c r="F89" s="133"/>
      <c r="G89" s="131"/>
      <c r="H89" s="130" t="str">
        <f>IF('Направление 1'!D29="","",'Направление 1'!D29)</f>
        <v/>
      </c>
      <c r="I89" s="131"/>
      <c r="J89" s="82" t="str">
        <f>IF('Направление 1'!E29=0,"",'Направление 1'!E29)</f>
        <v/>
      </c>
    </row>
    <row r="90" spans="1:10" ht="150" customHeight="1" x14ac:dyDescent="0.3">
      <c r="A90" s="84">
        <v>27</v>
      </c>
      <c r="B90" s="130" t="str">
        <f>IF('Направление 1'!B30="","",'Направление 1'!B30)</f>
        <v/>
      </c>
      <c r="C90" s="133"/>
      <c r="D90" s="131"/>
      <c r="E90" s="130" t="str">
        <f>IF('Направление 1'!C30="","",'Направление 1'!C30)</f>
        <v/>
      </c>
      <c r="F90" s="133"/>
      <c r="G90" s="131"/>
      <c r="H90" s="130" t="str">
        <f>IF('Направление 1'!D30="","",'Направление 1'!D30)</f>
        <v/>
      </c>
      <c r="I90" s="131"/>
      <c r="J90" s="82" t="str">
        <f>IF('Направление 1'!E30=0,"",'Направление 1'!E30)</f>
        <v/>
      </c>
    </row>
    <row r="91" spans="1:10" ht="150" customHeight="1" x14ac:dyDescent="0.3">
      <c r="A91" s="84">
        <v>28</v>
      </c>
      <c r="B91" s="130" t="str">
        <f>IF('Направление 1'!B31="","",'Направление 1'!B31)</f>
        <v/>
      </c>
      <c r="C91" s="133"/>
      <c r="D91" s="131"/>
      <c r="E91" s="130" t="str">
        <f>IF('Направление 1'!C31="","",'Направление 1'!C31)</f>
        <v/>
      </c>
      <c r="F91" s="133"/>
      <c r="G91" s="131"/>
      <c r="H91" s="130" t="str">
        <f>IF('Направление 1'!D31="","",'Направление 1'!D31)</f>
        <v/>
      </c>
      <c r="I91" s="131"/>
      <c r="J91" s="82" t="str">
        <f>IF('Направление 1'!E31=0,"",'Направление 1'!E31)</f>
        <v/>
      </c>
    </row>
    <row r="92" spans="1:10" ht="150" customHeight="1" x14ac:dyDescent="0.3">
      <c r="A92" s="84">
        <v>29</v>
      </c>
      <c r="B92" s="130" t="str">
        <f>IF('Направление 1'!B32="","",'Направление 1'!B32)</f>
        <v/>
      </c>
      <c r="C92" s="133"/>
      <c r="D92" s="131"/>
      <c r="E92" s="130" t="str">
        <f>IF('Направление 1'!C32="","",'Направление 1'!C32)</f>
        <v/>
      </c>
      <c r="F92" s="133"/>
      <c r="G92" s="131"/>
      <c r="H92" s="130" t="str">
        <f>IF('Направление 1'!D32="","",'Направление 1'!D32)</f>
        <v/>
      </c>
      <c r="I92" s="131"/>
      <c r="J92" s="82" t="str">
        <f>IF('Направление 1'!E32=0,"",'Направление 1'!E32)</f>
        <v/>
      </c>
    </row>
    <row r="93" spans="1:10" ht="150" customHeight="1" x14ac:dyDescent="0.3">
      <c r="A93" s="84">
        <v>30</v>
      </c>
      <c r="B93" s="130" t="str">
        <f>IF('Направление 1'!B33="","",'Направление 1'!B33)</f>
        <v/>
      </c>
      <c r="C93" s="133"/>
      <c r="D93" s="131"/>
      <c r="E93" s="130" t="str">
        <f>IF('Направление 1'!C33="","",'Направление 1'!C33)</f>
        <v/>
      </c>
      <c r="F93" s="133"/>
      <c r="G93" s="131"/>
      <c r="H93" s="130" t="str">
        <f>IF('Направление 1'!D33="","",'Направление 1'!D33)</f>
        <v/>
      </c>
      <c r="I93" s="131"/>
      <c r="J93" s="82" t="str">
        <f>IF('Направление 1'!E33=0,"",'Направление 1'!E33)</f>
        <v/>
      </c>
    </row>
    <row r="94" spans="1:10" ht="150" customHeight="1" x14ac:dyDescent="0.3">
      <c r="A94" s="84">
        <v>31</v>
      </c>
      <c r="B94" s="130" t="str">
        <f>IF('Направление 1'!B34="","",'Направление 1'!B34)</f>
        <v/>
      </c>
      <c r="C94" s="133"/>
      <c r="D94" s="131"/>
      <c r="E94" s="130" t="str">
        <f>IF('Направление 1'!C34="","",'Направление 1'!C34)</f>
        <v/>
      </c>
      <c r="F94" s="133"/>
      <c r="G94" s="131"/>
      <c r="H94" s="130" t="str">
        <f>IF('Направление 1'!D34="","",'Направление 1'!D34)</f>
        <v/>
      </c>
      <c r="I94" s="131"/>
      <c r="J94" s="82" t="str">
        <f>IF('Направление 1'!E34=0,"",'Направление 1'!E34)</f>
        <v/>
      </c>
    </row>
    <row r="95" spans="1:10" ht="150" customHeight="1" x14ac:dyDescent="0.3">
      <c r="A95" s="84">
        <v>32</v>
      </c>
      <c r="B95" s="130" t="str">
        <f>IF('Направление 1'!B35="","",'Направление 1'!B35)</f>
        <v/>
      </c>
      <c r="C95" s="133"/>
      <c r="D95" s="131"/>
      <c r="E95" s="130" t="str">
        <f>IF('Направление 1'!C35="","",'Направление 1'!C35)</f>
        <v/>
      </c>
      <c r="F95" s="133"/>
      <c r="G95" s="131"/>
      <c r="H95" s="130" t="str">
        <f>IF('Направление 1'!D35="","",'Направление 1'!D35)</f>
        <v/>
      </c>
      <c r="I95" s="131"/>
      <c r="J95" s="82" t="str">
        <f>IF('Направление 1'!E35=0,"",'Направление 1'!E35)</f>
        <v/>
      </c>
    </row>
    <row r="96" spans="1:10" ht="150" customHeight="1" x14ac:dyDescent="0.3">
      <c r="A96" s="84">
        <v>33</v>
      </c>
      <c r="B96" s="130" t="str">
        <f>IF('Направление 1'!B36="","",'Направление 1'!B36)</f>
        <v/>
      </c>
      <c r="C96" s="133"/>
      <c r="D96" s="131"/>
      <c r="E96" s="130" t="str">
        <f>IF('Направление 1'!C36="","",'Направление 1'!C36)</f>
        <v/>
      </c>
      <c r="F96" s="133"/>
      <c r="G96" s="131"/>
      <c r="H96" s="130" t="str">
        <f>IF('Направление 1'!D36="","",'Направление 1'!D36)</f>
        <v/>
      </c>
      <c r="I96" s="131"/>
      <c r="J96" s="82" t="str">
        <f>IF('Направление 1'!E36=0,"",'Направление 1'!E36)</f>
        <v/>
      </c>
    </row>
    <row r="97" spans="1:10" ht="150" customHeight="1" x14ac:dyDescent="0.3">
      <c r="A97" s="84">
        <v>34</v>
      </c>
      <c r="B97" s="130" t="str">
        <f>IF('Направление 1'!B37="","",'Направление 1'!B37)</f>
        <v/>
      </c>
      <c r="C97" s="133"/>
      <c r="D97" s="131"/>
      <c r="E97" s="130" t="str">
        <f>IF('Направление 1'!C37="","",'Направление 1'!C37)</f>
        <v/>
      </c>
      <c r="F97" s="133"/>
      <c r="G97" s="131"/>
      <c r="H97" s="130" t="str">
        <f>IF('Направление 1'!D37="","",'Направление 1'!D37)</f>
        <v/>
      </c>
      <c r="I97" s="131"/>
      <c r="J97" s="82" t="str">
        <f>IF('Направление 1'!E37=0,"",'Направление 1'!E37)</f>
        <v/>
      </c>
    </row>
    <row r="98" spans="1:10" ht="150" customHeight="1" x14ac:dyDescent="0.3">
      <c r="A98" s="84">
        <v>35</v>
      </c>
      <c r="B98" s="130" t="str">
        <f>IF('Направление 1'!B38="","",'Направление 1'!B38)</f>
        <v/>
      </c>
      <c r="C98" s="133"/>
      <c r="D98" s="131"/>
      <c r="E98" s="130" t="str">
        <f>IF('Направление 1'!C38="","",'Направление 1'!C38)</f>
        <v/>
      </c>
      <c r="F98" s="133"/>
      <c r="G98" s="131"/>
      <c r="H98" s="130" t="str">
        <f>IF('Направление 1'!D38="","",'Направление 1'!D38)</f>
        <v/>
      </c>
      <c r="I98" s="131"/>
      <c r="J98" s="82" t="str">
        <f>IF('Направление 1'!E38=0,"",'Направление 1'!E38)</f>
        <v/>
      </c>
    </row>
    <row r="99" spans="1:10" ht="150" customHeight="1" x14ac:dyDescent="0.3">
      <c r="A99" s="84">
        <v>36</v>
      </c>
      <c r="B99" s="130" t="str">
        <f>IF('Направление 1'!B39="","",'Направление 1'!B39)</f>
        <v/>
      </c>
      <c r="C99" s="133"/>
      <c r="D99" s="131"/>
      <c r="E99" s="130" t="str">
        <f>IF('Направление 1'!C39="","",'Направление 1'!C39)</f>
        <v/>
      </c>
      <c r="F99" s="133"/>
      <c r="G99" s="131"/>
      <c r="H99" s="130" t="str">
        <f>IF('Направление 1'!D39="","",'Направление 1'!D39)</f>
        <v/>
      </c>
      <c r="I99" s="131"/>
      <c r="J99" s="82" t="str">
        <f>IF('Направление 1'!E39=0,"",'Направление 1'!E39)</f>
        <v/>
      </c>
    </row>
    <row r="100" spans="1:10" ht="150" customHeight="1" x14ac:dyDescent="0.3">
      <c r="A100" s="84">
        <v>37</v>
      </c>
      <c r="B100" s="130" t="str">
        <f>IF('Направление 1'!B40="","",'Направление 1'!B40)</f>
        <v/>
      </c>
      <c r="C100" s="133"/>
      <c r="D100" s="131"/>
      <c r="E100" s="130" t="str">
        <f>IF('Направление 1'!C40="","",'Направление 1'!C40)</f>
        <v/>
      </c>
      <c r="F100" s="133"/>
      <c r="G100" s="131"/>
      <c r="H100" s="130" t="str">
        <f>IF('Направление 1'!D40="","",'Направление 1'!D40)</f>
        <v/>
      </c>
      <c r="I100" s="131"/>
      <c r="J100" s="82" t="str">
        <f>IF('Направление 1'!E40=0,"",'Направление 1'!E40)</f>
        <v/>
      </c>
    </row>
    <row r="101" spans="1:10" ht="150" customHeight="1" x14ac:dyDescent="0.3">
      <c r="A101" s="84">
        <v>38</v>
      </c>
      <c r="B101" s="130" t="str">
        <f>IF('Направление 1'!B41="","",'Направление 1'!B41)</f>
        <v/>
      </c>
      <c r="C101" s="133"/>
      <c r="D101" s="131"/>
      <c r="E101" s="130" t="str">
        <f>IF('Направление 1'!C41="","",'Направление 1'!C41)</f>
        <v/>
      </c>
      <c r="F101" s="133"/>
      <c r="G101" s="131"/>
      <c r="H101" s="130" t="str">
        <f>IF('Направление 1'!D41="","",'Направление 1'!D41)</f>
        <v/>
      </c>
      <c r="I101" s="131"/>
      <c r="J101" s="82" t="str">
        <f>IF('Направление 1'!E41=0,"",'Направление 1'!E41)</f>
        <v/>
      </c>
    </row>
    <row r="102" spans="1:10" ht="150" customHeight="1" x14ac:dyDescent="0.3">
      <c r="A102" s="84">
        <v>39</v>
      </c>
      <c r="B102" s="130" t="str">
        <f>IF('Направление 1'!B42="","",'Направление 1'!B42)</f>
        <v/>
      </c>
      <c r="C102" s="133"/>
      <c r="D102" s="131"/>
      <c r="E102" s="130" t="str">
        <f>IF('Направление 1'!C42="","",'Направление 1'!C42)</f>
        <v/>
      </c>
      <c r="F102" s="133"/>
      <c r="G102" s="131"/>
      <c r="H102" s="130" t="str">
        <f>IF('Направление 1'!D42="","",'Направление 1'!D42)</f>
        <v/>
      </c>
      <c r="I102" s="131"/>
      <c r="J102" s="82" t="str">
        <f>IF('Направление 1'!E42=0,"",'Направление 1'!E42)</f>
        <v/>
      </c>
    </row>
    <row r="103" spans="1:10" ht="150" customHeight="1" thickBot="1" x14ac:dyDescent="0.35">
      <c r="A103" s="85">
        <v>40</v>
      </c>
      <c r="B103" s="130" t="str">
        <f>IF('Направление 1'!B43="","",'Направление 1'!B43)</f>
        <v/>
      </c>
      <c r="C103" s="133"/>
      <c r="D103" s="131"/>
      <c r="E103" s="130" t="str">
        <f>IF('Направление 1'!C43="","",'Направление 1'!C43)</f>
        <v/>
      </c>
      <c r="F103" s="133"/>
      <c r="G103" s="131"/>
      <c r="H103" s="130" t="str">
        <f>IF('Направление 1'!D43="","",'Направление 1'!D43)</f>
        <v/>
      </c>
      <c r="I103" s="131"/>
      <c r="J103" s="82" t="str">
        <f>IF('Направление 1'!E43=0,"",'Направление 1'!E43)</f>
        <v/>
      </c>
    </row>
    <row r="104" spans="1:10" ht="150" customHeight="1" thickBot="1" x14ac:dyDescent="0.35">
      <c r="A104" s="85">
        <v>41</v>
      </c>
      <c r="B104" s="130" t="str">
        <f>IF('Направление 1'!B44="","",'Направление 1'!B44)</f>
        <v/>
      </c>
      <c r="C104" s="133"/>
      <c r="D104" s="131"/>
      <c r="E104" s="130" t="str">
        <f>IF('Направление 1'!C44="","",'Направление 1'!C44)</f>
        <v/>
      </c>
      <c r="F104" s="133"/>
      <c r="G104" s="131"/>
      <c r="H104" s="130" t="str">
        <f>IF('Направление 1'!D44="","",'Направление 1'!D44)</f>
        <v/>
      </c>
      <c r="I104" s="131"/>
      <c r="J104" s="82" t="str">
        <f>IF('Направление 1'!E44=0,"",'Направление 1'!E44)</f>
        <v/>
      </c>
    </row>
    <row r="105" spans="1:10" ht="150" customHeight="1" thickBot="1" x14ac:dyDescent="0.35">
      <c r="A105" s="85">
        <v>42</v>
      </c>
      <c r="B105" s="130" t="str">
        <f>IF('Направление 1'!B45="","",'Направление 1'!B45)</f>
        <v/>
      </c>
      <c r="C105" s="133"/>
      <c r="D105" s="131"/>
      <c r="E105" s="130" t="str">
        <f>IF('Направление 1'!C45="","",'Направление 1'!C45)</f>
        <v/>
      </c>
      <c r="F105" s="133"/>
      <c r="G105" s="131"/>
      <c r="H105" s="130" t="str">
        <f>IF('Направление 1'!D45="","",'Направление 1'!D45)</f>
        <v/>
      </c>
      <c r="I105" s="131"/>
      <c r="J105" s="82" t="str">
        <f>IF('Направление 1'!E45=0,"",'Направление 1'!E45)</f>
        <v/>
      </c>
    </row>
    <row r="106" spans="1:10" ht="150" customHeight="1" thickBot="1" x14ac:dyDescent="0.35">
      <c r="A106" s="85">
        <v>43</v>
      </c>
      <c r="B106" s="130" t="str">
        <f>IF('Направление 1'!B46="","",'Направление 1'!B46)</f>
        <v/>
      </c>
      <c r="C106" s="133"/>
      <c r="D106" s="131"/>
      <c r="E106" s="130" t="str">
        <f>IF('Направление 1'!C46="","",'Направление 1'!C46)</f>
        <v/>
      </c>
      <c r="F106" s="133"/>
      <c r="G106" s="131"/>
      <c r="H106" s="130" t="str">
        <f>IF('Направление 1'!D46="","",'Направление 1'!D46)</f>
        <v/>
      </c>
      <c r="I106" s="131"/>
      <c r="J106" s="82" t="str">
        <f>IF('Направление 1'!E46=0,"",'Направление 1'!E46)</f>
        <v/>
      </c>
    </row>
    <row r="107" spans="1:10" ht="150" customHeight="1" thickBot="1" x14ac:dyDescent="0.35">
      <c r="A107" s="85">
        <v>44</v>
      </c>
      <c r="B107" s="130" t="str">
        <f>IF('Направление 1'!B47="","",'Направление 1'!B47)</f>
        <v/>
      </c>
      <c r="C107" s="133"/>
      <c r="D107" s="131"/>
      <c r="E107" s="130" t="str">
        <f>IF('Направление 1'!C47="","",'Направление 1'!C47)</f>
        <v/>
      </c>
      <c r="F107" s="133"/>
      <c r="G107" s="131"/>
      <c r="H107" s="130" t="str">
        <f>IF('Направление 1'!D47="","",'Направление 1'!D47)</f>
        <v/>
      </c>
      <c r="I107" s="131"/>
      <c r="J107" s="82" t="str">
        <f>IF('Направление 1'!E47=0,"",'Направление 1'!E47)</f>
        <v/>
      </c>
    </row>
    <row r="108" spans="1:10" ht="150" customHeight="1" thickBot="1" x14ac:dyDescent="0.35">
      <c r="A108" s="85">
        <v>45</v>
      </c>
      <c r="B108" s="130" t="str">
        <f>IF('Направление 1'!B48="","",'Направление 1'!B48)</f>
        <v/>
      </c>
      <c r="C108" s="133"/>
      <c r="D108" s="131"/>
      <c r="E108" s="130" t="str">
        <f>IF('Направление 1'!C48="","",'Направление 1'!C48)</f>
        <v/>
      </c>
      <c r="F108" s="133"/>
      <c r="G108" s="131"/>
      <c r="H108" s="130" t="str">
        <f>IF('Направление 1'!D48="","",'Направление 1'!D48)</f>
        <v/>
      </c>
      <c r="I108" s="131"/>
      <c r="J108" s="82" t="str">
        <f>IF('Направление 1'!E48=0,"",'Направление 1'!E48)</f>
        <v/>
      </c>
    </row>
    <row r="109" spans="1:10" ht="150" customHeight="1" thickBot="1" x14ac:dyDescent="0.35">
      <c r="A109" s="85">
        <v>46</v>
      </c>
      <c r="B109" s="130" t="str">
        <f>IF('Направление 1'!B49="","",'Направление 1'!B49)</f>
        <v/>
      </c>
      <c r="C109" s="133"/>
      <c r="D109" s="131"/>
      <c r="E109" s="130" t="str">
        <f>IF('Направление 1'!C49="","",'Направление 1'!C49)</f>
        <v/>
      </c>
      <c r="F109" s="133"/>
      <c r="G109" s="131"/>
      <c r="H109" s="130" t="str">
        <f>IF('Направление 1'!D49="","",'Направление 1'!D49)</f>
        <v/>
      </c>
      <c r="I109" s="131"/>
      <c r="J109" s="82" t="str">
        <f>IF('Направление 1'!E49=0,"",'Направление 1'!E49)</f>
        <v/>
      </c>
    </row>
    <row r="110" spans="1:10" ht="150" customHeight="1" thickBot="1" x14ac:dyDescent="0.35">
      <c r="A110" s="85">
        <v>47</v>
      </c>
      <c r="B110" s="130" t="str">
        <f>IF('Направление 1'!B50="","",'Направление 1'!B50)</f>
        <v/>
      </c>
      <c r="C110" s="133"/>
      <c r="D110" s="131"/>
      <c r="E110" s="130" t="str">
        <f>IF('Направление 1'!C50="","",'Направление 1'!C50)</f>
        <v/>
      </c>
      <c r="F110" s="133"/>
      <c r="G110" s="131"/>
      <c r="H110" s="130" t="str">
        <f>IF('Направление 1'!D50="","",'Направление 1'!D50)</f>
        <v/>
      </c>
      <c r="I110" s="131"/>
      <c r="J110" s="82" t="str">
        <f>IF('Направление 1'!E50=0,"",'Направление 1'!E50)</f>
        <v/>
      </c>
    </row>
    <row r="111" spans="1:10" ht="150" customHeight="1" thickBot="1" x14ac:dyDescent="0.35">
      <c r="A111" s="85">
        <v>48</v>
      </c>
      <c r="B111" s="130" t="str">
        <f>IF('Направление 1'!B51="","",'Направление 1'!B51)</f>
        <v/>
      </c>
      <c r="C111" s="133"/>
      <c r="D111" s="131"/>
      <c r="E111" s="130" t="str">
        <f>IF('Направление 1'!C51="","",'Направление 1'!C51)</f>
        <v/>
      </c>
      <c r="F111" s="133"/>
      <c r="G111" s="131"/>
      <c r="H111" s="130" t="str">
        <f>IF('Направление 1'!D51="","",'Направление 1'!D51)</f>
        <v/>
      </c>
      <c r="I111" s="131"/>
      <c r="J111" s="82" t="str">
        <f>IF('Направление 1'!E51=0,"",'Направление 1'!E51)</f>
        <v/>
      </c>
    </row>
    <row r="112" spans="1:10" ht="150" customHeight="1" thickBot="1" x14ac:dyDescent="0.35">
      <c r="A112" s="85">
        <v>49</v>
      </c>
      <c r="B112" s="130" t="str">
        <f>IF('Направление 1'!B52="","",'Направление 1'!B52)</f>
        <v/>
      </c>
      <c r="C112" s="133"/>
      <c r="D112" s="131"/>
      <c r="E112" s="130" t="str">
        <f>IF('Направление 1'!C52="","",'Направление 1'!C52)</f>
        <v/>
      </c>
      <c r="F112" s="133"/>
      <c r="G112" s="131"/>
      <c r="H112" s="130" t="str">
        <f>IF('Направление 1'!D52="","",'Направление 1'!D52)</f>
        <v/>
      </c>
      <c r="I112" s="131"/>
      <c r="J112" s="82" t="str">
        <f>IF('Направление 1'!E52=0,"",'Направление 1'!E52)</f>
        <v/>
      </c>
    </row>
    <row r="113" spans="1:10" ht="150" customHeight="1" thickBot="1" x14ac:dyDescent="0.35">
      <c r="A113" s="85">
        <v>50</v>
      </c>
      <c r="B113" s="130" t="str">
        <f>IF('Направление 1'!B53="","",'Направление 1'!B53)</f>
        <v/>
      </c>
      <c r="C113" s="133"/>
      <c r="D113" s="131"/>
      <c r="E113" s="130" t="str">
        <f>IF('Направление 1'!C53="","",'Направление 1'!C53)</f>
        <v/>
      </c>
      <c r="F113" s="133"/>
      <c r="G113" s="131"/>
      <c r="H113" s="130" t="str">
        <f>IF('Направление 1'!D53="","",'Направление 1'!D53)</f>
        <v/>
      </c>
      <c r="I113" s="131"/>
      <c r="J113" s="82" t="str">
        <f>IF('Направление 1'!E53=0,"",'Направление 1'!E53)</f>
        <v/>
      </c>
    </row>
    <row r="114" spans="1:10" ht="150" customHeight="1" thickBot="1" x14ac:dyDescent="0.35">
      <c r="A114" s="85">
        <v>51</v>
      </c>
      <c r="B114" s="130" t="str">
        <f>IF('Направление 1'!B54="","",'Направление 1'!B54)</f>
        <v/>
      </c>
      <c r="C114" s="133"/>
      <c r="D114" s="131"/>
      <c r="E114" s="130" t="str">
        <f>IF('Направление 1'!C54="","",'Направление 1'!C54)</f>
        <v/>
      </c>
      <c r="F114" s="133"/>
      <c r="G114" s="131"/>
      <c r="H114" s="130" t="str">
        <f>IF('Направление 1'!D54="","",'Направление 1'!D54)</f>
        <v/>
      </c>
      <c r="I114" s="131"/>
      <c r="J114" s="82" t="str">
        <f>IF('Направление 1'!E54=0,"",'Направление 1'!E54)</f>
        <v/>
      </c>
    </row>
    <row r="115" spans="1:10" ht="150" customHeight="1" thickBot="1" x14ac:dyDescent="0.35">
      <c r="A115" s="85">
        <v>52</v>
      </c>
      <c r="B115" s="130" t="str">
        <f>IF('Направление 1'!B55="","",'Направление 1'!B55)</f>
        <v/>
      </c>
      <c r="C115" s="133"/>
      <c r="D115" s="131"/>
      <c r="E115" s="130" t="str">
        <f>IF('Направление 1'!C55="","",'Направление 1'!C55)</f>
        <v/>
      </c>
      <c r="F115" s="133"/>
      <c r="G115" s="131"/>
      <c r="H115" s="130" t="str">
        <f>IF('Направление 1'!D55="","",'Направление 1'!D55)</f>
        <v/>
      </c>
      <c r="I115" s="131"/>
      <c r="J115" s="82" t="str">
        <f>IF('Направление 1'!E55=0,"",'Направление 1'!E55)</f>
        <v/>
      </c>
    </row>
    <row r="116" spans="1:10" ht="150" customHeight="1" thickBot="1" x14ac:dyDescent="0.35">
      <c r="A116" s="85">
        <v>53</v>
      </c>
      <c r="B116" s="130" t="str">
        <f>IF('Направление 1'!B56="","",'Направление 1'!B56)</f>
        <v/>
      </c>
      <c r="C116" s="133"/>
      <c r="D116" s="131"/>
      <c r="E116" s="130" t="str">
        <f>IF('Направление 1'!C56="","",'Направление 1'!C56)</f>
        <v/>
      </c>
      <c r="F116" s="133"/>
      <c r="G116" s="131"/>
      <c r="H116" s="130" t="str">
        <f>IF('Направление 1'!D56="","",'Направление 1'!D56)</f>
        <v/>
      </c>
      <c r="I116" s="131"/>
      <c r="J116" s="82" t="str">
        <f>IF('Направление 1'!E56=0,"",'Направление 1'!E56)</f>
        <v/>
      </c>
    </row>
    <row r="117" spans="1:10" ht="150" customHeight="1" thickBot="1" x14ac:dyDescent="0.35">
      <c r="A117" s="85">
        <v>54</v>
      </c>
      <c r="B117" s="130" t="str">
        <f>IF('Направление 1'!B57="","",'Направление 1'!B57)</f>
        <v/>
      </c>
      <c r="C117" s="133"/>
      <c r="D117" s="131"/>
      <c r="E117" s="130" t="str">
        <f>IF('Направление 1'!C57="","",'Направление 1'!C57)</f>
        <v/>
      </c>
      <c r="F117" s="133"/>
      <c r="G117" s="131"/>
      <c r="H117" s="130" t="str">
        <f>IF('Направление 1'!D57="","",'Направление 1'!D57)</f>
        <v/>
      </c>
      <c r="I117" s="131"/>
      <c r="J117" s="82" t="str">
        <f>IF('Направление 1'!E57=0,"",'Направление 1'!E57)</f>
        <v/>
      </c>
    </row>
    <row r="118" spans="1:10" ht="150" customHeight="1" thickBot="1" x14ac:dyDescent="0.35">
      <c r="A118" s="85">
        <v>55</v>
      </c>
      <c r="B118" s="130" t="str">
        <f>IF('Направление 1'!B58="","",'Направление 1'!B58)</f>
        <v/>
      </c>
      <c r="C118" s="133"/>
      <c r="D118" s="131"/>
      <c r="E118" s="130" t="str">
        <f>IF('Направление 1'!C58="","",'Направление 1'!C58)</f>
        <v/>
      </c>
      <c r="F118" s="133"/>
      <c r="G118" s="131"/>
      <c r="H118" s="130" t="str">
        <f>IF('Направление 1'!D58="","",'Направление 1'!D58)</f>
        <v/>
      </c>
      <c r="I118" s="131"/>
      <c r="J118" s="82" t="str">
        <f>IF('Направление 1'!E58=0,"",'Направление 1'!E58)</f>
        <v/>
      </c>
    </row>
    <row r="119" spans="1:10" ht="150" customHeight="1" thickBot="1" x14ac:dyDescent="0.35">
      <c r="A119" s="85">
        <v>56</v>
      </c>
      <c r="B119" s="130" t="str">
        <f>IF('Направление 1'!B59="","",'Направление 1'!B59)</f>
        <v/>
      </c>
      <c r="C119" s="133"/>
      <c r="D119" s="131"/>
      <c r="E119" s="130" t="str">
        <f>IF('Направление 1'!C59="","",'Направление 1'!C59)</f>
        <v/>
      </c>
      <c r="F119" s="133"/>
      <c r="G119" s="131"/>
      <c r="H119" s="130" t="str">
        <f>IF('Направление 1'!D59="","",'Направление 1'!D59)</f>
        <v/>
      </c>
      <c r="I119" s="131"/>
      <c r="J119" s="82" t="str">
        <f>IF('Направление 1'!E59=0,"",'Направление 1'!E59)</f>
        <v/>
      </c>
    </row>
    <row r="120" spans="1:10" ht="150" customHeight="1" thickBot="1" x14ac:dyDescent="0.35">
      <c r="A120" s="85">
        <v>57</v>
      </c>
      <c r="B120" s="130" t="str">
        <f>IF('Направление 1'!B60="","",'Направление 1'!B60)</f>
        <v/>
      </c>
      <c r="C120" s="133"/>
      <c r="D120" s="131"/>
      <c r="E120" s="130" t="str">
        <f>IF('Направление 1'!C60="","",'Направление 1'!C60)</f>
        <v/>
      </c>
      <c r="F120" s="133"/>
      <c r="G120" s="131"/>
      <c r="H120" s="130" t="str">
        <f>IF('Направление 1'!D60="","",'Направление 1'!D60)</f>
        <v/>
      </c>
      <c r="I120" s="131"/>
      <c r="J120" s="82" t="str">
        <f>IF('Направление 1'!E60=0,"",'Направление 1'!E60)</f>
        <v/>
      </c>
    </row>
    <row r="121" spans="1:10" ht="150" customHeight="1" thickBot="1" x14ac:dyDescent="0.35">
      <c r="A121" s="85">
        <v>58</v>
      </c>
      <c r="B121" s="130" t="str">
        <f>IF('Направление 1'!B61="","",'Направление 1'!B61)</f>
        <v/>
      </c>
      <c r="C121" s="133"/>
      <c r="D121" s="131"/>
      <c r="E121" s="130" t="str">
        <f>IF('Направление 1'!C61="","",'Направление 1'!C61)</f>
        <v/>
      </c>
      <c r="F121" s="133"/>
      <c r="G121" s="131"/>
      <c r="H121" s="130" t="str">
        <f>IF('Направление 1'!D61="","",'Направление 1'!D61)</f>
        <v/>
      </c>
      <c r="I121" s="131"/>
      <c r="J121" s="82" t="str">
        <f>IF('Направление 1'!E61=0,"",'Направление 1'!E61)</f>
        <v/>
      </c>
    </row>
    <row r="122" spans="1:10" ht="150" customHeight="1" thickBot="1" x14ac:dyDescent="0.35">
      <c r="A122" s="85">
        <v>59</v>
      </c>
      <c r="B122" s="130" t="str">
        <f>IF('Направление 1'!B62="","",'Направление 1'!B62)</f>
        <v/>
      </c>
      <c r="C122" s="133"/>
      <c r="D122" s="131"/>
      <c r="E122" s="130" t="str">
        <f>IF('Направление 1'!C62="","",'Направление 1'!C62)</f>
        <v/>
      </c>
      <c r="F122" s="133"/>
      <c r="G122" s="131"/>
      <c r="H122" s="130" t="str">
        <f>IF('Направление 1'!D62="","",'Направление 1'!D62)</f>
        <v/>
      </c>
      <c r="I122" s="131"/>
      <c r="J122" s="82" t="str">
        <f>IF('Направление 1'!E62=0,"",'Направление 1'!E62)</f>
        <v/>
      </c>
    </row>
    <row r="123" spans="1:10" ht="150" customHeight="1" thickBot="1" x14ac:dyDescent="0.35">
      <c r="A123" s="85">
        <v>60</v>
      </c>
      <c r="B123" s="130" t="str">
        <f>IF('Направление 1'!B63="","",'Направление 1'!B63)</f>
        <v/>
      </c>
      <c r="C123" s="133"/>
      <c r="D123" s="131"/>
      <c r="E123" s="130" t="str">
        <f>IF('Направление 1'!C63="","",'Направление 1'!C63)</f>
        <v/>
      </c>
      <c r="F123" s="133"/>
      <c r="G123" s="131"/>
      <c r="H123" s="130" t="str">
        <f>IF('Направление 1'!D63="","",'Направление 1'!D63)</f>
        <v/>
      </c>
      <c r="I123" s="131"/>
      <c r="J123" s="82" t="str">
        <f>IF('Направление 1'!E63=0,"",'Направление 1'!E63)</f>
        <v/>
      </c>
    </row>
    <row r="124" spans="1:10" ht="150" customHeight="1" thickBot="1" x14ac:dyDescent="0.35">
      <c r="A124" s="85">
        <v>61</v>
      </c>
      <c r="B124" s="130" t="str">
        <f>IF('Направление 1'!B64="","",'Направление 1'!B64)</f>
        <v/>
      </c>
      <c r="C124" s="133"/>
      <c r="D124" s="131"/>
      <c r="E124" s="130" t="str">
        <f>IF('Направление 1'!C64="","",'Направление 1'!C64)</f>
        <v/>
      </c>
      <c r="F124" s="133"/>
      <c r="G124" s="131"/>
      <c r="H124" s="130" t="str">
        <f>IF('Направление 1'!D64="","",'Направление 1'!D64)</f>
        <v/>
      </c>
      <c r="I124" s="131"/>
      <c r="J124" s="82" t="str">
        <f>IF('Направление 1'!E64=0,"",'Направление 1'!E64)</f>
        <v/>
      </c>
    </row>
    <row r="125" spans="1:10" ht="150" customHeight="1" thickBot="1" x14ac:dyDescent="0.35">
      <c r="A125" s="85">
        <v>62</v>
      </c>
      <c r="B125" s="130" t="str">
        <f>IF('Направление 1'!B65="","",'Направление 1'!B65)</f>
        <v/>
      </c>
      <c r="C125" s="133"/>
      <c r="D125" s="131"/>
      <c r="E125" s="130" t="str">
        <f>IF('Направление 1'!C65="","",'Направление 1'!C65)</f>
        <v/>
      </c>
      <c r="F125" s="133"/>
      <c r="G125" s="131"/>
      <c r="H125" s="130" t="str">
        <f>IF('Направление 1'!D65="","",'Направление 1'!D65)</f>
        <v/>
      </c>
      <c r="I125" s="131"/>
      <c r="J125" s="82" t="str">
        <f>IF('Направление 1'!E65=0,"",'Направление 1'!E65)</f>
        <v/>
      </c>
    </row>
    <row r="126" spans="1:10" ht="150" customHeight="1" thickBot="1" x14ac:dyDescent="0.35">
      <c r="A126" s="85">
        <v>63</v>
      </c>
      <c r="B126" s="130" t="str">
        <f>IF('Направление 1'!B66="","",'Направление 1'!B66)</f>
        <v/>
      </c>
      <c r="C126" s="133"/>
      <c r="D126" s="131"/>
      <c r="E126" s="130" t="str">
        <f>IF('Направление 1'!C66="","",'Направление 1'!C66)</f>
        <v/>
      </c>
      <c r="F126" s="133"/>
      <c r="G126" s="131"/>
      <c r="H126" s="130" t="str">
        <f>IF('Направление 1'!D66="","",'Направление 1'!D66)</f>
        <v/>
      </c>
      <c r="I126" s="131"/>
      <c r="J126" s="82" t="str">
        <f>IF('Направление 1'!E66=0,"",'Направление 1'!E66)</f>
        <v/>
      </c>
    </row>
    <row r="127" spans="1:10" ht="150" customHeight="1" thickBot="1" x14ac:dyDescent="0.35">
      <c r="A127" s="85">
        <v>64</v>
      </c>
      <c r="B127" s="130" t="str">
        <f>IF('Направление 1'!B67="","",'Направление 1'!B67)</f>
        <v/>
      </c>
      <c r="C127" s="133"/>
      <c r="D127" s="131"/>
      <c r="E127" s="130" t="str">
        <f>IF('Направление 1'!C67="","",'Направление 1'!C67)</f>
        <v/>
      </c>
      <c r="F127" s="133"/>
      <c r="G127" s="131"/>
      <c r="H127" s="130" t="str">
        <f>IF('Направление 1'!D67="","",'Направление 1'!D67)</f>
        <v/>
      </c>
      <c r="I127" s="131"/>
      <c r="J127" s="82" t="str">
        <f>IF('Направление 1'!E67=0,"",'Направление 1'!E67)</f>
        <v/>
      </c>
    </row>
    <row r="128" spans="1:10" ht="150" customHeight="1" thickBot="1" x14ac:dyDescent="0.35">
      <c r="A128" s="85">
        <v>65</v>
      </c>
      <c r="B128" s="130" t="str">
        <f>IF('Направление 1'!B68="","",'Направление 1'!B68)</f>
        <v/>
      </c>
      <c r="C128" s="133"/>
      <c r="D128" s="131"/>
      <c r="E128" s="130" t="str">
        <f>IF('Направление 1'!C68="","",'Направление 1'!C68)</f>
        <v/>
      </c>
      <c r="F128" s="133"/>
      <c r="G128" s="131"/>
      <c r="H128" s="130" t="str">
        <f>IF('Направление 1'!D68="","",'Направление 1'!D68)</f>
        <v/>
      </c>
      <c r="I128" s="131"/>
      <c r="J128" s="82" t="str">
        <f>IF('Направление 1'!E68=0,"",'Направление 1'!E68)</f>
        <v/>
      </c>
    </row>
    <row r="129" spans="1:10" ht="150" customHeight="1" thickBot="1" x14ac:dyDescent="0.35">
      <c r="A129" s="85">
        <v>66</v>
      </c>
      <c r="B129" s="130" t="str">
        <f>IF('Направление 1'!B69="","",'Направление 1'!B69)</f>
        <v/>
      </c>
      <c r="C129" s="133"/>
      <c r="D129" s="131"/>
      <c r="E129" s="130" t="str">
        <f>IF('Направление 1'!C69="","",'Направление 1'!C69)</f>
        <v/>
      </c>
      <c r="F129" s="133"/>
      <c r="G129" s="131"/>
      <c r="H129" s="130" t="str">
        <f>IF('Направление 1'!D69="","",'Направление 1'!D69)</f>
        <v/>
      </c>
      <c r="I129" s="131"/>
      <c r="J129" s="82" t="str">
        <f>IF('Направление 1'!E69=0,"",'Направление 1'!E69)</f>
        <v/>
      </c>
    </row>
    <row r="130" spans="1:10" ht="150" customHeight="1" thickBot="1" x14ac:dyDescent="0.35">
      <c r="A130" s="85">
        <v>67</v>
      </c>
      <c r="B130" s="130" t="str">
        <f>IF('Направление 1'!B70="","",'Направление 1'!B70)</f>
        <v/>
      </c>
      <c r="C130" s="133"/>
      <c r="D130" s="131"/>
      <c r="E130" s="130" t="str">
        <f>IF('Направление 1'!C70="","",'Направление 1'!C70)</f>
        <v/>
      </c>
      <c r="F130" s="133"/>
      <c r="G130" s="131"/>
      <c r="H130" s="130" t="str">
        <f>IF('Направление 1'!D70="","",'Направление 1'!D70)</f>
        <v/>
      </c>
      <c r="I130" s="131"/>
      <c r="J130" s="82" t="str">
        <f>IF('Направление 1'!E70=0,"",'Направление 1'!E70)</f>
        <v/>
      </c>
    </row>
    <row r="131" spans="1:10" ht="150" customHeight="1" thickBot="1" x14ac:dyDescent="0.35">
      <c r="A131" s="85">
        <v>68</v>
      </c>
      <c r="B131" s="130" t="str">
        <f>IF('Направление 1'!B71="","",'Направление 1'!B71)</f>
        <v/>
      </c>
      <c r="C131" s="133"/>
      <c r="D131" s="131"/>
      <c r="E131" s="130" t="str">
        <f>IF('Направление 1'!C71="","",'Направление 1'!C71)</f>
        <v/>
      </c>
      <c r="F131" s="133"/>
      <c r="G131" s="131"/>
      <c r="H131" s="130" t="str">
        <f>IF('Направление 1'!D71="","",'Направление 1'!D71)</f>
        <v/>
      </c>
      <c r="I131" s="131"/>
      <c r="J131" s="82" t="str">
        <f>IF('Направление 1'!E71=0,"",'Направление 1'!E71)</f>
        <v/>
      </c>
    </row>
    <row r="132" spans="1:10" ht="150" customHeight="1" thickBot="1" x14ac:dyDescent="0.35">
      <c r="A132" s="85">
        <v>69</v>
      </c>
      <c r="B132" s="130" t="str">
        <f>IF('Направление 1'!B72="","",'Направление 1'!B72)</f>
        <v/>
      </c>
      <c r="C132" s="133"/>
      <c r="D132" s="131"/>
      <c r="E132" s="130" t="str">
        <f>IF('Направление 1'!C72="","",'Направление 1'!C72)</f>
        <v/>
      </c>
      <c r="F132" s="133"/>
      <c r="G132" s="131"/>
      <c r="H132" s="130" t="str">
        <f>IF('Направление 1'!D72="","",'Направление 1'!D72)</f>
        <v/>
      </c>
      <c r="I132" s="131"/>
      <c r="J132" s="82" t="str">
        <f>IF('Направление 1'!E72=0,"",'Направление 1'!E72)</f>
        <v/>
      </c>
    </row>
    <row r="133" spans="1:10" ht="150" customHeight="1" thickBot="1" x14ac:dyDescent="0.35">
      <c r="A133" s="85">
        <v>70</v>
      </c>
      <c r="B133" s="130" t="str">
        <f>IF('Направление 1'!B73="","",'Направление 1'!B73)</f>
        <v/>
      </c>
      <c r="C133" s="133"/>
      <c r="D133" s="131"/>
      <c r="E133" s="130" t="str">
        <f>IF('Направление 1'!C73="","",'Направление 1'!C73)</f>
        <v/>
      </c>
      <c r="F133" s="133"/>
      <c r="G133" s="131"/>
      <c r="H133" s="130" t="str">
        <f>IF('Направление 1'!D73="","",'Направление 1'!D73)</f>
        <v/>
      </c>
      <c r="I133" s="131"/>
      <c r="J133" s="82" t="str">
        <f>IF('Направление 1'!E73=0,"",'Направление 1'!E73)</f>
        <v/>
      </c>
    </row>
    <row r="134" spans="1:10" ht="150" customHeight="1" thickBot="1" x14ac:dyDescent="0.35">
      <c r="A134" s="85">
        <v>71</v>
      </c>
      <c r="B134" s="130" t="str">
        <f>IF('Направление 1'!B74="","",'Направление 1'!B74)</f>
        <v/>
      </c>
      <c r="C134" s="133"/>
      <c r="D134" s="131"/>
      <c r="E134" s="130" t="str">
        <f>IF('Направление 1'!C74="","",'Направление 1'!C74)</f>
        <v/>
      </c>
      <c r="F134" s="133"/>
      <c r="G134" s="131"/>
      <c r="H134" s="130" t="str">
        <f>IF('Направление 1'!D74="","",'Направление 1'!D74)</f>
        <v/>
      </c>
      <c r="I134" s="131"/>
      <c r="J134" s="82" t="str">
        <f>IF('Направление 1'!E74=0,"",'Направление 1'!E74)</f>
        <v/>
      </c>
    </row>
    <row r="135" spans="1:10" ht="150" customHeight="1" thickBot="1" x14ac:dyDescent="0.35">
      <c r="A135" s="85">
        <v>72</v>
      </c>
      <c r="B135" s="130" t="str">
        <f>IF('Направление 1'!B75="","",'Направление 1'!B75)</f>
        <v/>
      </c>
      <c r="C135" s="133"/>
      <c r="D135" s="131"/>
      <c r="E135" s="130" t="str">
        <f>IF('Направление 1'!C75="","",'Направление 1'!C75)</f>
        <v/>
      </c>
      <c r="F135" s="133"/>
      <c r="G135" s="131"/>
      <c r="H135" s="130" t="str">
        <f>IF('Направление 1'!D75="","",'Направление 1'!D75)</f>
        <v/>
      </c>
      <c r="I135" s="131"/>
      <c r="J135" s="82" t="str">
        <f>IF('Направление 1'!E75=0,"",'Направление 1'!E75)</f>
        <v/>
      </c>
    </row>
    <row r="136" spans="1:10" ht="150" customHeight="1" thickBot="1" x14ac:dyDescent="0.35">
      <c r="A136" s="85">
        <v>73</v>
      </c>
      <c r="B136" s="130" t="str">
        <f>IF('Направление 1'!B76="","",'Направление 1'!B76)</f>
        <v/>
      </c>
      <c r="C136" s="133"/>
      <c r="D136" s="131"/>
      <c r="E136" s="130" t="str">
        <f>IF('Направление 1'!C76="","",'Направление 1'!C76)</f>
        <v/>
      </c>
      <c r="F136" s="133"/>
      <c r="G136" s="131"/>
      <c r="H136" s="130" t="str">
        <f>IF('Направление 1'!D76="","",'Направление 1'!D76)</f>
        <v/>
      </c>
      <c r="I136" s="131"/>
      <c r="J136" s="82" t="str">
        <f>IF('Направление 1'!E76=0,"",'Направление 1'!E76)</f>
        <v/>
      </c>
    </row>
    <row r="137" spans="1:10" ht="150" customHeight="1" thickBot="1" x14ac:dyDescent="0.35">
      <c r="A137" s="85">
        <v>74</v>
      </c>
      <c r="B137" s="130" t="str">
        <f>IF('Направление 1'!B77="","",'Направление 1'!B77)</f>
        <v/>
      </c>
      <c r="C137" s="133"/>
      <c r="D137" s="131"/>
      <c r="E137" s="130" t="str">
        <f>IF('Направление 1'!C77="","",'Направление 1'!C77)</f>
        <v/>
      </c>
      <c r="F137" s="133"/>
      <c r="G137" s="131"/>
      <c r="H137" s="130" t="str">
        <f>IF('Направление 1'!D77="","",'Направление 1'!D77)</f>
        <v/>
      </c>
      <c r="I137" s="131"/>
      <c r="J137" s="82" t="str">
        <f>IF('Направление 1'!E77=0,"",'Направление 1'!E77)</f>
        <v/>
      </c>
    </row>
    <row r="138" spans="1:10" ht="150" customHeight="1" thickBot="1" x14ac:dyDescent="0.35">
      <c r="A138" s="85">
        <v>75</v>
      </c>
      <c r="B138" s="130" t="str">
        <f>IF('Направление 1'!B78="","",'Направление 1'!B78)</f>
        <v/>
      </c>
      <c r="C138" s="133"/>
      <c r="D138" s="131"/>
      <c r="E138" s="130" t="str">
        <f>IF('Направление 1'!C78="","",'Направление 1'!C78)</f>
        <v/>
      </c>
      <c r="F138" s="133"/>
      <c r="G138" s="131"/>
      <c r="H138" s="130" t="str">
        <f>IF('Направление 1'!D78="","",'Направление 1'!D78)</f>
        <v/>
      </c>
      <c r="I138" s="131"/>
      <c r="J138" s="82" t="str">
        <f>IF('Направление 1'!E78=0,"",'Направление 1'!E78)</f>
        <v/>
      </c>
    </row>
    <row r="139" spans="1:10" ht="150" customHeight="1" thickBot="1" x14ac:dyDescent="0.35">
      <c r="A139" s="85">
        <v>76</v>
      </c>
      <c r="B139" s="130" t="str">
        <f>IF('Направление 1'!B79="","",'Направление 1'!B79)</f>
        <v/>
      </c>
      <c r="C139" s="133"/>
      <c r="D139" s="131"/>
      <c r="E139" s="130" t="str">
        <f>IF('Направление 1'!C79="","",'Направление 1'!C79)</f>
        <v/>
      </c>
      <c r="F139" s="133"/>
      <c r="G139" s="131"/>
      <c r="H139" s="130" t="str">
        <f>IF('Направление 1'!D79="","",'Направление 1'!D79)</f>
        <v/>
      </c>
      <c r="I139" s="131"/>
      <c r="J139" s="82" t="str">
        <f>IF('Направление 1'!E79=0,"",'Направление 1'!E79)</f>
        <v/>
      </c>
    </row>
    <row r="140" spans="1:10" ht="150" customHeight="1" thickBot="1" x14ac:dyDescent="0.35">
      <c r="A140" s="85">
        <v>77</v>
      </c>
      <c r="B140" s="130" t="str">
        <f>IF('Направление 1'!B80="","",'Направление 1'!B80)</f>
        <v/>
      </c>
      <c r="C140" s="133"/>
      <c r="D140" s="131"/>
      <c r="E140" s="130" t="str">
        <f>IF('Направление 1'!C80="","",'Направление 1'!C80)</f>
        <v/>
      </c>
      <c r="F140" s="133"/>
      <c r="G140" s="131"/>
      <c r="H140" s="130" t="str">
        <f>IF('Направление 1'!D80="","",'Направление 1'!D80)</f>
        <v/>
      </c>
      <c r="I140" s="131"/>
      <c r="J140" s="82" t="str">
        <f>IF('Направление 1'!E80=0,"",'Направление 1'!E80)</f>
        <v/>
      </c>
    </row>
    <row r="141" spans="1:10" ht="150" customHeight="1" thickBot="1" x14ac:dyDescent="0.35">
      <c r="A141" s="85">
        <v>78</v>
      </c>
      <c r="B141" s="130" t="str">
        <f>IF('Направление 1'!B81="","",'Направление 1'!B81)</f>
        <v/>
      </c>
      <c r="C141" s="133"/>
      <c r="D141" s="131"/>
      <c r="E141" s="130" t="str">
        <f>IF('Направление 1'!C81="","",'Направление 1'!C81)</f>
        <v/>
      </c>
      <c r="F141" s="133"/>
      <c r="G141" s="131"/>
      <c r="H141" s="130" t="str">
        <f>IF('Направление 1'!D81="","",'Направление 1'!D81)</f>
        <v/>
      </c>
      <c r="I141" s="131"/>
      <c r="J141" s="82" t="str">
        <f>IF('Направление 1'!E81=0,"",'Направление 1'!E81)</f>
        <v/>
      </c>
    </row>
    <row r="142" spans="1:10" ht="150" customHeight="1" thickBot="1" x14ac:dyDescent="0.35">
      <c r="A142" s="85">
        <v>79</v>
      </c>
      <c r="B142" s="130" t="str">
        <f>IF('Направление 1'!B82="","",'Направление 1'!B82)</f>
        <v/>
      </c>
      <c r="C142" s="133"/>
      <c r="D142" s="131"/>
      <c r="E142" s="130" t="str">
        <f>IF('Направление 1'!C82="","",'Направление 1'!C82)</f>
        <v/>
      </c>
      <c r="F142" s="133"/>
      <c r="G142" s="131"/>
      <c r="H142" s="130" t="str">
        <f>IF('Направление 1'!D82="","",'Направление 1'!D82)</f>
        <v/>
      </c>
      <c r="I142" s="131"/>
      <c r="J142" s="82" t="str">
        <f>IF('Направление 1'!E82=0,"",'Направление 1'!E82)</f>
        <v/>
      </c>
    </row>
    <row r="143" spans="1:10" ht="150" customHeight="1" thickBot="1" x14ac:dyDescent="0.35">
      <c r="A143" s="85">
        <v>80</v>
      </c>
      <c r="B143" s="130" t="str">
        <f>IF('Направление 1'!B83="","",'Направление 1'!B83)</f>
        <v/>
      </c>
      <c r="C143" s="133"/>
      <c r="D143" s="131"/>
      <c r="E143" s="130" t="str">
        <f>IF('Направление 1'!C83="","",'Направление 1'!C83)</f>
        <v/>
      </c>
      <c r="F143" s="133"/>
      <c r="G143" s="131"/>
      <c r="H143" s="130" t="str">
        <f>IF('Направление 1'!D83="","",'Направление 1'!D83)</f>
        <v/>
      </c>
      <c r="I143" s="131"/>
      <c r="J143" s="82" t="str">
        <f>IF('Направление 1'!E83=0,"",'Направление 1'!E83)</f>
        <v/>
      </c>
    </row>
    <row r="144" spans="1:10" x14ac:dyDescent="0.3">
      <c r="A144" s="33"/>
      <c r="B144" s="182" t="s">
        <v>57</v>
      </c>
      <c r="C144" s="183"/>
      <c r="D144" s="183"/>
      <c r="E144" s="183"/>
      <c r="F144" s="183"/>
      <c r="G144" s="183"/>
      <c r="H144" s="183"/>
      <c r="I144" s="183"/>
      <c r="J144" s="184"/>
    </row>
    <row r="145" spans="1:10" ht="34.950000000000003" customHeight="1" thickBot="1" x14ac:dyDescent="0.35">
      <c r="A145" s="37"/>
      <c r="B145" s="141" t="s">
        <v>58</v>
      </c>
      <c r="C145" s="133"/>
      <c r="D145" s="131"/>
      <c r="E145" s="140" t="s">
        <v>59</v>
      </c>
      <c r="F145" s="133"/>
      <c r="G145" s="131"/>
      <c r="H145" s="140"/>
      <c r="I145" s="131"/>
      <c r="J145" s="50" t="s">
        <v>56</v>
      </c>
    </row>
    <row r="146" spans="1:10" ht="150" customHeight="1" x14ac:dyDescent="0.3">
      <c r="A146" s="34">
        <v>1</v>
      </c>
      <c r="B146" s="132" t="str">
        <f>IF('Направление 1'!B86="","",'Направление 1'!B86)</f>
        <v/>
      </c>
      <c r="C146" s="133"/>
      <c r="D146" s="131"/>
      <c r="E146" s="130" t="str">
        <f>IF('Направление 1'!C86="","",'Направление 1'!C86)</f>
        <v/>
      </c>
      <c r="F146" s="133"/>
      <c r="G146" s="131"/>
      <c r="H146" s="130" t="str">
        <f>IF('Направление 1'!D86="","",'Направление 1'!D86)</f>
        <v>х</v>
      </c>
      <c r="I146" s="131"/>
      <c r="J146" s="61" t="str">
        <f>IF('Направление 1'!E86=0,"",'Направление 1'!E86)</f>
        <v/>
      </c>
    </row>
    <row r="147" spans="1:10" ht="150" customHeight="1" x14ac:dyDescent="0.3">
      <c r="A147" s="35">
        <v>2</v>
      </c>
      <c r="B147" s="132" t="str">
        <f>IF('Направление 1'!B87="","",'Направление 1'!B87)</f>
        <v/>
      </c>
      <c r="C147" s="133"/>
      <c r="D147" s="131"/>
      <c r="E147" s="130" t="str">
        <f>IF('Направление 1'!C87="","",'Направление 1'!C87)</f>
        <v/>
      </c>
      <c r="F147" s="133"/>
      <c r="G147" s="131"/>
      <c r="H147" s="130" t="str">
        <f>IF('Направление 1'!D87="","",'Направление 1'!D87)</f>
        <v>х</v>
      </c>
      <c r="I147" s="131"/>
      <c r="J147" s="61" t="str">
        <f>IF('Направление 1'!E87=0,"",'Направление 1'!E87)</f>
        <v/>
      </c>
    </row>
    <row r="148" spans="1:10" ht="150" customHeight="1" x14ac:dyDescent="0.3">
      <c r="A148" s="35">
        <v>3</v>
      </c>
      <c r="B148" s="132" t="str">
        <f>IF('Направление 1'!B88="","",'Направление 1'!B88)</f>
        <v/>
      </c>
      <c r="C148" s="133"/>
      <c r="D148" s="131"/>
      <c r="E148" s="130" t="str">
        <f>IF('Направление 1'!C88="","",'Направление 1'!C88)</f>
        <v/>
      </c>
      <c r="F148" s="133"/>
      <c r="G148" s="131"/>
      <c r="H148" s="130" t="str">
        <f>IF('Направление 1'!D88="","",'Направление 1'!D88)</f>
        <v>х</v>
      </c>
      <c r="I148" s="131"/>
      <c r="J148" s="61" t="str">
        <f>IF('Направление 1'!E88=0,"",'Направление 1'!E88)</f>
        <v/>
      </c>
    </row>
    <row r="149" spans="1:10" ht="150" customHeight="1" x14ac:dyDescent="0.3">
      <c r="A149" s="35">
        <v>4</v>
      </c>
      <c r="B149" s="132" t="str">
        <f>IF('Направление 1'!B89="","",'Направление 1'!B89)</f>
        <v/>
      </c>
      <c r="C149" s="133"/>
      <c r="D149" s="131"/>
      <c r="E149" s="130" t="str">
        <f>IF('Направление 1'!C89="","",'Направление 1'!C89)</f>
        <v/>
      </c>
      <c r="F149" s="133"/>
      <c r="G149" s="131"/>
      <c r="H149" s="130" t="str">
        <f>IF('Направление 1'!D89="","",'Направление 1'!D89)</f>
        <v>х</v>
      </c>
      <c r="I149" s="131"/>
      <c r="J149" s="61" t="str">
        <f>IF('Направление 1'!E89=0,"",'Направление 1'!E89)</f>
        <v/>
      </c>
    </row>
    <row r="150" spans="1:10" ht="150" customHeight="1" x14ac:dyDescent="0.3">
      <c r="A150" s="35">
        <v>5</v>
      </c>
      <c r="B150" s="132" t="str">
        <f>IF('Направление 1'!B90="","",'Направление 1'!B90)</f>
        <v/>
      </c>
      <c r="C150" s="133"/>
      <c r="D150" s="131"/>
      <c r="E150" s="130" t="str">
        <f>IF('Направление 1'!C90="","",'Направление 1'!C90)</f>
        <v/>
      </c>
      <c r="F150" s="133"/>
      <c r="G150" s="131"/>
      <c r="H150" s="130" t="str">
        <f>IF('Направление 1'!D90="","",'Направление 1'!D90)</f>
        <v>х</v>
      </c>
      <c r="I150" s="131"/>
      <c r="J150" s="61" t="str">
        <f>IF('Направление 1'!E90=0,"",'Направление 1'!E90)</f>
        <v/>
      </c>
    </row>
    <row r="151" spans="1:10" ht="150" customHeight="1" x14ac:dyDescent="0.3">
      <c r="A151" s="35">
        <v>6</v>
      </c>
      <c r="B151" s="132" t="str">
        <f>IF('Направление 1'!B91="","",'Направление 1'!B91)</f>
        <v/>
      </c>
      <c r="C151" s="133"/>
      <c r="D151" s="131"/>
      <c r="E151" s="130" t="str">
        <f>IF('Направление 1'!C91="","",'Направление 1'!C91)</f>
        <v/>
      </c>
      <c r="F151" s="133"/>
      <c r="G151" s="131"/>
      <c r="H151" s="130" t="str">
        <f>IF('Направление 1'!D91="","",'Направление 1'!D91)</f>
        <v>х</v>
      </c>
      <c r="I151" s="131"/>
      <c r="J151" s="61" t="str">
        <f>IF('Направление 1'!E91=0,"",'Направление 1'!E91)</f>
        <v/>
      </c>
    </row>
    <row r="152" spans="1:10" ht="150" customHeight="1" x14ac:dyDescent="0.3">
      <c r="A152" s="35">
        <v>7</v>
      </c>
      <c r="B152" s="132" t="str">
        <f>IF('Направление 1'!B92="","",'Направление 1'!B92)</f>
        <v/>
      </c>
      <c r="C152" s="133"/>
      <c r="D152" s="131"/>
      <c r="E152" s="130" t="str">
        <f>IF('Направление 1'!C92="","",'Направление 1'!C92)</f>
        <v/>
      </c>
      <c r="F152" s="133"/>
      <c r="G152" s="131"/>
      <c r="H152" s="130" t="str">
        <f>IF('Направление 1'!D92="","",'Направление 1'!D92)</f>
        <v>х</v>
      </c>
      <c r="I152" s="131"/>
      <c r="J152" s="61" t="str">
        <f>IF('Направление 1'!E92=0,"",'Направление 1'!E92)</f>
        <v/>
      </c>
    </row>
    <row r="153" spans="1:10" ht="150" customHeight="1" x14ac:dyDescent="0.3">
      <c r="A153" s="35">
        <v>8</v>
      </c>
      <c r="B153" s="132" t="str">
        <f>IF('Направление 1'!B93="","",'Направление 1'!B93)</f>
        <v/>
      </c>
      <c r="C153" s="133"/>
      <c r="D153" s="131"/>
      <c r="E153" s="130" t="str">
        <f>IF('Направление 1'!C93="","",'Направление 1'!C93)</f>
        <v/>
      </c>
      <c r="F153" s="133"/>
      <c r="G153" s="131"/>
      <c r="H153" s="130" t="str">
        <f>IF('Направление 1'!D93="","",'Направление 1'!D93)</f>
        <v>х</v>
      </c>
      <c r="I153" s="131"/>
      <c r="J153" s="61" t="str">
        <f>IF('Направление 1'!E93=0,"",'Направление 1'!E93)</f>
        <v/>
      </c>
    </row>
    <row r="154" spans="1:10" ht="150" customHeight="1" x14ac:dyDescent="0.3">
      <c r="A154" s="35">
        <v>9</v>
      </c>
      <c r="B154" s="132" t="str">
        <f>IF('Направление 1'!B94="","",'Направление 1'!B94)</f>
        <v/>
      </c>
      <c r="C154" s="133"/>
      <c r="D154" s="131"/>
      <c r="E154" s="130" t="str">
        <f>IF('Направление 1'!C94="","",'Направление 1'!C94)</f>
        <v/>
      </c>
      <c r="F154" s="133"/>
      <c r="G154" s="131"/>
      <c r="H154" s="130" t="str">
        <f>IF('Направление 1'!D94="","",'Направление 1'!D94)</f>
        <v>х</v>
      </c>
      <c r="I154" s="131"/>
      <c r="J154" s="61" t="str">
        <f>IF('Направление 1'!E94=0,"",'Направление 1'!E94)</f>
        <v/>
      </c>
    </row>
    <row r="155" spans="1:10" ht="150" customHeight="1" x14ac:dyDescent="0.3">
      <c r="A155" s="35">
        <v>10</v>
      </c>
      <c r="B155" s="132" t="str">
        <f>IF('Направление 1'!B95="","",'Направление 1'!B95)</f>
        <v/>
      </c>
      <c r="C155" s="133"/>
      <c r="D155" s="131"/>
      <c r="E155" s="130" t="str">
        <f>IF('Направление 1'!C95="","",'Направление 1'!C95)</f>
        <v/>
      </c>
      <c r="F155" s="133"/>
      <c r="G155" s="131"/>
      <c r="H155" s="130" t="str">
        <f>IF('Направление 1'!D95="","",'Направление 1'!D95)</f>
        <v>х</v>
      </c>
      <c r="I155" s="131"/>
      <c r="J155" s="61" t="str">
        <f>IF('Направление 1'!E95=0,"",'Направление 1'!E95)</f>
        <v/>
      </c>
    </row>
    <row r="156" spans="1:10" ht="150" customHeight="1" x14ac:dyDescent="0.3">
      <c r="A156" s="35">
        <v>11</v>
      </c>
      <c r="B156" s="132" t="str">
        <f>IF('Направление 1'!B96="","",'Направление 1'!B96)</f>
        <v/>
      </c>
      <c r="C156" s="133"/>
      <c r="D156" s="131"/>
      <c r="E156" s="130" t="str">
        <f>IF('Направление 1'!C96="","",'Направление 1'!C96)</f>
        <v/>
      </c>
      <c r="F156" s="133"/>
      <c r="G156" s="131"/>
      <c r="H156" s="130" t="str">
        <f>IF('Направление 1'!D96="","",'Направление 1'!D96)</f>
        <v>х</v>
      </c>
      <c r="I156" s="131"/>
      <c r="J156" s="61" t="str">
        <f>IF('Направление 1'!E96=0,"",'Направление 1'!E96)</f>
        <v/>
      </c>
    </row>
    <row r="157" spans="1:10" ht="150" customHeight="1" x14ac:dyDescent="0.3">
      <c r="A157" s="35">
        <v>12</v>
      </c>
      <c r="B157" s="132" t="str">
        <f>IF('Направление 1'!B97="","",'Направление 1'!B97)</f>
        <v/>
      </c>
      <c r="C157" s="133"/>
      <c r="D157" s="131"/>
      <c r="E157" s="130" t="str">
        <f>IF('Направление 1'!C97="","",'Направление 1'!C97)</f>
        <v/>
      </c>
      <c r="F157" s="133"/>
      <c r="G157" s="131"/>
      <c r="H157" s="130" t="str">
        <f>IF('Направление 1'!D97="","",'Направление 1'!D97)</f>
        <v>х</v>
      </c>
      <c r="I157" s="131"/>
      <c r="J157" s="61" t="str">
        <f>IF('Направление 1'!E97=0,"",'Направление 1'!E97)</f>
        <v/>
      </c>
    </row>
    <row r="158" spans="1:10" ht="150" customHeight="1" x14ac:dyDescent="0.3">
      <c r="A158" s="35">
        <v>13</v>
      </c>
      <c r="B158" s="132" t="str">
        <f>IF('Направление 1'!B98="","",'Направление 1'!B98)</f>
        <v/>
      </c>
      <c r="C158" s="133"/>
      <c r="D158" s="131"/>
      <c r="E158" s="130" t="str">
        <f>IF('Направление 1'!C98="","",'Направление 1'!C98)</f>
        <v/>
      </c>
      <c r="F158" s="133"/>
      <c r="G158" s="131"/>
      <c r="H158" s="130" t="str">
        <f>IF('Направление 1'!D98="","",'Направление 1'!D98)</f>
        <v>х</v>
      </c>
      <c r="I158" s="131"/>
      <c r="J158" s="61" t="str">
        <f>IF('Направление 1'!E98=0,"",'Направление 1'!E98)</f>
        <v/>
      </c>
    </row>
    <row r="159" spans="1:10" ht="150" customHeight="1" x14ac:dyDescent="0.3">
      <c r="A159" s="35">
        <v>14</v>
      </c>
      <c r="B159" s="132" t="str">
        <f>IF('Направление 1'!B99="","",'Направление 1'!B99)</f>
        <v/>
      </c>
      <c r="C159" s="133"/>
      <c r="D159" s="131"/>
      <c r="E159" s="130" t="str">
        <f>IF('Направление 1'!C99="","",'Направление 1'!C99)</f>
        <v/>
      </c>
      <c r="F159" s="133"/>
      <c r="G159" s="131"/>
      <c r="H159" s="130" t="str">
        <f>IF('Направление 1'!D99="","",'Направление 1'!D99)</f>
        <v>х</v>
      </c>
      <c r="I159" s="131"/>
      <c r="J159" s="61" t="str">
        <f>IF('Направление 1'!E99=0,"",'Направление 1'!E99)</f>
        <v/>
      </c>
    </row>
    <row r="160" spans="1:10" ht="150" customHeight="1" x14ac:dyDescent="0.3">
      <c r="A160" s="35">
        <v>15</v>
      </c>
      <c r="B160" s="132" t="str">
        <f>IF('Направление 1'!B100="","",'Направление 1'!B100)</f>
        <v/>
      </c>
      <c r="C160" s="133"/>
      <c r="D160" s="131"/>
      <c r="E160" s="130" t="str">
        <f>IF('Направление 1'!C100="","",'Направление 1'!C100)</f>
        <v/>
      </c>
      <c r="F160" s="133"/>
      <c r="G160" s="131"/>
      <c r="H160" s="130" t="str">
        <f>IF('Направление 1'!D100="","",'Направление 1'!D100)</f>
        <v>х</v>
      </c>
      <c r="I160" s="131"/>
      <c r="J160" s="61" t="str">
        <f>IF('Направление 1'!E100=0,"",'Направление 1'!E100)</f>
        <v/>
      </c>
    </row>
    <row r="161" spans="1:10" ht="150" customHeight="1" x14ac:dyDescent="0.3">
      <c r="A161" s="35">
        <v>16</v>
      </c>
      <c r="B161" s="132" t="str">
        <f>IF('Направление 1'!B101="","",'Направление 1'!B101)</f>
        <v/>
      </c>
      <c r="C161" s="133"/>
      <c r="D161" s="131"/>
      <c r="E161" s="130" t="str">
        <f>IF('Направление 1'!C101="","",'Направление 1'!C101)</f>
        <v/>
      </c>
      <c r="F161" s="133"/>
      <c r="G161" s="131"/>
      <c r="H161" s="130" t="str">
        <f>IF('Направление 1'!D101="","",'Направление 1'!D101)</f>
        <v>х</v>
      </c>
      <c r="I161" s="131"/>
      <c r="J161" s="61" t="str">
        <f>IF('Направление 1'!E101=0,"",'Направление 1'!E101)</f>
        <v/>
      </c>
    </row>
    <row r="162" spans="1:10" ht="150" customHeight="1" x14ac:dyDescent="0.3">
      <c r="A162" s="35">
        <v>17</v>
      </c>
      <c r="B162" s="132" t="str">
        <f>IF('Направление 1'!B102="","",'Направление 1'!B102)</f>
        <v/>
      </c>
      <c r="C162" s="133"/>
      <c r="D162" s="131"/>
      <c r="E162" s="130" t="str">
        <f>IF('Направление 1'!C102="","",'Направление 1'!C102)</f>
        <v/>
      </c>
      <c r="F162" s="133"/>
      <c r="G162" s="131"/>
      <c r="H162" s="130" t="str">
        <f>IF('Направление 1'!D102="","",'Направление 1'!D102)</f>
        <v>х</v>
      </c>
      <c r="I162" s="131"/>
      <c r="J162" s="61" t="str">
        <f>IF('Направление 1'!E102=0,"",'Направление 1'!E102)</f>
        <v/>
      </c>
    </row>
    <row r="163" spans="1:10" ht="150" customHeight="1" x14ac:dyDescent="0.3">
      <c r="A163" s="35">
        <v>18</v>
      </c>
      <c r="B163" s="132" t="str">
        <f>IF('Направление 1'!B103="","",'Направление 1'!B103)</f>
        <v/>
      </c>
      <c r="C163" s="133"/>
      <c r="D163" s="131"/>
      <c r="E163" s="130" t="str">
        <f>IF('Направление 1'!C103="","",'Направление 1'!C103)</f>
        <v/>
      </c>
      <c r="F163" s="133"/>
      <c r="G163" s="131"/>
      <c r="H163" s="130" t="str">
        <f>IF('Направление 1'!D103="","",'Направление 1'!D103)</f>
        <v>х</v>
      </c>
      <c r="I163" s="131"/>
      <c r="J163" s="61" t="str">
        <f>IF('Направление 1'!E103=0,"",'Направление 1'!E103)</f>
        <v/>
      </c>
    </row>
    <row r="164" spans="1:10" ht="150" customHeight="1" x14ac:dyDescent="0.3">
      <c r="A164" s="35">
        <v>19</v>
      </c>
      <c r="B164" s="132" t="str">
        <f>IF('Направление 1'!B104="","",'Направление 1'!B104)</f>
        <v/>
      </c>
      <c r="C164" s="133"/>
      <c r="D164" s="131"/>
      <c r="E164" s="130" t="str">
        <f>IF('Направление 1'!C104="","",'Направление 1'!C104)</f>
        <v/>
      </c>
      <c r="F164" s="133"/>
      <c r="G164" s="131"/>
      <c r="H164" s="130" t="str">
        <f>IF('Направление 1'!D104="","",'Направление 1'!D104)</f>
        <v>х</v>
      </c>
      <c r="I164" s="131"/>
      <c r="J164" s="61" t="str">
        <f>IF('Направление 1'!E104=0,"",'Направление 1'!E104)</f>
        <v/>
      </c>
    </row>
    <row r="165" spans="1:10" ht="150" customHeight="1" thickBot="1" x14ac:dyDescent="0.35">
      <c r="A165" s="36">
        <v>20</v>
      </c>
      <c r="B165" s="132" t="str">
        <f>IF('Направление 1'!B105="","",'Направление 1'!B105)</f>
        <v/>
      </c>
      <c r="C165" s="133"/>
      <c r="D165" s="131"/>
      <c r="E165" s="130" t="str">
        <f>IF('Направление 1'!C105="","",'Направление 1'!C105)</f>
        <v/>
      </c>
      <c r="F165" s="133"/>
      <c r="G165" s="131"/>
      <c r="H165" s="130" t="str">
        <f>IF('Направление 1'!D105="","",'Направление 1'!D105)</f>
        <v>х</v>
      </c>
      <c r="I165" s="131"/>
      <c r="J165" s="61" t="str">
        <f>IF('Направление 1'!E105=0,"",'Направление 1'!E105)</f>
        <v/>
      </c>
    </row>
    <row r="166" spans="1:10" ht="150" customHeight="1" thickBot="1" x14ac:dyDescent="0.35">
      <c r="A166" s="36">
        <v>21</v>
      </c>
      <c r="B166" s="132" t="str">
        <f>IF('Направление 1'!B106="","",'Направление 1'!B106)</f>
        <v/>
      </c>
      <c r="C166" s="133"/>
      <c r="D166" s="131"/>
      <c r="E166" s="130" t="str">
        <f>IF('Направление 1'!C106="","",'Направление 1'!C106)</f>
        <v/>
      </c>
      <c r="F166" s="133"/>
      <c r="G166" s="131"/>
      <c r="H166" s="130" t="str">
        <f>IF('Направление 1'!D106="","",'Направление 1'!D106)</f>
        <v>х</v>
      </c>
      <c r="I166" s="131"/>
      <c r="J166" s="61" t="str">
        <f>IF('Направление 1'!E106=0,"",'Направление 1'!E106)</f>
        <v/>
      </c>
    </row>
    <row r="167" spans="1:10" ht="150" customHeight="1" thickBot="1" x14ac:dyDescent="0.35">
      <c r="A167" s="36">
        <v>22</v>
      </c>
      <c r="B167" s="132" t="str">
        <f>IF('Направление 1'!B107="","",'Направление 1'!B107)</f>
        <v/>
      </c>
      <c r="C167" s="133"/>
      <c r="D167" s="131"/>
      <c r="E167" s="130" t="str">
        <f>IF('Направление 1'!C107="","",'Направление 1'!C107)</f>
        <v/>
      </c>
      <c r="F167" s="133"/>
      <c r="G167" s="131"/>
      <c r="H167" s="130" t="str">
        <f>IF('Направление 1'!D107="","",'Направление 1'!D107)</f>
        <v>х</v>
      </c>
      <c r="I167" s="131"/>
      <c r="J167" s="61" t="str">
        <f>IF('Направление 1'!E107=0,"",'Направление 1'!E107)</f>
        <v/>
      </c>
    </row>
    <row r="168" spans="1:10" ht="150" customHeight="1" thickBot="1" x14ac:dyDescent="0.35">
      <c r="A168" s="36">
        <v>23</v>
      </c>
      <c r="B168" s="132" t="str">
        <f>IF('Направление 1'!B108="","",'Направление 1'!B108)</f>
        <v/>
      </c>
      <c r="C168" s="133"/>
      <c r="D168" s="131"/>
      <c r="E168" s="130" t="str">
        <f>IF('Направление 1'!C108="","",'Направление 1'!C108)</f>
        <v/>
      </c>
      <c r="F168" s="133"/>
      <c r="G168" s="131"/>
      <c r="H168" s="130" t="str">
        <f>IF('Направление 1'!D108="","",'Направление 1'!D108)</f>
        <v>х</v>
      </c>
      <c r="I168" s="131"/>
      <c r="J168" s="61" t="str">
        <f>IF('Направление 1'!E108=0,"",'Направление 1'!E108)</f>
        <v/>
      </c>
    </row>
    <row r="169" spans="1:10" ht="150" customHeight="1" thickBot="1" x14ac:dyDescent="0.35">
      <c r="A169" s="36">
        <v>24</v>
      </c>
      <c r="B169" s="132" t="str">
        <f>IF('Направление 1'!B109="","",'Направление 1'!B109)</f>
        <v/>
      </c>
      <c r="C169" s="133"/>
      <c r="D169" s="131"/>
      <c r="E169" s="130" t="str">
        <f>IF('Направление 1'!C109="","",'Направление 1'!C109)</f>
        <v/>
      </c>
      <c r="F169" s="133"/>
      <c r="G169" s="131"/>
      <c r="H169" s="130" t="str">
        <f>IF('Направление 1'!D109="","",'Направление 1'!D109)</f>
        <v>х</v>
      </c>
      <c r="I169" s="131"/>
      <c r="J169" s="61" t="str">
        <f>IF('Направление 1'!E109=0,"",'Направление 1'!E109)</f>
        <v/>
      </c>
    </row>
    <row r="170" spans="1:10" ht="150" customHeight="1" thickBot="1" x14ac:dyDescent="0.35">
      <c r="A170" s="36">
        <v>25</v>
      </c>
      <c r="B170" s="132" t="str">
        <f>IF('Направление 1'!B110="","",'Направление 1'!B110)</f>
        <v/>
      </c>
      <c r="C170" s="133"/>
      <c r="D170" s="131"/>
      <c r="E170" s="130" t="str">
        <f>IF('Направление 1'!C110="","",'Направление 1'!C110)</f>
        <v/>
      </c>
      <c r="F170" s="133"/>
      <c r="G170" s="131"/>
      <c r="H170" s="130" t="str">
        <f>IF('Направление 1'!D110="","",'Направление 1'!D110)</f>
        <v>х</v>
      </c>
      <c r="I170" s="131"/>
      <c r="J170" s="61" t="str">
        <f>IF('Направление 1'!E110=0,"",'Направление 1'!E110)</f>
        <v/>
      </c>
    </row>
    <row r="171" spans="1:10" ht="150" customHeight="1" thickBot="1" x14ac:dyDescent="0.35">
      <c r="A171" s="36">
        <v>26</v>
      </c>
      <c r="B171" s="132" t="str">
        <f>IF('Направление 1'!B111="","",'Направление 1'!B111)</f>
        <v/>
      </c>
      <c r="C171" s="133"/>
      <c r="D171" s="131"/>
      <c r="E171" s="130" t="str">
        <f>IF('Направление 1'!C111="","",'Направление 1'!C111)</f>
        <v/>
      </c>
      <c r="F171" s="133"/>
      <c r="G171" s="131"/>
      <c r="H171" s="130" t="str">
        <f>IF('Направление 1'!D111="","",'Направление 1'!D111)</f>
        <v>х</v>
      </c>
      <c r="I171" s="131"/>
      <c r="J171" s="61" t="str">
        <f>IF('Направление 1'!E111=0,"",'Направление 1'!E111)</f>
        <v/>
      </c>
    </row>
    <row r="172" spans="1:10" ht="150" customHeight="1" thickBot="1" x14ac:dyDescent="0.35">
      <c r="A172" s="36">
        <v>27</v>
      </c>
      <c r="B172" s="132" t="str">
        <f>IF('Направление 1'!B112="","",'Направление 1'!B112)</f>
        <v/>
      </c>
      <c r="C172" s="133"/>
      <c r="D172" s="131"/>
      <c r="E172" s="130" t="str">
        <f>IF('Направление 1'!C112="","",'Направление 1'!C112)</f>
        <v/>
      </c>
      <c r="F172" s="133"/>
      <c r="G172" s="131"/>
      <c r="H172" s="130" t="str">
        <f>IF('Направление 1'!D112="","",'Направление 1'!D112)</f>
        <v>х</v>
      </c>
      <c r="I172" s="131"/>
      <c r="J172" s="61" t="str">
        <f>IF('Направление 1'!E112=0,"",'Направление 1'!E112)</f>
        <v/>
      </c>
    </row>
    <row r="173" spans="1:10" ht="150" customHeight="1" thickBot="1" x14ac:dyDescent="0.35">
      <c r="A173" s="36">
        <v>28</v>
      </c>
      <c r="B173" s="132" t="str">
        <f>IF('Направление 1'!B113="","",'Направление 1'!B113)</f>
        <v/>
      </c>
      <c r="C173" s="133"/>
      <c r="D173" s="131"/>
      <c r="E173" s="130" t="str">
        <f>IF('Направление 1'!C113="","",'Направление 1'!C113)</f>
        <v/>
      </c>
      <c r="F173" s="133"/>
      <c r="G173" s="131"/>
      <c r="H173" s="130" t="str">
        <f>IF('Направление 1'!D113="","",'Направление 1'!D113)</f>
        <v>х</v>
      </c>
      <c r="I173" s="131"/>
      <c r="J173" s="61" t="str">
        <f>IF('Направление 1'!E113=0,"",'Направление 1'!E113)</f>
        <v/>
      </c>
    </row>
    <row r="174" spans="1:10" ht="150" customHeight="1" thickBot="1" x14ac:dyDescent="0.35">
      <c r="A174" s="36">
        <v>29</v>
      </c>
      <c r="B174" s="132" t="str">
        <f>IF('Направление 1'!B114="","",'Направление 1'!B114)</f>
        <v/>
      </c>
      <c r="C174" s="133"/>
      <c r="D174" s="131"/>
      <c r="E174" s="130" t="str">
        <f>IF('Направление 1'!C114="","",'Направление 1'!C114)</f>
        <v/>
      </c>
      <c r="F174" s="133"/>
      <c r="G174" s="131"/>
      <c r="H174" s="130" t="str">
        <f>IF('Направление 1'!D114="","",'Направление 1'!D114)</f>
        <v>х</v>
      </c>
      <c r="I174" s="131"/>
      <c r="J174" s="61" t="str">
        <f>IF('Направление 1'!E114=0,"",'Направление 1'!E114)</f>
        <v/>
      </c>
    </row>
    <row r="175" spans="1:10" ht="150" customHeight="1" thickBot="1" x14ac:dyDescent="0.35">
      <c r="A175" s="36">
        <v>30</v>
      </c>
      <c r="B175" s="132" t="str">
        <f>IF('Направление 1'!B115="","",'Направление 1'!B115)</f>
        <v/>
      </c>
      <c r="C175" s="133"/>
      <c r="D175" s="131"/>
      <c r="E175" s="130" t="str">
        <f>IF('Направление 1'!C115="","",'Направление 1'!C115)</f>
        <v/>
      </c>
      <c r="F175" s="133"/>
      <c r="G175" s="131"/>
      <c r="H175" s="130" t="str">
        <f>IF('Направление 1'!D115="","",'Направление 1'!D115)</f>
        <v>х</v>
      </c>
      <c r="I175" s="131"/>
      <c r="J175" s="61" t="str">
        <f>IF('Направление 1'!E115=0,"",'Направление 1'!E115)</f>
        <v/>
      </c>
    </row>
    <row r="176" spans="1:10" ht="150" customHeight="1" thickBot="1" x14ac:dyDescent="0.35">
      <c r="A176" s="36">
        <v>31</v>
      </c>
      <c r="B176" s="132" t="str">
        <f>IF('Направление 1'!B116="","",'Направление 1'!B116)</f>
        <v/>
      </c>
      <c r="C176" s="133"/>
      <c r="D176" s="131"/>
      <c r="E176" s="130" t="str">
        <f>IF('Направление 1'!C116="","",'Направление 1'!C116)</f>
        <v/>
      </c>
      <c r="F176" s="133"/>
      <c r="G176" s="131"/>
      <c r="H176" s="130" t="str">
        <f>IF('Направление 1'!D116="","",'Направление 1'!D116)</f>
        <v>х</v>
      </c>
      <c r="I176" s="131"/>
      <c r="J176" s="61" t="str">
        <f>IF('Направление 1'!E116=0,"",'Направление 1'!E116)</f>
        <v/>
      </c>
    </row>
    <row r="177" spans="1:10" ht="150" customHeight="1" thickBot="1" x14ac:dyDescent="0.35">
      <c r="A177" s="36">
        <v>32</v>
      </c>
      <c r="B177" s="132" t="str">
        <f>IF('Направление 1'!B117="","",'Направление 1'!B117)</f>
        <v/>
      </c>
      <c r="C177" s="133"/>
      <c r="D177" s="131"/>
      <c r="E177" s="130" t="str">
        <f>IF('Направление 1'!C117="","",'Направление 1'!C117)</f>
        <v/>
      </c>
      <c r="F177" s="133"/>
      <c r="G177" s="131"/>
      <c r="H177" s="130" t="str">
        <f>IF('Направление 1'!D117="","",'Направление 1'!D117)</f>
        <v>х</v>
      </c>
      <c r="I177" s="131"/>
      <c r="J177" s="61" t="str">
        <f>IF('Направление 1'!E117=0,"",'Направление 1'!E117)</f>
        <v/>
      </c>
    </row>
    <row r="178" spans="1:10" ht="150" customHeight="1" thickBot="1" x14ac:dyDescent="0.35">
      <c r="A178" s="36">
        <v>33</v>
      </c>
      <c r="B178" s="132" t="str">
        <f>IF('Направление 1'!B118="","",'Направление 1'!B118)</f>
        <v/>
      </c>
      <c r="C178" s="133"/>
      <c r="D178" s="131"/>
      <c r="E178" s="130" t="str">
        <f>IF('Направление 1'!C118="","",'Направление 1'!C118)</f>
        <v/>
      </c>
      <c r="F178" s="133"/>
      <c r="G178" s="131"/>
      <c r="H178" s="130" t="str">
        <f>IF('Направление 1'!D118="","",'Направление 1'!D118)</f>
        <v>х</v>
      </c>
      <c r="I178" s="131"/>
      <c r="J178" s="61" t="str">
        <f>IF('Направление 1'!E118=0,"",'Направление 1'!E118)</f>
        <v/>
      </c>
    </row>
    <row r="179" spans="1:10" ht="150" customHeight="1" thickBot="1" x14ac:dyDescent="0.35">
      <c r="A179" s="36">
        <v>34</v>
      </c>
      <c r="B179" s="132" t="str">
        <f>IF('Направление 1'!B119="","",'Направление 1'!B119)</f>
        <v/>
      </c>
      <c r="C179" s="133"/>
      <c r="D179" s="131"/>
      <c r="E179" s="130" t="str">
        <f>IF('Направление 1'!C119="","",'Направление 1'!C119)</f>
        <v/>
      </c>
      <c r="F179" s="133"/>
      <c r="G179" s="131"/>
      <c r="H179" s="130" t="str">
        <f>IF('Направление 1'!D119="","",'Направление 1'!D119)</f>
        <v>х</v>
      </c>
      <c r="I179" s="131"/>
      <c r="J179" s="61" t="str">
        <f>IF('Направление 1'!E119=0,"",'Направление 1'!E119)</f>
        <v/>
      </c>
    </row>
    <row r="180" spans="1:10" ht="150" customHeight="1" thickBot="1" x14ac:dyDescent="0.35">
      <c r="A180" s="36">
        <v>35</v>
      </c>
      <c r="B180" s="132" t="str">
        <f>IF('Направление 1'!B120="","",'Направление 1'!B120)</f>
        <v/>
      </c>
      <c r="C180" s="133"/>
      <c r="D180" s="131"/>
      <c r="E180" s="130" t="str">
        <f>IF('Направление 1'!C120="","",'Направление 1'!C120)</f>
        <v/>
      </c>
      <c r="F180" s="133"/>
      <c r="G180" s="131"/>
      <c r="H180" s="130" t="str">
        <f>IF('Направление 1'!D120="","",'Направление 1'!D120)</f>
        <v>х</v>
      </c>
      <c r="I180" s="131"/>
      <c r="J180" s="61" t="str">
        <f>IF('Направление 1'!E120=0,"",'Направление 1'!E120)</f>
        <v/>
      </c>
    </row>
    <row r="181" spans="1:10" ht="150" customHeight="1" thickBot="1" x14ac:dyDescent="0.35">
      <c r="A181" s="36">
        <v>36</v>
      </c>
      <c r="B181" s="132" t="str">
        <f>IF('Направление 1'!B121="","",'Направление 1'!B121)</f>
        <v/>
      </c>
      <c r="C181" s="133"/>
      <c r="D181" s="131"/>
      <c r="E181" s="130" t="str">
        <f>IF('Направление 1'!C121="","",'Направление 1'!C121)</f>
        <v/>
      </c>
      <c r="F181" s="133"/>
      <c r="G181" s="131"/>
      <c r="H181" s="130" t="str">
        <f>IF('Направление 1'!D121="","",'Направление 1'!D121)</f>
        <v>х</v>
      </c>
      <c r="I181" s="131"/>
      <c r="J181" s="61" t="str">
        <f>IF('Направление 1'!E121=0,"",'Направление 1'!E121)</f>
        <v/>
      </c>
    </row>
    <row r="182" spans="1:10" ht="150" customHeight="1" thickBot="1" x14ac:dyDescent="0.35">
      <c r="A182" s="36">
        <v>37</v>
      </c>
      <c r="B182" s="132" t="str">
        <f>IF('Направление 1'!B122="","",'Направление 1'!B122)</f>
        <v/>
      </c>
      <c r="C182" s="133"/>
      <c r="D182" s="131"/>
      <c r="E182" s="130" t="str">
        <f>IF('Направление 1'!C122="","",'Направление 1'!C122)</f>
        <v/>
      </c>
      <c r="F182" s="133"/>
      <c r="G182" s="131"/>
      <c r="H182" s="130" t="str">
        <f>IF('Направление 1'!D122="","",'Направление 1'!D122)</f>
        <v>х</v>
      </c>
      <c r="I182" s="131"/>
      <c r="J182" s="61" t="str">
        <f>IF('Направление 1'!E122=0,"",'Направление 1'!E122)</f>
        <v/>
      </c>
    </row>
    <row r="183" spans="1:10" ht="150" customHeight="1" thickBot="1" x14ac:dyDescent="0.35">
      <c r="A183" s="36">
        <v>38</v>
      </c>
      <c r="B183" s="132" t="str">
        <f>IF('Направление 1'!B123="","",'Направление 1'!B123)</f>
        <v/>
      </c>
      <c r="C183" s="133"/>
      <c r="D183" s="131"/>
      <c r="E183" s="130" t="str">
        <f>IF('Направление 1'!C123="","",'Направление 1'!C123)</f>
        <v/>
      </c>
      <c r="F183" s="133"/>
      <c r="G183" s="131"/>
      <c r="H183" s="130" t="str">
        <f>IF('Направление 1'!D123="","",'Направление 1'!D123)</f>
        <v>х</v>
      </c>
      <c r="I183" s="131"/>
      <c r="J183" s="61" t="str">
        <f>IF('Направление 1'!E123=0,"",'Направление 1'!E123)</f>
        <v/>
      </c>
    </row>
    <row r="184" spans="1:10" ht="150" customHeight="1" thickBot="1" x14ac:dyDescent="0.35">
      <c r="A184" s="36">
        <v>39</v>
      </c>
      <c r="B184" s="132" t="str">
        <f>IF('Направление 1'!B124="","",'Направление 1'!B124)</f>
        <v/>
      </c>
      <c r="C184" s="133"/>
      <c r="D184" s="131"/>
      <c r="E184" s="130" t="str">
        <f>IF('Направление 1'!C124="","",'Направление 1'!C124)</f>
        <v/>
      </c>
      <c r="F184" s="133"/>
      <c r="G184" s="131"/>
      <c r="H184" s="130" t="str">
        <f>IF('Направление 1'!D124="","",'Направление 1'!D124)</f>
        <v>х</v>
      </c>
      <c r="I184" s="131"/>
      <c r="J184" s="61" t="str">
        <f>IF('Направление 1'!E124=0,"",'Направление 1'!E124)</f>
        <v/>
      </c>
    </row>
    <row r="185" spans="1:10" ht="150" customHeight="1" thickBot="1" x14ac:dyDescent="0.35">
      <c r="A185" s="36">
        <v>40</v>
      </c>
      <c r="B185" s="132" t="str">
        <f>IF('Направление 1'!B125="","",'Направление 1'!B125)</f>
        <v/>
      </c>
      <c r="C185" s="133"/>
      <c r="D185" s="131"/>
      <c r="E185" s="130" t="str">
        <f>IF('Направление 1'!C125="","",'Направление 1'!C125)</f>
        <v/>
      </c>
      <c r="F185" s="133"/>
      <c r="G185" s="131"/>
      <c r="H185" s="130" t="str">
        <f>IF('Направление 1'!D125="","",'Направление 1'!D125)</f>
        <v>х</v>
      </c>
      <c r="I185" s="131"/>
      <c r="J185" s="61" t="str">
        <f>IF('Направление 1'!E125=0,"",'Направление 1'!E125)</f>
        <v/>
      </c>
    </row>
    <row r="186" spans="1:10" ht="16.5" customHeight="1" thickBot="1" x14ac:dyDescent="0.35">
      <c r="A186" s="37"/>
      <c r="B186" s="151" t="s">
        <v>60</v>
      </c>
      <c r="C186" s="135"/>
      <c r="D186" s="135"/>
      <c r="E186" s="135"/>
      <c r="F186" s="135"/>
      <c r="G186" s="135"/>
      <c r="H186" s="135"/>
      <c r="I186" s="135"/>
      <c r="J186" s="136"/>
    </row>
    <row r="187" spans="1:10" ht="35.700000000000003" customHeight="1" thickBot="1" x14ac:dyDescent="0.35">
      <c r="A187" s="37"/>
      <c r="B187" s="155" t="s">
        <v>61</v>
      </c>
      <c r="C187" s="156"/>
      <c r="D187" s="157"/>
      <c r="E187" s="142" t="s">
        <v>62</v>
      </c>
      <c r="F187" s="158"/>
      <c r="G187" s="143"/>
      <c r="H187" s="142"/>
      <c r="I187" s="143"/>
      <c r="J187" s="89" t="s">
        <v>56</v>
      </c>
    </row>
    <row r="188" spans="1:10" ht="150" customHeight="1" x14ac:dyDescent="0.3">
      <c r="A188" s="34">
        <v>1</v>
      </c>
      <c r="B188" s="132" t="str">
        <f>IF('Направление 1'!B128="","",'Направление 1'!B128)</f>
        <v/>
      </c>
      <c r="C188" s="133"/>
      <c r="D188" s="131"/>
      <c r="E188" s="130" t="str">
        <f>IF('Направление 1'!C128="","",'Направление 1'!C128)</f>
        <v/>
      </c>
      <c r="F188" s="133"/>
      <c r="G188" s="131"/>
      <c r="H188" s="130" t="str">
        <f>IF('Направление 1'!D128="","",'Направление 1'!D128)</f>
        <v>х</v>
      </c>
      <c r="I188" s="131"/>
      <c r="J188" s="61" t="str">
        <f>IF('Направление 1'!E128=0,"",'Направление 1'!E128)</f>
        <v/>
      </c>
    </row>
    <row r="189" spans="1:10" ht="150" customHeight="1" x14ac:dyDescent="0.3">
      <c r="A189" s="35">
        <v>2</v>
      </c>
      <c r="B189" s="132" t="str">
        <f>IF('Направление 1'!B129="","",'Направление 1'!B129)</f>
        <v/>
      </c>
      <c r="C189" s="133"/>
      <c r="D189" s="131"/>
      <c r="E189" s="130" t="str">
        <f>IF('Направление 1'!C129="","",'Направление 1'!C129)</f>
        <v/>
      </c>
      <c r="F189" s="133"/>
      <c r="G189" s="131"/>
      <c r="H189" s="130" t="str">
        <f>IF('Направление 1'!D129="","",'Направление 1'!D129)</f>
        <v>х</v>
      </c>
      <c r="I189" s="131"/>
      <c r="J189" s="61" t="str">
        <f>IF('Направление 1'!E129=0,"",'Направление 1'!E129)</f>
        <v/>
      </c>
    </row>
    <row r="190" spans="1:10" ht="150" customHeight="1" x14ac:dyDescent="0.3">
      <c r="A190" s="35">
        <v>3</v>
      </c>
      <c r="B190" s="132" t="str">
        <f>IF('Направление 1'!B130="","",'Направление 1'!B130)</f>
        <v/>
      </c>
      <c r="C190" s="133"/>
      <c r="D190" s="131"/>
      <c r="E190" s="130" t="str">
        <f>IF('Направление 1'!C130="","",'Направление 1'!C130)</f>
        <v/>
      </c>
      <c r="F190" s="133"/>
      <c r="G190" s="131"/>
      <c r="H190" s="130" t="str">
        <f>IF('Направление 1'!D130="","",'Направление 1'!D130)</f>
        <v>х</v>
      </c>
      <c r="I190" s="131"/>
      <c r="J190" s="61" t="str">
        <f>IF('Направление 1'!E130=0,"",'Направление 1'!E130)</f>
        <v/>
      </c>
    </row>
    <row r="191" spans="1:10" ht="150" customHeight="1" x14ac:dyDescent="0.3">
      <c r="A191" s="35">
        <v>4</v>
      </c>
      <c r="B191" s="132" t="str">
        <f>IF('Направление 1'!B131="","",'Направление 1'!B131)</f>
        <v/>
      </c>
      <c r="C191" s="133"/>
      <c r="D191" s="131"/>
      <c r="E191" s="130" t="str">
        <f>IF('Направление 1'!C131="","",'Направление 1'!C131)</f>
        <v/>
      </c>
      <c r="F191" s="133"/>
      <c r="G191" s="131"/>
      <c r="H191" s="130" t="str">
        <f>IF('Направление 1'!D131="","",'Направление 1'!D131)</f>
        <v>х</v>
      </c>
      <c r="I191" s="131"/>
      <c r="J191" s="61" t="str">
        <f>IF('Направление 1'!E131=0,"",'Направление 1'!E131)</f>
        <v/>
      </c>
    </row>
    <row r="192" spans="1:10" ht="150" customHeight="1" x14ac:dyDescent="0.3">
      <c r="A192" s="35">
        <v>5</v>
      </c>
      <c r="B192" s="132" t="str">
        <f>IF('Направление 1'!B132="","",'Направление 1'!B132)</f>
        <v/>
      </c>
      <c r="C192" s="133"/>
      <c r="D192" s="131"/>
      <c r="E192" s="130" t="str">
        <f>IF('Направление 1'!C132="","",'Направление 1'!C132)</f>
        <v/>
      </c>
      <c r="F192" s="133"/>
      <c r="G192" s="131"/>
      <c r="H192" s="130" t="str">
        <f>IF('Направление 1'!D132="","",'Направление 1'!D132)</f>
        <v>х</v>
      </c>
      <c r="I192" s="131"/>
      <c r="J192" s="61" t="str">
        <f>IF('Направление 1'!E132=0,"",'Направление 1'!E132)</f>
        <v/>
      </c>
    </row>
    <row r="193" spans="1:10" ht="150" customHeight="1" x14ac:dyDescent="0.3">
      <c r="A193" s="35">
        <v>6</v>
      </c>
      <c r="B193" s="132" t="str">
        <f>IF('Направление 1'!B133="","",'Направление 1'!B133)</f>
        <v/>
      </c>
      <c r="C193" s="133"/>
      <c r="D193" s="131"/>
      <c r="E193" s="130" t="str">
        <f>IF('Направление 1'!C133="","",'Направление 1'!C133)</f>
        <v/>
      </c>
      <c r="F193" s="133"/>
      <c r="G193" s="131"/>
      <c r="H193" s="130" t="str">
        <f>IF('Направление 1'!D133="","",'Направление 1'!D133)</f>
        <v>х</v>
      </c>
      <c r="I193" s="131"/>
      <c r="J193" s="61" t="str">
        <f>IF('Направление 1'!E133=0,"",'Направление 1'!E133)</f>
        <v/>
      </c>
    </row>
    <row r="194" spans="1:10" ht="150" customHeight="1" x14ac:dyDescent="0.3">
      <c r="A194" s="35">
        <v>7</v>
      </c>
      <c r="B194" s="132" t="str">
        <f>IF('Направление 1'!B134="","",'Направление 1'!B134)</f>
        <v/>
      </c>
      <c r="C194" s="133"/>
      <c r="D194" s="131"/>
      <c r="E194" s="130" t="str">
        <f>IF('Направление 1'!C134="","",'Направление 1'!C134)</f>
        <v/>
      </c>
      <c r="F194" s="133"/>
      <c r="G194" s="131"/>
      <c r="H194" s="130" t="str">
        <f>IF('Направление 1'!D134="","",'Направление 1'!D134)</f>
        <v>х</v>
      </c>
      <c r="I194" s="131"/>
      <c r="J194" s="61" t="str">
        <f>IF('Направление 1'!E134=0,"",'Направление 1'!E134)</f>
        <v/>
      </c>
    </row>
    <row r="195" spans="1:10" ht="150" customHeight="1" x14ac:dyDescent="0.3">
      <c r="A195" s="35">
        <v>8</v>
      </c>
      <c r="B195" s="132" t="str">
        <f>IF('Направление 1'!B135="","",'Направление 1'!B135)</f>
        <v/>
      </c>
      <c r="C195" s="133"/>
      <c r="D195" s="131"/>
      <c r="E195" s="130" t="str">
        <f>IF('Направление 1'!C135="","",'Направление 1'!C135)</f>
        <v/>
      </c>
      <c r="F195" s="133"/>
      <c r="G195" s="131"/>
      <c r="H195" s="130" t="str">
        <f>IF('Направление 1'!D135="","",'Направление 1'!D135)</f>
        <v>х</v>
      </c>
      <c r="I195" s="131"/>
      <c r="J195" s="61" t="str">
        <f>IF('Направление 1'!E135=0,"",'Направление 1'!E135)</f>
        <v/>
      </c>
    </row>
    <row r="196" spans="1:10" ht="150" customHeight="1" x14ac:dyDescent="0.3">
      <c r="A196" s="35">
        <v>9</v>
      </c>
      <c r="B196" s="132" t="str">
        <f>IF('Направление 1'!B136="","",'Направление 1'!B136)</f>
        <v/>
      </c>
      <c r="C196" s="133"/>
      <c r="D196" s="131"/>
      <c r="E196" s="130" t="str">
        <f>IF('Направление 1'!C136="","",'Направление 1'!C136)</f>
        <v/>
      </c>
      <c r="F196" s="133"/>
      <c r="G196" s="131"/>
      <c r="H196" s="130" t="str">
        <f>IF('Направление 1'!D136="","",'Направление 1'!D136)</f>
        <v>х</v>
      </c>
      <c r="I196" s="131"/>
      <c r="J196" s="61" t="str">
        <f>IF('Направление 1'!E136=0,"",'Направление 1'!E136)</f>
        <v/>
      </c>
    </row>
    <row r="197" spans="1:10" ht="150" customHeight="1" x14ac:dyDescent="0.3">
      <c r="A197" s="35">
        <v>10</v>
      </c>
      <c r="B197" s="132" t="str">
        <f>IF('Направление 1'!B137="","",'Направление 1'!B137)</f>
        <v/>
      </c>
      <c r="C197" s="133"/>
      <c r="D197" s="131"/>
      <c r="E197" s="130" t="str">
        <f>IF('Направление 1'!C137="","",'Направление 1'!C137)</f>
        <v/>
      </c>
      <c r="F197" s="133"/>
      <c r="G197" s="131"/>
      <c r="H197" s="130" t="str">
        <f>IF('Направление 1'!D137="","",'Направление 1'!D137)</f>
        <v>х</v>
      </c>
      <c r="I197" s="131"/>
      <c r="J197" s="61" t="str">
        <f>IF('Направление 1'!E137=0,"",'Направление 1'!E137)</f>
        <v/>
      </c>
    </row>
    <row r="198" spans="1:10" ht="150" customHeight="1" x14ac:dyDescent="0.3">
      <c r="A198" s="35">
        <v>11</v>
      </c>
      <c r="B198" s="132" t="str">
        <f>IF('Направление 1'!B138="","",'Направление 1'!B138)</f>
        <v/>
      </c>
      <c r="C198" s="133"/>
      <c r="D198" s="131"/>
      <c r="E198" s="130" t="str">
        <f>IF('Направление 1'!C138="","",'Направление 1'!C138)</f>
        <v/>
      </c>
      <c r="F198" s="133"/>
      <c r="G198" s="131"/>
      <c r="H198" s="130" t="str">
        <f>IF('Направление 1'!D138="","",'Направление 1'!D138)</f>
        <v>х</v>
      </c>
      <c r="I198" s="131"/>
      <c r="J198" s="61" t="str">
        <f>IF('Направление 1'!E138=0,"",'Направление 1'!E138)</f>
        <v/>
      </c>
    </row>
    <row r="199" spans="1:10" ht="150" customHeight="1" x14ac:dyDescent="0.3">
      <c r="A199" s="35">
        <v>12</v>
      </c>
      <c r="B199" s="132" t="str">
        <f>IF('Направление 1'!B139="","",'Направление 1'!B139)</f>
        <v/>
      </c>
      <c r="C199" s="133"/>
      <c r="D199" s="131"/>
      <c r="E199" s="130" t="str">
        <f>IF('Направление 1'!C139="","",'Направление 1'!C139)</f>
        <v/>
      </c>
      <c r="F199" s="133"/>
      <c r="G199" s="131"/>
      <c r="H199" s="130" t="str">
        <f>IF('Направление 1'!D139="","",'Направление 1'!D139)</f>
        <v>х</v>
      </c>
      <c r="I199" s="131"/>
      <c r="J199" s="61" t="str">
        <f>IF('Направление 1'!E139=0,"",'Направление 1'!E139)</f>
        <v/>
      </c>
    </row>
    <row r="200" spans="1:10" ht="150" customHeight="1" x14ac:dyDescent="0.3">
      <c r="A200" s="35">
        <v>13</v>
      </c>
      <c r="B200" s="132" t="str">
        <f>IF('Направление 1'!B140="","",'Направление 1'!B140)</f>
        <v/>
      </c>
      <c r="C200" s="133"/>
      <c r="D200" s="131"/>
      <c r="E200" s="130" t="str">
        <f>IF('Направление 1'!C140="","",'Направление 1'!C140)</f>
        <v/>
      </c>
      <c r="F200" s="133"/>
      <c r="G200" s="131"/>
      <c r="H200" s="130" t="str">
        <f>IF('Направление 1'!D140="","",'Направление 1'!D140)</f>
        <v>х</v>
      </c>
      <c r="I200" s="131"/>
      <c r="J200" s="61" t="str">
        <f>IF('Направление 1'!E140=0,"",'Направление 1'!E140)</f>
        <v/>
      </c>
    </row>
    <row r="201" spans="1:10" ht="150" customHeight="1" x14ac:dyDescent="0.3">
      <c r="A201" s="35">
        <v>14</v>
      </c>
      <c r="B201" s="132" t="str">
        <f>IF('Направление 1'!B141="","",'Направление 1'!B141)</f>
        <v/>
      </c>
      <c r="C201" s="133"/>
      <c r="D201" s="131"/>
      <c r="E201" s="130" t="str">
        <f>IF('Направление 1'!C141="","",'Направление 1'!C141)</f>
        <v/>
      </c>
      <c r="F201" s="133"/>
      <c r="G201" s="131"/>
      <c r="H201" s="130" t="str">
        <f>IF('Направление 1'!D141="","",'Направление 1'!D141)</f>
        <v>х</v>
      </c>
      <c r="I201" s="131"/>
      <c r="J201" s="61" t="str">
        <f>IF('Направление 1'!E141=0,"",'Направление 1'!E141)</f>
        <v/>
      </c>
    </row>
    <row r="202" spans="1:10" ht="150" customHeight="1" x14ac:dyDescent="0.3">
      <c r="A202" s="35">
        <v>15</v>
      </c>
      <c r="B202" s="132" t="str">
        <f>IF('Направление 1'!B142="","",'Направление 1'!B142)</f>
        <v/>
      </c>
      <c r="C202" s="133"/>
      <c r="D202" s="131"/>
      <c r="E202" s="130" t="str">
        <f>IF('Направление 1'!C142="","",'Направление 1'!C142)</f>
        <v/>
      </c>
      <c r="F202" s="133"/>
      <c r="G202" s="131"/>
      <c r="H202" s="130" t="str">
        <f>IF('Направление 1'!D142="","",'Направление 1'!D142)</f>
        <v>х</v>
      </c>
      <c r="I202" s="131"/>
      <c r="J202" s="61" t="str">
        <f>IF('Направление 1'!E142=0,"",'Направление 1'!E142)</f>
        <v/>
      </c>
    </row>
    <row r="203" spans="1:10" ht="150" customHeight="1" x14ac:dyDescent="0.3">
      <c r="A203" s="35">
        <v>16</v>
      </c>
      <c r="B203" s="132" t="str">
        <f>IF('Направление 1'!B143="","",'Направление 1'!B143)</f>
        <v/>
      </c>
      <c r="C203" s="133"/>
      <c r="D203" s="131"/>
      <c r="E203" s="130" t="str">
        <f>IF('Направление 1'!C143="","",'Направление 1'!C143)</f>
        <v/>
      </c>
      <c r="F203" s="133"/>
      <c r="G203" s="131"/>
      <c r="H203" s="130" t="str">
        <f>IF('Направление 1'!D143="","",'Направление 1'!D143)</f>
        <v>х</v>
      </c>
      <c r="I203" s="131"/>
      <c r="J203" s="61" t="str">
        <f>IF('Направление 1'!E143=0,"",'Направление 1'!E143)</f>
        <v/>
      </c>
    </row>
    <row r="204" spans="1:10" ht="150" customHeight="1" x14ac:dyDescent="0.3">
      <c r="A204" s="35">
        <v>17</v>
      </c>
      <c r="B204" s="132" t="str">
        <f>IF('Направление 1'!B144="","",'Направление 1'!B144)</f>
        <v/>
      </c>
      <c r="C204" s="133"/>
      <c r="D204" s="131"/>
      <c r="E204" s="130" t="str">
        <f>IF('Направление 1'!C144="","",'Направление 1'!C144)</f>
        <v/>
      </c>
      <c r="F204" s="133"/>
      <c r="G204" s="131"/>
      <c r="H204" s="130" t="str">
        <f>IF('Направление 1'!D144="","",'Направление 1'!D144)</f>
        <v>х</v>
      </c>
      <c r="I204" s="131"/>
      <c r="J204" s="61" t="str">
        <f>IF('Направление 1'!E144=0,"",'Направление 1'!E144)</f>
        <v/>
      </c>
    </row>
    <row r="205" spans="1:10" ht="150" customHeight="1" x14ac:dyDescent="0.3">
      <c r="A205" s="35">
        <v>18</v>
      </c>
      <c r="B205" s="132" t="str">
        <f>IF('Направление 1'!B145="","",'Направление 1'!B145)</f>
        <v/>
      </c>
      <c r="C205" s="133"/>
      <c r="D205" s="131"/>
      <c r="E205" s="130" t="str">
        <f>IF('Направление 1'!C145="","",'Направление 1'!C145)</f>
        <v/>
      </c>
      <c r="F205" s="133"/>
      <c r="G205" s="131"/>
      <c r="H205" s="130" t="str">
        <f>IF('Направление 1'!D145="","",'Направление 1'!D145)</f>
        <v>х</v>
      </c>
      <c r="I205" s="131"/>
      <c r="J205" s="61" t="str">
        <f>IF('Направление 1'!E145=0,"",'Направление 1'!E145)</f>
        <v/>
      </c>
    </row>
    <row r="206" spans="1:10" ht="150" customHeight="1" x14ac:dyDescent="0.3">
      <c r="A206" s="35">
        <v>19</v>
      </c>
      <c r="B206" s="132" t="str">
        <f>IF('Направление 1'!B146="","",'Направление 1'!B146)</f>
        <v/>
      </c>
      <c r="C206" s="133"/>
      <c r="D206" s="131"/>
      <c r="E206" s="130" t="str">
        <f>IF('Направление 1'!C146="","",'Направление 1'!C146)</f>
        <v/>
      </c>
      <c r="F206" s="133"/>
      <c r="G206" s="131"/>
      <c r="H206" s="130" t="str">
        <f>IF('Направление 1'!D146="","",'Направление 1'!D146)</f>
        <v>х</v>
      </c>
      <c r="I206" s="131"/>
      <c r="J206" s="61" t="str">
        <f>IF('Направление 1'!E146=0,"",'Направление 1'!E146)</f>
        <v/>
      </c>
    </row>
    <row r="207" spans="1:10" ht="150" customHeight="1" thickBot="1" x14ac:dyDescent="0.35">
      <c r="A207" s="36">
        <v>20</v>
      </c>
      <c r="B207" s="132" t="str">
        <f>IF('Направление 1'!B147="","",'Направление 1'!B147)</f>
        <v/>
      </c>
      <c r="C207" s="133"/>
      <c r="D207" s="131"/>
      <c r="E207" s="130" t="str">
        <f>IF('Направление 1'!C147="","",'Направление 1'!C147)</f>
        <v/>
      </c>
      <c r="F207" s="133"/>
      <c r="G207" s="131"/>
      <c r="H207" s="130" t="str">
        <f>IF('Направление 1'!D147="","",'Направление 1'!D147)</f>
        <v>х</v>
      </c>
      <c r="I207" s="131"/>
      <c r="J207" s="61" t="str">
        <f>IF('Направление 1'!E147=0,"",'Направление 1'!E147)</f>
        <v/>
      </c>
    </row>
    <row r="208" spans="1:10" ht="150" customHeight="1" x14ac:dyDescent="0.3">
      <c r="A208" s="34">
        <v>21</v>
      </c>
      <c r="B208" s="132" t="str">
        <f>IF('Направление 1'!B148="","",'Направление 1'!B148)</f>
        <v/>
      </c>
      <c r="C208" s="133"/>
      <c r="D208" s="131"/>
      <c r="E208" s="130" t="str">
        <f>IF('Направление 1'!C148="","",'Направление 1'!C148)</f>
        <v/>
      </c>
      <c r="F208" s="133"/>
      <c r="G208" s="131"/>
      <c r="H208" s="130" t="str">
        <f>IF('Направление 1'!D148="","",'Направление 1'!D148)</f>
        <v>х</v>
      </c>
      <c r="I208" s="131"/>
      <c r="J208" s="61" t="str">
        <f>IF('Направление 1'!E148=0,"",'Направление 1'!E148)</f>
        <v/>
      </c>
    </row>
    <row r="209" spans="1:10" ht="150" customHeight="1" x14ac:dyDescent="0.3">
      <c r="A209" s="35">
        <v>22</v>
      </c>
      <c r="B209" s="132" t="str">
        <f>IF('Направление 1'!B149="","",'Направление 1'!B149)</f>
        <v/>
      </c>
      <c r="C209" s="133"/>
      <c r="D209" s="131"/>
      <c r="E209" s="130" t="str">
        <f>IF('Направление 1'!C149="","",'Направление 1'!C149)</f>
        <v/>
      </c>
      <c r="F209" s="133"/>
      <c r="G209" s="131"/>
      <c r="H209" s="130" t="str">
        <f>IF('Направление 1'!D149="","",'Направление 1'!D149)</f>
        <v>х</v>
      </c>
      <c r="I209" s="131"/>
      <c r="J209" s="61" t="str">
        <f>IF('Направление 1'!E149=0,"",'Направление 1'!E149)</f>
        <v/>
      </c>
    </row>
    <row r="210" spans="1:10" ht="150" customHeight="1" x14ac:dyDescent="0.3">
      <c r="A210" s="35">
        <v>23</v>
      </c>
      <c r="B210" s="132" t="str">
        <f>IF('Направление 1'!B150="","",'Направление 1'!B150)</f>
        <v/>
      </c>
      <c r="C210" s="133"/>
      <c r="D210" s="131"/>
      <c r="E210" s="130" t="str">
        <f>IF('Направление 1'!C150="","",'Направление 1'!C150)</f>
        <v/>
      </c>
      <c r="F210" s="133"/>
      <c r="G210" s="131"/>
      <c r="H210" s="130" t="str">
        <f>IF('Направление 1'!D150="","",'Направление 1'!D150)</f>
        <v>х</v>
      </c>
      <c r="I210" s="131"/>
      <c r="J210" s="61" t="str">
        <f>IF('Направление 1'!E150=0,"",'Направление 1'!E150)</f>
        <v/>
      </c>
    </row>
    <row r="211" spans="1:10" ht="150" customHeight="1" x14ac:dyDescent="0.3">
      <c r="A211" s="35">
        <v>24</v>
      </c>
      <c r="B211" s="132" t="str">
        <f>IF('Направление 1'!B151="","",'Направление 1'!B151)</f>
        <v/>
      </c>
      <c r="C211" s="133"/>
      <c r="D211" s="131"/>
      <c r="E211" s="130" t="str">
        <f>IF('Направление 1'!C151="","",'Направление 1'!C151)</f>
        <v/>
      </c>
      <c r="F211" s="133"/>
      <c r="G211" s="131"/>
      <c r="H211" s="130" t="str">
        <f>IF('Направление 1'!D151="","",'Направление 1'!D151)</f>
        <v>х</v>
      </c>
      <c r="I211" s="131"/>
      <c r="J211" s="61" t="str">
        <f>IF('Направление 1'!E151=0,"",'Направление 1'!E151)</f>
        <v/>
      </c>
    </row>
    <row r="212" spans="1:10" ht="150" customHeight="1" x14ac:dyDescent="0.3">
      <c r="A212" s="35">
        <v>25</v>
      </c>
      <c r="B212" s="132" t="str">
        <f>IF('Направление 1'!B152="","",'Направление 1'!B152)</f>
        <v/>
      </c>
      <c r="C212" s="133"/>
      <c r="D212" s="131"/>
      <c r="E212" s="130" t="str">
        <f>IF('Направление 1'!C152="","",'Направление 1'!C152)</f>
        <v/>
      </c>
      <c r="F212" s="133"/>
      <c r="G212" s="131"/>
      <c r="H212" s="130" t="str">
        <f>IF('Направление 1'!D152="","",'Направление 1'!D152)</f>
        <v>х</v>
      </c>
      <c r="I212" s="131"/>
      <c r="J212" s="61" t="str">
        <f>IF('Направление 1'!E152=0,"",'Направление 1'!E152)</f>
        <v/>
      </c>
    </row>
    <row r="213" spans="1:10" ht="150" customHeight="1" x14ac:dyDescent="0.3">
      <c r="A213" s="35">
        <v>26</v>
      </c>
      <c r="B213" s="132" t="str">
        <f>IF('Направление 1'!B153="","",'Направление 1'!B153)</f>
        <v/>
      </c>
      <c r="C213" s="133"/>
      <c r="D213" s="131"/>
      <c r="E213" s="130" t="str">
        <f>IF('Направление 1'!C153="","",'Направление 1'!C153)</f>
        <v/>
      </c>
      <c r="F213" s="133"/>
      <c r="G213" s="131"/>
      <c r="H213" s="130" t="str">
        <f>IF('Направление 1'!D153="","",'Направление 1'!D153)</f>
        <v>х</v>
      </c>
      <c r="I213" s="131"/>
      <c r="J213" s="61" t="str">
        <f>IF('Направление 1'!E153=0,"",'Направление 1'!E153)</f>
        <v/>
      </c>
    </row>
    <row r="214" spans="1:10" ht="150" customHeight="1" x14ac:dyDescent="0.3">
      <c r="A214" s="35">
        <v>27</v>
      </c>
      <c r="B214" s="132" t="str">
        <f>IF('Направление 1'!B154="","",'Направление 1'!B154)</f>
        <v/>
      </c>
      <c r="C214" s="133"/>
      <c r="D214" s="131"/>
      <c r="E214" s="130" t="str">
        <f>IF('Направление 1'!C154="","",'Направление 1'!C154)</f>
        <v/>
      </c>
      <c r="F214" s="133"/>
      <c r="G214" s="131"/>
      <c r="H214" s="130" t="str">
        <f>IF('Направление 1'!D154="","",'Направление 1'!D154)</f>
        <v>х</v>
      </c>
      <c r="I214" s="131"/>
      <c r="J214" s="61" t="str">
        <f>IF('Направление 1'!E154=0,"",'Направление 1'!E154)</f>
        <v/>
      </c>
    </row>
    <row r="215" spans="1:10" ht="150" customHeight="1" x14ac:dyDescent="0.3">
      <c r="A215" s="35">
        <v>28</v>
      </c>
      <c r="B215" s="132" t="str">
        <f>IF('Направление 1'!B155="","",'Направление 1'!B155)</f>
        <v/>
      </c>
      <c r="C215" s="133"/>
      <c r="D215" s="131"/>
      <c r="E215" s="130" t="str">
        <f>IF('Направление 1'!C155="","",'Направление 1'!C155)</f>
        <v/>
      </c>
      <c r="F215" s="133"/>
      <c r="G215" s="131"/>
      <c r="H215" s="130" t="str">
        <f>IF('Направление 1'!D155="","",'Направление 1'!D155)</f>
        <v>х</v>
      </c>
      <c r="I215" s="131"/>
      <c r="J215" s="61" t="str">
        <f>IF('Направление 1'!E155=0,"",'Направление 1'!E155)</f>
        <v/>
      </c>
    </row>
    <row r="216" spans="1:10" ht="150" customHeight="1" x14ac:dyDescent="0.3">
      <c r="A216" s="35">
        <v>29</v>
      </c>
      <c r="B216" s="132" t="str">
        <f>IF('Направление 1'!B156="","",'Направление 1'!B156)</f>
        <v/>
      </c>
      <c r="C216" s="133"/>
      <c r="D216" s="131"/>
      <c r="E216" s="130" t="str">
        <f>IF('Направление 1'!C156="","",'Направление 1'!C156)</f>
        <v/>
      </c>
      <c r="F216" s="133"/>
      <c r="G216" s="131"/>
      <c r="H216" s="130" t="str">
        <f>IF('Направление 1'!D156="","",'Направление 1'!D156)</f>
        <v>х</v>
      </c>
      <c r="I216" s="131"/>
      <c r="J216" s="61" t="str">
        <f>IF('Направление 1'!E156=0,"",'Направление 1'!E156)</f>
        <v/>
      </c>
    </row>
    <row r="217" spans="1:10" ht="150" customHeight="1" x14ac:dyDescent="0.3">
      <c r="A217" s="35">
        <v>30</v>
      </c>
      <c r="B217" s="132" t="str">
        <f>IF('Направление 1'!B157="","",'Направление 1'!B157)</f>
        <v/>
      </c>
      <c r="C217" s="133"/>
      <c r="D217" s="131"/>
      <c r="E217" s="130" t="str">
        <f>IF('Направление 1'!C157="","",'Направление 1'!C157)</f>
        <v/>
      </c>
      <c r="F217" s="133"/>
      <c r="G217" s="131"/>
      <c r="H217" s="130" t="str">
        <f>IF('Направление 1'!D157="","",'Направление 1'!D157)</f>
        <v>х</v>
      </c>
      <c r="I217" s="131"/>
      <c r="J217" s="61" t="str">
        <f>IF('Направление 1'!E157=0,"",'Направление 1'!E157)</f>
        <v/>
      </c>
    </row>
    <row r="218" spans="1:10" ht="150" customHeight="1" x14ac:dyDescent="0.3">
      <c r="A218" s="35">
        <v>31</v>
      </c>
      <c r="B218" s="132" t="str">
        <f>IF('Направление 1'!B158="","",'Направление 1'!B158)</f>
        <v/>
      </c>
      <c r="C218" s="133"/>
      <c r="D218" s="131"/>
      <c r="E218" s="130" t="str">
        <f>IF('Направление 1'!C158="","",'Направление 1'!C158)</f>
        <v/>
      </c>
      <c r="F218" s="133"/>
      <c r="G218" s="131"/>
      <c r="H218" s="130" t="str">
        <f>IF('Направление 1'!D158="","",'Направление 1'!D158)</f>
        <v>х</v>
      </c>
      <c r="I218" s="131"/>
      <c r="J218" s="61" t="str">
        <f>IF('Направление 1'!E158=0,"",'Направление 1'!E158)</f>
        <v/>
      </c>
    </row>
    <row r="219" spans="1:10" ht="150" customHeight="1" x14ac:dyDescent="0.3">
      <c r="A219" s="35">
        <v>32</v>
      </c>
      <c r="B219" s="132" t="str">
        <f>IF('Направление 1'!B159="","",'Направление 1'!B159)</f>
        <v/>
      </c>
      <c r="C219" s="133"/>
      <c r="D219" s="131"/>
      <c r="E219" s="130" t="str">
        <f>IF('Направление 1'!C159="","",'Направление 1'!C159)</f>
        <v/>
      </c>
      <c r="F219" s="133"/>
      <c r="G219" s="131"/>
      <c r="H219" s="130" t="str">
        <f>IF('Направление 1'!D159="","",'Направление 1'!D159)</f>
        <v>х</v>
      </c>
      <c r="I219" s="131"/>
      <c r="J219" s="61" t="str">
        <f>IF('Направление 1'!E159=0,"",'Направление 1'!E159)</f>
        <v/>
      </c>
    </row>
    <row r="220" spans="1:10" ht="150" customHeight="1" x14ac:dyDescent="0.3">
      <c r="A220" s="35">
        <v>33</v>
      </c>
      <c r="B220" s="132" t="str">
        <f>IF('Направление 1'!B160="","",'Направление 1'!B160)</f>
        <v/>
      </c>
      <c r="C220" s="133"/>
      <c r="D220" s="131"/>
      <c r="E220" s="130" t="str">
        <f>IF('Направление 1'!C160="","",'Направление 1'!C160)</f>
        <v/>
      </c>
      <c r="F220" s="133"/>
      <c r="G220" s="131"/>
      <c r="H220" s="130" t="str">
        <f>IF('Направление 1'!D160="","",'Направление 1'!D160)</f>
        <v>х</v>
      </c>
      <c r="I220" s="131"/>
      <c r="J220" s="61" t="str">
        <f>IF('Направление 1'!E160=0,"",'Направление 1'!E160)</f>
        <v/>
      </c>
    </row>
    <row r="221" spans="1:10" ht="150" customHeight="1" x14ac:dyDescent="0.3">
      <c r="A221" s="35">
        <v>34</v>
      </c>
      <c r="B221" s="132" t="str">
        <f>IF('Направление 1'!B161="","",'Направление 1'!B161)</f>
        <v/>
      </c>
      <c r="C221" s="133"/>
      <c r="D221" s="131"/>
      <c r="E221" s="130" t="str">
        <f>IF('Направление 1'!C161="","",'Направление 1'!C161)</f>
        <v/>
      </c>
      <c r="F221" s="133"/>
      <c r="G221" s="131"/>
      <c r="H221" s="130" t="str">
        <f>IF('Направление 1'!D161="","",'Направление 1'!D161)</f>
        <v>х</v>
      </c>
      <c r="I221" s="131"/>
      <c r="J221" s="61" t="str">
        <f>IF('Направление 1'!E161=0,"",'Направление 1'!E161)</f>
        <v/>
      </c>
    </row>
    <row r="222" spans="1:10" ht="150" customHeight="1" x14ac:dyDescent="0.3">
      <c r="A222" s="35">
        <v>35</v>
      </c>
      <c r="B222" s="132" t="str">
        <f>IF('Направление 1'!B162="","",'Направление 1'!B162)</f>
        <v/>
      </c>
      <c r="C222" s="133"/>
      <c r="D222" s="131"/>
      <c r="E222" s="130" t="str">
        <f>IF('Направление 1'!C162="","",'Направление 1'!C162)</f>
        <v/>
      </c>
      <c r="F222" s="133"/>
      <c r="G222" s="131"/>
      <c r="H222" s="130" t="str">
        <f>IF('Направление 1'!D162="","",'Направление 1'!D162)</f>
        <v>х</v>
      </c>
      <c r="I222" s="131"/>
      <c r="J222" s="61" t="str">
        <f>IF('Направление 1'!E162=0,"",'Направление 1'!E162)</f>
        <v/>
      </c>
    </row>
    <row r="223" spans="1:10" ht="150" customHeight="1" x14ac:dyDescent="0.3">
      <c r="A223" s="35">
        <v>36</v>
      </c>
      <c r="B223" s="132" t="str">
        <f>IF('Направление 1'!B163="","",'Направление 1'!B163)</f>
        <v/>
      </c>
      <c r="C223" s="133"/>
      <c r="D223" s="131"/>
      <c r="E223" s="130" t="str">
        <f>IF('Направление 1'!C163="","",'Направление 1'!C163)</f>
        <v/>
      </c>
      <c r="F223" s="133"/>
      <c r="G223" s="131"/>
      <c r="H223" s="130" t="str">
        <f>IF('Направление 1'!D163="","",'Направление 1'!D163)</f>
        <v>х</v>
      </c>
      <c r="I223" s="131"/>
      <c r="J223" s="61" t="str">
        <f>IF('Направление 1'!E163=0,"",'Направление 1'!E163)</f>
        <v/>
      </c>
    </row>
    <row r="224" spans="1:10" ht="150" customHeight="1" x14ac:dyDescent="0.3">
      <c r="A224" s="35">
        <v>37</v>
      </c>
      <c r="B224" s="132" t="str">
        <f>IF('Направление 1'!B164="","",'Направление 1'!B164)</f>
        <v/>
      </c>
      <c r="C224" s="133"/>
      <c r="D224" s="131"/>
      <c r="E224" s="130" t="str">
        <f>IF('Направление 1'!C164="","",'Направление 1'!C164)</f>
        <v/>
      </c>
      <c r="F224" s="133"/>
      <c r="G224" s="131"/>
      <c r="H224" s="130" t="str">
        <f>IF('Направление 1'!D164="","",'Направление 1'!D164)</f>
        <v>х</v>
      </c>
      <c r="I224" s="131"/>
      <c r="J224" s="61" t="str">
        <f>IF('Направление 1'!E164=0,"",'Направление 1'!E164)</f>
        <v/>
      </c>
    </row>
    <row r="225" spans="1:10" ht="150" customHeight="1" x14ac:dyDescent="0.3">
      <c r="A225" s="35">
        <v>38</v>
      </c>
      <c r="B225" s="132" t="str">
        <f>IF('Направление 1'!B165="","",'Направление 1'!B165)</f>
        <v/>
      </c>
      <c r="C225" s="133"/>
      <c r="D225" s="131"/>
      <c r="E225" s="130" t="str">
        <f>IF('Направление 1'!C165="","",'Направление 1'!C165)</f>
        <v/>
      </c>
      <c r="F225" s="133"/>
      <c r="G225" s="131"/>
      <c r="H225" s="130" t="str">
        <f>IF('Направление 1'!D165="","",'Направление 1'!D165)</f>
        <v>х</v>
      </c>
      <c r="I225" s="131"/>
      <c r="J225" s="61" t="str">
        <f>IF('Направление 1'!E165=0,"",'Направление 1'!E165)</f>
        <v/>
      </c>
    </row>
    <row r="226" spans="1:10" ht="150" customHeight="1" x14ac:dyDescent="0.3">
      <c r="A226" s="35">
        <v>39</v>
      </c>
      <c r="B226" s="132" t="str">
        <f>IF('Направление 1'!B166="","",'Направление 1'!B166)</f>
        <v/>
      </c>
      <c r="C226" s="133"/>
      <c r="D226" s="131"/>
      <c r="E226" s="130" t="str">
        <f>IF('Направление 1'!C166="","",'Направление 1'!C166)</f>
        <v/>
      </c>
      <c r="F226" s="133"/>
      <c r="G226" s="131"/>
      <c r="H226" s="130" t="str">
        <f>IF('Направление 1'!D166="","",'Направление 1'!D166)</f>
        <v>х</v>
      </c>
      <c r="I226" s="131"/>
      <c r="J226" s="61" t="str">
        <f>IF('Направление 1'!E166=0,"",'Направление 1'!E166)</f>
        <v/>
      </c>
    </row>
    <row r="227" spans="1:10" ht="150" customHeight="1" thickBot="1" x14ac:dyDescent="0.35">
      <c r="A227" s="36">
        <v>40</v>
      </c>
      <c r="B227" s="132" t="str">
        <f>IF('Направление 1'!B167="","",'Направление 1'!B167)</f>
        <v/>
      </c>
      <c r="C227" s="133"/>
      <c r="D227" s="131"/>
      <c r="E227" s="130" t="str">
        <f>IF('Направление 1'!C167="","",'Направление 1'!C167)</f>
        <v/>
      </c>
      <c r="F227" s="133"/>
      <c r="G227" s="131"/>
      <c r="H227" s="130" t="str">
        <f>IF('Направление 1'!D167="","",'Направление 1'!D167)</f>
        <v>х</v>
      </c>
      <c r="I227" s="131"/>
      <c r="J227" s="61" t="str">
        <f>IF('Направление 1'!E167=0,"",'Направление 1'!E167)</f>
        <v/>
      </c>
    </row>
    <row r="228" spans="1:10" ht="150" customHeight="1" thickBot="1" x14ac:dyDescent="0.35">
      <c r="A228" s="36">
        <v>41</v>
      </c>
      <c r="B228" s="132" t="str">
        <f>IF('Направление 1'!B168="","",'Направление 1'!B168)</f>
        <v/>
      </c>
      <c r="C228" s="133"/>
      <c r="D228" s="131"/>
      <c r="E228" s="130" t="str">
        <f>IF('Направление 1'!C168="","",'Направление 1'!C168)</f>
        <v/>
      </c>
      <c r="F228" s="133"/>
      <c r="G228" s="131"/>
      <c r="H228" s="130" t="str">
        <f>IF('Направление 1'!D168="","",'Направление 1'!D168)</f>
        <v>х</v>
      </c>
      <c r="I228" s="131"/>
      <c r="J228" s="61" t="str">
        <f>IF('Направление 1'!E168=0,"",'Направление 1'!E168)</f>
        <v/>
      </c>
    </row>
    <row r="229" spans="1:10" ht="150" customHeight="1" thickBot="1" x14ac:dyDescent="0.35">
      <c r="A229" s="36">
        <v>42</v>
      </c>
      <c r="B229" s="132" t="str">
        <f>IF('Направление 1'!B169="","",'Направление 1'!B169)</f>
        <v/>
      </c>
      <c r="C229" s="133"/>
      <c r="D229" s="131"/>
      <c r="E229" s="130" t="str">
        <f>IF('Направление 1'!C169="","",'Направление 1'!C169)</f>
        <v/>
      </c>
      <c r="F229" s="133"/>
      <c r="G229" s="131"/>
      <c r="H229" s="130" t="str">
        <f>IF('Направление 1'!D169="","",'Направление 1'!D169)</f>
        <v>х</v>
      </c>
      <c r="I229" s="131"/>
      <c r="J229" s="61" t="str">
        <f>IF('Направление 1'!E169=0,"",'Направление 1'!E169)</f>
        <v/>
      </c>
    </row>
    <row r="230" spans="1:10" ht="150" customHeight="1" thickBot="1" x14ac:dyDescent="0.35">
      <c r="A230" s="36">
        <v>43</v>
      </c>
      <c r="B230" s="132" t="str">
        <f>IF('Направление 1'!B170="","",'Направление 1'!B170)</f>
        <v/>
      </c>
      <c r="C230" s="133"/>
      <c r="D230" s="131"/>
      <c r="E230" s="130" t="str">
        <f>IF('Направление 1'!C170="","",'Направление 1'!C170)</f>
        <v/>
      </c>
      <c r="F230" s="133"/>
      <c r="G230" s="131"/>
      <c r="H230" s="130" t="str">
        <f>IF('Направление 1'!D170="","",'Направление 1'!D170)</f>
        <v>х</v>
      </c>
      <c r="I230" s="131"/>
      <c r="J230" s="61" t="str">
        <f>IF('Направление 1'!E170=0,"",'Направление 1'!E170)</f>
        <v/>
      </c>
    </row>
    <row r="231" spans="1:10" ht="150" customHeight="1" thickBot="1" x14ac:dyDescent="0.35">
      <c r="A231" s="36">
        <v>44</v>
      </c>
      <c r="B231" s="132" t="str">
        <f>IF('Направление 1'!B171="","",'Направление 1'!B171)</f>
        <v/>
      </c>
      <c r="C231" s="133"/>
      <c r="D231" s="131"/>
      <c r="E231" s="130" t="str">
        <f>IF('Направление 1'!C171="","",'Направление 1'!C171)</f>
        <v/>
      </c>
      <c r="F231" s="133"/>
      <c r="G231" s="131"/>
      <c r="H231" s="130" t="str">
        <f>IF('Направление 1'!D171="","",'Направление 1'!D171)</f>
        <v>х</v>
      </c>
      <c r="I231" s="131"/>
      <c r="J231" s="61" t="str">
        <f>IF('Направление 1'!E171=0,"",'Направление 1'!E171)</f>
        <v/>
      </c>
    </row>
    <row r="232" spans="1:10" ht="150" customHeight="1" thickBot="1" x14ac:dyDescent="0.35">
      <c r="A232" s="36">
        <v>45</v>
      </c>
      <c r="B232" s="132" t="str">
        <f>IF('Направление 1'!B172="","",'Направление 1'!B172)</f>
        <v/>
      </c>
      <c r="C232" s="133"/>
      <c r="D232" s="131"/>
      <c r="E232" s="130" t="str">
        <f>IF('Направление 1'!C172="","",'Направление 1'!C172)</f>
        <v/>
      </c>
      <c r="F232" s="133"/>
      <c r="G232" s="131"/>
      <c r="H232" s="130" t="str">
        <f>IF('Направление 1'!D172="","",'Направление 1'!D172)</f>
        <v>х</v>
      </c>
      <c r="I232" s="131"/>
      <c r="J232" s="61" t="str">
        <f>IF('Направление 1'!E172=0,"",'Направление 1'!E172)</f>
        <v/>
      </c>
    </row>
    <row r="233" spans="1:10" ht="150" customHeight="1" thickBot="1" x14ac:dyDescent="0.35">
      <c r="A233" s="36">
        <v>46</v>
      </c>
      <c r="B233" s="132" t="str">
        <f>IF('Направление 1'!B173="","",'Направление 1'!B173)</f>
        <v/>
      </c>
      <c r="C233" s="133"/>
      <c r="D233" s="131"/>
      <c r="E233" s="130" t="str">
        <f>IF('Направление 1'!C173="","",'Направление 1'!C173)</f>
        <v/>
      </c>
      <c r="F233" s="133"/>
      <c r="G233" s="131"/>
      <c r="H233" s="130" t="str">
        <f>IF('Направление 1'!D173="","",'Направление 1'!D173)</f>
        <v>х</v>
      </c>
      <c r="I233" s="131"/>
      <c r="J233" s="61" t="str">
        <f>IF('Направление 1'!E173=0,"",'Направление 1'!E173)</f>
        <v/>
      </c>
    </row>
    <row r="234" spans="1:10" ht="150" customHeight="1" thickBot="1" x14ac:dyDescent="0.35">
      <c r="A234" s="36">
        <v>47</v>
      </c>
      <c r="B234" s="132" t="str">
        <f>IF('Направление 1'!B174="","",'Направление 1'!B174)</f>
        <v/>
      </c>
      <c r="C234" s="133"/>
      <c r="D234" s="131"/>
      <c r="E234" s="130" t="str">
        <f>IF('Направление 1'!C174="","",'Направление 1'!C174)</f>
        <v/>
      </c>
      <c r="F234" s="133"/>
      <c r="G234" s="131"/>
      <c r="H234" s="130" t="str">
        <f>IF('Направление 1'!D174="","",'Направление 1'!D174)</f>
        <v>х</v>
      </c>
      <c r="I234" s="131"/>
      <c r="J234" s="61" t="str">
        <f>IF('Направление 1'!E174=0,"",'Направление 1'!E174)</f>
        <v/>
      </c>
    </row>
    <row r="235" spans="1:10" ht="150" customHeight="1" thickBot="1" x14ac:dyDescent="0.35">
      <c r="A235" s="36">
        <v>48</v>
      </c>
      <c r="B235" s="132" t="str">
        <f>IF('Направление 1'!B175="","",'Направление 1'!B175)</f>
        <v/>
      </c>
      <c r="C235" s="133"/>
      <c r="D235" s="131"/>
      <c r="E235" s="130" t="str">
        <f>IF('Направление 1'!C175="","",'Направление 1'!C175)</f>
        <v/>
      </c>
      <c r="F235" s="133"/>
      <c r="G235" s="131"/>
      <c r="H235" s="130" t="str">
        <f>IF('Направление 1'!D175="","",'Направление 1'!D175)</f>
        <v>х</v>
      </c>
      <c r="I235" s="131"/>
      <c r="J235" s="61" t="str">
        <f>IF('Направление 1'!E175=0,"",'Направление 1'!E175)</f>
        <v/>
      </c>
    </row>
    <row r="236" spans="1:10" ht="150" customHeight="1" thickBot="1" x14ac:dyDescent="0.35">
      <c r="A236" s="36">
        <v>49</v>
      </c>
      <c r="B236" s="132" t="str">
        <f>IF('Направление 1'!B176="","",'Направление 1'!B176)</f>
        <v/>
      </c>
      <c r="C236" s="133"/>
      <c r="D236" s="131"/>
      <c r="E236" s="130" t="str">
        <f>IF('Направление 1'!C176="","",'Направление 1'!C176)</f>
        <v/>
      </c>
      <c r="F236" s="133"/>
      <c r="G236" s="131"/>
      <c r="H236" s="130" t="str">
        <f>IF('Направление 1'!D176="","",'Направление 1'!D176)</f>
        <v>х</v>
      </c>
      <c r="I236" s="131"/>
      <c r="J236" s="61" t="str">
        <f>IF('Направление 1'!E176=0,"",'Направление 1'!E176)</f>
        <v/>
      </c>
    </row>
    <row r="237" spans="1:10" ht="150" customHeight="1" thickBot="1" x14ac:dyDescent="0.35">
      <c r="A237" s="36">
        <v>50</v>
      </c>
      <c r="B237" s="132" t="str">
        <f>IF('Направление 1'!B177="","",'Направление 1'!B177)</f>
        <v/>
      </c>
      <c r="C237" s="133"/>
      <c r="D237" s="131"/>
      <c r="E237" s="130" t="str">
        <f>IF('Направление 1'!C177="","",'Направление 1'!C177)</f>
        <v/>
      </c>
      <c r="F237" s="133"/>
      <c r="G237" s="131"/>
      <c r="H237" s="130" t="str">
        <f>IF('Направление 1'!D177="","",'Направление 1'!D177)</f>
        <v>х</v>
      </c>
      <c r="I237" s="131"/>
      <c r="J237" s="61" t="str">
        <f>IF('Направление 1'!E177=0,"",'Направление 1'!E177)</f>
        <v/>
      </c>
    </row>
    <row r="238" spans="1:10" ht="150" customHeight="1" thickBot="1" x14ac:dyDescent="0.35">
      <c r="A238" s="36">
        <v>51</v>
      </c>
      <c r="B238" s="132" t="str">
        <f>IF('Направление 1'!B178="","",'Направление 1'!B178)</f>
        <v/>
      </c>
      <c r="C238" s="133"/>
      <c r="D238" s="131"/>
      <c r="E238" s="130" t="str">
        <f>IF('Направление 1'!C178="","",'Направление 1'!C178)</f>
        <v/>
      </c>
      <c r="F238" s="133"/>
      <c r="G238" s="131"/>
      <c r="H238" s="130" t="str">
        <f>IF('Направление 1'!D178="","",'Направление 1'!D178)</f>
        <v>х</v>
      </c>
      <c r="I238" s="131"/>
      <c r="J238" s="61" t="str">
        <f>IF('Направление 1'!E178=0,"",'Направление 1'!E178)</f>
        <v/>
      </c>
    </row>
    <row r="239" spans="1:10" ht="150" customHeight="1" thickBot="1" x14ac:dyDescent="0.35">
      <c r="A239" s="36">
        <v>52</v>
      </c>
      <c r="B239" s="132" t="str">
        <f>IF('Направление 1'!B179="","",'Направление 1'!B179)</f>
        <v/>
      </c>
      <c r="C239" s="133"/>
      <c r="D239" s="131"/>
      <c r="E239" s="130" t="str">
        <f>IF('Направление 1'!C179="","",'Направление 1'!C179)</f>
        <v/>
      </c>
      <c r="F239" s="133"/>
      <c r="G239" s="131"/>
      <c r="H239" s="130" t="str">
        <f>IF('Направление 1'!D179="","",'Направление 1'!D179)</f>
        <v>х</v>
      </c>
      <c r="I239" s="131"/>
      <c r="J239" s="61" t="str">
        <f>IF('Направление 1'!E179=0,"",'Направление 1'!E179)</f>
        <v/>
      </c>
    </row>
    <row r="240" spans="1:10" ht="150" customHeight="1" thickBot="1" x14ac:dyDescent="0.35">
      <c r="A240" s="36">
        <v>53</v>
      </c>
      <c r="B240" s="132" t="str">
        <f>IF('Направление 1'!B180="","",'Направление 1'!B180)</f>
        <v/>
      </c>
      <c r="C240" s="133"/>
      <c r="D240" s="131"/>
      <c r="E240" s="130" t="str">
        <f>IF('Направление 1'!C180="","",'Направление 1'!C180)</f>
        <v/>
      </c>
      <c r="F240" s="133"/>
      <c r="G240" s="131"/>
      <c r="H240" s="130" t="str">
        <f>IF('Направление 1'!D180="","",'Направление 1'!D180)</f>
        <v>х</v>
      </c>
      <c r="I240" s="131"/>
      <c r="J240" s="61" t="str">
        <f>IF('Направление 1'!E180=0,"",'Направление 1'!E180)</f>
        <v/>
      </c>
    </row>
    <row r="241" spans="1:10" ht="150" customHeight="1" thickBot="1" x14ac:dyDescent="0.35">
      <c r="A241" s="36">
        <v>54</v>
      </c>
      <c r="B241" s="132" t="str">
        <f>IF('Направление 1'!B181="","",'Направление 1'!B181)</f>
        <v/>
      </c>
      <c r="C241" s="133"/>
      <c r="D241" s="131"/>
      <c r="E241" s="130" t="str">
        <f>IF('Направление 1'!C181="","",'Направление 1'!C181)</f>
        <v/>
      </c>
      <c r="F241" s="133"/>
      <c r="G241" s="131"/>
      <c r="H241" s="130" t="str">
        <f>IF('Направление 1'!D181="","",'Направление 1'!D181)</f>
        <v>х</v>
      </c>
      <c r="I241" s="131"/>
      <c r="J241" s="61" t="str">
        <f>IF('Направление 1'!E181=0,"",'Направление 1'!E181)</f>
        <v/>
      </c>
    </row>
    <row r="242" spans="1:10" ht="150" customHeight="1" thickBot="1" x14ac:dyDescent="0.35">
      <c r="A242" s="36">
        <v>55</v>
      </c>
      <c r="B242" s="132" t="str">
        <f>IF('Направление 1'!B182="","",'Направление 1'!B182)</f>
        <v/>
      </c>
      <c r="C242" s="133"/>
      <c r="D242" s="131"/>
      <c r="E242" s="130" t="str">
        <f>IF('Направление 1'!C182="","",'Направление 1'!C182)</f>
        <v/>
      </c>
      <c r="F242" s="133"/>
      <c r="G242" s="131"/>
      <c r="H242" s="130" t="str">
        <f>IF('Направление 1'!D182="","",'Направление 1'!D182)</f>
        <v>х</v>
      </c>
      <c r="I242" s="131"/>
      <c r="J242" s="61" t="str">
        <f>IF('Направление 1'!E182=0,"",'Направление 1'!E182)</f>
        <v/>
      </c>
    </row>
    <row r="243" spans="1:10" ht="150" customHeight="1" thickBot="1" x14ac:dyDescent="0.35">
      <c r="A243" s="36">
        <v>56</v>
      </c>
      <c r="B243" s="132" t="str">
        <f>IF('Направление 1'!B183="","",'Направление 1'!B183)</f>
        <v/>
      </c>
      <c r="C243" s="133"/>
      <c r="D243" s="131"/>
      <c r="E243" s="130" t="str">
        <f>IF('Направление 1'!C183="","",'Направление 1'!C183)</f>
        <v/>
      </c>
      <c r="F243" s="133"/>
      <c r="G243" s="131"/>
      <c r="H243" s="130" t="str">
        <f>IF('Направление 1'!D183="","",'Направление 1'!D183)</f>
        <v>х</v>
      </c>
      <c r="I243" s="131"/>
      <c r="J243" s="61" t="str">
        <f>IF('Направление 1'!E183=0,"",'Направление 1'!E183)</f>
        <v/>
      </c>
    </row>
    <row r="244" spans="1:10" ht="150" customHeight="1" thickBot="1" x14ac:dyDescent="0.35">
      <c r="A244" s="36">
        <v>57</v>
      </c>
      <c r="B244" s="132" t="str">
        <f>IF('Направление 1'!B184="","",'Направление 1'!B184)</f>
        <v/>
      </c>
      <c r="C244" s="133"/>
      <c r="D244" s="131"/>
      <c r="E244" s="130" t="str">
        <f>IF('Направление 1'!C184="","",'Направление 1'!C184)</f>
        <v/>
      </c>
      <c r="F244" s="133"/>
      <c r="G244" s="131"/>
      <c r="H244" s="130" t="str">
        <f>IF('Направление 1'!D184="","",'Направление 1'!D184)</f>
        <v>х</v>
      </c>
      <c r="I244" s="131"/>
      <c r="J244" s="61" t="str">
        <f>IF('Направление 1'!E184=0,"",'Направление 1'!E184)</f>
        <v/>
      </c>
    </row>
    <row r="245" spans="1:10" ht="150" customHeight="1" thickBot="1" x14ac:dyDescent="0.35">
      <c r="A245" s="36">
        <v>58</v>
      </c>
      <c r="B245" s="132" t="str">
        <f>IF('Направление 1'!B185="","",'Направление 1'!B185)</f>
        <v/>
      </c>
      <c r="C245" s="133"/>
      <c r="D245" s="131"/>
      <c r="E245" s="130" t="str">
        <f>IF('Направление 1'!C185="","",'Направление 1'!C185)</f>
        <v/>
      </c>
      <c r="F245" s="133"/>
      <c r="G245" s="131"/>
      <c r="H245" s="130" t="str">
        <f>IF('Направление 1'!D185="","",'Направление 1'!D185)</f>
        <v>х</v>
      </c>
      <c r="I245" s="131"/>
      <c r="J245" s="61" t="str">
        <f>IF('Направление 1'!E185=0,"",'Направление 1'!E185)</f>
        <v/>
      </c>
    </row>
    <row r="246" spans="1:10" ht="150" customHeight="1" thickBot="1" x14ac:dyDescent="0.35">
      <c r="A246" s="36">
        <v>59</v>
      </c>
      <c r="B246" s="132" t="str">
        <f>IF('Направление 1'!B186="","",'Направление 1'!B186)</f>
        <v/>
      </c>
      <c r="C246" s="133"/>
      <c r="D246" s="131"/>
      <c r="E246" s="130" t="str">
        <f>IF('Направление 1'!C186="","",'Направление 1'!C186)</f>
        <v/>
      </c>
      <c r="F246" s="133"/>
      <c r="G246" s="131"/>
      <c r="H246" s="130" t="str">
        <f>IF('Направление 1'!D186="","",'Направление 1'!D186)</f>
        <v>х</v>
      </c>
      <c r="I246" s="131"/>
      <c r="J246" s="61" t="str">
        <f>IF('Направление 1'!E186=0,"",'Направление 1'!E186)</f>
        <v/>
      </c>
    </row>
    <row r="247" spans="1:10" ht="150" customHeight="1" thickBot="1" x14ac:dyDescent="0.35">
      <c r="A247" s="36">
        <v>60</v>
      </c>
      <c r="B247" s="132" t="str">
        <f>IF('Направление 1'!B187="","",'Направление 1'!B187)</f>
        <v/>
      </c>
      <c r="C247" s="133"/>
      <c r="D247" s="131"/>
      <c r="E247" s="130" t="str">
        <f>IF('Направление 1'!C187="","",'Направление 1'!C187)</f>
        <v/>
      </c>
      <c r="F247" s="133"/>
      <c r="G247" s="131"/>
      <c r="H247" s="130" t="str">
        <f>IF('Направление 1'!D187="","",'Направление 1'!D187)</f>
        <v>х</v>
      </c>
      <c r="I247" s="131"/>
      <c r="J247" s="61" t="str">
        <f>IF('Направление 1'!E187=0,"",'Направление 1'!E187)</f>
        <v/>
      </c>
    </row>
    <row r="248" spans="1:10" ht="150" customHeight="1" thickBot="1" x14ac:dyDescent="0.35">
      <c r="A248" s="36">
        <v>61</v>
      </c>
      <c r="B248" s="132" t="str">
        <f>IF('Направление 1'!B188="","",'Направление 1'!B188)</f>
        <v/>
      </c>
      <c r="C248" s="133"/>
      <c r="D248" s="131"/>
      <c r="E248" s="130" t="str">
        <f>IF('Направление 1'!C188="","",'Направление 1'!C188)</f>
        <v/>
      </c>
      <c r="F248" s="133"/>
      <c r="G248" s="131"/>
      <c r="H248" s="130" t="str">
        <f>IF('Направление 1'!D188="","",'Направление 1'!D188)</f>
        <v>х</v>
      </c>
      <c r="I248" s="131"/>
      <c r="J248" s="61" t="str">
        <f>IF('Направление 1'!E188=0,"",'Направление 1'!E188)</f>
        <v/>
      </c>
    </row>
    <row r="249" spans="1:10" ht="150" customHeight="1" thickBot="1" x14ac:dyDescent="0.35">
      <c r="A249" s="36">
        <v>62</v>
      </c>
      <c r="B249" s="132" t="str">
        <f>IF('Направление 1'!B189="","",'Направление 1'!B189)</f>
        <v/>
      </c>
      <c r="C249" s="133"/>
      <c r="D249" s="131"/>
      <c r="E249" s="130" t="str">
        <f>IF('Направление 1'!C189="","",'Направление 1'!C189)</f>
        <v/>
      </c>
      <c r="F249" s="133"/>
      <c r="G249" s="131"/>
      <c r="H249" s="130" t="str">
        <f>IF('Направление 1'!D189="","",'Направление 1'!D189)</f>
        <v>х</v>
      </c>
      <c r="I249" s="131"/>
      <c r="J249" s="61" t="str">
        <f>IF('Направление 1'!E189=0,"",'Направление 1'!E189)</f>
        <v/>
      </c>
    </row>
    <row r="250" spans="1:10" ht="150" customHeight="1" thickBot="1" x14ac:dyDescent="0.35">
      <c r="A250" s="36">
        <v>63</v>
      </c>
      <c r="B250" s="132" t="str">
        <f>IF('Направление 1'!B190="","",'Направление 1'!B190)</f>
        <v/>
      </c>
      <c r="C250" s="133"/>
      <c r="D250" s="131"/>
      <c r="E250" s="130" t="str">
        <f>IF('Направление 1'!C190="","",'Направление 1'!C190)</f>
        <v/>
      </c>
      <c r="F250" s="133"/>
      <c r="G250" s="131"/>
      <c r="H250" s="130" t="str">
        <f>IF('Направление 1'!D190="","",'Направление 1'!D190)</f>
        <v>х</v>
      </c>
      <c r="I250" s="131"/>
      <c r="J250" s="61" t="str">
        <f>IF('Направление 1'!E190=0,"",'Направление 1'!E190)</f>
        <v/>
      </c>
    </row>
    <row r="251" spans="1:10" ht="150" customHeight="1" thickBot="1" x14ac:dyDescent="0.35">
      <c r="A251" s="36">
        <v>64</v>
      </c>
      <c r="B251" s="132" t="str">
        <f>IF('Направление 1'!B191="","",'Направление 1'!B191)</f>
        <v/>
      </c>
      <c r="C251" s="133"/>
      <c r="D251" s="131"/>
      <c r="E251" s="130" t="str">
        <f>IF('Направление 1'!C191="","",'Направление 1'!C191)</f>
        <v/>
      </c>
      <c r="F251" s="133"/>
      <c r="G251" s="131"/>
      <c r="H251" s="130" t="str">
        <f>IF('Направление 1'!D191="","",'Направление 1'!D191)</f>
        <v>х</v>
      </c>
      <c r="I251" s="131"/>
      <c r="J251" s="61" t="str">
        <f>IF('Направление 1'!E191=0,"",'Направление 1'!E191)</f>
        <v/>
      </c>
    </row>
    <row r="252" spans="1:10" ht="150" customHeight="1" thickBot="1" x14ac:dyDescent="0.35">
      <c r="A252" s="36">
        <v>65</v>
      </c>
      <c r="B252" s="132" t="str">
        <f>IF('Направление 1'!B192="","",'Направление 1'!B192)</f>
        <v/>
      </c>
      <c r="C252" s="133"/>
      <c r="D252" s="131"/>
      <c r="E252" s="130" t="str">
        <f>IF('Направление 1'!C192="","",'Направление 1'!C192)</f>
        <v/>
      </c>
      <c r="F252" s="133"/>
      <c r="G252" s="131"/>
      <c r="H252" s="130" t="str">
        <f>IF('Направление 1'!D192="","",'Направление 1'!D192)</f>
        <v>х</v>
      </c>
      <c r="I252" s="131"/>
      <c r="J252" s="61" t="str">
        <f>IF('Направление 1'!E192=0,"",'Направление 1'!E192)</f>
        <v/>
      </c>
    </row>
    <row r="253" spans="1:10" ht="150" customHeight="1" thickBot="1" x14ac:dyDescent="0.35">
      <c r="A253" s="36">
        <v>66</v>
      </c>
      <c r="B253" s="132" t="str">
        <f>IF('Направление 1'!B193="","",'Направление 1'!B193)</f>
        <v/>
      </c>
      <c r="C253" s="133"/>
      <c r="D253" s="131"/>
      <c r="E253" s="130" t="str">
        <f>IF('Направление 1'!C193="","",'Направление 1'!C193)</f>
        <v/>
      </c>
      <c r="F253" s="133"/>
      <c r="G253" s="131"/>
      <c r="H253" s="130" t="str">
        <f>IF('Направление 1'!D193="","",'Направление 1'!D193)</f>
        <v>х</v>
      </c>
      <c r="I253" s="131"/>
      <c r="J253" s="61" t="str">
        <f>IF('Направление 1'!E193=0,"",'Направление 1'!E193)</f>
        <v/>
      </c>
    </row>
    <row r="254" spans="1:10" ht="150" customHeight="1" thickBot="1" x14ac:dyDescent="0.35">
      <c r="A254" s="36">
        <v>67</v>
      </c>
      <c r="B254" s="132" t="str">
        <f>IF('Направление 1'!B194="","",'Направление 1'!B194)</f>
        <v/>
      </c>
      <c r="C254" s="133"/>
      <c r="D254" s="131"/>
      <c r="E254" s="130" t="str">
        <f>IF('Направление 1'!C194="","",'Направление 1'!C194)</f>
        <v/>
      </c>
      <c r="F254" s="133"/>
      <c r="G254" s="131"/>
      <c r="H254" s="130" t="str">
        <f>IF('Направление 1'!D194="","",'Направление 1'!D194)</f>
        <v>х</v>
      </c>
      <c r="I254" s="131"/>
      <c r="J254" s="61" t="str">
        <f>IF('Направление 1'!E194=0,"",'Направление 1'!E194)</f>
        <v/>
      </c>
    </row>
    <row r="255" spans="1:10" ht="150" customHeight="1" thickBot="1" x14ac:dyDescent="0.35">
      <c r="A255" s="36">
        <v>68</v>
      </c>
      <c r="B255" s="132" t="str">
        <f>IF('Направление 1'!B195="","",'Направление 1'!B195)</f>
        <v/>
      </c>
      <c r="C255" s="133"/>
      <c r="D255" s="131"/>
      <c r="E255" s="130" t="str">
        <f>IF('Направление 1'!C195="","",'Направление 1'!C195)</f>
        <v/>
      </c>
      <c r="F255" s="133"/>
      <c r="G255" s="131"/>
      <c r="H255" s="130" t="str">
        <f>IF('Направление 1'!D195="","",'Направление 1'!D195)</f>
        <v>х</v>
      </c>
      <c r="I255" s="131"/>
      <c r="J255" s="61" t="str">
        <f>IF('Направление 1'!E195=0,"",'Направление 1'!E195)</f>
        <v/>
      </c>
    </row>
    <row r="256" spans="1:10" ht="150" customHeight="1" thickBot="1" x14ac:dyDescent="0.35">
      <c r="A256" s="36">
        <v>69</v>
      </c>
      <c r="B256" s="132" t="str">
        <f>IF('Направление 1'!B196="","",'Направление 1'!B196)</f>
        <v/>
      </c>
      <c r="C256" s="133"/>
      <c r="D256" s="131"/>
      <c r="E256" s="130" t="str">
        <f>IF('Направление 1'!C196="","",'Направление 1'!C196)</f>
        <v/>
      </c>
      <c r="F256" s="133"/>
      <c r="G256" s="131"/>
      <c r="H256" s="130" t="str">
        <f>IF('Направление 1'!D196="","",'Направление 1'!D196)</f>
        <v>х</v>
      </c>
      <c r="I256" s="131"/>
      <c r="J256" s="61" t="str">
        <f>IF('Направление 1'!E196=0,"",'Направление 1'!E196)</f>
        <v/>
      </c>
    </row>
    <row r="257" spans="1:10" ht="150" customHeight="1" thickBot="1" x14ac:dyDescent="0.35">
      <c r="A257" s="36">
        <v>70</v>
      </c>
      <c r="B257" s="132" t="str">
        <f>IF('Направление 1'!B197="","",'Направление 1'!B197)</f>
        <v/>
      </c>
      <c r="C257" s="133"/>
      <c r="D257" s="131"/>
      <c r="E257" s="130" t="str">
        <f>IF('Направление 1'!C197="","",'Направление 1'!C197)</f>
        <v/>
      </c>
      <c r="F257" s="133"/>
      <c r="G257" s="131"/>
      <c r="H257" s="130" t="str">
        <f>IF('Направление 1'!D197="","",'Направление 1'!D197)</f>
        <v>х</v>
      </c>
      <c r="I257" s="131"/>
      <c r="J257" s="61" t="str">
        <f>IF('Направление 1'!E197=0,"",'Направление 1'!E197)</f>
        <v/>
      </c>
    </row>
    <row r="258" spans="1:10" ht="150" customHeight="1" thickBot="1" x14ac:dyDescent="0.35">
      <c r="A258" s="36">
        <v>71</v>
      </c>
      <c r="B258" s="132" t="str">
        <f>IF('Направление 1'!B198="","",'Направление 1'!B198)</f>
        <v/>
      </c>
      <c r="C258" s="133"/>
      <c r="D258" s="131"/>
      <c r="E258" s="130" t="str">
        <f>IF('Направление 1'!C198="","",'Направление 1'!C198)</f>
        <v/>
      </c>
      <c r="F258" s="133"/>
      <c r="G258" s="131"/>
      <c r="H258" s="130" t="str">
        <f>IF('Направление 1'!D198="","",'Направление 1'!D198)</f>
        <v>х</v>
      </c>
      <c r="I258" s="131"/>
      <c r="J258" s="61" t="str">
        <f>IF('Направление 1'!E198=0,"",'Направление 1'!E198)</f>
        <v/>
      </c>
    </row>
    <row r="259" spans="1:10" ht="150" customHeight="1" thickBot="1" x14ac:dyDescent="0.35">
      <c r="A259" s="36">
        <v>72</v>
      </c>
      <c r="B259" s="132" t="str">
        <f>IF('Направление 1'!B199="","",'Направление 1'!B199)</f>
        <v/>
      </c>
      <c r="C259" s="133"/>
      <c r="D259" s="131"/>
      <c r="E259" s="130" t="str">
        <f>IF('Направление 1'!C199="","",'Направление 1'!C199)</f>
        <v/>
      </c>
      <c r="F259" s="133"/>
      <c r="G259" s="131"/>
      <c r="H259" s="130" t="str">
        <f>IF('Направление 1'!D199="","",'Направление 1'!D199)</f>
        <v>х</v>
      </c>
      <c r="I259" s="131"/>
      <c r="J259" s="61" t="str">
        <f>IF('Направление 1'!E199=0,"",'Направление 1'!E199)</f>
        <v/>
      </c>
    </row>
    <row r="260" spans="1:10" ht="150" customHeight="1" thickBot="1" x14ac:dyDescent="0.35">
      <c r="A260" s="36">
        <v>73</v>
      </c>
      <c r="B260" s="132" t="str">
        <f>IF('Направление 1'!B200="","",'Направление 1'!B200)</f>
        <v/>
      </c>
      <c r="C260" s="133"/>
      <c r="D260" s="131"/>
      <c r="E260" s="130" t="str">
        <f>IF('Направление 1'!C200="","",'Направление 1'!C200)</f>
        <v/>
      </c>
      <c r="F260" s="133"/>
      <c r="G260" s="131"/>
      <c r="H260" s="130" t="str">
        <f>IF('Направление 1'!D200="","",'Направление 1'!D200)</f>
        <v>х</v>
      </c>
      <c r="I260" s="131"/>
      <c r="J260" s="61" t="str">
        <f>IF('Направление 1'!E200=0,"",'Направление 1'!E200)</f>
        <v/>
      </c>
    </row>
    <row r="261" spans="1:10" ht="150" customHeight="1" thickBot="1" x14ac:dyDescent="0.35">
      <c r="A261" s="36">
        <v>74</v>
      </c>
      <c r="B261" s="132" t="str">
        <f>IF('Направление 1'!B201="","",'Направление 1'!B201)</f>
        <v/>
      </c>
      <c r="C261" s="133"/>
      <c r="D261" s="131"/>
      <c r="E261" s="130" t="str">
        <f>IF('Направление 1'!C201="","",'Направление 1'!C201)</f>
        <v/>
      </c>
      <c r="F261" s="133"/>
      <c r="G261" s="131"/>
      <c r="H261" s="130" t="str">
        <f>IF('Направление 1'!D201="","",'Направление 1'!D201)</f>
        <v>х</v>
      </c>
      <c r="I261" s="131"/>
      <c r="J261" s="61" t="str">
        <f>IF('Направление 1'!E201=0,"",'Направление 1'!E201)</f>
        <v/>
      </c>
    </row>
    <row r="262" spans="1:10" ht="150" customHeight="1" thickBot="1" x14ac:dyDescent="0.35">
      <c r="A262" s="36">
        <v>75</v>
      </c>
      <c r="B262" s="132" t="str">
        <f>IF('Направление 1'!B202="","",'Направление 1'!B202)</f>
        <v/>
      </c>
      <c r="C262" s="133"/>
      <c r="D262" s="131"/>
      <c r="E262" s="130" t="str">
        <f>IF('Направление 1'!C202="","",'Направление 1'!C202)</f>
        <v/>
      </c>
      <c r="F262" s="133"/>
      <c r="G262" s="131"/>
      <c r="H262" s="130" t="str">
        <f>IF('Направление 1'!D202="","",'Направление 1'!D202)</f>
        <v>х</v>
      </c>
      <c r="I262" s="131"/>
      <c r="J262" s="61" t="str">
        <f>IF('Направление 1'!E202=0,"",'Направление 1'!E202)</f>
        <v/>
      </c>
    </row>
    <row r="263" spans="1:10" ht="150" customHeight="1" thickBot="1" x14ac:dyDescent="0.35">
      <c r="A263" s="36">
        <v>76</v>
      </c>
      <c r="B263" s="132" t="str">
        <f>IF('Направление 1'!B203="","",'Направление 1'!B203)</f>
        <v/>
      </c>
      <c r="C263" s="133"/>
      <c r="D263" s="131"/>
      <c r="E263" s="130" t="str">
        <f>IF('Направление 1'!C203="","",'Направление 1'!C203)</f>
        <v/>
      </c>
      <c r="F263" s="133"/>
      <c r="G263" s="131"/>
      <c r="H263" s="130" t="str">
        <f>IF('Направление 1'!D203="","",'Направление 1'!D203)</f>
        <v>х</v>
      </c>
      <c r="I263" s="131"/>
      <c r="J263" s="61" t="str">
        <f>IF('Направление 1'!E203=0,"",'Направление 1'!E203)</f>
        <v/>
      </c>
    </row>
    <row r="264" spans="1:10" ht="150" customHeight="1" thickBot="1" x14ac:dyDescent="0.35">
      <c r="A264" s="36">
        <v>77</v>
      </c>
      <c r="B264" s="132" t="str">
        <f>IF('Направление 1'!B204="","",'Направление 1'!B204)</f>
        <v/>
      </c>
      <c r="C264" s="133"/>
      <c r="D264" s="131"/>
      <c r="E264" s="130" t="str">
        <f>IF('Направление 1'!C204="","",'Направление 1'!C204)</f>
        <v/>
      </c>
      <c r="F264" s="133"/>
      <c r="G264" s="131"/>
      <c r="H264" s="130" t="str">
        <f>IF('Направление 1'!D204="","",'Направление 1'!D204)</f>
        <v>х</v>
      </c>
      <c r="I264" s="131"/>
      <c r="J264" s="61" t="str">
        <f>IF('Направление 1'!E204=0,"",'Направление 1'!E204)</f>
        <v/>
      </c>
    </row>
    <row r="265" spans="1:10" ht="150" customHeight="1" thickBot="1" x14ac:dyDescent="0.35">
      <c r="A265" s="36">
        <v>78</v>
      </c>
      <c r="B265" s="132" t="str">
        <f>IF('Направление 1'!B205="","",'Направление 1'!B205)</f>
        <v/>
      </c>
      <c r="C265" s="133"/>
      <c r="D265" s="131"/>
      <c r="E265" s="130" t="str">
        <f>IF('Направление 1'!C205="","",'Направление 1'!C205)</f>
        <v/>
      </c>
      <c r="F265" s="133"/>
      <c r="G265" s="131"/>
      <c r="H265" s="130" t="str">
        <f>IF('Направление 1'!D205="","",'Направление 1'!D205)</f>
        <v>х</v>
      </c>
      <c r="I265" s="131"/>
      <c r="J265" s="61" t="str">
        <f>IF('Направление 1'!E205=0,"",'Направление 1'!E205)</f>
        <v/>
      </c>
    </row>
    <row r="266" spans="1:10" ht="150" customHeight="1" thickBot="1" x14ac:dyDescent="0.35">
      <c r="A266" s="36">
        <v>79</v>
      </c>
      <c r="B266" s="132" t="str">
        <f>IF('Направление 1'!B206="","",'Направление 1'!B206)</f>
        <v/>
      </c>
      <c r="C266" s="133"/>
      <c r="D266" s="131"/>
      <c r="E266" s="130" t="str">
        <f>IF('Направление 1'!C206="","",'Направление 1'!C206)</f>
        <v/>
      </c>
      <c r="F266" s="133"/>
      <c r="G266" s="131"/>
      <c r="H266" s="130" t="str">
        <f>IF('Направление 1'!D206="","",'Направление 1'!D206)</f>
        <v>х</v>
      </c>
      <c r="I266" s="131"/>
      <c r="J266" s="61" t="str">
        <f>IF('Направление 1'!E206=0,"",'Направление 1'!E206)</f>
        <v/>
      </c>
    </row>
    <row r="267" spans="1:10" ht="150" customHeight="1" thickBot="1" x14ac:dyDescent="0.35">
      <c r="A267" s="36">
        <v>80</v>
      </c>
      <c r="B267" s="132" t="str">
        <f>IF('Направление 1'!B207="","",'Направление 1'!B207)</f>
        <v/>
      </c>
      <c r="C267" s="133"/>
      <c r="D267" s="131"/>
      <c r="E267" s="130" t="str">
        <f>IF('Направление 1'!C207="","",'Направление 1'!C207)</f>
        <v/>
      </c>
      <c r="F267" s="133"/>
      <c r="G267" s="131"/>
      <c r="H267" s="130" t="str">
        <f>IF('Направление 1'!D207="","",'Направление 1'!D207)</f>
        <v>х</v>
      </c>
      <c r="I267" s="131"/>
      <c r="J267" s="61" t="str">
        <f>IF('Направление 1'!E207=0,"",'Направление 1'!E207)</f>
        <v/>
      </c>
    </row>
    <row r="268" spans="1:10" ht="16.5" customHeight="1" thickBot="1" x14ac:dyDescent="0.35">
      <c r="A268" s="31">
        <v>7.2</v>
      </c>
      <c r="B268" s="241" t="s">
        <v>63</v>
      </c>
      <c r="C268" s="135"/>
      <c r="D268" s="135"/>
      <c r="E268" s="135"/>
      <c r="F268" s="135"/>
      <c r="G268" s="135"/>
      <c r="H268" s="135"/>
      <c r="I268" s="135"/>
      <c r="J268" s="136"/>
    </row>
    <row r="269" spans="1:10" x14ac:dyDescent="0.3">
      <c r="A269" s="38"/>
      <c r="B269" s="218" t="s">
        <v>52</v>
      </c>
      <c r="C269" s="153"/>
      <c r="D269" s="153"/>
      <c r="E269" s="153"/>
      <c r="F269" s="153"/>
      <c r="G269" s="153"/>
      <c r="H269" s="153"/>
      <c r="I269" s="153"/>
      <c r="J269" s="154"/>
    </row>
    <row r="270" spans="1:10" ht="35.700000000000003" customHeight="1" thickBot="1" x14ac:dyDescent="0.35">
      <c r="A270" s="38"/>
      <c r="B270" s="149" t="s">
        <v>53</v>
      </c>
      <c r="C270" s="133"/>
      <c r="D270" s="131"/>
      <c r="E270" s="140" t="s">
        <v>54</v>
      </c>
      <c r="F270" s="133"/>
      <c r="G270" s="131"/>
      <c r="H270" s="140" t="s">
        <v>55</v>
      </c>
      <c r="I270" s="131"/>
      <c r="J270" s="50" t="s">
        <v>56</v>
      </c>
    </row>
    <row r="271" spans="1:10" ht="150" customHeight="1" x14ac:dyDescent="0.3">
      <c r="A271" s="39">
        <v>1</v>
      </c>
      <c r="B271" s="150" t="str">
        <f>IF('Направление 2'!B4="","",'Направление 2'!B4)</f>
        <v/>
      </c>
      <c r="C271" s="133"/>
      <c r="D271" s="131"/>
      <c r="E271" s="130" t="str">
        <f>IF('Направление 2'!C4="","",'Направление 2'!C4)</f>
        <v/>
      </c>
      <c r="F271" s="133"/>
      <c r="G271" s="131"/>
      <c r="H271" s="130" t="str">
        <f>IF('Направление 2'!D4="","",'Направление 2'!D4)</f>
        <v/>
      </c>
      <c r="I271" s="131"/>
      <c r="J271" s="61" t="str">
        <f>IF('Направление 2'!E4=0,"",'Направление 2'!E4)</f>
        <v/>
      </c>
    </row>
    <row r="272" spans="1:10" ht="150" customHeight="1" x14ac:dyDescent="0.3">
      <c r="A272" s="40">
        <v>2</v>
      </c>
      <c r="B272" s="150" t="str">
        <f>IF('Направление 2'!B5="","",'Направление 2'!B5)</f>
        <v/>
      </c>
      <c r="C272" s="133"/>
      <c r="D272" s="131"/>
      <c r="E272" s="130" t="str">
        <f>IF('Направление 2'!C5="","",'Направление 2'!C5)</f>
        <v/>
      </c>
      <c r="F272" s="133"/>
      <c r="G272" s="131"/>
      <c r="H272" s="130" t="str">
        <f>IF('Направление 2'!D5="","",'Направление 2'!D5)</f>
        <v/>
      </c>
      <c r="I272" s="131"/>
      <c r="J272" s="61" t="str">
        <f>IF('Направление 2'!E5=0,"",'Направление 2'!E5)</f>
        <v/>
      </c>
    </row>
    <row r="273" spans="1:10" ht="150" customHeight="1" x14ac:dyDescent="0.3">
      <c r="A273" s="40">
        <v>3</v>
      </c>
      <c r="B273" s="150" t="str">
        <f>IF('Направление 2'!B6="","",'Направление 2'!B6)</f>
        <v/>
      </c>
      <c r="C273" s="133"/>
      <c r="D273" s="131"/>
      <c r="E273" s="130" t="str">
        <f>IF('Направление 2'!C6="","",'Направление 2'!C6)</f>
        <v/>
      </c>
      <c r="F273" s="133"/>
      <c r="G273" s="131"/>
      <c r="H273" s="130" t="str">
        <f>IF('Направление 2'!D6="","",'Направление 2'!D6)</f>
        <v/>
      </c>
      <c r="I273" s="131"/>
      <c r="J273" s="61" t="str">
        <f>IF('Направление 2'!E6=0,"",'Направление 2'!E6)</f>
        <v/>
      </c>
    </row>
    <row r="274" spans="1:10" ht="150" customHeight="1" x14ac:dyDescent="0.3">
      <c r="A274" s="40">
        <v>4</v>
      </c>
      <c r="B274" s="150" t="str">
        <f>IF('Направление 2'!B7="","",'Направление 2'!B7)</f>
        <v/>
      </c>
      <c r="C274" s="133"/>
      <c r="D274" s="131"/>
      <c r="E274" s="130" t="str">
        <f>IF('Направление 2'!C7="","",'Направление 2'!C7)</f>
        <v/>
      </c>
      <c r="F274" s="133"/>
      <c r="G274" s="131"/>
      <c r="H274" s="130" t="str">
        <f>IF('Направление 2'!D7="","",'Направление 2'!D7)</f>
        <v/>
      </c>
      <c r="I274" s="131"/>
      <c r="J274" s="61" t="str">
        <f>IF('Направление 2'!E7=0,"",'Направление 2'!E7)</f>
        <v/>
      </c>
    </row>
    <row r="275" spans="1:10" ht="150" customHeight="1" x14ac:dyDescent="0.3">
      <c r="A275" s="40">
        <v>5</v>
      </c>
      <c r="B275" s="150" t="str">
        <f>IF('Направление 2'!B8="","",'Направление 2'!B8)</f>
        <v/>
      </c>
      <c r="C275" s="133"/>
      <c r="D275" s="131"/>
      <c r="E275" s="130" t="str">
        <f>IF('Направление 2'!C8="","",'Направление 2'!C8)</f>
        <v/>
      </c>
      <c r="F275" s="133"/>
      <c r="G275" s="131"/>
      <c r="H275" s="130" t="str">
        <f>IF('Направление 2'!D8="","",'Направление 2'!D8)</f>
        <v/>
      </c>
      <c r="I275" s="131"/>
      <c r="J275" s="61" t="str">
        <f>IF('Направление 2'!E8=0,"",'Направление 2'!E8)</f>
        <v/>
      </c>
    </row>
    <row r="276" spans="1:10" ht="150" customHeight="1" x14ac:dyDescent="0.3">
      <c r="A276" s="40">
        <v>6</v>
      </c>
      <c r="B276" s="150" t="str">
        <f>IF('Направление 2'!B9="","",'Направление 2'!B9)</f>
        <v/>
      </c>
      <c r="C276" s="133"/>
      <c r="D276" s="131"/>
      <c r="E276" s="130" t="str">
        <f>IF('Направление 2'!C9="","",'Направление 2'!C9)</f>
        <v/>
      </c>
      <c r="F276" s="133"/>
      <c r="G276" s="131"/>
      <c r="H276" s="130" t="str">
        <f>IF('Направление 2'!D9="","",'Направление 2'!D9)</f>
        <v/>
      </c>
      <c r="I276" s="131"/>
      <c r="J276" s="61" t="str">
        <f>IF('Направление 2'!E9=0,"",'Направление 2'!E9)</f>
        <v/>
      </c>
    </row>
    <row r="277" spans="1:10" ht="150" customHeight="1" x14ac:dyDescent="0.3">
      <c r="A277" s="40">
        <v>7</v>
      </c>
      <c r="B277" s="150" t="str">
        <f>IF('Направление 2'!B10="","",'Направление 2'!B10)</f>
        <v/>
      </c>
      <c r="C277" s="133"/>
      <c r="D277" s="131"/>
      <c r="E277" s="130" t="str">
        <f>IF('Направление 2'!C10="","",'Направление 2'!C10)</f>
        <v/>
      </c>
      <c r="F277" s="133"/>
      <c r="G277" s="131"/>
      <c r="H277" s="130" t="str">
        <f>IF('Направление 2'!D10="","",'Направление 2'!D10)</f>
        <v/>
      </c>
      <c r="I277" s="131"/>
      <c r="J277" s="61" t="str">
        <f>IF('Направление 2'!E10=0,"",'Направление 2'!E10)</f>
        <v/>
      </c>
    </row>
    <row r="278" spans="1:10" ht="150" customHeight="1" x14ac:dyDescent="0.3">
      <c r="A278" s="40">
        <v>8</v>
      </c>
      <c r="B278" s="150" t="str">
        <f>IF('Направление 2'!B11="","",'Направление 2'!B11)</f>
        <v/>
      </c>
      <c r="C278" s="133"/>
      <c r="D278" s="131"/>
      <c r="E278" s="130" t="str">
        <f>IF('Направление 2'!C11="","",'Направление 2'!C11)</f>
        <v/>
      </c>
      <c r="F278" s="133"/>
      <c r="G278" s="131"/>
      <c r="H278" s="130" t="str">
        <f>IF('Направление 2'!D11="","",'Направление 2'!D11)</f>
        <v/>
      </c>
      <c r="I278" s="131"/>
      <c r="J278" s="61" t="str">
        <f>IF('Направление 2'!E11=0,"",'Направление 2'!E11)</f>
        <v/>
      </c>
    </row>
    <row r="279" spans="1:10" ht="150" customHeight="1" x14ac:dyDescent="0.3">
      <c r="A279" s="40">
        <v>9</v>
      </c>
      <c r="B279" s="150" t="str">
        <f>IF('Направление 2'!B12="","",'Направление 2'!B12)</f>
        <v/>
      </c>
      <c r="C279" s="133"/>
      <c r="D279" s="131"/>
      <c r="E279" s="130" t="str">
        <f>IF('Направление 2'!C12="","",'Направление 2'!C12)</f>
        <v/>
      </c>
      <c r="F279" s="133"/>
      <c r="G279" s="131"/>
      <c r="H279" s="130" t="str">
        <f>IF('Направление 2'!D12="","",'Направление 2'!D12)</f>
        <v/>
      </c>
      <c r="I279" s="131"/>
      <c r="J279" s="61" t="str">
        <f>IF('Направление 2'!E12=0,"",'Направление 2'!E12)</f>
        <v/>
      </c>
    </row>
    <row r="280" spans="1:10" ht="150" customHeight="1" x14ac:dyDescent="0.3">
      <c r="A280" s="40">
        <v>10</v>
      </c>
      <c r="B280" s="150" t="str">
        <f>IF('Направление 2'!B13="","",'Направление 2'!B13)</f>
        <v/>
      </c>
      <c r="C280" s="133"/>
      <c r="D280" s="131"/>
      <c r="E280" s="130" t="str">
        <f>IF('Направление 2'!C13="","",'Направление 2'!C13)</f>
        <v/>
      </c>
      <c r="F280" s="133"/>
      <c r="G280" s="131"/>
      <c r="H280" s="130" t="str">
        <f>IF('Направление 2'!D13="","",'Направление 2'!D13)</f>
        <v/>
      </c>
      <c r="I280" s="131"/>
      <c r="J280" s="61" t="str">
        <f>IF('Направление 2'!E13=0,"",'Направление 2'!E13)</f>
        <v/>
      </c>
    </row>
    <row r="281" spans="1:10" ht="150" customHeight="1" x14ac:dyDescent="0.3">
      <c r="A281" s="40">
        <v>11</v>
      </c>
      <c r="B281" s="150" t="str">
        <f>IF('Направление 2'!B14="","",'Направление 2'!B14)</f>
        <v/>
      </c>
      <c r="C281" s="133"/>
      <c r="D281" s="131"/>
      <c r="E281" s="130" t="str">
        <f>IF('Направление 2'!C14="","",'Направление 2'!C14)</f>
        <v/>
      </c>
      <c r="F281" s="133"/>
      <c r="G281" s="131"/>
      <c r="H281" s="130" t="str">
        <f>IF('Направление 2'!D14="","",'Направление 2'!D14)</f>
        <v/>
      </c>
      <c r="I281" s="131"/>
      <c r="J281" s="61" t="str">
        <f>IF('Направление 2'!E14=0,"",'Направление 2'!E14)</f>
        <v/>
      </c>
    </row>
    <row r="282" spans="1:10" ht="150" customHeight="1" x14ac:dyDescent="0.3">
      <c r="A282" s="40">
        <v>12</v>
      </c>
      <c r="B282" s="150" t="str">
        <f>IF('Направление 2'!B15="","",'Направление 2'!B15)</f>
        <v/>
      </c>
      <c r="C282" s="133"/>
      <c r="D282" s="131"/>
      <c r="E282" s="130" t="str">
        <f>IF('Направление 2'!C15="","",'Направление 2'!C15)</f>
        <v/>
      </c>
      <c r="F282" s="133"/>
      <c r="G282" s="131"/>
      <c r="H282" s="130" t="str">
        <f>IF('Направление 2'!D15="","",'Направление 2'!D15)</f>
        <v/>
      </c>
      <c r="I282" s="131"/>
      <c r="J282" s="61" t="str">
        <f>IF('Направление 2'!E15=0,"",'Направление 2'!E15)</f>
        <v/>
      </c>
    </row>
    <row r="283" spans="1:10" ht="150" customHeight="1" x14ac:dyDescent="0.3">
      <c r="A283" s="40">
        <v>13</v>
      </c>
      <c r="B283" s="150" t="str">
        <f>IF('Направление 2'!B16="","",'Направление 2'!B16)</f>
        <v/>
      </c>
      <c r="C283" s="133"/>
      <c r="D283" s="131"/>
      <c r="E283" s="130" t="str">
        <f>IF('Направление 2'!C16="","",'Направление 2'!C16)</f>
        <v/>
      </c>
      <c r="F283" s="133"/>
      <c r="G283" s="131"/>
      <c r="H283" s="130" t="str">
        <f>IF('Направление 2'!D16="","",'Направление 2'!D16)</f>
        <v/>
      </c>
      <c r="I283" s="131"/>
      <c r="J283" s="61" t="str">
        <f>IF('Направление 2'!E16=0,"",'Направление 2'!E16)</f>
        <v/>
      </c>
    </row>
    <row r="284" spans="1:10" ht="150" customHeight="1" x14ac:dyDescent="0.3">
      <c r="A284" s="40">
        <v>14</v>
      </c>
      <c r="B284" s="150" t="str">
        <f>IF('Направление 2'!B17="","",'Направление 2'!B17)</f>
        <v/>
      </c>
      <c r="C284" s="133"/>
      <c r="D284" s="131"/>
      <c r="E284" s="130" t="str">
        <f>IF('Направление 2'!C17="","",'Направление 2'!C17)</f>
        <v/>
      </c>
      <c r="F284" s="133"/>
      <c r="G284" s="131"/>
      <c r="H284" s="130" t="str">
        <f>IF('Направление 2'!D17="","",'Направление 2'!D17)</f>
        <v/>
      </c>
      <c r="I284" s="131"/>
      <c r="J284" s="61" t="str">
        <f>IF('Направление 2'!E17=0,"",'Направление 2'!E17)</f>
        <v/>
      </c>
    </row>
    <row r="285" spans="1:10" ht="150" customHeight="1" x14ac:dyDescent="0.3">
      <c r="A285" s="40">
        <v>15</v>
      </c>
      <c r="B285" s="150" t="str">
        <f>IF('Направление 2'!B18="","",'Направление 2'!B18)</f>
        <v/>
      </c>
      <c r="C285" s="133"/>
      <c r="D285" s="131"/>
      <c r="E285" s="130" t="str">
        <f>IF('Направление 2'!C18="","",'Направление 2'!C18)</f>
        <v/>
      </c>
      <c r="F285" s="133"/>
      <c r="G285" s="131"/>
      <c r="H285" s="130" t="str">
        <f>IF('Направление 2'!D18="","",'Направление 2'!D18)</f>
        <v/>
      </c>
      <c r="I285" s="131"/>
      <c r="J285" s="61" t="str">
        <f>IF('Направление 2'!E18=0,"",'Направление 2'!E18)</f>
        <v/>
      </c>
    </row>
    <row r="286" spans="1:10" ht="150" customHeight="1" x14ac:dyDescent="0.3">
      <c r="A286" s="40">
        <v>16</v>
      </c>
      <c r="B286" s="150" t="str">
        <f>IF('Направление 2'!B19="","",'Направление 2'!B19)</f>
        <v/>
      </c>
      <c r="C286" s="133"/>
      <c r="D286" s="131"/>
      <c r="E286" s="130" t="str">
        <f>IF('Направление 2'!C19="","",'Направление 2'!C19)</f>
        <v/>
      </c>
      <c r="F286" s="133"/>
      <c r="G286" s="131"/>
      <c r="H286" s="130" t="str">
        <f>IF('Направление 2'!D19="","",'Направление 2'!D19)</f>
        <v/>
      </c>
      <c r="I286" s="131"/>
      <c r="J286" s="61" t="str">
        <f>IF('Направление 2'!E19=0,"",'Направление 2'!E19)</f>
        <v/>
      </c>
    </row>
    <row r="287" spans="1:10" ht="150" customHeight="1" x14ac:dyDescent="0.3">
      <c r="A287" s="40">
        <v>17</v>
      </c>
      <c r="B287" s="150" t="str">
        <f>IF('Направление 2'!B20="","",'Направление 2'!B20)</f>
        <v/>
      </c>
      <c r="C287" s="133"/>
      <c r="D287" s="131"/>
      <c r="E287" s="130" t="str">
        <f>IF('Направление 2'!C20="","",'Направление 2'!C20)</f>
        <v/>
      </c>
      <c r="F287" s="133"/>
      <c r="G287" s="131"/>
      <c r="H287" s="130" t="str">
        <f>IF('Направление 2'!D20="","",'Направление 2'!D20)</f>
        <v/>
      </c>
      <c r="I287" s="131"/>
      <c r="J287" s="61" t="str">
        <f>IF('Направление 2'!E20=0,"",'Направление 2'!E20)</f>
        <v/>
      </c>
    </row>
    <row r="288" spans="1:10" ht="150" customHeight="1" x14ac:dyDescent="0.3">
      <c r="A288" s="40">
        <v>18</v>
      </c>
      <c r="B288" s="150" t="str">
        <f>IF('Направление 2'!B21="","",'Направление 2'!B21)</f>
        <v/>
      </c>
      <c r="C288" s="133"/>
      <c r="D288" s="131"/>
      <c r="E288" s="130" t="str">
        <f>IF('Направление 2'!C21="","",'Направление 2'!C21)</f>
        <v/>
      </c>
      <c r="F288" s="133"/>
      <c r="G288" s="131"/>
      <c r="H288" s="130" t="str">
        <f>IF('Направление 2'!D21="","",'Направление 2'!D21)</f>
        <v/>
      </c>
      <c r="I288" s="131"/>
      <c r="J288" s="61" t="str">
        <f>IF('Направление 2'!E21=0,"",'Направление 2'!E21)</f>
        <v/>
      </c>
    </row>
    <row r="289" spans="1:10" ht="150" customHeight="1" x14ac:dyDescent="0.3">
      <c r="A289" s="40">
        <v>19</v>
      </c>
      <c r="B289" s="150" t="str">
        <f>IF('Направление 2'!B22="","",'Направление 2'!B22)</f>
        <v/>
      </c>
      <c r="C289" s="133"/>
      <c r="D289" s="131"/>
      <c r="E289" s="130" t="str">
        <f>IF('Направление 2'!C22="","",'Направление 2'!C22)</f>
        <v/>
      </c>
      <c r="F289" s="133"/>
      <c r="G289" s="131"/>
      <c r="H289" s="130" t="str">
        <f>IF('Направление 2'!D22="","",'Направление 2'!D22)</f>
        <v/>
      </c>
      <c r="I289" s="131"/>
      <c r="J289" s="61" t="str">
        <f>IF('Направление 2'!E22=0,"",'Направление 2'!E22)</f>
        <v/>
      </c>
    </row>
    <row r="290" spans="1:10" ht="150" customHeight="1" thickBot="1" x14ac:dyDescent="0.35">
      <c r="A290" s="41">
        <v>20</v>
      </c>
      <c r="B290" s="150" t="str">
        <f>IF('Направление 2'!B23="","",'Направление 2'!B23)</f>
        <v/>
      </c>
      <c r="C290" s="133"/>
      <c r="D290" s="131"/>
      <c r="E290" s="130" t="str">
        <f>IF('Направление 2'!C23="","",'Направление 2'!C23)</f>
        <v/>
      </c>
      <c r="F290" s="133"/>
      <c r="G290" s="131"/>
      <c r="H290" s="130" t="str">
        <f>IF('Направление 2'!D23="","",'Направление 2'!D23)</f>
        <v/>
      </c>
      <c r="I290" s="131"/>
      <c r="J290" s="61" t="str">
        <f>IF('Направление 2'!E23=0,"",'Направление 2'!E23)</f>
        <v/>
      </c>
    </row>
    <row r="291" spans="1:10" ht="150" customHeight="1" x14ac:dyDescent="0.3">
      <c r="A291" s="39">
        <v>21</v>
      </c>
      <c r="B291" s="150" t="str">
        <f>IF('Направление 2'!B24="","",'Направление 2'!B24)</f>
        <v/>
      </c>
      <c r="C291" s="133"/>
      <c r="D291" s="131"/>
      <c r="E291" s="130" t="str">
        <f>IF('Направление 2'!C24="","",'Направление 2'!C24)</f>
        <v/>
      </c>
      <c r="F291" s="133"/>
      <c r="G291" s="131"/>
      <c r="H291" s="130" t="str">
        <f>IF('Направление 2'!D24="","",'Направление 2'!D24)</f>
        <v/>
      </c>
      <c r="I291" s="131"/>
      <c r="J291" s="61" t="str">
        <f>IF('Направление 2'!E24=0,"",'Направление 2'!E24)</f>
        <v/>
      </c>
    </row>
    <row r="292" spans="1:10" ht="150" customHeight="1" x14ac:dyDescent="0.3">
      <c r="A292" s="40">
        <v>22</v>
      </c>
      <c r="B292" s="150" t="str">
        <f>IF('Направление 2'!B25="","",'Направление 2'!B25)</f>
        <v/>
      </c>
      <c r="C292" s="133"/>
      <c r="D292" s="131"/>
      <c r="E292" s="130" t="str">
        <f>IF('Направление 2'!C25="","",'Направление 2'!C25)</f>
        <v/>
      </c>
      <c r="F292" s="133"/>
      <c r="G292" s="131"/>
      <c r="H292" s="130" t="str">
        <f>IF('Направление 2'!D25="","",'Направление 2'!D25)</f>
        <v/>
      </c>
      <c r="I292" s="131"/>
      <c r="J292" s="61" t="str">
        <f>IF('Направление 2'!E25=0,"",'Направление 2'!E25)</f>
        <v/>
      </c>
    </row>
    <row r="293" spans="1:10" ht="150" customHeight="1" x14ac:dyDescent="0.3">
      <c r="A293" s="40">
        <v>23</v>
      </c>
      <c r="B293" s="150" t="str">
        <f>IF('Направление 2'!B26="","",'Направление 2'!B26)</f>
        <v/>
      </c>
      <c r="C293" s="133"/>
      <c r="D293" s="131"/>
      <c r="E293" s="130" t="str">
        <f>IF('Направление 2'!C26="","",'Направление 2'!C26)</f>
        <v/>
      </c>
      <c r="F293" s="133"/>
      <c r="G293" s="131"/>
      <c r="H293" s="130" t="str">
        <f>IF('Направление 2'!D26="","",'Направление 2'!D26)</f>
        <v/>
      </c>
      <c r="I293" s="131"/>
      <c r="J293" s="61" t="str">
        <f>IF('Направление 2'!E26=0,"",'Направление 2'!E26)</f>
        <v/>
      </c>
    </row>
    <row r="294" spans="1:10" ht="150" customHeight="1" x14ac:dyDescent="0.3">
      <c r="A294" s="40">
        <v>24</v>
      </c>
      <c r="B294" s="150" t="str">
        <f>IF('Направление 2'!B27="","",'Направление 2'!B27)</f>
        <v/>
      </c>
      <c r="C294" s="133"/>
      <c r="D294" s="131"/>
      <c r="E294" s="130" t="str">
        <f>IF('Направление 2'!C27="","",'Направление 2'!C27)</f>
        <v/>
      </c>
      <c r="F294" s="133"/>
      <c r="G294" s="131"/>
      <c r="H294" s="130" t="str">
        <f>IF('Направление 2'!D27="","",'Направление 2'!D27)</f>
        <v/>
      </c>
      <c r="I294" s="131"/>
      <c r="J294" s="61" t="str">
        <f>IF('Направление 2'!E27=0,"",'Направление 2'!E27)</f>
        <v/>
      </c>
    </row>
    <row r="295" spans="1:10" ht="150" customHeight="1" x14ac:dyDescent="0.3">
      <c r="A295" s="40">
        <v>25</v>
      </c>
      <c r="B295" s="150" t="str">
        <f>IF('Направление 2'!B28="","",'Направление 2'!B28)</f>
        <v/>
      </c>
      <c r="C295" s="133"/>
      <c r="D295" s="131"/>
      <c r="E295" s="130" t="str">
        <f>IF('Направление 2'!C28="","",'Направление 2'!C28)</f>
        <v/>
      </c>
      <c r="F295" s="133"/>
      <c r="G295" s="131"/>
      <c r="H295" s="130" t="str">
        <f>IF('Направление 2'!D28="","",'Направление 2'!D28)</f>
        <v/>
      </c>
      <c r="I295" s="131"/>
      <c r="J295" s="61" t="str">
        <f>IF('Направление 2'!E28=0,"",'Направление 2'!E28)</f>
        <v/>
      </c>
    </row>
    <row r="296" spans="1:10" ht="150" customHeight="1" x14ac:dyDescent="0.3">
      <c r="A296" s="40">
        <v>26</v>
      </c>
      <c r="B296" s="150" t="str">
        <f>IF('Направление 2'!B29="","",'Направление 2'!B29)</f>
        <v/>
      </c>
      <c r="C296" s="133"/>
      <c r="D296" s="131"/>
      <c r="E296" s="130" t="str">
        <f>IF('Направление 2'!C29="","",'Направление 2'!C29)</f>
        <v/>
      </c>
      <c r="F296" s="133"/>
      <c r="G296" s="131"/>
      <c r="H296" s="130" t="str">
        <f>IF('Направление 2'!D29="","",'Направление 2'!D29)</f>
        <v/>
      </c>
      <c r="I296" s="131"/>
      <c r="J296" s="61" t="str">
        <f>IF('Направление 2'!E29=0,"",'Направление 2'!E29)</f>
        <v/>
      </c>
    </row>
    <row r="297" spans="1:10" ht="150" customHeight="1" x14ac:dyDescent="0.3">
      <c r="A297" s="40">
        <v>27</v>
      </c>
      <c r="B297" s="150" t="str">
        <f>IF('Направление 2'!B30="","",'Направление 2'!B30)</f>
        <v/>
      </c>
      <c r="C297" s="133"/>
      <c r="D297" s="131"/>
      <c r="E297" s="130" t="str">
        <f>IF('Направление 2'!C30="","",'Направление 2'!C30)</f>
        <v/>
      </c>
      <c r="F297" s="133"/>
      <c r="G297" s="131"/>
      <c r="H297" s="130" t="str">
        <f>IF('Направление 2'!D30="","",'Направление 2'!D30)</f>
        <v/>
      </c>
      <c r="I297" s="131"/>
      <c r="J297" s="61" t="str">
        <f>IF('Направление 2'!E30=0,"",'Направление 2'!E30)</f>
        <v/>
      </c>
    </row>
    <row r="298" spans="1:10" ht="150" customHeight="1" x14ac:dyDescent="0.3">
      <c r="A298" s="40">
        <v>28</v>
      </c>
      <c r="B298" s="150" t="str">
        <f>IF('Направление 2'!B31="","",'Направление 2'!B31)</f>
        <v/>
      </c>
      <c r="C298" s="133"/>
      <c r="D298" s="131"/>
      <c r="E298" s="130" t="str">
        <f>IF('Направление 2'!C31="","",'Направление 2'!C31)</f>
        <v/>
      </c>
      <c r="F298" s="133"/>
      <c r="G298" s="131"/>
      <c r="H298" s="130" t="str">
        <f>IF('Направление 2'!D31="","",'Направление 2'!D31)</f>
        <v/>
      </c>
      <c r="I298" s="131"/>
      <c r="J298" s="61" t="str">
        <f>IF('Направление 2'!E31=0,"",'Направление 2'!E31)</f>
        <v/>
      </c>
    </row>
    <row r="299" spans="1:10" ht="150" customHeight="1" x14ac:dyDescent="0.3">
      <c r="A299" s="40">
        <v>29</v>
      </c>
      <c r="B299" s="150" t="str">
        <f>IF('Направление 2'!B32="","",'Направление 2'!B32)</f>
        <v/>
      </c>
      <c r="C299" s="133"/>
      <c r="D299" s="131"/>
      <c r="E299" s="130" t="str">
        <f>IF('Направление 2'!C32="","",'Направление 2'!C32)</f>
        <v/>
      </c>
      <c r="F299" s="133"/>
      <c r="G299" s="131"/>
      <c r="H299" s="130" t="str">
        <f>IF('Направление 2'!D32="","",'Направление 2'!D32)</f>
        <v/>
      </c>
      <c r="I299" s="131"/>
      <c r="J299" s="61" t="str">
        <f>IF('Направление 2'!E32=0,"",'Направление 2'!E32)</f>
        <v/>
      </c>
    </row>
    <row r="300" spans="1:10" ht="150" customHeight="1" x14ac:dyDescent="0.3">
      <c r="A300" s="40">
        <v>30</v>
      </c>
      <c r="B300" s="150" t="str">
        <f>IF('Направление 2'!B33="","",'Направление 2'!B33)</f>
        <v/>
      </c>
      <c r="C300" s="133"/>
      <c r="D300" s="131"/>
      <c r="E300" s="130" t="str">
        <f>IF('Направление 2'!C33="","",'Направление 2'!C33)</f>
        <v/>
      </c>
      <c r="F300" s="133"/>
      <c r="G300" s="131"/>
      <c r="H300" s="130" t="str">
        <f>IF('Направление 2'!D33="","",'Направление 2'!D33)</f>
        <v/>
      </c>
      <c r="I300" s="131"/>
      <c r="J300" s="61" t="str">
        <f>IF('Направление 2'!E33=0,"",'Направление 2'!E33)</f>
        <v/>
      </c>
    </row>
    <row r="301" spans="1:10" ht="150" customHeight="1" x14ac:dyDescent="0.3">
      <c r="A301" s="40">
        <v>31</v>
      </c>
      <c r="B301" s="150" t="str">
        <f>IF('Направление 2'!B34="","",'Направление 2'!B34)</f>
        <v/>
      </c>
      <c r="C301" s="133"/>
      <c r="D301" s="131"/>
      <c r="E301" s="130" t="str">
        <f>IF('Направление 2'!C34="","",'Направление 2'!C34)</f>
        <v/>
      </c>
      <c r="F301" s="133"/>
      <c r="G301" s="131"/>
      <c r="H301" s="130" t="str">
        <f>IF('Направление 2'!D34="","",'Направление 2'!D34)</f>
        <v/>
      </c>
      <c r="I301" s="131"/>
      <c r="J301" s="61" t="str">
        <f>IF('Направление 2'!E34=0,"",'Направление 2'!E34)</f>
        <v/>
      </c>
    </row>
    <row r="302" spans="1:10" ht="150" customHeight="1" x14ac:dyDescent="0.3">
      <c r="A302" s="40">
        <v>32</v>
      </c>
      <c r="B302" s="150" t="str">
        <f>IF('Направление 2'!B35="","",'Направление 2'!B35)</f>
        <v/>
      </c>
      <c r="C302" s="133"/>
      <c r="D302" s="131"/>
      <c r="E302" s="130" t="str">
        <f>IF('Направление 2'!C35="","",'Направление 2'!C35)</f>
        <v/>
      </c>
      <c r="F302" s="133"/>
      <c r="G302" s="131"/>
      <c r="H302" s="130" t="str">
        <f>IF('Направление 2'!D35="","",'Направление 2'!D35)</f>
        <v/>
      </c>
      <c r="I302" s="131"/>
      <c r="J302" s="61" t="str">
        <f>IF('Направление 2'!E35=0,"",'Направление 2'!E35)</f>
        <v/>
      </c>
    </row>
    <row r="303" spans="1:10" ht="150" customHeight="1" x14ac:dyDescent="0.3">
      <c r="A303" s="40">
        <v>33</v>
      </c>
      <c r="B303" s="150" t="str">
        <f>IF('Направление 2'!B36="","",'Направление 2'!B36)</f>
        <v/>
      </c>
      <c r="C303" s="133"/>
      <c r="D303" s="131"/>
      <c r="E303" s="130" t="str">
        <f>IF('Направление 2'!C36="","",'Направление 2'!C36)</f>
        <v/>
      </c>
      <c r="F303" s="133"/>
      <c r="G303" s="131"/>
      <c r="H303" s="130" t="str">
        <f>IF('Направление 2'!D36="","",'Направление 2'!D36)</f>
        <v/>
      </c>
      <c r="I303" s="131"/>
      <c r="J303" s="61" t="str">
        <f>IF('Направление 2'!E36=0,"",'Направление 2'!E36)</f>
        <v/>
      </c>
    </row>
    <row r="304" spans="1:10" ht="150" customHeight="1" x14ac:dyDescent="0.3">
      <c r="A304" s="40">
        <v>34</v>
      </c>
      <c r="B304" s="150" t="str">
        <f>IF('Направление 2'!B37="","",'Направление 2'!B37)</f>
        <v/>
      </c>
      <c r="C304" s="133"/>
      <c r="D304" s="131"/>
      <c r="E304" s="130" t="str">
        <f>IF('Направление 2'!C37="","",'Направление 2'!C37)</f>
        <v/>
      </c>
      <c r="F304" s="133"/>
      <c r="G304" s="131"/>
      <c r="H304" s="130" t="str">
        <f>IF('Направление 2'!D37="","",'Направление 2'!D37)</f>
        <v/>
      </c>
      <c r="I304" s="131"/>
      <c r="J304" s="61" t="str">
        <f>IF('Направление 2'!E37=0,"",'Направление 2'!E37)</f>
        <v/>
      </c>
    </row>
    <row r="305" spans="1:10" ht="150" customHeight="1" x14ac:dyDescent="0.3">
      <c r="A305" s="40">
        <v>35</v>
      </c>
      <c r="B305" s="150" t="str">
        <f>IF('Направление 2'!B38="","",'Направление 2'!B38)</f>
        <v/>
      </c>
      <c r="C305" s="133"/>
      <c r="D305" s="131"/>
      <c r="E305" s="130" t="str">
        <f>IF('Направление 2'!C38="","",'Направление 2'!C38)</f>
        <v/>
      </c>
      <c r="F305" s="133"/>
      <c r="G305" s="131"/>
      <c r="H305" s="130" t="str">
        <f>IF('Направление 2'!D38="","",'Направление 2'!D38)</f>
        <v/>
      </c>
      <c r="I305" s="131"/>
      <c r="J305" s="61" t="str">
        <f>IF('Направление 2'!E38=0,"",'Направление 2'!E38)</f>
        <v/>
      </c>
    </row>
    <row r="306" spans="1:10" ht="150" customHeight="1" x14ac:dyDescent="0.3">
      <c r="A306" s="40">
        <v>36</v>
      </c>
      <c r="B306" s="150" t="str">
        <f>IF('Направление 2'!B39="","",'Направление 2'!B39)</f>
        <v/>
      </c>
      <c r="C306" s="133"/>
      <c r="D306" s="131"/>
      <c r="E306" s="130" t="str">
        <f>IF('Направление 2'!C39="","",'Направление 2'!C39)</f>
        <v/>
      </c>
      <c r="F306" s="133"/>
      <c r="G306" s="131"/>
      <c r="H306" s="130" t="str">
        <f>IF('Направление 2'!D39="","",'Направление 2'!D39)</f>
        <v/>
      </c>
      <c r="I306" s="131"/>
      <c r="J306" s="61" t="str">
        <f>IF('Направление 2'!E39=0,"",'Направление 2'!E39)</f>
        <v/>
      </c>
    </row>
    <row r="307" spans="1:10" ht="150" customHeight="1" x14ac:dyDescent="0.3">
      <c r="A307" s="40">
        <v>37</v>
      </c>
      <c r="B307" s="150" t="str">
        <f>IF('Направление 2'!B40="","",'Направление 2'!B40)</f>
        <v/>
      </c>
      <c r="C307" s="133"/>
      <c r="D307" s="131"/>
      <c r="E307" s="130" t="str">
        <f>IF('Направление 2'!C40="","",'Направление 2'!C40)</f>
        <v/>
      </c>
      <c r="F307" s="133"/>
      <c r="G307" s="131"/>
      <c r="H307" s="130" t="str">
        <f>IF('Направление 2'!D40="","",'Направление 2'!D40)</f>
        <v/>
      </c>
      <c r="I307" s="131"/>
      <c r="J307" s="61" t="str">
        <f>IF('Направление 2'!E40=0,"",'Направление 2'!E40)</f>
        <v/>
      </c>
    </row>
    <row r="308" spans="1:10" ht="150" customHeight="1" x14ac:dyDescent="0.3">
      <c r="A308" s="40">
        <v>38</v>
      </c>
      <c r="B308" s="150" t="str">
        <f>IF('Направление 2'!B41="","",'Направление 2'!B41)</f>
        <v/>
      </c>
      <c r="C308" s="133"/>
      <c r="D308" s="131"/>
      <c r="E308" s="130" t="str">
        <f>IF('Направление 2'!C41="","",'Направление 2'!C41)</f>
        <v/>
      </c>
      <c r="F308" s="133"/>
      <c r="G308" s="131"/>
      <c r="H308" s="130" t="str">
        <f>IF('Направление 2'!D41="","",'Направление 2'!D41)</f>
        <v/>
      </c>
      <c r="I308" s="131"/>
      <c r="J308" s="61" t="str">
        <f>IF('Направление 2'!E41=0,"",'Направление 2'!E41)</f>
        <v/>
      </c>
    </row>
    <row r="309" spans="1:10" ht="150" customHeight="1" x14ac:dyDescent="0.3">
      <c r="A309" s="40">
        <v>39</v>
      </c>
      <c r="B309" s="150" t="str">
        <f>IF('Направление 2'!B42="","",'Направление 2'!B42)</f>
        <v/>
      </c>
      <c r="C309" s="133"/>
      <c r="D309" s="131"/>
      <c r="E309" s="130" t="str">
        <f>IF('Направление 2'!C42="","",'Направление 2'!C42)</f>
        <v/>
      </c>
      <c r="F309" s="133"/>
      <c r="G309" s="131"/>
      <c r="H309" s="130" t="str">
        <f>IF('Направление 2'!D42="","",'Направление 2'!D42)</f>
        <v/>
      </c>
      <c r="I309" s="131"/>
      <c r="J309" s="61" t="str">
        <f>IF('Направление 2'!E42=0,"",'Направление 2'!E42)</f>
        <v/>
      </c>
    </row>
    <row r="310" spans="1:10" ht="150" customHeight="1" thickBot="1" x14ac:dyDescent="0.35">
      <c r="A310" s="41">
        <v>40</v>
      </c>
      <c r="B310" s="150" t="str">
        <f>IF('Направление 2'!B43="","",'Направление 2'!B43)</f>
        <v/>
      </c>
      <c r="C310" s="133"/>
      <c r="D310" s="131"/>
      <c r="E310" s="130" t="str">
        <f>IF('Направление 2'!C43="","",'Направление 2'!C43)</f>
        <v/>
      </c>
      <c r="F310" s="133"/>
      <c r="G310" s="131"/>
      <c r="H310" s="130" t="str">
        <f>IF('Направление 2'!D43="","",'Направление 2'!D43)</f>
        <v/>
      </c>
      <c r="I310" s="131"/>
      <c r="J310" s="61" t="str">
        <f>IF('Направление 2'!E43=0,"",'Направление 2'!E43)</f>
        <v/>
      </c>
    </row>
    <row r="311" spans="1:10" ht="150" customHeight="1" thickBot="1" x14ac:dyDescent="0.35">
      <c r="A311" s="41">
        <v>41</v>
      </c>
      <c r="B311" s="150" t="str">
        <f>IF('Направление 2'!B44="","",'Направление 2'!B44)</f>
        <v/>
      </c>
      <c r="C311" s="133"/>
      <c r="D311" s="131"/>
      <c r="E311" s="130" t="str">
        <f>IF('Направление 2'!C44="","",'Направление 2'!C44)</f>
        <v/>
      </c>
      <c r="F311" s="133"/>
      <c r="G311" s="131"/>
      <c r="H311" s="130" t="str">
        <f>IF('Направление 2'!D44="","",'Направление 2'!D44)</f>
        <v/>
      </c>
      <c r="I311" s="131"/>
      <c r="J311" s="61" t="str">
        <f>IF('Направление 2'!E44=0,"",'Направление 2'!E44)</f>
        <v/>
      </c>
    </row>
    <row r="312" spans="1:10" ht="150" customHeight="1" thickBot="1" x14ac:dyDescent="0.35">
      <c r="A312" s="41">
        <v>42</v>
      </c>
      <c r="B312" s="150" t="str">
        <f>IF('Направление 2'!B45="","",'Направление 2'!B45)</f>
        <v/>
      </c>
      <c r="C312" s="133"/>
      <c r="D312" s="131"/>
      <c r="E312" s="130" t="str">
        <f>IF('Направление 2'!C45="","",'Направление 2'!C45)</f>
        <v/>
      </c>
      <c r="F312" s="133"/>
      <c r="G312" s="131"/>
      <c r="H312" s="130" t="str">
        <f>IF('Направление 2'!D45="","",'Направление 2'!D45)</f>
        <v/>
      </c>
      <c r="I312" s="131"/>
      <c r="J312" s="61" t="str">
        <f>IF('Направление 2'!E45=0,"",'Направление 2'!E45)</f>
        <v/>
      </c>
    </row>
    <row r="313" spans="1:10" ht="150" customHeight="1" thickBot="1" x14ac:dyDescent="0.35">
      <c r="A313" s="41">
        <v>43</v>
      </c>
      <c r="B313" s="150" t="str">
        <f>IF('Направление 2'!B46="","",'Направление 2'!B46)</f>
        <v/>
      </c>
      <c r="C313" s="133"/>
      <c r="D313" s="131"/>
      <c r="E313" s="130" t="str">
        <f>IF('Направление 2'!C46="","",'Направление 2'!C46)</f>
        <v/>
      </c>
      <c r="F313" s="133"/>
      <c r="G313" s="131"/>
      <c r="H313" s="130" t="str">
        <f>IF('Направление 2'!D46="","",'Направление 2'!D46)</f>
        <v/>
      </c>
      <c r="I313" s="131"/>
      <c r="J313" s="61" t="str">
        <f>IF('Направление 2'!E46=0,"",'Направление 2'!E46)</f>
        <v/>
      </c>
    </row>
    <row r="314" spans="1:10" ht="150" customHeight="1" thickBot="1" x14ac:dyDescent="0.35">
      <c r="A314" s="41">
        <v>44</v>
      </c>
      <c r="B314" s="150" t="str">
        <f>IF('Направление 2'!B47="","",'Направление 2'!B47)</f>
        <v/>
      </c>
      <c r="C314" s="133"/>
      <c r="D314" s="131"/>
      <c r="E314" s="130" t="str">
        <f>IF('Направление 2'!C47="","",'Направление 2'!C47)</f>
        <v/>
      </c>
      <c r="F314" s="133"/>
      <c r="G314" s="131"/>
      <c r="H314" s="130" t="str">
        <f>IF('Направление 2'!D47="","",'Направление 2'!D47)</f>
        <v/>
      </c>
      <c r="I314" s="131"/>
      <c r="J314" s="61" t="str">
        <f>IF('Направление 2'!E47=0,"",'Направление 2'!E47)</f>
        <v/>
      </c>
    </row>
    <row r="315" spans="1:10" ht="150" customHeight="1" thickBot="1" x14ac:dyDescent="0.35">
      <c r="A315" s="41">
        <v>45</v>
      </c>
      <c r="B315" s="150" t="str">
        <f>IF('Направление 2'!B48="","",'Направление 2'!B48)</f>
        <v/>
      </c>
      <c r="C315" s="133"/>
      <c r="D315" s="131"/>
      <c r="E315" s="130" t="str">
        <f>IF('Направление 2'!C48="","",'Направление 2'!C48)</f>
        <v/>
      </c>
      <c r="F315" s="133"/>
      <c r="G315" s="131"/>
      <c r="H315" s="130" t="str">
        <f>IF('Направление 2'!D48="","",'Направление 2'!D48)</f>
        <v/>
      </c>
      <c r="I315" s="131"/>
      <c r="J315" s="61" t="str">
        <f>IF('Направление 2'!E48=0,"",'Направление 2'!E48)</f>
        <v/>
      </c>
    </row>
    <row r="316" spans="1:10" ht="150" customHeight="1" thickBot="1" x14ac:dyDescent="0.35">
      <c r="A316" s="41">
        <v>46</v>
      </c>
      <c r="B316" s="150" t="str">
        <f>IF('Направление 2'!B49="","",'Направление 2'!B49)</f>
        <v/>
      </c>
      <c r="C316" s="133"/>
      <c r="D316" s="131"/>
      <c r="E316" s="130" t="str">
        <f>IF('Направление 2'!C49="","",'Направление 2'!C49)</f>
        <v/>
      </c>
      <c r="F316" s="133"/>
      <c r="G316" s="131"/>
      <c r="H316" s="130" t="str">
        <f>IF('Направление 2'!D49="","",'Направление 2'!D49)</f>
        <v/>
      </c>
      <c r="I316" s="131"/>
      <c r="J316" s="61" t="str">
        <f>IF('Направление 2'!E49=0,"",'Направление 2'!E49)</f>
        <v/>
      </c>
    </row>
    <row r="317" spans="1:10" ht="150" customHeight="1" thickBot="1" x14ac:dyDescent="0.35">
      <c r="A317" s="41">
        <v>47</v>
      </c>
      <c r="B317" s="150" t="str">
        <f>IF('Направление 2'!B50="","",'Направление 2'!B50)</f>
        <v/>
      </c>
      <c r="C317" s="133"/>
      <c r="D317" s="131"/>
      <c r="E317" s="130" t="str">
        <f>IF('Направление 2'!C50="","",'Направление 2'!C50)</f>
        <v/>
      </c>
      <c r="F317" s="133"/>
      <c r="G317" s="131"/>
      <c r="H317" s="130" t="str">
        <f>IF('Направление 2'!D50="","",'Направление 2'!D50)</f>
        <v/>
      </c>
      <c r="I317" s="131"/>
      <c r="J317" s="61" t="str">
        <f>IF('Направление 2'!E50=0,"",'Направление 2'!E50)</f>
        <v/>
      </c>
    </row>
    <row r="318" spans="1:10" ht="150" customHeight="1" thickBot="1" x14ac:dyDescent="0.35">
      <c r="A318" s="41">
        <v>48</v>
      </c>
      <c r="B318" s="150" t="str">
        <f>IF('Направление 2'!B51="","",'Направление 2'!B51)</f>
        <v/>
      </c>
      <c r="C318" s="133"/>
      <c r="D318" s="131"/>
      <c r="E318" s="130" t="str">
        <f>IF('Направление 2'!C51="","",'Направление 2'!C51)</f>
        <v/>
      </c>
      <c r="F318" s="133"/>
      <c r="G318" s="131"/>
      <c r="H318" s="130" t="str">
        <f>IF('Направление 2'!D51="","",'Направление 2'!D51)</f>
        <v/>
      </c>
      <c r="I318" s="131"/>
      <c r="J318" s="61" t="str">
        <f>IF('Направление 2'!E51=0,"",'Направление 2'!E51)</f>
        <v/>
      </c>
    </row>
    <row r="319" spans="1:10" ht="150" customHeight="1" thickBot="1" x14ac:dyDescent="0.35">
      <c r="A319" s="41">
        <v>49</v>
      </c>
      <c r="B319" s="150" t="str">
        <f>IF('Направление 2'!B52="","",'Направление 2'!B52)</f>
        <v/>
      </c>
      <c r="C319" s="133"/>
      <c r="D319" s="131"/>
      <c r="E319" s="130" t="str">
        <f>IF('Направление 2'!C52="","",'Направление 2'!C52)</f>
        <v/>
      </c>
      <c r="F319" s="133"/>
      <c r="G319" s="131"/>
      <c r="H319" s="130" t="str">
        <f>IF('Направление 2'!D52="","",'Направление 2'!D52)</f>
        <v/>
      </c>
      <c r="I319" s="131"/>
      <c r="J319" s="61" t="str">
        <f>IF('Направление 2'!E52=0,"",'Направление 2'!E52)</f>
        <v/>
      </c>
    </row>
    <row r="320" spans="1:10" ht="150" customHeight="1" thickBot="1" x14ac:dyDescent="0.35">
      <c r="A320" s="41">
        <v>50</v>
      </c>
      <c r="B320" s="150" t="str">
        <f>IF('Направление 2'!B53="","",'Направление 2'!B53)</f>
        <v/>
      </c>
      <c r="C320" s="133"/>
      <c r="D320" s="131"/>
      <c r="E320" s="130" t="str">
        <f>IF('Направление 2'!C53="","",'Направление 2'!C53)</f>
        <v/>
      </c>
      <c r="F320" s="133"/>
      <c r="G320" s="131"/>
      <c r="H320" s="130" t="str">
        <f>IF('Направление 2'!D53="","",'Направление 2'!D53)</f>
        <v/>
      </c>
      <c r="I320" s="131"/>
      <c r="J320" s="61" t="str">
        <f>IF('Направление 2'!E53=0,"",'Направление 2'!E53)</f>
        <v/>
      </c>
    </row>
    <row r="321" spans="1:10" ht="150" customHeight="1" thickBot="1" x14ac:dyDescent="0.35">
      <c r="A321" s="41">
        <v>51</v>
      </c>
      <c r="B321" s="150" t="str">
        <f>IF('Направление 2'!B54="","",'Направление 2'!B54)</f>
        <v/>
      </c>
      <c r="C321" s="133"/>
      <c r="D321" s="131"/>
      <c r="E321" s="130" t="str">
        <f>IF('Направление 2'!C54="","",'Направление 2'!C54)</f>
        <v/>
      </c>
      <c r="F321" s="133"/>
      <c r="G321" s="131"/>
      <c r="H321" s="130" t="str">
        <f>IF('Направление 2'!D54="","",'Направление 2'!D54)</f>
        <v/>
      </c>
      <c r="I321" s="131"/>
      <c r="J321" s="61" t="str">
        <f>IF('Направление 2'!E54=0,"",'Направление 2'!E54)</f>
        <v/>
      </c>
    </row>
    <row r="322" spans="1:10" ht="150" customHeight="1" thickBot="1" x14ac:dyDescent="0.35">
      <c r="A322" s="41">
        <v>52</v>
      </c>
      <c r="B322" s="150" t="str">
        <f>IF('Направление 2'!B55="","",'Направление 2'!B55)</f>
        <v/>
      </c>
      <c r="C322" s="133"/>
      <c r="D322" s="131"/>
      <c r="E322" s="130" t="str">
        <f>IF('Направление 2'!C55="","",'Направление 2'!C55)</f>
        <v/>
      </c>
      <c r="F322" s="133"/>
      <c r="G322" s="131"/>
      <c r="H322" s="130" t="str">
        <f>IF('Направление 2'!D55="","",'Направление 2'!D55)</f>
        <v/>
      </c>
      <c r="I322" s="131"/>
      <c r="J322" s="61" t="str">
        <f>IF('Направление 2'!E55=0,"",'Направление 2'!E55)</f>
        <v/>
      </c>
    </row>
    <row r="323" spans="1:10" ht="150" customHeight="1" thickBot="1" x14ac:dyDescent="0.35">
      <c r="A323" s="41">
        <v>53</v>
      </c>
      <c r="B323" s="150" t="str">
        <f>IF('Направление 2'!B56="","",'Направление 2'!B56)</f>
        <v/>
      </c>
      <c r="C323" s="133"/>
      <c r="D323" s="131"/>
      <c r="E323" s="130" t="str">
        <f>IF('Направление 2'!C56="","",'Направление 2'!C56)</f>
        <v/>
      </c>
      <c r="F323" s="133"/>
      <c r="G323" s="131"/>
      <c r="H323" s="130" t="str">
        <f>IF('Направление 2'!D56="","",'Направление 2'!D56)</f>
        <v/>
      </c>
      <c r="I323" s="131"/>
      <c r="J323" s="61" t="str">
        <f>IF('Направление 2'!E56=0,"",'Направление 2'!E56)</f>
        <v/>
      </c>
    </row>
    <row r="324" spans="1:10" ht="150" customHeight="1" thickBot="1" x14ac:dyDescent="0.35">
      <c r="A324" s="41">
        <v>54</v>
      </c>
      <c r="B324" s="150" t="str">
        <f>IF('Направление 2'!B57="","",'Направление 2'!B57)</f>
        <v/>
      </c>
      <c r="C324" s="133"/>
      <c r="D324" s="131"/>
      <c r="E324" s="130" t="str">
        <f>IF('Направление 2'!C57="","",'Направление 2'!C57)</f>
        <v/>
      </c>
      <c r="F324" s="133"/>
      <c r="G324" s="131"/>
      <c r="H324" s="130" t="str">
        <f>IF('Направление 2'!D57="","",'Направление 2'!D57)</f>
        <v/>
      </c>
      <c r="I324" s="131"/>
      <c r="J324" s="61" t="str">
        <f>IF('Направление 2'!E57=0,"",'Направление 2'!E57)</f>
        <v/>
      </c>
    </row>
    <row r="325" spans="1:10" ht="150" customHeight="1" thickBot="1" x14ac:dyDescent="0.35">
      <c r="A325" s="41">
        <v>55</v>
      </c>
      <c r="B325" s="150" t="str">
        <f>IF('Направление 2'!B58="","",'Направление 2'!B58)</f>
        <v/>
      </c>
      <c r="C325" s="133"/>
      <c r="D325" s="131"/>
      <c r="E325" s="130" t="str">
        <f>IF('Направление 2'!C58="","",'Направление 2'!C58)</f>
        <v/>
      </c>
      <c r="F325" s="133"/>
      <c r="G325" s="131"/>
      <c r="H325" s="130" t="str">
        <f>IF('Направление 2'!D58="","",'Направление 2'!D58)</f>
        <v/>
      </c>
      <c r="I325" s="131"/>
      <c r="J325" s="61" t="str">
        <f>IF('Направление 2'!E58=0,"",'Направление 2'!E58)</f>
        <v/>
      </c>
    </row>
    <row r="326" spans="1:10" ht="150" customHeight="1" thickBot="1" x14ac:dyDescent="0.35">
      <c r="A326" s="41">
        <v>56</v>
      </c>
      <c r="B326" s="150" t="str">
        <f>IF('Направление 2'!B59="","",'Направление 2'!B59)</f>
        <v/>
      </c>
      <c r="C326" s="133"/>
      <c r="D326" s="131"/>
      <c r="E326" s="130" t="str">
        <f>IF('Направление 2'!C59="","",'Направление 2'!C59)</f>
        <v/>
      </c>
      <c r="F326" s="133"/>
      <c r="G326" s="131"/>
      <c r="H326" s="130" t="str">
        <f>IF('Направление 2'!D59="","",'Направление 2'!D59)</f>
        <v/>
      </c>
      <c r="I326" s="131"/>
      <c r="J326" s="61" t="str">
        <f>IF('Направление 2'!E59=0,"",'Направление 2'!E59)</f>
        <v/>
      </c>
    </row>
    <row r="327" spans="1:10" ht="150" customHeight="1" thickBot="1" x14ac:dyDescent="0.35">
      <c r="A327" s="41">
        <v>57</v>
      </c>
      <c r="B327" s="150" t="str">
        <f>IF('Направление 2'!B60="","",'Направление 2'!B60)</f>
        <v/>
      </c>
      <c r="C327" s="133"/>
      <c r="D327" s="131"/>
      <c r="E327" s="130" t="str">
        <f>IF('Направление 2'!C60="","",'Направление 2'!C60)</f>
        <v/>
      </c>
      <c r="F327" s="133"/>
      <c r="G327" s="131"/>
      <c r="H327" s="130" t="str">
        <f>IF('Направление 2'!D60="","",'Направление 2'!D60)</f>
        <v/>
      </c>
      <c r="I327" s="131"/>
      <c r="J327" s="61" t="str">
        <f>IF('Направление 2'!E60=0,"",'Направление 2'!E60)</f>
        <v/>
      </c>
    </row>
    <row r="328" spans="1:10" ht="150" customHeight="1" thickBot="1" x14ac:dyDescent="0.35">
      <c r="A328" s="41">
        <v>58</v>
      </c>
      <c r="B328" s="150" t="str">
        <f>IF('Направление 2'!B61="","",'Направление 2'!B61)</f>
        <v/>
      </c>
      <c r="C328" s="133"/>
      <c r="D328" s="131"/>
      <c r="E328" s="130" t="str">
        <f>IF('Направление 2'!C61="","",'Направление 2'!C61)</f>
        <v/>
      </c>
      <c r="F328" s="133"/>
      <c r="G328" s="131"/>
      <c r="H328" s="130" t="str">
        <f>IF('Направление 2'!D61="","",'Направление 2'!D61)</f>
        <v/>
      </c>
      <c r="I328" s="131"/>
      <c r="J328" s="61" t="str">
        <f>IF('Направление 2'!E61=0,"",'Направление 2'!E61)</f>
        <v/>
      </c>
    </row>
    <row r="329" spans="1:10" ht="150" customHeight="1" thickBot="1" x14ac:dyDescent="0.35">
      <c r="A329" s="41">
        <v>59</v>
      </c>
      <c r="B329" s="150" t="str">
        <f>IF('Направление 2'!B62="","",'Направление 2'!B62)</f>
        <v/>
      </c>
      <c r="C329" s="133"/>
      <c r="D329" s="131"/>
      <c r="E329" s="130" t="str">
        <f>IF('Направление 2'!C62="","",'Направление 2'!C62)</f>
        <v/>
      </c>
      <c r="F329" s="133"/>
      <c r="G329" s="131"/>
      <c r="H329" s="130" t="str">
        <f>IF('Направление 2'!D62="","",'Направление 2'!D62)</f>
        <v/>
      </c>
      <c r="I329" s="131"/>
      <c r="J329" s="61" t="str">
        <f>IF('Направление 2'!E62=0,"",'Направление 2'!E62)</f>
        <v/>
      </c>
    </row>
    <row r="330" spans="1:10" ht="150" customHeight="1" thickBot="1" x14ac:dyDescent="0.35">
      <c r="A330" s="41">
        <v>60</v>
      </c>
      <c r="B330" s="150" t="str">
        <f>IF('Направление 2'!B63="","",'Направление 2'!B63)</f>
        <v/>
      </c>
      <c r="C330" s="133"/>
      <c r="D330" s="131"/>
      <c r="E330" s="130" t="str">
        <f>IF('Направление 2'!C63="","",'Направление 2'!C63)</f>
        <v/>
      </c>
      <c r="F330" s="133"/>
      <c r="G330" s="131"/>
      <c r="H330" s="130" t="str">
        <f>IF('Направление 2'!D63="","",'Направление 2'!D63)</f>
        <v/>
      </c>
      <c r="I330" s="131"/>
      <c r="J330" s="61" t="str">
        <f>IF('Направление 2'!E63=0,"",'Направление 2'!E63)</f>
        <v/>
      </c>
    </row>
    <row r="331" spans="1:10" ht="150" customHeight="1" thickBot="1" x14ac:dyDescent="0.35">
      <c r="A331" s="41">
        <v>61</v>
      </c>
      <c r="B331" s="150" t="str">
        <f>IF('Направление 2'!B64="","",'Направление 2'!B64)</f>
        <v/>
      </c>
      <c r="C331" s="133"/>
      <c r="D331" s="131"/>
      <c r="E331" s="130" t="str">
        <f>IF('Направление 2'!C64="","",'Направление 2'!C64)</f>
        <v/>
      </c>
      <c r="F331" s="133"/>
      <c r="G331" s="131"/>
      <c r="H331" s="130" t="str">
        <f>IF('Направление 2'!D64="","",'Направление 2'!D64)</f>
        <v/>
      </c>
      <c r="I331" s="131"/>
      <c r="J331" s="61" t="str">
        <f>IF('Направление 2'!E64=0,"",'Направление 2'!E64)</f>
        <v/>
      </c>
    </row>
    <row r="332" spans="1:10" ht="150" customHeight="1" thickBot="1" x14ac:dyDescent="0.35">
      <c r="A332" s="41">
        <v>62</v>
      </c>
      <c r="B332" s="150" t="str">
        <f>IF('Направление 2'!B65="","",'Направление 2'!B65)</f>
        <v/>
      </c>
      <c r="C332" s="133"/>
      <c r="D332" s="131"/>
      <c r="E332" s="130" t="str">
        <f>IF('Направление 2'!C65="","",'Направление 2'!C65)</f>
        <v/>
      </c>
      <c r="F332" s="133"/>
      <c r="G332" s="131"/>
      <c r="H332" s="130" t="str">
        <f>IF('Направление 2'!D65="","",'Направление 2'!D65)</f>
        <v/>
      </c>
      <c r="I332" s="131"/>
      <c r="J332" s="61" t="str">
        <f>IF('Направление 2'!E65=0,"",'Направление 2'!E65)</f>
        <v/>
      </c>
    </row>
    <row r="333" spans="1:10" ht="150" customHeight="1" thickBot="1" x14ac:dyDescent="0.35">
      <c r="A333" s="41">
        <v>63</v>
      </c>
      <c r="B333" s="150" t="str">
        <f>IF('Направление 2'!B66="","",'Направление 2'!B66)</f>
        <v/>
      </c>
      <c r="C333" s="133"/>
      <c r="D333" s="131"/>
      <c r="E333" s="130" t="str">
        <f>IF('Направление 2'!C66="","",'Направление 2'!C66)</f>
        <v/>
      </c>
      <c r="F333" s="133"/>
      <c r="G333" s="131"/>
      <c r="H333" s="130" t="str">
        <f>IF('Направление 2'!D66="","",'Направление 2'!D66)</f>
        <v/>
      </c>
      <c r="I333" s="131"/>
      <c r="J333" s="61" t="str">
        <f>IF('Направление 2'!E66=0,"",'Направление 2'!E66)</f>
        <v/>
      </c>
    </row>
    <row r="334" spans="1:10" ht="150" customHeight="1" thickBot="1" x14ac:dyDescent="0.35">
      <c r="A334" s="41">
        <v>64</v>
      </c>
      <c r="B334" s="150" t="str">
        <f>IF('Направление 2'!B67="","",'Направление 2'!B67)</f>
        <v/>
      </c>
      <c r="C334" s="133"/>
      <c r="D334" s="131"/>
      <c r="E334" s="130" t="str">
        <f>IF('Направление 2'!C67="","",'Направление 2'!C67)</f>
        <v/>
      </c>
      <c r="F334" s="133"/>
      <c r="G334" s="131"/>
      <c r="H334" s="130" t="str">
        <f>IF('Направление 2'!D67="","",'Направление 2'!D67)</f>
        <v/>
      </c>
      <c r="I334" s="131"/>
      <c r="J334" s="61" t="str">
        <f>IF('Направление 2'!E67=0,"",'Направление 2'!E67)</f>
        <v/>
      </c>
    </row>
    <row r="335" spans="1:10" ht="150" customHeight="1" thickBot="1" x14ac:dyDescent="0.35">
      <c r="A335" s="41">
        <v>65</v>
      </c>
      <c r="B335" s="150" t="str">
        <f>IF('Направление 2'!B68="","",'Направление 2'!B68)</f>
        <v/>
      </c>
      <c r="C335" s="133"/>
      <c r="D335" s="131"/>
      <c r="E335" s="130" t="str">
        <f>IF('Направление 2'!C68="","",'Направление 2'!C68)</f>
        <v/>
      </c>
      <c r="F335" s="133"/>
      <c r="G335" s="131"/>
      <c r="H335" s="130" t="str">
        <f>IF('Направление 2'!D68="","",'Направление 2'!D68)</f>
        <v/>
      </c>
      <c r="I335" s="131"/>
      <c r="J335" s="61" t="str">
        <f>IF('Направление 2'!E68=0,"",'Направление 2'!E68)</f>
        <v/>
      </c>
    </row>
    <row r="336" spans="1:10" ht="150" customHeight="1" thickBot="1" x14ac:dyDescent="0.35">
      <c r="A336" s="41">
        <v>66</v>
      </c>
      <c r="B336" s="150" t="str">
        <f>IF('Направление 2'!B69="","",'Направление 2'!B69)</f>
        <v/>
      </c>
      <c r="C336" s="133"/>
      <c r="D336" s="131"/>
      <c r="E336" s="130" t="str">
        <f>IF('Направление 2'!C69="","",'Направление 2'!C69)</f>
        <v/>
      </c>
      <c r="F336" s="133"/>
      <c r="G336" s="131"/>
      <c r="H336" s="130" t="str">
        <f>IF('Направление 2'!D69="","",'Направление 2'!D69)</f>
        <v/>
      </c>
      <c r="I336" s="131"/>
      <c r="J336" s="61" t="str">
        <f>IF('Направление 2'!E69=0,"",'Направление 2'!E69)</f>
        <v/>
      </c>
    </row>
    <row r="337" spans="1:10" ht="150" customHeight="1" thickBot="1" x14ac:dyDescent="0.35">
      <c r="A337" s="41">
        <v>67</v>
      </c>
      <c r="B337" s="150" t="str">
        <f>IF('Направление 2'!B70="","",'Направление 2'!B70)</f>
        <v/>
      </c>
      <c r="C337" s="133"/>
      <c r="D337" s="131"/>
      <c r="E337" s="130" t="str">
        <f>IF('Направление 2'!C70="","",'Направление 2'!C70)</f>
        <v/>
      </c>
      <c r="F337" s="133"/>
      <c r="G337" s="131"/>
      <c r="H337" s="130" t="str">
        <f>IF('Направление 2'!D70="","",'Направление 2'!D70)</f>
        <v/>
      </c>
      <c r="I337" s="131"/>
      <c r="J337" s="61" t="str">
        <f>IF('Направление 2'!E70=0,"",'Направление 2'!E70)</f>
        <v/>
      </c>
    </row>
    <row r="338" spans="1:10" ht="150" customHeight="1" thickBot="1" x14ac:dyDescent="0.35">
      <c r="A338" s="41">
        <v>68</v>
      </c>
      <c r="B338" s="150" t="str">
        <f>IF('Направление 2'!B71="","",'Направление 2'!B71)</f>
        <v/>
      </c>
      <c r="C338" s="133"/>
      <c r="D338" s="131"/>
      <c r="E338" s="130" t="str">
        <f>IF('Направление 2'!C71="","",'Направление 2'!C71)</f>
        <v/>
      </c>
      <c r="F338" s="133"/>
      <c r="G338" s="131"/>
      <c r="H338" s="130" t="str">
        <f>IF('Направление 2'!D71="","",'Направление 2'!D71)</f>
        <v/>
      </c>
      <c r="I338" s="131"/>
      <c r="J338" s="61" t="str">
        <f>IF('Направление 2'!E71=0,"",'Направление 2'!E71)</f>
        <v/>
      </c>
    </row>
    <row r="339" spans="1:10" ht="150" customHeight="1" thickBot="1" x14ac:dyDescent="0.35">
      <c r="A339" s="41">
        <v>69</v>
      </c>
      <c r="B339" s="150" t="str">
        <f>IF('Направление 2'!B72="","",'Направление 2'!B72)</f>
        <v/>
      </c>
      <c r="C339" s="133"/>
      <c r="D339" s="131"/>
      <c r="E339" s="130" t="str">
        <f>IF('Направление 2'!C72="","",'Направление 2'!C72)</f>
        <v/>
      </c>
      <c r="F339" s="133"/>
      <c r="G339" s="131"/>
      <c r="H339" s="130" t="str">
        <f>IF('Направление 2'!D72="","",'Направление 2'!D72)</f>
        <v/>
      </c>
      <c r="I339" s="131"/>
      <c r="J339" s="61" t="str">
        <f>IF('Направление 2'!E72=0,"",'Направление 2'!E72)</f>
        <v/>
      </c>
    </row>
    <row r="340" spans="1:10" ht="150" customHeight="1" thickBot="1" x14ac:dyDescent="0.35">
      <c r="A340" s="41">
        <v>70</v>
      </c>
      <c r="B340" s="150" t="str">
        <f>IF('Направление 2'!B73="","",'Направление 2'!B73)</f>
        <v/>
      </c>
      <c r="C340" s="133"/>
      <c r="D340" s="131"/>
      <c r="E340" s="130" t="str">
        <f>IF('Направление 2'!C73="","",'Направление 2'!C73)</f>
        <v/>
      </c>
      <c r="F340" s="133"/>
      <c r="G340" s="131"/>
      <c r="H340" s="130" t="str">
        <f>IF('Направление 2'!D73="","",'Направление 2'!D73)</f>
        <v/>
      </c>
      <c r="I340" s="131"/>
      <c r="J340" s="61" t="str">
        <f>IF('Направление 2'!E73=0,"",'Направление 2'!E73)</f>
        <v/>
      </c>
    </row>
    <row r="341" spans="1:10" ht="150" customHeight="1" thickBot="1" x14ac:dyDescent="0.35">
      <c r="A341" s="41">
        <v>71</v>
      </c>
      <c r="B341" s="150" t="str">
        <f>IF('Направление 2'!B74="","",'Направление 2'!B74)</f>
        <v/>
      </c>
      <c r="C341" s="133"/>
      <c r="D341" s="131"/>
      <c r="E341" s="130" t="str">
        <f>IF('Направление 2'!C74="","",'Направление 2'!C74)</f>
        <v/>
      </c>
      <c r="F341" s="133"/>
      <c r="G341" s="131"/>
      <c r="H341" s="130" t="str">
        <f>IF('Направление 2'!D74="","",'Направление 2'!D74)</f>
        <v/>
      </c>
      <c r="I341" s="131"/>
      <c r="J341" s="61" t="str">
        <f>IF('Направление 2'!E74=0,"",'Направление 2'!E74)</f>
        <v/>
      </c>
    </row>
    <row r="342" spans="1:10" ht="150" customHeight="1" thickBot="1" x14ac:dyDescent="0.35">
      <c r="A342" s="41">
        <v>72</v>
      </c>
      <c r="B342" s="150" t="str">
        <f>IF('Направление 2'!B75="","",'Направление 2'!B75)</f>
        <v/>
      </c>
      <c r="C342" s="133"/>
      <c r="D342" s="131"/>
      <c r="E342" s="130" t="str">
        <f>IF('Направление 2'!C75="","",'Направление 2'!C75)</f>
        <v/>
      </c>
      <c r="F342" s="133"/>
      <c r="G342" s="131"/>
      <c r="H342" s="130" t="str">
        <f>IF('Направление 2'!D75="","",'Направление 2'!D75)</f>
        <v/>
      </c>
      <c r="I342" s="131"/>
      <c r="J342" s="61" t="str">
        <f>IF('Направление 2'!E75=0,"",'Направление 2'!E75)</f>
        <v/>
      </c>
    </row>
    <row r="343" spans="1:10" ht="150" customHeight="1" thickBot="1" x14ac:dyDescent="0.35">
      <c r="A343" s="41">
        <v>73</v>
      </c>
      <c r="B343" s="150" t="str">
        <f>IF('Направление 2'!B76="","",'Направление 2'!B76)</f>
        <v/>
      </c>
      <c r="C343" s="133"/>
      <c r="D343" s="131"/>
      <c r="E343" s="130" t="str">
        <f>IF('Направление 2'!C76="","",'Направление 2'!C76)</f>
        <v/>
      </c>
      <c r="F343" s="133"/>
      <c r="G343" s="131"/>
      <c r="H343" s="130" t="str">
        <f>IF('Направление 2'!D76="","",'Направление 2'!D76)</f>
        <v/>
      </c>
      <c r="I343" s="131"/>
      <c r="J343" s="61" t="str">
        <f>IF('Направление 2'!E76=0,"",'Направление 2'!E76)</f>
        <v/>
      </c>
    </row>
    <row r="344" spans="1:10" ht="150" customHeight="1" thickBot="1" x14ac:dyDescent="0.35">
      <c r="A344" s="41">
        <v>74</v>
      </c>
      <c r="B344" s="150" t="str">
        <f>IF('Направление 2'!B77="","",'Направление 2'!B77)</f>
        <v/>
      </c>
      <c r="C344" s="133"/>
      <c r="D344" s="131"/>
      <c r="E344" s="130" t="str">
        <f>IF('Направление 2'!C77="","",'Направление 2'!C77)</f>
        <v/>
      </c>
      <c r="F344" s="133"/>
      <c r="G344" s="131"/>
      <c r="H344" s="130" t="str">
        <f>IF('Направление 2'!D77="","",'Направление 2'!D77)</f>
        <v/>
      </c>
      <c r="I344" s="131"/>
      <c r="J344" s="61" t="str">
        <f>IF('Направление 2'!E77=0,"",'Направление 2'!E77)</f>
        <v/>
      </c>
    </row>
    <row r="345" spans="1:10" ht="150" customHeight="1" thickBot="1" x14ac:dyDescent="0.35">
      <c r="A345" s="41">
        <v>75</v>
      </c>
      <c r="B345" s="150" t="str">
        <f>IF('Направление 2'!B78="","",'Направление 2'!B78)</f>
        <v/>
      </c>
      <c r="C345" s="133"/>
      <c r="D345" s="131"/>
      <c r="E345" s="130" t="str">
        <f>IF('Направление 2'!C78="","",'Направление 2'!C78)</f>
        <v/>
      </c>
      <c r="F345" s="133"/>
      <c r="G345" s="131"/>
      <c r="H345" s="130" t="str">
        <f>IF('Направление 2'!D78="","",'Направление 2'!D78)</f>
        <v/>
      </c>
      <c r="I345" s="131"/>
      <c r="J345" s="61" t="str">
        <f>IF('Направление 2'!E78=0,"",'Направление 2'!E78)</f>
        <v/>
      </c>
    </row>
    <row r="346" spans="1:10" ht="150" customHeight="1" thickBot="1" x14ac:dyDescent="0.35">
      <c r="A346" s="41">
        <v>76</v>
      </c>
      <c r="B346" s="150" t="str">
        <f>IF('Направление 2'!B79="","",'Направление 2'!B79)</f>
        <v/>
      </c>
      <c r="C346" s="133"/>
      <c r="D346" s="131"/>
      <c r="E346" s="130" t="str">
        <f>IF('Направление 2'!C79="","",'Направление 2'!C79)</f>
        <v/>
      </c>
      <c r="F346" s="133"/>
      <c r="G346" s="131"/>
      <c r="H346" s="130" t="str">
        <f>IF('Направление 2'!D79="","",'Направление 2'!D79)</f>
        <v/>
      </c>
      <c r="I346" s="131"/>
      <c r="J346" s="61" t="str">
        <f>IF('Направление 2'!E79=0,"",'Направление 2'!E79)</f>
        <v/>
      </c>
    </row>
    <row r="347" spans="1:10" ht="150" customHeight="1" thickBot="1" x14ac:dyDescent="0.35">
      <c r="A347" s="41">
        <v>77</v>
      </c>
      <c r="B347" s="150" t="str">
        <f>IF('Направление 2'!B80="","",'Направление 2'!B80)</f>
        <v/>
      </c>
      <c r="C347" s="133"/>
      <c r="D347" s="131"/>
      <c r="E347" s="130" t="str">
        <f>IF('Направление 2'!C80="","",'Направление 2'!C80)</f>
        <v/>
      </c>
      <c r="F347" s="133"/>
      <c r="G347" s="131"/>
      <c r="H347" s="130" t="str">
        <f>IF('Направление 2'!D80="","",'Направление 2'!D80)</f>
        <v/>
      </c>
      <c r="I347" s="131"/>
      <c r="J347" s="61" t="str">
        <f>IF('Направление 2'!E80=0,"",'Направление 2'!E80)</f>
        <v/>
      </c>
    </row>
    <row r="348" spans="1:10" ht="150" customHeight="1" thickBot="1" x14ac:dyDescent="0.35">
      <c r="A348" s="41">
        <v>78</v>
      </c>
      <c r="B348" s="150" t="str">
        <f>IF('Направление 2'!B81="","",'Направление 2'!B81)</f>
        <v/>
      </c>
      <c r="C348" s="133"/>
      <c r="D348" s="131"/>
      <c r="E348" s="130" t="str">
        <f>IF('Направление 2'!C81="","",'Направление 2'!C81)</f>
        <v/>
      </c>
      <c r="F348" s="133"/>
      <c r="G348" s="131"/>
      <c r="H348" s="130" t="str">
        <f>IF('Направление 2'!D81="","",'Направление 2'!D81)</f>
        <v/>
      </c>
      <c r="I348" s="131"/>
      <c r="J348" s="61" t="str">
        <f>IF('Направление 2'!E81=0,"",'Направление 2'!E81)</f>
        <v/>
      </c>
    </row>
    <row r="349" spans="1:10" ht="150" customHeight="1" thickBot="1" x14ac:dyDescent="0.35">
      <c r="A349" s="41">
        <v>79</v>
      </c>
      <c r="B349" s="150" t="str">
        <f>IF('Направление 2'!B82="","",'Направление 2'!B82)</f>
        <v/>
      </c>
      <c r="C349" s="133"/>
      <c r="D349" s="131"/>
      <c r="E349" s="130" t="str">
        <f>IF('Направление 2'!C82="","",'Направление 2'!C82)</f>
        <v/>
      </c>
      <c r="F349" s="133"/>
      <c r="G349" s="131"/>
      <c r="H349" s="130" t="str">
        <f>IF('Направление 2'!D82="","",'Направление 2'!D82)</f>
        <v/>
      </c>
      <c r="I349" s="131"/>
      <c r="J349" s="61" t="str">
        <f>IF('Направление 2'!E82=0,"",'Направление 2'!E82)</f>
        <v/>
      </c>
    </row>
    <row r="350" spans="1:10" ht="150" customHeight="1" thickBot="1" x14ac:dyDescent="0.35">
      <c r="A350" s="41">
        <v>80</v>
      </c>
      <c r="B350" s="150" t="str">
        <f>IF('Направление 2'!B83="","",'Направление 2'!B83)</f>
        <v/>
      </c>
      <c r="C350" s="133"/>
      <c r="D350" s="131"/>
      <c r="E350" s="130" t="str">
        <f>IF('Направление 2'!C83="","",'Направление 2'!C83)</f>
        <v/>
      </c>
      <c r="F350" s="133"/>
      <c r="G350" s="131"/>
      <c r="H350" s="130" t="str">
        <f>IF('Направление 2'!D83="","",'Направление 2'!D83)</f>
        <v/>
      </c>
      <c r="I350" s="131"/>
      <c r="J350" s="61" t="str">
        <f>IF('Направление 2'!E83=0,"",'Направление 2'!E83)</f>
        <v/>
      </c>
    </row>
    <row r="351" spans="1:10" ht="16.5" customHeight="1" thickBot="1" x14ac:dyDescent="0.35">
      <c r="A351" s="42"/>
      <c r="B351" s="151" t="s">
        <v>57</v>
      </c>
      <c r="C351" s="135"/>
      <c r="D351" s="135"/>
      <c r="E351" s="135"/>
      <c r="F351" s="135"/>
      <c r="G351" s="135"/>
      <c r="H351" s="135"/>
      <c r="I351" s="135"/>
      <c r="J351" s="136"/>
    </row>
    <row r="352" spans="1:10" ht="36.6" customHeight="1" thickBot="1" x14ac:dyDescent="0.35">
      <c r="A352" s="42"/>
      <c r="B352" s="155" t="s">
        <v>58</v>
      </c>
      <c r="C352" s="156"/>
      <c r="D352" s="157"/>
      <c r="E352" s="142" t="s">
        <v>59</v>
      </c>
      <c r="F352" s="158"/>
      <c r="G352" s="143"/>
      <c r="H352" s="142"/>
      <c r="I352" s="143"/>
      <c r="J352" s="89" t="s">
        <v>56</v>
      </c>
    </row>
    <row r="353" spans="1:10" ht="150" customHeight="1" x14ac:dyDescent="0.3">
      <c r="A353" s="43">
        <v>1</v>
      </c>
      <c r="B353" s="150" t="str">
        <f>IF('Направление 2'!B86="","",'Направление 2'!B86)</f>
        <v/>
      </c>
      <c r="C353" s="133"/>
      <c r="D353" s="131"/>
      <c r="E353" s="130" t="str">
        <f>IF('Направление 2'!C86="","",'Направление 2'!C86)</f>
        <v/>
      </c>
      <c r="F353" s="133"/>
      <c r="G353" s="131"/>
      <c r="H353" s="130" t="str">
        <f>IF('Направление 2'!D86="","",'Направление 2'!D86)</f>
        <v>х</v>
      </c>
      <c r="I353" s="131"/>
      <c r="J353" s="61" t="str">
        <f>IF('Направление 2'!E86=0,"",'Направление 2'!E86)</f>
        <v/>
      </c>
    </row>
    <row r="354" spans="1:10" ht="150" customHeight="1" x14ac:dyDescent="0.3">
      <c r="A354" s="44">
        <v>2</v>
      </c>
      <c r="B354" s="150" t="str">
        <f>IF('Направление 2'!B87="","",'Направление 2'!B87)</f>
        <v/>
      </c>
      <c r="C354" s="133"/>
      <c r="D354" s="131"/>
      <c r="E354" s="130" t="str">
        <f>IF('Направление 2'!C87="","",'Направление 2'!C87)</f>
        <v/>
      </c>
      <c r="F354" s="133"/>
      <c r="G354" s="131"/>
      <c r="H354" s="130" t="str">
        <f>IF('Направление 2'!D87="","",'Направление 2'!D87)</f>
        <v>х</v>
      </c>
      <c r="I354" s="131"/>
      <c r="J354" s="61" t="str">
        <f>IF('Направление 2'!E87=0,"",'Направление 2'!E87)</f>
        <v/>
      </c>
    </row>
    <row r="355" spans="1:10" ht="150" customHeight="1" x14ac:dyDescent="0.3">
      <c r="A355" s="44">
        <v>3</v>
      </c>
      <c r="B355" s="150" t="str">
        <f>IF('Направление 2'!B88="","",'Направление 2'!B88)</f>
        <v/>
      </c>
      <c r="C355" s="133"/>
      <c r="D355" s="131"/>
      <c r="E355" s="130" t="str">
        <f>IF('Направление 2'!C88="","",'Направление 2'!C88)</f>
        <v/>
      </c>
      <c r="F355" s="133"/>
      <c r="G355" s="131"/>
      <c r="H355" s="130" t="str">
        <f>IF('Направление 2'!D88="","",'Направление 2'!D88)</f>
        <v>х</v>
      </c>
      <c r="I355" s="131"/>
      <c r="J355" s="61" t="str">
        <f>IF('Направление 2'!E88=0,"",'Направление 2'!E88)</f>
        <v/>
      </c>
    </row>
    <row r="356" spans="1:10" ht="150" customHeight="1" x14ac:dyDescent="0.3">
      <c r="A356" s="44">
        <v>4</v>
      </c>
      <c r="B356" s="150" t="str">
        <f>IF('Направление 2'!B89="","",'Направление 2'!B89)</f>
        <v/>
      </c>
      <c r="C356" s="133"/>
      <c r="D356" s="131"/>
      <c r="E356" s="130" t="str">
        <f>IF('Направление 2'!C89="","",'Направление 2'!C89)</f>
        <v/>
      </c>
      <c r="F356" s="133"/>
      <c r="G356" s="131"/>
      <c r="H356" s="130" t="str">
        <f>IF('Направление 2'!D89="","",'Направление 2'!D89)</f>
        <v>х</v>
      </c>
      <c r="I356" s="131"/>
      <c r="J356" s="61" t="str">
        <f>IF('Направление 2'!E89=0,"",'Направление 2'!E89)</f>
        <v/>
      </c>
    </row>
    <row r="357" spans="1:10" ht="150" customHeight="1" x14ac:dyDescent="0.3">
      <c r="A357" s="44">
        <v>5</v>
      </c>
      <c r="B357" s="150" t="str">
        <f>IF('Направление 2'!B90="","",'Направление 2'!B90)</f>
        <v/>
      </c>
      <c r="C357" s="133"/>
      <c r="D357" s="131"/>
      <c r="E357" s="130" t="str">
        <f>IF('Направление 2'!C90="","",'Направление 2'!C90)</f>
        <v/>
      </c>
      <c r="F357" s="133"/>
      <c r="G357" s="131"/>
      <c r="H357" s="130" t="str">
        <f>IF('Направление 2'!D90="","",'Направление 2'!D90)</f>
        <v>х</v>
      </c>
      <c r="I357" s="131"/>
      <c r="J357" s="61" t="str">
        <f>IF('Направление 2'!E90=0,"",'Направление 2'!E90)</f>
        <v/>
      </c>
    </row>
    <row r="358" spans="1:10" ht="150" customHeight="1" x14ac:dyDescent="0.3">
      <c r="A358" s="44">
        <v>6</v>
      </c>
      <c r="B358" s="150" t="str">
        <f>IF('Направление 2'!B91="","",'Направление 2'!B91)</f>
        <v/>
      </c>
      <c r="C358" s="133"/>
      <c r="D358" s="131"/>
      <c r="E358" s="130" t="str">
        <f>IF('Направление 2'!C91="","",'Направление 2'!C91)</f>
        <v/>
      </c>
      <c r="F358" s="133"/>
      <c r="G358" s="131"/>
      <c r="H358" s="130" t="str">
        <f>IF('Направление 2'!D91="","",'Направление 2'!D91)</f>
        <v>х</v>
      </c>
      <c r="I358" s="131"/>
      <c r="J358" s="61" t="str">
        <f>IF('Направление 2'!E91=0,"",'Направление 2'!E91)</f>
        <v/>
      </c>
    </row>
    <row r="359" spans="1:10" ht="150" customHeight="1" x14ac:dyDescent="0.3">
      <c r="A359" s="44">
        <v>7</v>
      </c>
      <c r="B359" s="150" t="str">
        <f>IF('Направление 2'!B92="","",'Направление 2'!B92)</f>
        <v/>
      </c>
      <c r="C359" s="133"/>
      <c r="D359" s="131"/>
      <c r="E359" s="130" t="str">
        <f>IF('Направление 2'!C92="","",'Направление 2'!C92)</f>
        <v/>
      </c>
      <c r="F359" s="133"/>
      <c r="G359" s="131"/>
      <c r="H359" s="130" t="str">
        <f>IF('Направление 2'!D92="","",'Направление 2'!D92)</f>
        <v>х</v>
      </c>
      <c r="I359" s="131"/>
      <c r="J359" s="61" t="str">
        <f>IF('Направление 2'!E92=0,"",'Направление 2'!E92)</f>
        <v/>
      </c>
    </row>
    <row r="360" spans="1:10" ht="150" customHeight="1" x14ac:dyDescent="0.3">
      <c r="A360" s="44">
        <v>8</v>
      </c>
      <c r="B360" s="150" t="str">
        <f>IF('Направление 2'!B93="","",'Направление 2'!B93)</f>
        <v/>
      </c>
      <c r="C360" s="133"/>
      <c r="D360" s="131"/>
      <c r="E360" s="130" t="str">
        <f>IF('Направление 2'!C93="","",'Направление 2'!C93)</f>
        <v/>
      </c>
      <c r="F360" s="133"/>
      <c r="G360" s="131"/>
      <c r="H360" s="130" t="str">
        <f>IF('Направление 2'!D93="","",'Направление 2'!D93)</f>
        <v>х</v>
      </c>
      <c r="I360" s="131"/>
      <c r="J360" s="61" t="str">
        <f>IF('Направление 2'!E93=0,"",'Направление 2'!E93)</f>
        <v/>
      </c>
    </row>
    <row r="361" spans="1:10" ht="150" customHeight="1" x14ac:dyDescent="0.3">
      <c r="A361" s="44">
        <v>9</v>
      </c>
      <c r="B361" s="150" t="str">
        <f>IF('Направление 2'!B94="","",'Направление 2'!B94)</f>
        <v/>
      </c>
      <c r="C361" s="133"/>
      <c r="D361" s="131"/>
      <c r="E361" s="130" t="str">
        <f>IF('Направление 2'!C94="","",'Направление 2'!C94)</f>
        <v/>
      </c>
      <c r="F361" s="133"/>
      <c r="G361" s="131"/>
      <c r="H361" s="130" t="str">
        <f>IF('Направление 2'!D94="","",'Направление 2'!D94)</f>
        <v>х</v>
      </c>
      <c r="I361" s="131"/>
      <c r="J361" s="61" t="str">
        <f>IF('Направление 2'!E94=0,"",'Направление 2'!E94)</f>
        <v/>
      </c>
    </row>
    <row r="362" spans="1:10" ht="150" customHeight="1" x14ac:dyDescent="0.3">
      <c r="A362" s="44">
        <v>10</v>
      </c>
      <c r="B362" s="150" t="str">
        <f>IF('Направление 2'!B95="","",'Направление 2'!B95)</f>
        <v/>
      </c>
      <c r="C362" s="133"/>
      <c r="D362" s="131"/>
      <c r="E362" s="130" t="str">
        <f>IF('Направление 2'!C95="","",'Направление 2'!C95)</f>
        <v/>
      </c>
      <c r="F362" s="133"/>
      <c r="G362" s="131"/>
      <c r="H362" s="130" t="str">
        <f>IF('Направление 2'!D95="","",'Направление 2'!D95)</f>
        <v>х</v>
      </c>
      <c r="I362" s="131"/>
      <c r="J362" s="61" t="str">
        <f>IF('Направление 2'!E95=0,"",'Направление 2'!E95)</f>
        <v/>
      </c>
    </row>
    <row r="363" spans="1:10" ht="150" customHeight="1" x14ac:dyDescent="0.3">
      <c r="A363" s="44">
        <v>11</v>
      </c>
      <c r="B363" s="150" t="str">
        <f>IF('Направление 2'!B96="","",'Направление 2'!B96)</f>
        <v/>
      </c>
      <c r="C363" s="133"/>
      <c r="D363" s="131"/>
      <c r="E363" s="130" t="str">
        <f>IF('Направление 2'!C96="","",'Направление 2'!C96)</f>
        <v/>
      </c>
      <c r="F363" s="133"/>
      <c r="G363" s="131"/>
      <c r="H363" s="130" t="str">
        <f>IF('Направление 2'!D96="","",'Направление 2'!D96)</f>
        <v>х</v>
      </c>
      <c r="I363" s="131"/>
      <c r="J363" s="61" t="str">
        <f>IF('Направление 2'!E96=0,"",'Направление 2'!E96)</f>
        <v/>
      </c>
    </row>
    <row r="364" spans="1:10" ht="150" customHeight="1" x14ac:dyDescent="0.3">
      <c r="A364" s="44">
        <v>12</v>
      </c>
      <c r="B364" s="150" t="str">
        <f>IF('Направление 2'!B97="","",'Направление 2'!B97)</f>
        <v/>
      </c>
      <c r="C364" s="133"/>
      <c r="D364" s="131"/>
      <c r="E364" s="130" t="str">
        <f>IF('Направление 2'!C97="","",'Направление 2'!C97)</f>
        <v/>
      </c>
      <c r="F364" s="133"/>
      <c r="G364" s="131"/>
      <c r="H364" s="130" t="str">
        <f>IF('Направление 2'!D97="","",'Направление 2'!D97)</f>
        <v>х</v>
      </c>
      <c r="I364" s="131"/>
      <c r="J364" s="61" t="str">
        <f>IF('Направление 2'!E97=0,"",'Направление 2'!E97)</f>
        <v/>
      </c>
    </row>
    <row r="365" spans="1:10" ht="150" customHeight="1" x14ac:dyDescent="0.3">
      <c r="A365" s="44">
        <v>13</v>
      </c>
      <c r="B365" s="150" t="str">
        <f>IF('Направление 2'!B98="","",'Направление 2'!B98)</f>
        <v/>
      </c>
      <c r="C365" s="133"/>
      <c r="D365" s="131"/>
      <c r="E365" s="130" t="str">
        <f>IF('Направление 2'!C98="","",'Направление 2'!C98)</f>
        <v/>
      </c>
      <c r="F365" s="133"/>
      <c r="G365" s="131"/>
      <c r="H365" s="130" t="str">
        <f>IF('Направление 2'!D98="","",'Направление 2'!D98)</f>
        <v>х</v>
      </c>
      <c r="I365" s="131"/>
      <c r="J365" s="61" t="str">
        <f>IF('Направление 2'!E98=0,"",'Направление 2'!E98)</f>
        <v/>
      </c>
    </row>
    <row r="366" spans="1:10" ht="150" customHeight="1" x14ac:dyDescent="0.3">
      <c r="A366" s="44">
        <v>14</v>
      </c>
      <c r="B366" s="150" t="str">
        <f>IF('Направление 2'!B99="","",'Направление 2'!B99)</f>
        <v/>
      </c>
      <c r="C366" s="133"/>
      <c r="D366" s="131"/>
      <c r="E366" s="130" t="str">
        <f>IF('Направление 2'!C99="","",'Направление 2'!C99)</f>
        <v/>
      </c>
      <c r="F366" s="133"/>
      <c r="G366" s="131"/>
      <c r="H366" s="130" t="str">
        <f>IF('Направление 2'!D99="","",'Направление 2'!D99)</f>
        <v>х</v>
      </c>
      <c r="I366" s="131"/>
      <c r="J366" s="61" t="str">
        <f>IF('Направление 2'!E99=0,"",'Направление 2'!E99)</f>
        <v/>
      </c>
    </row>
    <row r="367" spans="1:10" ht="150" customHeight="1" x14ac:dyDescent="0.3">
      <c r="A367" s="44">
        <v>15</v>
      </c>
      <c r="B367" s="150" t="str">
        <f>IF('Направление 2'!B100="","",'Направление 2'!B100)</f>
        <v/>
      </c>
      <c r="C367" s="133"/>
      <c r="D367" s="131"/>
      <c r="E367" s="130" t="str">
        <f>IF('Направление 2'!C100="","",'Направление 2'!C100)</f>
        <v/>
      </c>
      <c r="F367" s="133"/>
      <c r="G367" s="131"/>
      <c r="H367" s="130" t="str">
        <f>IF('Направление 2'!D100="","",'Направление 2'!D100)</f>
        <v>х</v>
      </c>
      <c r="I367" s="131"/>
      <c r="J367" s="61" t="str">
        <f>IF('Направление 2'!E100=0,"",'Направление 2'!E100)</f>
        <v/>
      </c>
    </row>
    <row r="368" spans="1:10" ht="150" customHeight="1" x14ac:dyDescent="0.3">
      <c r="A368" s="44">
        <v>16</v>
      </c>
      <c r="B368" s="150" t="str">
        <f>IF('Направление 2'!B101="","",'Направление 2'!B101)</f>
        <v/>
      </c>
      <c r="C368" s="133"/>
      <c r="D368" s="131"/>
      <c r="E368" s="130" t="str">
        <f>IF('Направление 2'!C101="","",'Направление 2'!C101)</f>
        <v/>
      </c>
      <c r="F368" s="133"/>
      <c r="G368" s="131"/>
      <c r="H368" s="130" t="str">
        <f>IF('Направление 2'!D101="","",'Направление 2'!D101)</f>
        <v>х</v>
      </c>
      <c r="I368" s="131"/>
      <c r="J368" s="61" t="str">
        <f>IF('Направление 2'!E101=0,"",'Направление 2'!E101)</f>
        <v/>
      </c>
    </row>
    <row r="369" spans="1:10" ht="150" customHeight="1" x14ac:dyDescent="0.3">
      <c r="A369" s="44">
        <v>17</v>
      </c>
      <c r="B369" s="150" t="str">
        <f>IF('Направление 2'!B102="","",'Направление 2'!B102)</f>
        <v/>
      </c>
      <c r="C369" s="133"/>
      <c r="D369" s="131"/>
      <c r="E369" s="130" t="str">
        <f>IF('Направление 2'!C102="","",'Направление 2'!C102)</f>
        <v/>
      </c>
      <c r="F369" s="133"/>
      <c r="G369" s="131"/>
      <c r="H369" s="130" t="str">
        <f>IF('Направление 2'!D102="","",'Направление 2'!D102)</f>
        <v>х</v>
      </c>
      <c r="I369" s="131"/>
      <c r="J369" s="61" t="str">
        <f>IF('Направление 2'!E102=0,"",'Направление 2'!E102)</f>
        <v/>
      </c>
    </row>
    <row r="370" spans="1:10" ht="150" customHeight="1" x14ac:dyDescent="0.3">
      <c r="A370" s="44">
        <v>18</v>
      </c>
      <c r="B370" s="150" t="str">
        <f>IF('Направление 2'!B103="","",'Направление 2'!B103)</f>
        <v/>
      </c>
      <c r="C370" s="133"/>
      <c r="D370" s="131"/>
      <c r="E370" s="130" t="str">
        <f>IF('Направление 2'!C103="","",'Направление 2'!C103)</f>
        <v/>
      </c>
      <c r="F370" s="133"/>
      <c r="G370" s="131"/>
      <c r="H370" s="130" t="str">
        <f>IF('Направление 2'!D103="","",'Направление 2'!D103)</f>
        <v>х</v>
      </c>
      <c r="I370" s="131"/>
      <c r="J370" s="61" t="str">
        <f>IF('Направление 2'!E103=0,"",'Направление 2'!E103)</f>
        <v/>
      </c>
    </row>
    <row r="371" spans="1:10" ht="150" customHeight="1" x14ac:dyDescent="0.3">
      <c r="A371" s="44">
        <v>19</v>
      </c>
      <c r="B371" s="150" t="str">
        <f>IF('Направление 2'!B104="","",'Направление 2'!B104)</f>
        <v/>
      </c>
      <c r="C371" s="133"/>
      <c r="D371" s="131"/>
      <c r="E371" s="130" t="str">
        <f>IF('Направление 2'!C104="","",'Направление 2'!C104)</f>
        <v/>
      </c>
      <c r="F371" s="133"/>
      <c r="G371" s="131"/>
      <c r="H371" s="130" t="str">
        <f>IF('Направление 2'!D104="","",'Направление 2'!D104)</f>
        <v>х</v>
      </c>
      <c r="I371" s="131"/>
      <c r="J371" s="61" t="str">
        <f>IF('Направление 2'!E104=0,"",'Направление 2'!E104)</f>
        <v/>
      </c>
    </row>
    <row r="372" spans="1:10" ht="150" customHeight="1" thickBot="1" x14ac:dyDescent="0.35">
      <c r="A372" s="45">
        <v>20</v>
      </c>
      <c r="B372" s="150" t="str">
        <f>IF('Направление 2'!B105="","",'Направление 2'!B105)</f>
        <v/>
      </c>
      <c r="C372" s="133"/>
      <c r="D372" s="131"/>
      <c r="E372" s="130" t="str">
        <f>IF('Направление 2'!C105="","",'Направление 2'!C105)</f>
        <v/>
      </c>
      <c r="F372" s="133"/>
      <c r="G372" s="131"/>
      <c r="H372" s="130" t="str">
        <f>IF('Направление 2'!D105="","",'Направление 2'!D105)</f>
        <v>х</v>
      </c>
      <c r="I372" s="131"/>
      <c r="J372" s="61" t="str">
        <f>IF('Направление 2'!E105=0,"",'Направление 2'!E105)</f>
        <v/>
      </c>
    </row>
    <row r="373" spans="1:10" ht="150" customHeight="1" thickBot="1" x14ac:dyDescent="0.35">
      <c r="A373" s="45">
        <v>21</v>
      </c>
      <c r="B373" s="150" t="str">
        <f>IF('Направление 2'!B106="","",'Направление 2'!B106)</f>
        <v/>
      </c>
      <c r="C373" s="133"/>
      <c r="D373" s="131"/>
      <c r="E373" s="130" t="str">
        <f>IF('Направление 2'!C106="","",'Направление 2'!C106)</f>
        <v/>
      </c>
      <c r="F373" s="133"/>
      <c r="G373" s="131"/>
      <c r="H373" s="130" t="str">
        <f>IF('Направление 2'!D106="","",'Направление 2'!D106)</f>
        <v>х</v>
      </c>
      <c r="I373" s="131"/>
      <c r="J373" s="61" t="str">
        <f>IF('Направление 2'!E106=0,"",'Направление 2'!E106)</f>
        <v/>
      </c>
    </row>
    <row r="374" spans="1:10" ht="150" customHeight="1" thickBot="1" x14ac:dyDescent="0.35">
      <c r="A374" s="45">
        <v>22</v>
      </c>
      <c r="B374" s="150" t="str">
        <f>IF('Направление 2'!B107="","",'Направление 2'!B107)</f>
        <v/>
      </c>
      <c r="C374" s="133"/>
      <c r="D374" s="131"/>
      <c r="E374" s="130" t="str">
        <f>IF('Направление 2'!C107="","",'Направление 2'!C107)</f>
        <v/>
      </c>
      <c r="F374" s="133"/>
      <c r="G374" s="131"/>
      <c r="H374" s="130" t="str">
        <f>IF('Направление 2'!D107="","",'Направление 2'!D107)</f>
        <v>х</v>
      </c>
      <c r="I374" s="131"/>
      <c r="J374" s="61" t="str">
        <f>IF('Направление 2'!E107=0,"",'Направление 2'!E107)</f>
        <v/>
      </c>
    </row>
    <row r="375" spans="1:10" ht="150" customHeight="1" thickBot="1" x14ac:dyDescent="0.35">
      <c r="A375" s="45">
        <v>23</v>
      </c>
      <c r="B375" s="150" t="str">
        <f>IF('Направление 2'!B108="","",'Направление 2'!B108)</f>
        <v/>
      </c>
      <c r="C375" s="133"/>
      <c r="D375" s="131"/>
      <c r="E375" s="130" t="str">
        <f>IF('Направление 2'!C108="","",'Направление 2'!C108)</f>
        <v/>
      </c>
      <c r="F375" s="133"/>
      <c r="G375" s="131"/>
      <c r="H375" s="130" t="str">
        <f>IF('Направление 2'!D108="","",'Направление 2'!D108)</f>
        <v>х</v>
      </c>
      <c r="I375" s="131"/>
      <c r="J375" s="61" t="str">
        <f>IF('Направление 2'!E108=0,"",'Направление 2'!E108)</f>
        <v/>
      </c>
    </row>
    <row r="376" spans="1:10" ht="150" customHeight="1" thickBot="1" x14ac:dyDescent="0.35">
      <c r="A376" s="45">
        <v>24</v>
      </c>
      <c r="B376" s="150" t="str">
        <f>IF('Направление 2'!B109="","",'Направление 2'!B109)</f>
        <v/>
      </c>
      <c r="C376" s="133"/>
      <c r="D376" s="131"/>
      <c r="E376" s="130" t="str">
        <f>IF('Направление 2'!C109="","",'Направление 2'!C109)</f>
        <v/>
      </c>
      <c r="F376" s="133"/>
      <c r="G376" s="131"/>
      <c r="H376" s="130" t="str">
        <f>IF('Направление 2'!D109="","",'Направление 2'!D109)</f>
        <v>х</v>
      </c>
      <c r="I376" s="131"/>
      <c r="J376" s="61" t="str">
        <f>IF('Направление 2'!E109=0,"",'Направление 2'!E109)</f>
        <v/>
      </c>
    </row>
    <row r="377" spans="1:10" ht="150" customHeight="1" thickBot="1" x14ac:dyDescent="0.35">
      <c r="A377" s="45">
        <v>25</v>
      </c>
      <c r="B377" s="150" t="str">
        <f>IF('Направление 2'!B110="","",'Направление 2'!B110)</f>
        <v/>
      </c>
      <c r="C377" s="133"/>
      <c r="D377" s="131"/>
      <c r="E377" s="130" t="str">
        <f>IF('Направление 2'!C110="","",'Направление 2'!C110)</f>
        <v/>
      </c>
      <c r="F377" s="133"/>
      <c r="G377" s="131"/>
      <c r="H377" s="130" t="str">
        <f>IF('Направление 2'!D110="","",'Направление 2'!D110)</f>
        <v>х</v>
      </c>
      <c r="I377" s="131"/>
      <c r="J377" s="61" t="str">
        <f>IF('Направление 2'!E110=0,"",'Направление 2'!E110)</f>
        <v/>
      </c>
    </row>
    <row r="378" spans="1:10" ht="150" customHeight="1" thickBot="1" x14ac:dyDescent="0.35">
      <c r="A378" s="45">
        <v>26</v>
      </c>
      <c r="B378" s="150" t="str">
        <f>IF('Направление 2'!B111="","",'Направление 2'!B111)</f>
        <v/>
      </c>
      <c r="C378" s="133"/>
      <c r="D378" s="131"/>
      <c r="E378" s="130" t="str">
        <f>IF('Направление 2'!C111="","",'Направление 2'!C111)</f>
        <v/>
      </c>
      <c r="F378" s="133"/>
      <c r="G378" s="131"/>
      <c r="H378" s="130" t="str">
        <f>IF('Направление 2'!D111="","",'Направление 2'!D111)</f>
        <v>х</v>
      </c>
      <c r="I378" s="131"/>
      <c r="J378" s="61" t="str">
        <f>IF('Направление 2'!E111=0,"",'Направление 2'!E111)</f>
        <v/>
      </c>
    </row>
    <row r="379" spans="1:10" ht="150" customHeight="1" thickBot="1" x14ac:dyDescent="0.35">
      <c r="A379" s="45">
        <v>27</v>
      </c>
      <c r="B379" s="150" t="str">
        <f>IF('Направление 2'!B112="","",'Направление 2'!B112)</f>
        <v/>
      </c>
      <c r="C379" s="133"/>
      <c r="D379" s="131"/>
      <c r="E379" s="130" t="str">
        <f>IF('Направление 2'!C112="","",'Направление 2'!C112)</f>
        <v/>
      </c>
      <c r="F379" s="133"/>
      <c r="G379" s="131"/>
      <c r="H379" s="130" t="str">
        <f>IF('Направление 2'!D112="","",'Направление 2'!D112)</f>
        <v>х</v>
      </c>
      <c r="I379" s="131"/>
      <c r="J379" s="61" t="str">
        <f>IF('Направление 2'!E112=0,"",'Направление 2'!E112)</f>
        <v/>
      </c>
    </row>
    <row r="380" spans="1:10" ht="150" customHeight="1" thickBot="1" x14ac:dyDescent="0.35">
      <c r="A380" s="45">
        <v>28</v>
      </c>
      <c r="B380" s="150" t="str">
        <f>IF('Направление 2'!B113="","",'Направление 2'!B113)</f>
        <v/>
      </c>
      <c r="C380" s="133"/>
      <c r="D380" s="131"/>
      <c r="E380" s="130" t="str">
        <f>IF('Направление 2'!C113="","",'Направление 2'!C113)</f>
        <v/>
      </c>
      <c r="F380" s="133"/>
      <c r="G380" s="131"/>
      <c r="H380" s="130" t="str">
        <f>IF('Направление 2'!D113="","",'Направление 2'!D113)</f>
        <v>х</v>
      </c>
      <c r="I380" s="131"/>
      <c r="J380" s="61" t="str">
        <f>IF('Направление 2'!E113=0,"",'Направление 2'!E113)</f>
        <v/>
      </c>
    </row>
    <row r="381" spans="1:10" ht="150" customHeight="1" thickBot="1" x14ac:dyDescent="0.35">
      <c r="A381" s="45">
        <v>29</v>
      </c>
      <c r="B381" s="150" t="str">
        <f>IF('Направление 2'!B114="","",'Направление 2'!B114)</f>
        <v/>
      </c>
      <c r="C381" s="133"/>
      <c r="D381" s="131"/>
      <c r="E381" s="130" t="str">
        <f>IF('Направление 2'!C114="","",'Направление 2'!C114)</f>
        <v/>
      </c>
      <c r="F381" s="133"/>
      <c r="G381" s="131"/>
      <c r="H381" s="130" t="str">
        <f>IF('Направление 2'!D114="","",'Направление 2'!D114)</f>
        <v>х</v>
      </c>
      <c r="I381" s="131"/>
      <c r="J381" s="61" t="str">
        <f>IF('Направление 2'!E114=0,"",'Направление 2'!E114)</f>
        <v/>
      </c>
    </row>
    <row r="382" spans="1:10" ht="150" customHeight="1" thickBot="1" x14ac:dyDescent="0.35">
      <c r="A382" s="45">
        <v>30</v>
      </c>
      <c r="B382" s="150" t="str">
        <f>IF('Направление 2'!B115="","",'Направление 2'!B115)</f>
        <v/>
      </c>
      <c r="C382" s="133"/>
      <c r="D382" s="131"/>
      <c r="E382" s="130" t="str">
        <f>IF('Направление 2'!C115="","",'Направление 2'!C115)</f>
        <v/>
      </c>
      <c r="F382" s="133"/>
      <c r="G382" s="131"/>
      <c r="H382" s="130" t="str">
        <f>IF('Направление 2'!D115="","",'Направление 2'!D115)</f>
        <v>х</v>
      </c>
      <c r="I382" s="131"/>
      <c r="J382" s="61" t="str">
        <f>IF('Направление 2'!E115=0,"",'Направление 2'!E115)</f>
        <v/>
      </c>
    </row>
    <row r="383" spans="1:10" ht="150" customHeight="1" thickBot="1" x14ac:dyDescent="0.35">
      <c r="A383" s="45">
        <v>31</v>
      </c>
      <c r="B383" s="150" t="str">
        <f>IF('Направление 2'!B116="","",'Направление 2'!B116)</f>
        <v/>
      </c>
      <c r="C383" s="133"/>
      <c r="D383" s="131"/>
      <c r="E383" s="130" t="str">
        <f>IF('Направление 2'!C116="","",'Направление 2'!C116)</f>
        <v/>
      </c>
      <c r="F383" s="133"/>
      <c r="G383" s="131"/>
      <c r="H383" s="130" t="str">
        <f>IF('Направление 2'!D116="","",'Направление 2'!D116)</f>
        <v>х</v>
      </c>
      <c r="I383" s="131"/>
      <c r="J383" s="61" t="str">
        <f>IF('Направление 2'!E116=0,"",'Направление 2'!E116)</f>
        <v/>
      </c>
    </row>
    <row r="384" spans="1:10" ht="150" customHeight="1" thickBot="1" x14ac:dyDescent="0.35">
      <c r="A384" s="45">
        <v>32</v>
      </c>
      <c r="B384" s="150" t="str">
        <f>IF('Направление 2'!B117="","",'Направление 2'!B117)</f>
        <v/>
      </c>
      <c r="C384" s="133"/>
      <c r="D384" s="131"/>
      <c r="E384" s="130" t="str">
        <f>IF('Направление 2'!C117="","",'Направление 2'!C117)</f>
        <v/>
      </c>
      <c r="F384" s="133"/>
      <c r="G384" s="131"/>
      <c r="H384" s="130" t="str">
        <f>IF('Направление 2'!D117="","",'Направление 2'!D117)</f>
        <v>х</v>
      </c>
      <c r="I384" s="131"/>
      <c r="J384" s="61" t="str">
        <f>IF('Направление 2'!E117=0,"",'Направление 2'!E117)</f>
        <v/>
      </c>
    </row>
    <row r="385" spans="1:10" ht="150" customHeight="1" thickBot="1" x14ac:dyDescent="0.35">
      <c r="A385" s="45">
        <v>33</v>
      </c>
      <c r="B385" s="150" t="str">
        <f>IF('Направление 2'!B118="","",'Направление 2'!B118)</f>
        <v/>
      </c>
      <c r="C385" s="133"/>
      <c r="D385" s="131"/>
      <c r="E385" s="130" t="str">
        <f>IF('Направление 2'!C118="","",'Направление 2'!C118)</f>
        <v/>
      </c>
      <c r="F385" s="133"/>
      <c r="G385" s="131"/>
      <c r="H385" s="130" t="str">
        <f>IF('Направление 2'!D118="","",'Направление 2'!D118)</f>
        <v>х</v>
      </c>
      <c r="I385" s="131"/>
      <c r="J385" s="61" t="str">
        <f>IF('Направление 2'!E118=0,"",'Направление 2'!E118)</f>
        <v/>
      </c>
    </row>
    <row r="386" spans="1:10" ht="150" customHeight="1" thickBot="1" x14ac:dyDescent="0.35">
      <c r="A386" s="45">
        <v>34</v>
      </c>
      <c r="B386" s="150" t="str">
        <f>IF('Направление 2'!B119="","",'Направление 2'!B119)</f>
        <v/>
      </c>
      <c r="C386" s="133"/>
      <c r="D386" s="131"/>
      <c r="E386" s="130" t="str">
        <f>IF('Направление 2'!C119="","",'Направление 2'!C119)</f>
        <v/>
      </c>
      <c r="F386" s="133"/>
      <c r="G386" s="131"/>
      <c r="H386" s="130" t="str">
        <f>IF('Направление 2'!D119="","",'Направление 2'!D119)</f>
        <v>х</v>
      </c>
      <c r="I386" s="131"/>
      <c r="J386" s="61" t="str">
        <f>IF('Направление 2'!E119=0,"",'Направление 2'!E119)</f>
        <v/>
      </c>
    </row>
    <row r="387" spans="1:10" ht="150" customHeight="1" thickBot="1" x14ac:dyDescent="0.35">
      <c r="A387" s="45">
        <v>35</v>
      </c>
      <c r="B387" s="150" t="str">
        <f>IF('Направление 2'!B120="","",'Направление 2'!B120)</f>
        <v/>
      </c>
      <c r="C387" s="133"/>
      <c r="D387" s="131"/>
      <c r="E387" s="130" t="str">
        <f>IF('Направление 2'!C120="","",'Направление 2'!C120)</f>
        <v/>
      </c>
      <c r="F387" s="133"/>
      <c r="G387" s="131"/>
      <c r="H387" s="130" t="str">
        <f>IF('Направление 2'!D120="","",'Направление 2'!D120)</f>
        <v>х</v>
      </c>
      <c r="I387" s="131"/>
      <c r="J387" s="61" t="str">
        <f>IF('Направление 2'!E120=0,"",'Направление 2'!E120)</f>
        <v/>
      </c>
    </row>
    <row r="388" spans="1:10" ht="150" customHeight="1" thickBot="1" x14ac:dyDescent="0.35">
      <c r="A388" s="45">
        <v>36</v>
      </c>
      <c r="B388" s="150" t="str">
        <f>IF('Направление 2'!B121="","",'Направление 2'!B121)</f>
        <v/>
      </c>
      <c r="C388" s="133"/>
      <c r="D388" s="131"/>
      <c r="E388" s="130" t="str">
        <f>IF('Направление 2'!C121="","",'Направление 2'!C121)</f>
        <v/>
      </c>
      <c r="F388" s="133"/>
      <c r="G388" s="131"/>
      <c r="H388" s="130" t="str">
        <f>IF('Направление 2'!D121="","",'Направление 2'!D121)</f>
        <v>х</v>
      </c>
      <c r="I388" s="131"/>
      <c r="J388" s="61" t="str">
        <f>IF('Направление 2'!E121=0,"",'Направление 2'!E121)</f>
        <v/>
      </c>
    </row>
    <row r="389" spans="1:10" ht="150" customHeight="1" thickBot="1" x14ac:dyDescent="0.35">
      <c r="A389" s="45">
        <v>37</v>
      </c>
      <c r="B389" s="150" t="str">
        <f>IF('Направление 2'!B122="","",'Направление 2'!B122)</f>
        <v/>
      </c>
      <c r="C389" s="133"/>
      <c r="D389" s="131"/>
      <c r="E389" s="130" t="str">
        <f>IF('Направление 2'!C122="","",'Направление 2'!C122)</f>
        <v/>
      </c>
      <c r="F389" s="133"/>
      <c r="G389" s="131"/>
      <c r="H389" s="130" t="str">
        <f>IF('Направление 2'!D122="","",'Направление 2'!D122)</f>
        <v>х</v>
      </c>
      <c r="I389" s="131"/>
      <c r="J389" s="61" t="str">
        <f>IF('Направление 2'!E122=0,"",'Направление 2'!E122)</f>
        <v/>
      </c>
    </row>
    <row r="390" spans="1:10" ht="150" customHeight="1" thickBot="1" x14ac:dyDescent="0.35">
      <c r="A390" s="45">
        <v>38</v>
      </c>
      <c r="B390" s="150" t="str">
        <f>IF('Направление 2'!B123="","",'Направление 2'!B123)</f>
        <v/>
      </c>
      <c r="C390" s="133"/>
      <c r="D390" s="131"/>
      <c r="E390" s="130" t="str">
        <f>IF('Направление 2'!C123="","",'Направление 2'!C123)</f>
        <v/>
      </c>
      <c r="F390" s="133"/>
      <c r="G390" s="131"/>
      <c r="H390" s="130" t="str">
        <f>IF('Направление 2'!D123="","",'Направление 2'!D123)</f>
        <v>х</v>
      </c>
      <c r="I390" s="131"/>
      <c r="J390" s="61" t="str">
        <f>IF('Направление 2'!E123=0,"",'Направление 2'!E123)</f>
        <v/>
      </c>
    </row>
    <row r="391" spans="1:10" ht="150" customHeight="1" thickBot="1" x14ac:dyDescent="0.35">
      <c r="A391" s="45">
        <v>39</v>
      </c>
      <c r="B391" s="150" t="str">
        <f>IF('Направление 2'!B124="","",'Направление 2'!B124)</f>
        <v/>
      </c>
      <c r="C391" s="133"/>
      <c r="D391" s="131"/>
      <c r="E391" s="130" t="str">
        <f>IF('Направление 2'!C124="","",'Направление 2'!C124)</f>
        <v/>
      </c>
      <c r="F391" s="133"/>
      <c r="G391" s="131"/>
      <c r="H391" s="130" t="str">
        <f>IF('Направление 2'!D124="","",'Направление 2'!D124)</f>
        <v>х</v>
      </c>
      <c r="I391" s="131"/>
      <c r="J391" s="61" t="str">
        <f>IF('Направление 2'!E124=0,"",'Направление 2'!E124)</f>
        <v/>
      </c>
    </row>
    <row r="392" spans="1:10" ht="150" customHeight="1" thickBot="1" x14ac:dyDescent="0.35">
      <c r="A392" s="45">
        <v>40</v>
      </c>
      <c r="B392" s="150" t="str">
        <f>IF('Направление 2'!B125="","",'Направление 2'!B125)</f>
        <v/>
      </c>
      <c r="C392" s="133"/>
      <c r="D392" s="131"/>
      <c r="E392" s="130" t="str">
        <f>IF('Направление 2'!C125="","",'Направление 2'!C125)</f>
        <v/>
      </c>
      <c r="F392" s="133"/>
      <c r="G392" s="131"/>
      <c r="H392" s="130" t="str">
        <f>IF('Направление 2'!D125="","",'Направление 2'!D125)</f>
        <v>х</v>
      </c>
      <c r="I392" s="131"/>
      <c r="J392" s="61" t="str">
        <f>IF('Направление 2'!E125=0,"",'Направление 2'!E125)</f>
        <v/>
      </c>
    </row>
    <row r="393" spans="1:10" ht="16.5" customHeight="1" thickBot="1" x14ac:dyDescent="0.35">
      <c r="A393" s="46"/>
      <c r="B393" s="151" t="s">
        <v>60</v>
      </c>
      <c r="C393" s="135"/>
      <c r="D393" s="135"/>
      <c r="E393" s="135"/>
      <c r="F393" s="135"/>
      <c r="G393" s="135"/>
      <c r="H393" s="135"/>
      <c r="I393" s="135"/>
      <c r="J393" s="136"/>
    </row>
    <row r="394" spans="1:10" ht="37.950000000000003" customHeight="1" thickBot="1" x14ac:dyDescent="0.35">
      <c r="A394" s="42"/>
      <c r="B394" s="155" t="s">
        <v>61</v>
      </c>
      <c r="C394" s="156"/>
      <c r="D394" s="157"/>
      <c r="E394" s="142" t="s">
        <v>62</v>
      </c>
      <c r="F394" s="158"/>
      <c r="G394" s="143"/>
      <c r="H394" s="142"/>
      <c r="I394" s="143"/>
      <c r="J394" s="89" t="s">
        <v>56</v>
      </c>
    </row>
    <row r="395" spans="1:10" ht="150" customHeight="1" x14ac:dyDescent="0.3">
      <c r="A395" s="43">
        <v>1</v>
      </c>
      <c r="B395" s="150" t="str">
        <f>IF('Направление 2'!B128="","",'Направление 2'!B128)</f>
        <v/>
      </c>
      <c r="C395" s="133"/>
      <c r="D395" s="131"/>
      <c r="E395" s="130" t="str">
        <f>IF('Направление 2'!C128="","",'Направление 2'!C128)</f>
        <v/>
      </c>
      <c r="F395" s="133"/>
      <c r="G395" s="131"/>
      <c r="H395" s="130" t="str">
        <f>IF('Направление 2'!D128="","",'Направление 2'!D128)</f>
        <v>х</v>
      </c>
      <c r="I395" s="131"/>
      <c r="J395" s="61" t="str">
        <f>IF('Направление 2'!E128=0,"",'Направление 2'!E128)</f>
        <v/>
      </c>
    </row>
    <row r="396" spans="1:10" ht="150" customHeight="1" x14ac:dyDescent="0.3">
      <c r="A396" s="44">
        <v>2</v>
      </c>
      <c r="B396" s="150" t="str">
        <f>IF('Направление 2'!B129="","",'Направление 2'!B129)</f>
        <v/>
      </c>
      <c r="C396" s="133"/>
      <c r="D396" s="131"/>
      <c r="E396" s="130" t="str">
        <f>IF('Направление 2'!C129="","",'Направление 2'!C129)</f>
        <v/>
      </c>
      <c r="F396" s="133"/>
      <c r="G396" s="131"/>
      <c r="H396" s="130" t="str">
        <f>IF('Направление 2'!D129="","",'Направление 2'!D129)</f>
        <v>х</v>
      </c>
      <c r="I396" s="131"/>
      <c r="J396" s="61" t="str">
        <f>IF('Направление 2'!E129=0,"",'Направление 2'!E129)</f>
        <v/>
      </c>
    </row>
    <row r="397" spans="1:10" ht="150" customHeight="1" x14ac:dyDescent="0.3">
      <c r="A397" s="44">
        <v>3</v>
      </c>
      <c r="B397" s="150" t="str">
        <f>IF('Направление 2'!B130="","",'Направление 2'!B130)</f>
        <v/>
      </c>
      <c r="C397" s="133"/>
      <c r="D397" s="131"/>
      <c r="E397" s="130" t="str">
        <f>IF('Направление 2'!C130="","",'Направление 2'!C130)</f>
        <v/>
      </c>
      <c r="F397" s="133"/>
      <c r="G397" s="131"/>
      <c r="H397" s="130" t="str">
        <f>IF('Направление 2'!D130="","",'Направление 2'!D130)</f>
        <v>х</v>
      </c>
      <c r="I397" s="131"/>
      <c r="J397" s="61" t="str">
        <f>IF('Направление 2'!E130=0,"",'Направление 2'!E130)</f>
        <v/>
      </c>
    </row>
    <row r="398" spans="1:10" ht="150" customHeight="1" x14ac:dyDescent="0.3">
      <c r="A398" s="44">
        <v>4</v>
      </c>
      <c r="B398" s="150" t="str">
        <f>IF('Направление 2'!B131="","",'Направление 2'!B131)</f>
        <v/>
      </c>
      <c r="C398" s="133"/>
      <c r="D398" s="131"/>
      <c r="E398" s="130" t="str">
        <f>IF('Направление 2'!C131="","",'Направление 2'!C131)</f>
        <v/>
      </c>
      <c r="F398" s="133"/>
      <c r="G398" s="131"/>
      <c r="H398" s="130" t="str">
        <f>IF('Направление 2'!D131="","",'Направление 2'!D131)</f>
        <v>х</v>
      </c>
      <c r="I398" s="131"/>
      <c r="J398" s="61" t="str">
        <f>IF('Направление 2'!E131=0,"",'Направление 2'!E131)</f>
        <v/>
      </c>
    </row>
    <row r="399" spans="1:10" ht="150" customHeight="1" x14ac:dyDescent="0.3">
      <c r="A399" s="44">
        <v>5</v>
      </c>
      <c r="B399" s="150" t="str">
        <f>IF('Направление 2'!B132="","",'Направление 2'!B132)</f>
        <v/>
      </c>
      <c r="C399" s="133"/>
      <c r="D399" s="131"/>
      <c r="E399" s="130" t="str">
        <f>IF('Направление 2'!C132="","",'Направление 2'!C132)</f>
        <v/>
      </c>
      <c r="F399" s="133"/>
      <c r="G399" s="131"/>
      <c r="H399" s="130" t="str">
        <f>IF('Направление 2'!D132="","",'Направление 2'!D132)</f>
        <v>х</v>
      </c>
      <c r="I399" s="131"/>
      <c r="J399" s="61" t="str">
        <f>IF('Направление 2'!E132=0,"",'Направление 2'!E132)</f>
        <v/>
      </c>
    </row>
    <row r="400" spans="1:10" ht="150" customHeight="1" x14ac:dyDescent="0.3">
      <c r="A400" s="44">
        <v>6</v>
      </c>
      <c r="B400" s="150" t="str">
        <f>IF('Направление 2'!B133="","",'Направление 2'!B133)</f>
        <v/>
      </c>
      <c r="C400" s="133"/>
      <c r="D400" s="131"/>
      <c r="E400" s="130" t="str">
        <f>IF('Направление 2'!C133="","",'Направление 2'!C133)</f>
        <v/>
      </c>
      <c r="F400" s="133"/>
      <c r="G400" s="131"/>
      <c r="H400" s="130" t="str">
        <f>IF('Направление 2'!D133="","",'Направление 2'!D133)</f>
        <v>х</v>
      </c>
      <c r="I400" s="131"/>
      <c r="J400" s="61" t="str">
        <f>IF('Направление 2'!E133=0,"",'Направление 2'!E133)</f>
        <v/>
      </c>
    </row>
    <row r="401" spans="1:10" ht="150" customHeight="1" x14ac:dyDescent="0.3">
      <c r="A401" s="44">
        <v>7</v>
      </c>
      <c r="B401" s="150" t="str">
        <f>IF('Направление 2'!B134="","",'Направление 2'!B134)</f>
        <v/>
      </c>
      <c r="C401" s="133"/>
      <c r="D401" s="131"/>
      <c r="E401" s="130" t="str">
        <f>IF('Направление 2'!C134="","",'Направление 2'!C134)</f>
        <v/>
      </c>
      <c r="F401" s="133"/>
      <c r="G401" s="131"/>
      <c r="H401" s="130" t="str">
        <f>IF('Направление 2'!D134="","",'Направление 2'!D134)</f>
        <v>х</v>
      </c>
      <c r="I401" s="131"/>
      <c r="J401" s="61" t="str">
        <f>IF('Направление 2'!E134=0,"",'Направление 2'!E134)</f>
        <v/>
      </c>
    </row>
    <row r="402" spans="1:10" ht="150" customHeight="1" x14ac:dyDescent="0.3">
      <c r="A402" s="44">
        <v>8</v>
      </c>
      <c r="B402" s="150" t="str">
        <f>IF('Направление 2'!B135="","",'Направление 2'!B135)</f>
        <v/>
      </c>
      <c r="C402" s="133"/>
      <c r="D402" s="131"/>
      <c r="E402" s="130" t="str">
        <f>IF('Направление 2'!C135="","",'Направление 2'!C135)</f>
        <v/>
      </c>
      <c r="F402" s="133"/>
      <c r="G402" s="131"/>
      <c r="H402" s="130" t="str">
        <f>IF('Направление 2'!D135="","",'Направление 2'!D135)</f>
        <v>х</v>
      </c>
      <c r="I402" s="131"/>
      <c r="J402" s="61" t="str">
        <f>IF('Направление 2'!E135=0,"",'Направление 2'!E135)</f>
        <v/>
      </c>
    </row>
    <row r="403" spans="1:10" ht="150" customHeight="1" x14ac:dyDescent="0.3">
      <c r="A403" s="44">
        <v>9</v>
      </c>
      <c r="B403" s="150" t="str">
        <f>IF('Направление 2'!B136="","",'Направление 2'!B136)</f>
        <v/>
      </c>
      <c r="C403" s="133"/>
      <c r="D403" s="131"/>
      <c r="E403" s="130" t="str">
        <f>IF('Направление 2'!C136="","",'Направление 2'!C136)</f>
        <v/>
      </c>
      <c r="F403" s="133"/>
      <c r="G403" s="131"/>
      <c r="H403" s="130" t="str">
        <f>IF('Направление 2'!D136="","",'Направление 2'!D136)</f>
        <v>х</v>
      </c>
      <c r="I403" s="131"/>
      <c r="J403" s="61" t="str">
        <f>IF('Направление 2'!E136=0,"",'Направление 2'!E136)</f>
        <v/>
      </c>
    </row>
    <row r="404" spans="1:10" ht="150" customHeight="1" x14ac:dyDescent="0.3">
      <c r="A404" s="44">
        <v>10</v>
      </c>
      <c r="B404" s="150" t="str">
        <f>IF('Направление 2'!B137="","",'Направление 2'!B137)</f>
        <v/>
      </c>
      <c r="C404" s="133"/>
      <c r="D404" s="131"/>
      <c r="E404" s="130" t="str">
        <f>IF('Направление 2'!C137="","",'Направление 2'!C137)</f>
        <v/>
      </c>
      <c r="F404" s="133"/>
      <c r="G404" s="131"/>
      <c r="H404" s="130" t="str">
        <f>IF('Направление 2'!D137="","",'Направление 2'!D137)</f>
        <v>х</v>
      </c>
      <c r="I404" s="131"/>
      <c r="J404" s="61" t="str">
        <f>IF('Направление 2'!E137=0,"",'Направление 2'!E137)</f>
        <v/>
      </c>
    </row>
    <row r="405" spans="1:10" ht="150" customHeight="1" x14ac:dyDescent="0.3">
      <c r="A405" s="44">
        <v>11</v>
      </c>
      <c r="B405" s="150" t="str">
        <f>IF('Направление 2'!B138="","",'Направление 2'!B138)</f>
        <v/>
      </c>
      <c r="C405" s="133"/>
      <c r="D405" s="131"/>
      <c r="E405" s="130" t="str">
        <f>IF('Направление 2'!C138="","",'Направление 2'!C138)</f>
        <v/>
      </c>
      <c r="F405" s="133"/>
      <c r="G405" s="131"/>
      <c r="H405" s="130" t="str">
        <f>IF('Направление 2'!D138="","",'Направление 2'!D138)</f>
        <v>х</v>
      </c>
      <c r="I405" s="131"/>
      <c r="J405" s="61" t="str">
        <f>IF('Направление 2'!E138=0,"",'Направление 2'!E138)</f>
        <v/>
      </c>
    </row>
    <row r="406" spans="1:10" ht="150" customHeight="1" x14ac:dyDescent="0.3">
      <c r="A406" s="44">
        <v>12</v>
      </c>
      <c r="B406" s="150" t="str">
        <f>IF('Направление 2'!B139="","",'Направление 2'!B139)</f>
        <v/>
      </c>
      <c r="C406" s="133"/>
      <c r="D406" s="131"/>
      <c r="E406" s="130" t="str">
        <f>IF('Направление 2'!C139="","",'Направление 2'!C139)</f>
        <v/>
      </c>
      <c r="F406" s="133"/>
      <c r="G406" s="131"/>
      <c r="H406" s="130" t="str">
        <f>IF('Направление 2'!D139="","",'Направление 2'!D139)</f>
        <v>х</v>
      </c>
      <c r="I406" s="131"/>
      <c r="J406" s="61" t="str">
        <f>IF('Направление 2'!E139=0,"",'Направление 2'!E139)</f>
        <v/>
      </c>
    </row>
    <row r="407" spans="1:10" ht="150" customHeight="1" x14ac:dyDescent="0.3">
      <c r="A407" s="44">
        <v>13</v>
      </c>
      <c r="B407" s="150" t="str">
        <f>IF('Направление 2'!B140="","",'Направление 2'!B140)</f>
        <v/>
      </c>
      <c r="C407" s="133"/>
      <c r="D407" s="131"/>
      <c r="E407" s="130" t="str">
        <f>IF('Направление 2'!C140="","",'Направление 2'!C140)</f>
        <v/>
      </c>
      <c r="F407" s="133"/>
      <c r="G407" s="131"/>
      <c r="H407" s="130" t="str">
        <f>IF('Направление 2'!D140="","",'Направление 2'!D140)</f>
        <v>х</v>
      </c>
      <c r="I407" s="131"/>
      <c r="J407" s="61" t="str">
        <f>IF('Направление 2'!E140=0,"",'Направление 2'!E140)</f>
        <v/>
      </c>
    </row>
    <row r="408" spans="1:10" ht="150" customHeight="1" x14ac:dyDescent="0.3">
      <c r="A408" s="44">
        <v>14</v>
      </c>
      <c r="B408" s="150" t="str">
        <f>IF('Направление 2'!B141="","",'Направление 2'!B141)</f>
        <v/>
      </c>
      <c r="C408" s="133"/>
      <c r="D408" s="131"/>
      <c r="E408" s="130" t="str">
        <f>IF('Направление 2'!C141="","",'Направление 2'!C141)</f>
        <v/>
      </c>
      <c r="F408" s="133"/>
      <c r="G408" s="131"/>
      <c r="H408" s="130" t="str">
        <f>IF('Направление 2'!D141="","",'Направление 2'!D141)</f>
        <v>х</v>
      </c>
      <c r="I408" s="131"/>
      <c r="J408" s="61" t="str">
        <f>IF('Направление 2'!E141=0,"",'Направление 2'!E141)</f>
        <v/>
      </c>
    </row>
    <row r="409" spans="1:10" ht="150" customHeight="1" x14ac:dyDescent="0.3">
      <c r="A409" s="44">
        <v>15</v>
      </c>
      <c r="B409" s="150" t="str">
        <f>IF('Направление 2'!B142="","",'Направление 2'!B142)</f>
        <v/>
      </c>
      <c r="C409" s="133"/>
      <c r="D409" s="131"/>
      <c r="E409" s="130" t="str">
        <f>IF('Направление 2'!C142="","",'Направление 2'!C142)</f>
        <v/>
      </c>
      <c r="F409" s="133"/>
      <c r="G409" s="131"/>
      <c r="H409" s="130" t="str">
        <f>IF('Направление 2'!D142="","",'Направление 2'!D142)</f>
        <v>х</v>
      </c>
      <c r="I409" s="131"/>
      <c r="J409" s="61" t="str">
        <f>IF('Направление 2'!E142=0,"",'Направление 2'!E142)</f>
        <v/>
      </c>
    </row>
    <row r="410" spans="1:10" ht="150" customHeight="1" x14ac:dyDescent="0.3">
      <c r="A410" s="44">
        <v>16</v>
      </c>
      <c r="B410" s="150" t="str">
        <f>IF('Направление 2'!B143="","",'Направление 2'!B143)</f>
        <v/>
      </c>
      <c r="C410" s="133"/>
      <c r="D410" s="131"/>
      <c r="E410" s="130" t="str">
        <f>IF('Направление 2'!C143="","",'Направление 2'!C143)</f>
        <v/>
      </c>
      <c r="F410" s="133"/>
      <c r="G410" s="131"/>
      <c r="H410" s="130" t="str">
        <f>IF('Направление 2'!D143="","",'Направление 2'!D143)</f>
        <v>х</v>
      </c>
      <c r="I410" s="131"/>
      <c r="J410" s="61" t="str">
        <f>IF('Направление 2'!E143=0,"",'Направление 2'!E143)</f>
        <v/>
      </c>
    </row>
    <row r="411" spans="1:10" ht="150" customHeight="1" x14ac:dyDescent="0.3">
      <c r="A411" s="44">
        <v>17</v>
      </c>
      <c r="B411" s="150" t="str">
        <f>IF('Направление 2'!B144="","",'Направление 2'!B144)</f>
        <v/>
      </c>
      <c r="C411" s="133"/>
      <c r="D411" s="131"/>
      <c r="E411" s="130" t="str">
        <f>IF('Направление 2'!C144="","",'Направление 2'!C144)</f>
        <v/>
      </c>
      <c r="F411" s="133"/>
      <c r="G411" s="131"/>
      <c r="H411" s="130" t="str">
        <f>IF('Направление 2'!D144="","",'Направление 2'!D144)</f>
        <v>х</v>
      </c>
      <c r="I411" s="131"/>
      <c r="J411" s="61" t="str">
        <f>IF('Направление 2'!E144=0,"",'Направление 2'!E144)</f>
        <v/>
      </c>
    </row>
    <row r="412" spans="1:10" ht="150" customHeight="1" x14ac:dyDescent="0.3">
      <c r="A412" s="44">
        <v>18</v>
      </c>
      <c r="B412" s="150" t="str">
        <f>IF('Направление 2'!B145="","",'Направление 2'!B145)</f>
        <v/>
      </c>
      <c r="C412" s="133"/>
      <c r="D412" s="131"/>
      <c r="E412" s="130" t="str">
        <f>IF('Направление 2'!C145="","",'Направление 2'!C145)</f>
        <v/>
      </c>
      <c r="F412" s="133"/>
      <c r="G412" s="131"/>
      <c r="H412" s="130" t="str">
        <f>IF('Направление 2'!D145="","",'Направление 2'!D145)</f>
        <v>х</v>
      </c>
      <c r="I412" s="131"/>
      <c r="J412" s="61" t="str">
        <f>IF('Направление 2'!E145=0,"",'Направление 2'!E145)</f>
        <v/>
      </c>
    </row>
    <row r="413" spans="1:10" ht="150" customHeight="1" x14ac:dyDescent="0.3">
      <c r="A413" s="44">
        <v>19</v>
      </c>
      <c r="B413" s="150" t="str">
        <f>IF('Направление 2'!B146="","",'Направление 2'!B146)</f>
        <v/>
      </c>
      <c r="C413" s="133"/>
      <c r="D413" s="131"/>
      <c r="E413" s="130" t="str">
        <f>IF('Направление 2'!C146="","",'Направление 2'!C146)</f>
        <v/>
      </c>
      <c r="F413" s="133"/>
      <c r="G413" s="131"/>
      <c r="H413" s="130" t="str">
        <f>IF('Направление 2'!D146="","",'Направление 2'!D146)</f>
        <v>х</v>
      </c>
      <c r="I413" s="131"/>
      <c r="J413" s="61" t="str">
        <f>IF('Направление 2'!E146=0,"",'Направление 2'!E146)</f>
        <v/>
      </c>
    </row>
    <row r="414" spans="1:10" ht="150" customHeight="1" thickBot="1" x14ac:dyDescent="0.35">
      <c r="A414" s="45">
        <v>20</v>
      </c>
      <c r="B414" s="150" t="str">
        <f>IF('Направление 2'!B147="","",'Направление 2'!B147)</f>
        <v/>
      </c>
      <c r="C414" s="133"/>
      <c r="D414" s="131"/>
      <c r="E414" s="130" t="str">
        <f>IF('Направление 2'!C147="","",'Направление 2'!C147)</f>
        <v/>
      </c>
      <c r="F414" s="133"/>
      <c r="G414" s="131"/>
      <c r="H414" s="130" t="str">
        <f>IF('Направление 2'!D147="","",'Направление 2'!D147)</f>
        <v>х</v>
      </c>
      <c r="I414" s="131"/>
      <c r="J414" s="61" t="str">
        <f>IF('Направление 2'!E147=0,"",'Направление 2'!E147)</f>
        <v/>
      </c>
    </row>
    <row r="415" spans="1:10" ht="150" customHeight="1" x14ac:dyDescent="0.3">
      <c r="A415" s="39">
        <v>21</v>
      </c>
      <c r="B415" s="150" t="str">
        <f>IF('Направление 2'!B148="","",'Направление 2'!B148)</f>
        <v/>
      </c>
      <c r="C415" s="133"/>
      <c r="D415" s="131"/>
      <c r="E415" s="130" t="str">
        <f>IF('Направление 2'!C148="","",'Направление 2'!C148)</f>
        <v/>
      </c>
      <c r="F415" s="133"/>
      <c r="G415" s="131"/>
      <c r="H415" s="130" t="str">
        <f>IF('Направление 2'!D148="","",'Направление 2'!D148)</f>
        <v>х</v>
      </c>
      <c r="I415" s="131"/>
      <c r="J415" s="61" t="str">
        <f>IF('Направление 2'!E148=0,"",'Направление 2'!E148)</f>
        <v/>
      </c>
    </row>
    <row r="416" spans="1:10" ht="150" customHeight="1" x14ac:dyDescent="0.3">
      <c r="A416" s="40">
        <v>22</v>
      </c>
      <c r="B416" s="150" t="str">
        <f>IF('Направление 2'!B149="","",'Направление 2'!B149)</f>
        <v/>
      </c>
      <c r="C416" s="133"/>
      <c r="D416" s="131"/>
      <c r="E416" s="130" t="str">
        <f>IF('Направление 2'!C149="","",'Направление 2'!C149)</f>
        <v/>
      </c>
      <c r="F416" s="133"/>
      <c r="G416" s="131"/>
      <c r="H416" s="130" t="str">
        <f>IF('Направление 2'!D149="","",'Направление 2'!D149)</f>
        <v>х</v>
      </c>
      <c r="I416" s="131"/>
      <c r="J416" s="61" t="str">
        <f>IF('Направление 2'!E149=0,"",'Направление 2'!E149)</f>
        <v/>
      </c>
    </row>
    <row r="417" spans="1:10" ht="150" customHeight="1" x14ac:dyDescent="0.3">
      <c r="A417" s="40">
        <v>23</v>
      </c>
      <c r="B417" s="150" t="str">
        <f>IF('Направление 2'!B150="","",'Направление 2'!B150)</f>
        <v/>
      </c>
      <c r="C417" s="133"/>
      <c r="D417" s="131"/>
      <c r="E417" s="130" t="str">
        <f>IF('Направление 2'!C150="","",'Направление 2'!C150)</f>
        <v/>
      </c>
      <c r="F417" s="133"/>
      <c r="G417" s="131"/>
      <c r="H417" s="130" t="str">
        <f>IF('Направление 2'!D150="","",'Направление 2'!D150)</f>
        <v>х</v>
      </c>
      <c r="I417" s="131"/>
      <c r="J417" s="61" t="str">
        <f>IF('Направление 2'!E150=0,"",'Направление 2'!E150)</f>
        <v/>
      </c>
    </row>
    <row r="418" spans="1:10" ht="150" customHeight="1" x14ac:dyDescent="0.3">
      <c r="A418" s="40">
        <v>24</v>
      </c>
      <c r="B418" s="150" t="str">
        <f>IF('Направление 2'!B151="","",'Направление 2'!B151)</f>
        <v/>
      </c>
      <c r="C418" s="133"/>
      <c r="D418" s="131"/>
      <c r="E418" s="130" t="str">
        <f>IF('Направление 2'!C151="","",'Направление 2'!C151)</f>
        <v/>
      </c>
      <c r="F418" s="133"/>
      <c r="G418" s="131"/>
      <c r="H418" s="130" t="str">
        <f>IF('Направление 2'!D151="","",'Направление 2'!D151)</f>
        <v>х</v>
      </c>
      <c r="I418" s="131"/>
      <c r="J418" s="61" t="str">
        <f>IF('Направление 2'!E151=0,"",'Направление 2'!E151)</f>
        <v/>
      </c>
    </row>
    <row r="419" spans="1:10" ht="150" customHeight="1" x14ac:dyDescent="0.3">
      <c r="A419" s="40">
        <v>25</v>
      </c>
      <c r="B419" s="150" t="str">
        <f>IF('Направление 2'!B152="","",'Направление 2'!B152)</f>
        <v/>
      </c>
      <c r="C419" s="133"/>
      <c r="D419" s="131"/>
      <c r="E419" s="130" t="str">
        <f>IF('Направление 2'!C152="","",'Направление 2'!C152)</f>
        <v/>
      </c>
      <c r="F419" s="133"/>
      <c r="G419" s="131"/>
      <c r="H419" s="130" t="str">
        <f>IF('Направление 2'!D152="","",'Направление 2'!D152)</f>
        <v>х</v>
      </c>
      <c r="I419" s="131"/>
      <c r="J419" s="61" t="str">
        <f>IF('Направление 2'!E152=0,"",'Направление 2'!E152)</f>
        <v/>
      </c>
    </row>
    <row r="420" spans="1:10" ht="150" customHeight="1" x14ac:dyDescent="0.3">
      <c r="A420" s="40">
        <v>26</v>
      </c>
      <c r="B420" s="150" t="str">
        <f>IF('Направление 2'!B153="","",'Направление 2'!B153)</f>
        <v/>
      </c>
      <c r="C420" s="133"/>
      <c r="D420" s="131"/>
      <c r="E420" s="130" t="str">
        <f>IF('Направление 2'!C153="","",'Направление 2'!C153)</f>
        <v/>
      </c>
      <c r="F420" s="133"/>
      <c r="G420" s="131"/>
      <c r="H420" s="130" t="str">
        <f>IF('Направление 2'!D153="","",'Направление 2'!D153)</f>
        <v>х</v>
      </c>
      <c r="I420" s="131"/>
      <c r="J420" s="61" t="str">
        <f>IF('Направление 2'!E153=0,"",'Направление 2'!E153)</f>
        <v/>
      </c>
    </row>
    <row r="421" spans="1:10" ht="150" customHeight="1" x14ac:dyDescent="0.3">
      <c r="A421" s="40">
        <v>27</v>
      </c>
      <c r="B421" s="150" t="str">
        <f>IF('Направление 2'!B154="","",'Направление 2'!B154)</f>
        <v/>
      </c>
      <c r="C421" s="133"/>
      <c r="D421" s="131"/>
      <c r="E421" s="130" t="str">
        <f>IF('Направление 2'!C154="","",'Направление 2'!C154)</f>
        <v/>
      </c>
      <c r="F421" s="133"/>
      <c r="G421" s="131"/>
      <c r="H421" s="130" t="str">
        <f>IF('Направление 2'!D154="","",'Направление 2'!D154)</f>
        <v>х</v>
      </c>
      <c r="I421" s="131"/>
      <c r="J421" s="61" t="str">
        <f>IF('Направление 2'!E154=0,"",'Направление 2'!E154)</f>
        <v/>
      </c>
    </row>
    <row r="422" spans="1:10" ht="150" customHeight="1" x14ac:dyDescent="0.3">
      <c r="A422" s="40">
        <v>28</v>
      </c>
      <c r="B422" s="150" t="str">
        <f>IF('Направление 2'!B155="","",'Направление 2'!B155)</f>
        <v/>
      </c>
      <c r="C422" s="133"/>
      <c r="D422" s="131"/>
      <c r="E422" s="130" t="str">
        <f>IF('Направление 2'!C155="","",'Направление 2'!C155)</f>
        <v/>
      </c>
      <c r="F422" s="133"/>
      <c r="G422" s="131"/>
      <c r="H422" s="130" t="str">
        <f>IF('Направление 2'!D155="","",'Направление 2'!D155)</f>
        <v>х</v>
      </c>
      <c r="I422" s="131"/>
      <c r="J422" s="61" t="str">
        <f>IF('Направление 2'!E155=0,"",'Направление 2'!E155)</f>
        <v/>
      </c>
    </row>
    <row r="423" spans="1:10" ht="150" customHeight="1" x14ac:dyDescent="0.3">
      <c r="A423" s="40">
        <v>29</v>
      </c>
      <c r="B423" s="150" t="str">
        <f>IF('Направление 2'!B156="","",'Направление 2'!B156)</f>
        <v/>
      </c>
      <c r="C423" s="133"/>
      <c r="D423" s="131"/>
      <c r="E423" s="130" t="str">
        <f>IF('Направление 2'!C156="","",'Направление 2'!C156)</f>
        <v/>
      </c>
      <c r="F423" s="133"/>
      <c r="G423" s="131"/>
      <c r="H423" s="130" t="str">
        <f>IF('Направление 2'!D156="","",'Направление 2'!D156)</f>
        <v>х</v>
      </c>
      <c r="I423" s="131"/>
      <c r="J423" s="61" t="str">
        <f>IF('Направление 2'!E156=0,"",'Направление 2'!E156)</f>
        <v/>
      </c>
    </row>
    <row r="424" spans="1:10" ht="150" customHeight="1" x14ac:dyDescent="0.3">
      <c r="A424" s="40">
        <v>30</v>
      </c>
      <c r="B424" s="150" t="str">
        <f>IF('Направление 2'!B157="","",'Направление 2'!B157)</f>
        <v/>
      </c>
      <c r="C424" s="133"/>
      <c r="D424" s="131"/>
      <c r="E424" s="130" t="str">
        <f>IF('Направление 2'!C157="","",'Направление 2'!C157)</f>
        <v/>
      </c>
      <c r="F424" s="133"/>
      <c r="G424" s="131"/>
      <c r="H424" s="130" t="str">
        <f>IF('Направление 2'!D157="","",'Направление 2'!D157)</f>
        <v>х</v>
      </c>
      <c r="I424" s="131"/>
      <c r="J424" s="61" t="str">
        <f>IF('Направление 2'!E157=0,"",'Направление 2'!E157)</f>
        <v/>
      </c>
    </row>
    <row r="425" spans="1:10" ht="150" customHeight="1" x14ac:dyDescent="0.3">
      <c r="A425" s="40">
        <v>31</v>
      </c>
      <c r="B425" s="150" t="str">
        <f>IF('Направление 2'!B158="","",'Направление 2'!B158)</f>
        <v/>
      </c>
      <c r="C425" s="133"/>
      <c r="D425" s="131"/>
      <c r="E425" s="130" t="str">
        <f>IF('Направление 2'!C158="","",'Направление 2'!C158)</f>
        <v/>
      </c>
      <c r="F425" s="133"/>
      <c r="G425" s="131"/>
      <c r="H425" s="130" t="str">
        <f>IF('Направление 2'!D158="","",'Направление 2'!D158)</f>
        <v>х</v>
      </c>
      <c r="I425" s="131"/>
      <c r="J425" s="61" t="str">
        <f>IF('Направление 2'!E158=0,"",'Направление 2'!E158)</f>
        <v/>
      </c>
    </row>
    <row r="426" spans="1:10" ht="150" customHeight="1" x14ac:dyDescent="0.3">
      <c r="A426" s="40">
        <v>32</v>
      </c>
      <c r="B426" s="150" t="str">
        <f>IF('Направление 2'!B159="","",'Направление 2'!B159)</f>
        <v/>
      </c>
      <c r="C426" s="133"/>
      <c r="D426" s="131"/>
      <c r="E426" s="130" t="str">
        <f>IF('Направление 2'!C159="","",'Направление 2'!C159)</f>
        <v/>
      </c>
      <c r="F426" s="133"/>
      <c r="G426" s="131"/>
      <c r="H426" s="130" t="str">
        <f>IF('Направление 2'!D159="","",'Направление 2'!D159)</f>
        <v>х</v>
      </c>
      <c r="I426" s="131"/>
      <c r="J426" s="61" t="str">
        <f>IF('Направление 2'!E159=0,"",'Направление 2'!E159)</f>
        <v/>
      </c>
    </row>
    <row r="427" spans="1:10" ht="150" customHeight="1" x14ac:dyDescent="0.3">
      <c r="A427" s="40">
        <v>33</v>
      </c>
      <c r="B427" s="150" t="str">
        <f>IF('Направление 2'!B160="","",'Направление 2'!B160)</f>
        <v/>
      </c>
      <c r="C427" s="133"/>
      <c r="D427" s="131"/>
      <c r="E427" s="130" t="str">
        <f>IF('Направление 2'!C160="","",'Направление 2'!C160)</f>
        <v/>
      </c>
      <c r="F427" s="133"/>
      <c r="G427" s="131"/>
      <c r="H427" s="130" t="str">
        <f>IF('Направление 2'!D160="","",'Направление 2'!D160)</f>
        <v>х</v>
      </c>
      <c r="I427" s="131"/>
      <c r="J427" s="61" t="str">
        <f>IF('Направление 2'!E160=0,"",'Направление 2'!E160)</f>
        <v/>
      </c>
    </row>
    <row r="428" spans="1:10" ht="150" customHeight="1" x14ac:dyDescent="0.3">
      <c r="A428" s="40">
        <v>34</v>
      </c>
      <c r="B428" s="150" t="str">
        <f>IF('Направление 2'!B161="","",'Направление 2'!B161)</f>
        <v/>
      </c>
      <c r="C428" s="133"/>
      <c r="D428" s="131"/>
      <c r="E428" s="130" t="str">
        <f>IF('Направление 2'!C161="","",'Направление 2'!C161)</f>
        <v/>
      </c>
      <c r="F428" s="133"/>
      <c r="G428" s="131"/>
      <c r="H428" s="130" t="str">
        <f>IF('Направление 2'!D161="","",'Направление 2'!D161)</f>
        <v>х</v>
      </c>
      <c r="I428" s="131"/>
      <c r="J428" s="61" t="str">
        <f>IF('Направление 2'!E161=0,"",'Направление 2'!E161)</f>
        <v/>
      </c>
    </row>
    <row r="429" spans="1:10" ht="150" customHeight="1" x14ac:dyDescent="0.3">
      <c r="A429" s="40">
        <v>35</v>
      </c>
      <c r="B429" s="150" t="str">
        <f>IF('Направление 2'!B162="","",'Направление 2'!B162)</f>
        <v/>
      </c>
      <c r="C429" s="133"/>
      <c r="D429" s="131"/>
      <c r="E429" s="130" t="str">
        <f>IF('Направление 2'!C162="","",'Направление 2'!C162)</f>
        <v/>
      </c>
      <c r="F429" s="133"/>
      <c r="G429" s="131"/>
      <c r="H429" s="130" t="str">
        <f>IF('Направление 2'!D162="","",'Направление 2'!D162)</f>
        <v>х</v>
      </c>
      <c r="I429" s="131"/>
      <c r="J429" s="61" t="str">
        <f>IF('Направление 2'!E162=0,"",'Направление 2'!E162)</f>
        <v/>
      </c>
    </row>
    <row r="430" spans="1:10" ht="150" customHeight="1" x14ac:dyDescent="0.3">
      <c r="A430" s="40">
        <v>36</v>
      </c>
      <c r="B430" s="150" t="str">
        <f>IF('Направление 2'!B163="","",'Направление 2'!B163)</f>
        <v/>
      </c>
      <c r="C430" s="133"/>
      <c r="D430" s="131"/>
      <c r="E430" s="130" t="str">
        <f>IF('Направление 2'!C163="","",'Направление 2'!C163)</f>
        <v/>
      </c>
      <c r="F430" s="133"/>
      <c r="G430" s="131"/>
      <c r="H430" s="130" t="str">
        <f>IF('Направление 2'!D163="","",'Направление 2'!D163)</f>
        <v>х</v>
      </c>
      <c r="I430" s="131"/>
      <c r="J430" s="61" t="str">
        <f>IF('Направление 2'!E163=0,"",'Направление 2'!E163)</f>
        <v/>
      </c>
    </row>
    <row r="431" spans="1:10" ht="150" customHeight="1" x14ac:dyDescent="0.3">
      <c r="A431" s="40">
        <v>37</v>
      </c>
      <c r="B431" s="150" t="str">
        <f>IF('Направление 2'!B164="","",'Направление 2'!B164)</f>
        <v/>
      </c>
      <c r="C431" s="133"/>
      <c r="D431" s="131"/>
      <c r="E431" s="130" t="str">
        <f>IF('Направление 2'!C164="","",'Направление 2'!C164)</f>
        <v/>
      </c>
      <c r="F431" s="133"/>
      <c r="G431" s="131"/>
      <c r="H431" s="130" t="str">
        <f>IF('Направление 2'!D164="","",'Направление 2'!D164)</f>
        <v>х</v>
      </c>
      <c r="I431" s="131"/>
      <c r="J431" s="61" t="str">
        <f>IF('Направление 2'!E164=0,"",'Направление 2'!E164)</f>
        <v/>
      </c>
    </row>
    <row r="432" spans="1:10" ht="150" customHeight="1" x14ac:dyDescent="0.3">
      <c r="A432" s="40">
        <v>38</v>
      </c>
      <c r="B432" s="150" t="str">
        <f>IF('Направление 2'!B165="","",'Направление 2'!B165)</f>
        <v/>
      </c>
      <c r="C432" s="133"/>
      <c r="D432" s="131"/>
      <c r="E432" s="130" t="str">
        <f>IF('Направление 2'!C165="","",'Направление 2'!C165)</f>
        <v/>
      </c>
      <c r="F432" s="133"/>
      <c r="G432" s="131"/>
      <c r="H432" s="130" t="str">
        <f>IF('Направление 2'!D165="","",'Направление 2'!D165)</f>
        <v>х</v>
      </c>
      <c r="I432" s="131"/>
      <c r="J432" s="61" t="str">
        <f>IF('Направление 2'!E165=0,"",'Направление 2'!E165)</f>
        <v/>
      </c>
    </row>
    <row r="433" spans="1:10" ht="150" customHeight="1" x14ac:dyDescent="0.3">
      <c r="A433" s="40">
        <v>39</v>
      </c>
      <c r="B433" s="150" t="str">
        <f>IF('Направление 2'!B166="","",'Направление 2'!B166)</f>
        <v/>
      </c>
      <c r="C433" s="133"/>
      <c r="D433" s="131"/>
      <c r="E433" s="130" t="str">
        <f>IF('Направление 2'!C166="","",'Направление 2'!C166)</f>
        <v/>
      </c>
      <c r="F433" s="133"/>
      <c r="G433" s="131"/>
      <c r="H433" s="130" t="str">
        <f>IF('Направление 2'!D166="","",'Направление 2'!D166)</f>
        <v>х</v>
      </c>
      <c r="I433" s="131"/>
      <c r="J433" s="61" t="str">
        <f>IF('Направление 2'!E166=0,"",'Направление 2'!E166)</f>
        <v/>
      </c>
    </row>
    <row r="434" spans="1:10" ht="150" customHeight="1" thickBot="1" x14ac:dyDescent="0.35">
      <c r="A434" s="41">
        <v>40</v>
      </c>
      <c r="B434" s="150" t="str">
        <f>IF('Направление 2'!B167="","",'Направление 2'!B167)</f>
        <v/>
      </c>
      <c r="C434" s="133"/>
      <c r="D434" s="131"/>
      <c r="E434" s="130" t="str">
        <f>IF('Направление 2'!C167="","",'Направление 2'!C167)</f>
        <v/>
      </c>
      <c r="F434" s="133"/>
      <c r="G434" s="131"/>
      <c r="H434" s="130" t="str">
        <f>IF('Направление 2'!D167="","",'Направление 2'!D167)</f>
        <v>х</v>
      </c>
      <c r="I434" s="131"/>
      <c r="J434" s="61" t="str">
        <f>IF('Направление 2'!E167=0,"",'Направление 2'!E167)</f>
        <v/>
      </c>
    </row>
    <row r="435" spans="1:10" ht="150" customHeight="1" thickBot="1" x14ac:dyDescent="0.35">
      <c r="A435" s="41">
        <v>41</v>
      </c>
      <c r="B435" s="150" t="str">
        <f>IF('Направление 2'!B168="","",'Направление 2'!B168)</f>
        <v/>
      </c>
      <c r="C435" s="133"/>
      <c r="D435" s="131"/>
      <c r="E435" s="130" t="str">
        <f>IF('Направление 2'!C168="","",'Направление 2'!C168)</f>
        <v/>
      </c>
      <c r="F435" s="133"/>
      <c r="G435" s="131"/>
      <c r="H435" s="130" t="str">
        <f>IF('Направление 2'!D168="","",'Направление 2'!D168)</f>
        <v>х</v>
      </c>
      <c r="I435" s="131"/>
      <c r="J435" s="61" t="str">
        <f>IF('Направление 2'!E168=0,"",'Направление 2'!E168)</f>
        <v/>
      </c>
    </row>
    <row r="436" spans="1:10" ht="150" customHeight="1" thickBot="1" x14ac:dyDescent="0.35">
      <c r="A436" s="41">
        <v>42</v>
      </c>
      <c r="B436" s="150" t="str">
        <f>IF('Направление 2'!B169="","",'Направление 2'!B169)</f>
        <v/>
      </c>
      <c r="C436" s="133"/>
      <c r="D436" s="131"/>
      <c r="E436" s="130" t="str">
        <f>IF('Направление 2'!C169="","",'Направление 2'!C169)</f>
        <v/>
      </c>
      <c r="F436" s="133"/>
      <c r="G436" s="131"/>
      <c r="H436" s="130" t="str">
        <f>IF('Направление 2'!D169="","",'Направление 2'!D169)</f>
        <v>х</v>
      </c>
      <c r="I436" s="131"/>
      <c r="J436" s="61" t="str">
        <f>IF('Направление 2'!E169=0,"",'Направление 2'!E169)</f>
        <v/>
      </c>
    </row>
    <row r="437" spans="1:10" ht="150" customHeight="1" thickBot="1" x14ac:dyDescent="0.35">
      <c r="A437" s="41">
        <v>43</v>
      </c>
      <c r="B437" s="150" t="str">
        <f>IF('Направление 2'!B170="","",'Направление 2'!B170)</f>
        <v/>
      </c>
      <c r="C437" s="133"/>
      <c r="D437" s="131"/>
      <c r="E437" s="130" t="str">
        <f>IF('Направление 2'!C170="","",'Направление 2'!C170)</f>
        <v/>
      </c>
      <c r="F437" s="133"/>
      <c r="G437" s="131"/>
      <c r="H437" s="130" t="str">
        <f>IF('Направление 2'!D170="","",'Направление 2'!D170)</f>
        <v>х</v>
      </c>
      <c r="I437" s="131"/>
      <c r="J437" s="61" t="str">
        <f>IF('Направление 2'!E170=0,"",'Направление 2'!E170)</f>
        <v/>
      </c>
    </row>
    <row r="438" spans="1:10" ht="150" customHeight="1" thickBot="1" x14ac:dyDescent="0.35">
      <c r="A438" s="41">
        <v>44</v>
      </c>
      <c r="B438" s="150" t="str">
        <f>IF('Направление 2'!B171="","",'Направление 2'!B171)</f>
        <v/>
      </c>
      <c r="C438" s="133"/>
      <c r="D438" s="131"/>
      <c r="E438" s="130" t="str">
        <f>IF('Направление 2'!C171="","",'Направление 2'!C171)</f>
        <v/>
      </c>
      <c r="F438" s="133"/>
      <c r="G438" s="131"/>
      <c r="H438" s="130" t="str">
        <f>IF('Направление 2'!D171="","",'Направление 2'!D171)</f>
        <v>х</v>
      </c>
      <c r="I438" s="131"/>
      <c r="J438" s="61" t="str">
        <f>IF('Направление 2'!E171=0,"",'Направление 2'!E171)</f>
        <v/>
      </c>
    </row>
    <row r="439" spans="1:10" ht="150" customHeight="1" thickBot="1" x14ac:dyDescent="0.35">
      <c r="A439" s="41">
        <v>45</v>
      </c>
      <c r="B439" s="150" t="str">
        <f>IF('Направление 2'!B172="","",'Направление 2'!B172)</f>
        <v/>
      </c>
      <c r="C439" s="133"/>
      <c r="D439" s="131"/>
      <c r="E439" s="130" t="str">
        <f>IF('Направление 2'!C172="","",'Направление 2'!C172)</f>
        <v/>
      </c>
      <c r="F439" s="133"/>
      <c r="G439" s="131"/>
      <c r="H439" s="130" t="str">
        <f>IF('Направление 2'!D172="","",'Направление 2'!D172)</f>
        <v>х</v>
      </c>
      <c r="I439" s="131"/>
      <c r="J439" s="61" t="str">
        <f>IF('Направление 2'!E172=0,"",'Направление 2'!E172)</f>
        <v/>
      </c>
    </row>
    <row r="440" spans="1:10" ht="150" customHeight="1" thickBot="1" x14ac:dyDescent="0.35">
      <c r="A440" s="41">
        <v>46</v>
      </c>
      <c r="B440" s="150" t="str">
        <f>IF('Направление 2'!B173="","",'Направление 2'!B173)</f>
        <v/>
      </c>
      <c r="C440" s="133"/>
      <c r="D440" s="131"/>
      <c r="E440" s="130" t="str">
        <f>IF('Направление 2'!C173="","",'Направление 2'!C173)</f>
        <v/>
      </c>
      <c r="F440" s="133"/>
      <c r="G440" s="131"/>
      <c r="H440" s="130" t="str">
        <f>IF('Направление 2'!D173="","",'Направление 2'!D173)</f>
        <v>х</v>
      </c>
      <c r="I440" s="131"/>
      <c r="J440" s="61" t="str">
        <f>IF('Направление 2'!E173=0,"",'Направление 2'!E173)</f>
        <v/>
      </c>
    </row>
    <row r="441" spans="1:10" ht="150" customHeight="1" thickBot="1" x14ac:dyDescent="0.35">
      <c r="A441" s="41">
        <v>47</v>
      </c>
      <c r="B441" s="150" t="str">
        <f>IF('Направление 2'!B174="","",'Направление 2'!B174)</f>
        <v/>
      </c>
      <c r="C441" s="133"/>
      <c r="D441" s="131"/>
      <c r="E441" s="130" t="str">
        <f>IF('Направление 2'!C174="","",'Направление 2'!C174)</f>
        <v/>
      </c>
      <c r="F441" s="133"/>
      <c r="G441" s="131"/>
      <c r="H441" s="130" t="str">
        <f>IF('Направление 2'!D174="","",'Направление 2'!D174)</f>
        <v>х</v>
      </c>
      <c r="I441" s="131"/>
      <c r="J441" s="61" t="str">
        <f>IF('Направление 2'!E174=0,"",'Направление 2'!E174)</f>
        <v/>
      </c>
    </row>
    <row r="442" spans="1:10" ht="150" customHeight="1" thickBot="1" x14ac:dyDescent="0.35">
      <c r="A442" s="41">
        <v>48</v>
      </c>
      <c r="B442" s="150" t="str">
        <f>IF('Направление 2'!B175="","",'Направление 2'!B175)</f>
        <v/>
      </c>
      <c r="C442" s="133"/>
      <c r="D442" s="131"/>
      <c r="E442" s="130" t="str">
        <f>IF('Направление 2'!C175="","",'Направление 2'!C175)</f>
        <v/>
      </c>
      <c r="F442" s="133"/>
      <c r="G442" s="131"/>
      <c r="H442" s="130" t="str">
        <f>IF('Направление 2'!D175="","",'Направление 2'!D175)</f>
        <v>х</v>
      </c>
      <c r="I442" s="131"/>
      <c r="J442" s="61" t="str">
        <f>IF('Направление 2'!E175=0,"",'Направление 2'!E175)</f>
        <v/>
      </c>
    </row>
    <row r="443" spans="1:10" ht="150" customHeight="1" thickBot="1" x14ac:dyDescent="0.35">
      <c r="A443" s="41">
        <v>49</v>
      </c>
      <c r="B443" s="150" t="str">
        <f>IF('Направление 2'!B176="","",'Направление 2'!B176)</f>
        <v/>
      </c>
      <c r="C443" s="133"/>
      <c r="D443" s="131"/>
      <c r="E443" s="130" t="str">
        <f>IF('Направление 2'!C176="","",'Направление 2'!C176)</f>
        <v/>
      </c>
      <c r="F443" s="133"/>
      <c r="G443" s="131"/>
      <c r="H443" s="130" t="str">
        <f>IF('Направление 2'!D176="","",'Направление 2'!D176)</f>
        <v>х</v>
      </c>
      <c r="I443" s="131"/>
      <c r="J443" s="61" t="str">
        <f>IF('Направление 2'!E176=0,"",'Направление 2'!E176)</f>
        <v/>
      </c>
    </row>
    <row r="444" spans="1:10" ht="150" customHeight="1" thickBot="1" x14ac:dyDescent="0.35">
      <c r="A444" s="41">
        <v>50</v>
      </c>
      <c r="B444" s="150" t="str">
        <f>IF('Направление 2'!B177="","",'Направление 2'!B177)</f>
        <v/>
      </c>
      <c r="C444" s="133"/>
      <c r="D444" s="131"/>
      <c r="E444" s="130" t="str">
        <f>IF('Направление 2'!C177="","",'Направление 2'!C177)</f>
        <v/>
      </c>
      <c r="F444" s="133"/>
      <c r="G444" s="131"/>
      <c r="H444" s="130" t="str">
        <f>IF('Направление 2'!D177="","",'Направление 2'!D177)</f>
        <v>х</v>
      </c>
      <c r="I444" s="131"/>
      <c r="J444" s="61" t="str">
        <f>IF('Направление 2'!E177=0,"",'Направление 2'!E177)</f>
        <v/>
      </c>
    </row>
    <row r="445" spans="1:10" ht="150" customHeight="1" thickBot="1" x14ac:dyDescent="0.35">
      <c r="A445" s="41">
        <v>51</v>
      </c>
      <c r="B445" s="150" t="str">
        <f>IF('Направление 2'!B178="","",'Направление 2'!B178)</f>
        <v/>
      </c>
      <c r="C445" s="133"/>
      <c r="D445" s="131"/>
      <c r="E445" s="130" t="str">
        <f>IF('Направление 2'!C178="","",'Направление 2'!C178)</f>
        <v/>
      </c>
      <c r="F445" s="133"/>
      <c r="G445" s="131"/>
      <c r="H445" s="130" t="str">
        <f>IF('Направление 2'!D178="","",'Направление 2'!D178)</f>
        <v>х</v>
      </c>
      <c r="I445" s="131"/>
      <c r="J445" s="61" t="str">
        <f>IF('Направление 2'!E178=0,"",'Направление 2'!E178)</f>
        <v/>
      </c>
    </row>
    <row r="446" spans="1:10" ht="150" customHeight="1" thickBot="1" x14ac:dyDescent="0.35">
      <c r="A446" s="41">
        <v>52</v>
      </c>
      <c r="B446" s="150" t="str">
        <f>IF('Направление 2'!B179="","",'Направление 2'!B179)</f>
        <v/>
      </c>
      <c r="C446" s="133"/>
      <c r="D446" s="131"/>
      <c r="E446" s="130" t="str">
        <f>IF('Направление 2'!C179="","",'Направление 2'!C179)</f>
        <v/>
      </c>
      <c r="F446" s="133"/>
      <c r="G446" s="131"/>
      <c r="H446" s="130" t="str">
        <f>IF('Направление 2'!D179="","",'Направление 2'!D179)</f>
        <v>х</v>
      </c>
      <c r="I446" s="131"/>
      <c r="J446" s="61" t="str">
        <f>IF('Направление 2'!E179=0,"",'Направление 2'!E179)</f>
        <v/>
      </c>
    </row>
    <row r="447" spans="1:10" ht="150" customHeight="1" thickBot="1" x14ac:dyDescent="0.35">
      <c r="A447" s="41">
        <v>53</v>
      </c>
      <c r="B447" s="150" t="str">
        <f>IF('Направление 2'!B180="","",'Направление 2'!B180)</f>
        <v/>
      </c>
      <c r="C447" s="133"/>
      <c r="D447" s="131"/>
      <c r="E447" s="130" t="str">
        <f>IF('Направление 2'!C180="","",'Направление 2'!C180)</f>
        <v/>
      </c>
      <c r="F447" s="133"/>
      <c r="G447" s="131"/>
      <c r="H447" s="130" t="str">
        <f>IF('Направление 2'!D180="","",'Направление 2'!D180)</f>
        <v>х</v>
      </c>
      <c r="I447" s="131"/>
      <c r="J447" s="61" t="str">
        <f>IF('Направление 2'!E180=0,"",'Направление 2'!E180)</f>
        <v/>
      </c>
    </row>
    <row r="448" spans="1:10" ht="150" customHeight="1" thickBot="1" x14ac:dyDescent="0.35">
      <c r="A448" s="41">
        <v>54</v>
      </c>
      <c r="B448" s="150" t="str">
        <f>IF('Направление 2'!B181="","",'Направление 2'!B181)</f>
        <v/>
      </c>
      <c r="C448" s="133"/>
      <c r="D448" s="131"/>
      <c r="E448" s="130" t="str">
        <f>IF('Направление 2'!C181="","",'Направление 2'!C181)</f>
        <v/>
      </c>
      <c r="F448" s="133"/>
      <c r="G448" s="131"/>
      <c r="H448" s="130" t="str">
        <f>IF('Направление 2'!D181="","",'Направление 2'!D181)</f>
        <v>х</v>
      </c>
      <c r="I448" s="131"/>
      <c r="J448" s="61" t="str">
        <f>IF('Направление 2'!E181=0,"",'Направление 2'!E181)</f>
        <v/>
      </c>
    </row>
    <row r="449" spans="1:10" ht="150" customHeight="1" thickBot="1" x14ac:dyDescent="0.35">
      <c r="A449" s="41">
        <v>55</v>
      </c>
      <c r="B449" s="150" t="str">
        <f>IF('Направление 2'!B182="","",'Направление 2'!B182)</f>
        <v/>
      </c>
      <c r="C449" s="133"/>
      <c r="D449" s="131"/>
      <c r="E449" s="130" t="str">
        <f>IF('Направление 2'!C182="","",'Направление 2'!C182)</f>
        <v/>
      </c>
      <c r="F449" s="133"/>
      <c r="G449" s="131"/>
      <c r="H449" s="130" t="str">
        <f>IF('Направление 2'!D182="","",'Направление 2'!D182)</f>
        <v>х</v>
      </c>
      <c r="I449" s="131"/>
      <c r="J449" s="61" t="str">
        <f>IF('Направление 2'!E182=0,"",'Направление 2'!E182)</f>
        <v/>
      </c>
    </row>
    <row r="450" spans="1:10" ht="150" customHeight="1" thickBot="1" x14ac:dyDescent="0.35">
      <c r="A450" s="41">
        <v>56</v>
      </c>
      <c r="B450" s="150" t="str">
        <f>IF('Направление 2'!B183="","",'Направление 2'!B183)</f>
        <v/>
      </c>
      <c r="C450" s="133"/>
      <c r="D450" s="131"/>
      <c r="E450" s="130" t="str">
        <f>IF('Направление 2'!C183="","",'Направление 2'!C183)</f>
        <v/>
      </c>
      <c r="F450" s="133"/>
      <c r="G450" s="131"/>
      <c r="H450" s="130" t="str">
        <f>IF('Направление 2'!D183="","",'Направление 2'!D183)</f>
        <v>х</v>
      </c>
      <c r="I450" s="131"/>
      <c r="J450" s="61" t="str">
        <f>IF('Направление 2'!E183=0,"",'Направление 2'!E183)</f>
        <v/>
      </c>
    </row>
    <row r="451" spans="1:10" ht="150" customHeight="1" thickBot="1" x14ac:dyDescent="0.35">
      <c r="A451" s="41">
        <v>57</v>
      </c>
      <c r="B451" s="150" t="str">
        <f>IF('Направление 2'!B184="","",'Направление 2'!B184)</f>
        <v/>
      </c>
      <c r="C451" s="133"/>
      <c r="D451" s="131"/>
      <c r="E451" s="130" t="str">
        <f>IF('Направление 2'!C184="","",'Направление 2'!C184)</f>
        <v/>
      </c>
      <c r="F451" s="133"/>
      <c r="G451" s="131"/>
      <c r="H451" s="130" t="str">
        <f>IF('Направление 2'!D184="","",'Направление 2'!D184)</f>
        <v>х</v>
      </c>
      <c r="I451" s="131"/>
      <c r="J451" s="61" t="str">
        <f>IF('Направление 2'!E184=0,"",'Направление 2'!E184)</f>
        <v/>
      </c>
    </row>
    <row r="452" spans="1:10" ht="150" customHeight="1" thickBot="1" x14ac:dyDescent="0.35">
      <c r="A452" s="41">
        <v>58</v>
      </c>
      <c r="B452" s="150" t="str">
        <f>IF('Направление 2'!B185="","",'Направление 2'!B185)</f>
        <v/>
      </c>
      <c r="C452" s="133"/>
      <c r="D452" s="131"/>
      <c r="E452" s="130" t="str">
        <f>IF('Направление 2'!C185="","",'Направление 2'!C185)</f>
        <v/>
      </c>
      <c r="F452" s="133"/>
      <c r="G452" s="131"/>
      <c r="H452" s="130" t="str">
        <f>IF('Направление 2'!D185="","",'Направление 2'!D185)</f>
        <v>х</v>
      </c>
      <c r="I452" s="131"/>
      <c r="J452" s="61" t="str">
        <f>IF('Направление 2'!E185=0,"",'Направление 2'!E185)</f>
        <v/>
      </c>
    </row>
    <row r="453" spans="1:10" ht="150" customHeight="1" thickBot="1" x14ac:dyDescent="0.35">
      <c r="A453" s="41">
        <v>59</v>
      </c>
      <c r="B453" s="150" t="str">
        <f>IF('Направление 2'!B186="","",'Направление 2'!B186)</f>
        <v/>
      </c>
      <c r="C453" s="133"/>
      <c r="D453" s="131"/>
      <c r="E453" s="130" t="str">
        <f>IF('Направление 2'!C186="","",'Направление 2'!C186)</f>
        <v/>
      </c>
      <c r="F453" s="133"/>
      <c r="G453" s="131"/>
      <c r="H453" s="130" t="str">
        <f>IF('Направление 2'!D186="","",'Направление 2'!D186)</f>
        <v>х</v>
      </c>
      <c r="I453" s="131"/>
      <c r="J453" s="61" t="str">
        <f>IF('Направление 2'!E186=0,"",'Направление 2'!E186)</f>
        <v/>
      </c>
    </row>
    <row r="454" spans="1:10" ht="150" customHeight="1" thickBot="1" x14ac:dyDescent="0.35">
      <c r="A454" s="41">
        <v>60</v>
      </c>
      <c r="B454" s="150" t="str">
        <f>IF('Направление 2'!B187="","",'Направление 2'!B187)</f>
        <v/>
      </c>
      <c r="C454" s="133"/>
      <c r="D454" s="131"/>
      <c r="E454" s="130" t="str">
        <f>IF('Направление 2'!C187="","",'Направление 2'!C187)</f>
        <v/>
      </c>
      <c r="F454" s="133"/>
      <c r="G454" s="131"/>
      <c r="H454" s="130" t="str">
        <f>IF('Направление 2'!D187="","",'Направление 2'!D187)</f>
        <v>х</v>
      </c>
      <c r="I454" s="131"/>
      <c r="J454" s="61" t="str">
        <f>IF('Направление 2'!E187=0,"",'Направление 2'!E187)</f>
        <v/>
      </c>
    </row>
    <row r="455" spans="1:10" ht="150" customHeight="1" thickBot="1" x14ac:dyDescent="0.35">
      <c r="A455" s="41">
        <v>61</v>
      </c>
      <c r="B455" s="150" t="str">
        <f>IF('Направление 2'!B188="","",'Направление 2'!B188)</f>
        <v/>
      </c>
      <c r="C455" s="133"/>
      <c r="D455" s="131"/>
      <c r="E455" s="130" t="str">
        <f>IF('Направление 2'!C188="","",'Направление 2'!C188)</f>
        <v/>
      </c>
      <c r="F455" s="133"/>
      <c r="G455" s="131"/>
      <c r="H455" s="130" t="str">
        <f>IF('Направление 2'!D188="","",'Направление 2'!D188)</f>
        <v>х</v>
      </c>
      <c r="I455" s="131"/>
      <c r="J455" s="61" t="str">
        <f>IF('Направление 2'!E188=0,"",'Направление 2'!E188)</f>
        <v/>
      </c>
    </row>
    <row r="456" spans="1:10" ht="150" customHeight="1" thickBot="1" x14ac:dyDescent="0.35">
      <c r="A456" s="41">
        <v>62</v>
      </c>
      <c r="B456" s="150" t="str">
        <f>IF('Направление 2'!B189="","",'Направление 2'!B189)</f>
        <v/>
      </c>
      <c r="C456" s="133"/>
      <c r="D456" s="131"/>
      <c r="E456" s="130" t="str">
        <f>IF('Направление 2'!C189="","",'Направление 2'!C189)</f>
        <v/>
      </c>
      <c r="F456" s="133"/>
      <c r="G456" s="131"/>
      <c r="H456" s="130" t="str">
        <f>IF('Направление 2'!D189="","",'Направление 2'!D189)</f>
        <v>х</v>
      </c>
      <c r="I456" s="131"/>
      <c r="J456" s="61" t="str">
        <f>IF('Направление 2'!E189=0,"",'Направление 2'!E189)</f>
        <v/>
      </c>
    </row>
    <row r="457" spans="1:10" ht="150" customHeight="1" thickBot="1" x14ac:dyDescent="0.35">
      <c r="A457" s="41">
        <v>63</v>
      </c>
      <c r="B457" s="150" t="str">
        <f>IF('Направление 2'!B190="","",'Направление 2'!B190)</f>
        <v/>
      </c>
      <c r="C457" s="133"/>
      <c r="D457" s="131"/>
      <c r="E457" s="130" t="str">
        <f>IF('Направление 2'!C190="","",'Направление 2'!C190)</f>
        <v/>
      </c>
      <c r="F457" s="133"/>
      <c r="G457" s="131"/>
      <c r="H457" s="130" t="str">
        <f>IF('Направление 2'!D190="","",'Направление 2'!D190)</f>
        <v>х</v>
      </c>
      <c r="I457" s="131"/>
      <c r="J457" s="61" t="str">
        <f>IF('Направление 2'!E190=0,"",'Направление 2'!E190)</f>
        <v/>
      </c>
    </row>
    <row r="458" spans="1:10" ht="150" customHeight="1" thickBot="1" x14ac:dyDescent="0.35">
      <c r="A458" s="41">
        <v>64</v>
      </c>
      <c r="B458" s="150" t="str">
        <f>IF('Направление 2'!B191="","",'Направление 2'!B191)</f>
        <v/>
      </c>
      <c r="C458" s="133"/>
      <c r="D458" s="131"/>
      <c r="E458" s="130" t="str">
        <f>IF('Направление 2'!C191="","",'Направление 2'!C191)</f>
        <v/>
      </c>
      <c r="F458" s="133"/>
      <c r="G458" s="131"/>
      <c r="H458" s="130" t="str">
        <f>IF('Направление 2'!D191="","",'Направление 2'!D191)</f>
        <v>х</v>
      </c>
      <c r="I458" s="131"/>
      <c r="J458" s="61" t="str">
        <f>IF('Направление 2'!E191=0,"",'Направление 2'!E191)</f>
        <v/>
      </c>
    </row>
    <row r="459" spans="1:10" ht="150" customHeight="1" thickBot="1" x14ac:dyDescent="0.35">
      <c r="A459" s="41">
        <v>65</v>
      </c>
      <c r="B459" s="150" t="str">
        <f>IF('Направление 2'!B192="","",'Направление 2'!B192)</f>
        <v/>
      </c>
      <c r="C459" s="133"/>
      <c r="D459" s="131"/>
      <c r="E459" s="130" t="str">
        <f>IF('Направление 2'!C192="","",'Направление 2'!C192)</f>
        <v/>
      </c>
      <c r="F459" s="133"/>
      <c r="G459" s="131"/>
      <c r="H459" s="130" t="str">
        <f>IF('Направление 2'!D192="","",'Направление 2'!D192)</f>
        <v>х</v>
      </c>
      <c r="I459" s="131"/>
      <c r="J459" s="61" t="str">
        <f>IF('Направление 2'!E192=0,"",'Направление 2'!E192)</f>
        <v/>
      </c>
    </row>
    <row r="460" spans="1:10" ht="150" customHeight="1" thickBot="1" x14ac:dyDescent="0.35">
      <c r="A460" s="41">
        <v>66</v>
      </c>
      <c r="B460" s="150" t="str">
        <f>IF('Направление 2'!B193="","",'Направление 2'!B193)</f>
        <v/>
      </c>
      <c r="C460" s="133"/>
      <c r="D460" s="131"/>
      <c r="E460" s="130" t="str">
        <f>IF('Направление 2'!C193="","",'Направление 2'!C193)</f>
        <v/>
      </c>
      <c r="F460" s="133"/>
      <c r="G460" s="131"/>
      <c r="H460" s="130" t="str">
        <f>IF('Направление 2'!D193="","",'Направление 2'!D193)</f>
        <v>х</v>
      </c>
      <c r="I460" s="131"/>
      <c r="J460" s="61" t="str">
        <f>IF('Направление 2'!E193=0,"",'Направление 2'!E193)</f>
        <v/>
      </c>
    </row>
    <row r="461" spans="1:10" ht="150" customHeight="1" thickBot="1" x14ac:dyDescent="0.35">
      <c r="A461" s="41">
        <v>67</v>
      </c>
      <c r="B461" s="150" t="str">
        <f>IF('Направление 2'!B194="","",'Направление 2'!B194)</f>
        <v/>
      </c>
      <c r="C461" s="133"/>
      <c r="D461" s="131"/>
      <c r="E461" s="130" t="str">
        <f>IF('Направление 2'!C194="","",'Направление 2'!C194)</f>
        <v/>
      </c>
      <c r="F461" s="133"/>
      <c r="G461" s="131"/>
      <c r="H461" s="130" t="str">
        <f>IF('Направление 2'!D194="","",'Направление 2'!D194)</f>
        <v>х</v>
      </c>
      <c r="I461" s="131"/>
      <c r="J461" s="61" t="str">
        <f>IF('Направление 2'!E194=0,"",'Направление 2'!E194)</f>
        <v/>
      </c>
    </row>
    <row r="462" spans="1:10" ht="150" customHeight="1" thickBot="1" x14ac:dyDescent="0.35">
      <c r="A462" s="41">
        <v>68</v>
      </c>
      <c r="B462" s="150" t="str">
        <f>IF('Направление 2'!B195="","",'Направление 2'!B195)</f>
        <v/>
      </c>
      <c r="C462" s="133"/>
      <c r="D462" s="131"/>
      <c r="E462" s="130" t="str">
        <f>IF('Направление 2'!C195="","",'Направление 2'!C195)</f>
        <v/>
      </c>
      <c r="F462" s="133"/>
      <c r="G462" s="131"/>
      <c r="H462" s="130" t="str">
        <f>IF('Направление 2'!D195="","",'Направление 2'!D195)</f>
        <v>х</v>
      </c>
      <c r="I462" s="131"/>
      <c r="J462" s="61" t="str">
        <f>IF('Направление 2'!E195=0,"",'Направление 2'!E195)</f>
        <v/>
      </c>
    </row>
    <row r="463" spans="1:10" ht="150" customHeight="1" thickBot="1" x14ac:dyDescent="0.35">
      <c r="A463" s="41">
        <v>69</v>
      </c>
      <c r="B463" s="150" t="str">
        <f>IF('Направление 2'!B196="","",'Направление 2'!B196)</f>
        <v/>
      </c>
      <c r="C463" s="133"/>
      <c r="D463" s="131"/>
      <c r="E463" s="130" t="str">
        <f>IF('Направление 2'!C196="","",'Направление 2'!C196)</f>
        <v/>
      </c>
      <c r="F463" s="133"/>
      <c r="G463" s="131"/>
      <c r="H463" s="130" t="str">
        <f>IF('Направление 2'!D196="","",'Направление 2'!D196)</f>
        <v>х</v>
      </c>
      <c r="I463" s="131"/>
      <c r="J463" s="61" t="str">
        <f>IF('Направление 2'!E196=0,"",'Направление 2'!E196)</f>
        <v/>
      </c>
    </row>
    <row r="464" spans="1:10" ht="150" customHeight="1" thickBot="1" x14ac:dyDescent="0.35">
      <c r="A464" s="41">
        <v>70</v>
      </c>
      <c r="B464" s="150" t="str">
        <f>IF('Направление 2'!B197="","",'Направление 2'!B197)</f>
        <v/>
      </c>
      <c r="C464" s="133"/>
      <c r="D464" s="131"/>
      <c r="E464" s="130" t="str">
        <f>IF('Направление 2'!C197="","",'Направление 2'!C197)</f>
        <v/>
      </c>
      <c r="F464" s="133"/>
      <c r="G464" s="131"/>
      <c r="H464" s="130" t="str">
        <f>IF('Направление 2'!D197="","",'Направление 2'!D197)</f>
        <v>х</v>
      </c>
      <c r="I464" s="131"/>
      <c r="J464" s="61" t="str">
        <f>IF('Направление 2'!E197=0,"",'Направление 2'!E197)</f>
        <v/>
      </c>
    </row>
    <row r="465" spans="1:10" ht="150" customHeight="1" thickBot="1" x14ac:dyDescent="0.35">
      <c r="A465" s="41">
        <v>71</v>
      </c>
      <c r="B465" s="150" t="str">
        <f>IF('Направление 2'!B198="","",'Направление 2'!B198)</f>
        <v/>
      </c>
      <c r="C465" s="133"/>
      <c r="D465" s="131"/>
      <c r="E465" s="130" t="str">
        <f>IF('Направление 2'!C198="","",'Направление 2'!C198)</f>
        <v/>
      </c>
      <c r="F465" s="133"/>
      <c r="G465" s="131"/>
      <c r="H465" s="130" t="str">
        <f>IF('Направление 2'!D198="","",'Направление 2'!D198)</f>
        <v>х</v>
      </c>
      <c r="I465" s="131"/>
      <c r="J465" s="61" t="str">
        <f>IF('Направление 2'!E198=0,"",'Направление 2'!E198)</f>
        <v/>
      </c>
    </row>
    <row r="466" spans="1:10" ht="150" customHeight="1" thickBot="1" x14ac:dyDescent="0.35">
      <c r="A466" s="41">
        <v>72</v>
      </c>
      <c r="B466" s="150" t="str">
        <f>IF('Направление 2'!B199="","",'Направление 2'!B199)</f>
        <v/>
      </c>
      <c r="C466" s="133"/>
      <c r="D466" s="131"/>
      <c r="E466" s="130" t="str">
        <f>IF('Направление 2'!C199="","",'Направление 2'!C199)</f>
        <v/>
      </c>
      <c r="F466" s="133"/>
      <c r="G466" s="131"/>
      <c r="H466" s="130" t="str">
        <f>IF('Направление 2'!D199="","",'Направление 2'!D199)</f>
        <v>х</v>
      </c>
      <c r="I466" s="131"/>
      <c r="J466" s="61" t="str">
        <f>IF('Направление 2'!E199=0,"",'Направление 2'!E199)</f>
        <v/>
      </c>
    </row>
    <row r="467" spans="1:10" ht="150" customHeight="1" thickBot="1" x14ac:dyDescent="0.35">
      <c r="A467" s="41">
        <v>73</v>
      </c>
      <c r="B467" s="150" t="str">
        <f>IF('Направление 2'!B200="","",'Направление 2'!B200)</f>
        <v/>
      </c>
      <c r="C467" s="133"/>
      <c r="D467" s="131"/>
      <c r="E467" s="130" t="str">
        <f>IF('Направление 2'!C200="","",'Направление 2'!C200)</f>
        <v/>
      </c>
      <c r="F467" s="133"/>
      <c r="G467" s="131"/>
      <c r="H467" s="130" t="str">
        <f>IF('Направление 2'!D200="","",'Направление 2'!D200)</f>
        <v>х</v>
      </c>
      <c r="I467" s="131"/>
      <c r="J467" s="61" t="str">
        <f>IF('Направление 2'!E200=0,"",'Направление 2'!E200)</f>
        <v/>
      </c>
    </row>
    <row r="468" spans="1:10" ht="150" customHeight="1" thickBot="1" x14ac:dyDescent="0.35">
      <c r="A468" s="41">
        <v>74</v>
      </c>
      <c r="B468" s="150" t="str">
        <f>IF('Направление 2'!B201="","",'Направление 2'!B201)</f>
        <v/>
      </c>
      <c r="C468" s="133"/>
      <c r="D468" s="131"/>
      <c r="E468" s="130" t="str">
        <f>IF('Направление 2'!C201="","",'Направление 2'!C201)</f>
        <v/>
      </c>
      <c r="F468" s="133"/>
      <c r="G468" s="131"/>
      <c r="H468" s="130" t="str">
        <f>IF('Направление 2'!D201="","",'Направление 2'!D201)</f>
        <v>х</v>
      </c>
      <c r="I468" s="131"/>
      <c r="J468" s="61" t="str">
        <f>IF('Направление 2'!E201=0,"",'Направление 2'!E201)</f>
        <v/>
      </c>
    </row>
    <row r="469" spans="1:10" ht="150" customHeight="1" thickBot="1" x14ac:dyDescent="0.35">
      <c r="A469" s="41">
        <v>75</v>
      </c>
      <c r="B469" s="150" t="str">
        <f>IF('Направление 2'!B202="","",'Направление 2'!B202)</f>
        <v/>
      </c>
      <c r="C469" s="133"/>
      <c r="D469" s="131"/>
      <c r="E469" s="130" t="str">
        <f>IF('Направление 2'!C202="","",'Направление 2'!C202)</f>
        <v/>
      </c>
      <c r="F469" s="133"/>
      <c r="G469" s="131"/>
      <c r="H469" s="130" t="str">
        <f>IF('Направление 2'!D202="","",'Направление 2'!D202)</f>
        <v>х</v>
      </c>
      <c r="I469" s="131"/>
      <c r="J469" s="61" t="str">
        <f>IF('Направление 2'!E202=0,"",'Направление 2'!E202)</f>
        <v/>
      </c>
    </row>
    <row r="470" spans="1:10" ht="150" customHeight="1" thickBot="1" x14ac:dyDescent="0.35">
      <c r="A470" s="41">
        <v>76</v>
      </c>
      <c r="B470" s="150" t="str">
        <f>IF('Направление 2'!B203="","",'Направление 2'!B203)</f>
        <v/>
      </c>
      <c r="C470" s="133"/>
      <c r="D470" s="131"/>
      <c r="E470" s="130" t="str">
        <f>IF('Направление 2'!C203="","",'Направление 2'!C203)</f>
        <v/>
      </c>
      <c r="F470" s="133"/>
      <c r="G470" s="131"/>
      <c r="H470" s="130" t="str">
        <f>IF('Направление 2'!D203="","",'Направление 2'!D203)</f>
        <v>х</v>
      </c>
      <c r="I470" s="131"/>
      <c r="J470" s="61" t="str">
        <f>IF('Направление 2'!E203=0,"",'Направление 2'!E203)</f>
        <v/>
      </c>
    </row>
    <row r="471" spans="1:10" ht="150" customHeight="1" thickBot="1" x14ac:dyDescent="0.35">
      <c r="A471" s="41">
        <v>77</v>
      </c>
      <c r="B471" s="150" t="str">
        <f>IF('Направление 2'!B204="","",'Направление 2'!B204)</f>
        <v/>
      </c>
      <c r="C471" s="133"/>
      <c r="D471" s="131"/>
      <c r="E471" s="130" t="str">
        <f>IF('Направление 2'!C204="","",'Направление 2'!C204)</f>
        <v/>
      </c>
      <c r="F471" s="133"/>
      <c r="G471" s="131"/>
      <c r="H471" s="130" t="str">
        <f>IF('Направление 2'!D204="","",'Направление 2'!D204)</f>
        <v>х</v>
      </c>
      <c r="I471" s="131"/>
      <c r="J471" s="61" t="str">
        <f>IF('Направление 2'!E204=0,"",'Направление 2'!E204)</f>
        <v/>
      </c>
    </row>
    <row r="472" spans="1:10" ht="150" customHeight="1" thickBot="1" x14ac:dyDescent="0.35">
      <c r="A472" s="41">
        <v>78</v>
      </c>
      <c r="B472" s="150" t="str">
        <f>IF('Направление 2'!B205="","",'Направление 2'!B205)</f>
        <v/>
      </c>
      <c r="C472" s="133"/>
      <c r="D472" s="131"/>
      <c r="E472" s="130" t="str">
        <f>IF('Направление 2'!C205="","",'Направление 2'!C205)</f>
        <v/>
      </c>
      <c r="F472" s="133"/>
      <c r="G472" s="131"/>
      <c r="H472" s="130" t="str">
        <f>IF('Направление 2'!D205="","",'Направление 2'!D205)</f>
        <v>х</v>
      </c>
      <c r="I472" s="131"/>
      <c r="J472" s="61" t="str">
        <f>IF('Направление 2'!E205=0,"",'Направление 2'!E205)</f>
        <v/>
      </c>
    </row>
    <row r="473" spans="1:10" ht="150" customHeight="1" thickBot="1" x14ac:dyDescent="0.35">
      <c r="A473" s="41">
        <v>79</v>
      </c>
      <c r="B473" s="150" t="str">
        <f>IF('Направление 2'!B206="","",'Направление 2'!B206)</f>
        <v/>
      </c>
      <c r="C473" s="133"/>
      <c r="D473" s="131"/>
      <c r="E473" s="130" t="str">
        <f>IF('Направление 2'!C206="","",'Направление 2'!C206)</f>
        <v/>
      </c>
      <c r="F473" s="133"/>
      <c r="G473" s="131"/>
      <c r="H473" s="130" t="str">
        <f>IF('Направление 2'!D206="","",'Направление 2'!D206)</f>
        <v>х</v>
      </c>
      <c r="I473" s="131"/>
      <c r="J473" s="61" t="str">
        <f>IF('Направление 2'!E206=0,"",'Направление 2'!E206)</f>
        <v/>
      </c>
    </row>
    <row r="474" spans="1:10" ht="150" customHeight="1" thickBot="1" x14ac:dyDescent="0.35">
      <c r="A474" s="41">
        <v>80</v>
      </c>
      <c r="B474" s="150" t="str">
        <f>IF('Направление 2'!B207="","",'Направление 2'!B207)</f>
        <v/>
      </c>
      <c r="C474" s="133"/>
      <c r="D474" s="131"/>
      <c r="E474" s="130" t="str">
        <f>IF('Направление 2'!C207="","",'Направление 2'!C207)</f>
        <v/>
      </c>
      <c r="F474" s="133"/>
      <c r="G474" s="131"/>
      <c r="H474" s="130" t="str">
        <f>IF('Направление 2'!D207="","",'Направление 2'!D207)</f>
        <v>х</v>
      </c>
      <c r="I474" s="131"/>
      <c r="J474" s="61" t="str">
        <f>IF('Направление 2'!E207=0,"",'Направление 2'!E207)</f>
        <v/>
      </c>
    </row>
    <row r="475" spans="1:10" ht="16.5" customHeight="1" thickBot="1" x14ac:dyDescent="0.35">
      <c r="A475" s="47">
        <v>7.3</v>
      </c>
      <c r="B475" s="237" t="s">
        <v>64</v>
      </c>
      <c r="C475" s="135"/>
      <c r="D475" s="135"/>
      <c r="E475" s="135"/>
      <c r="F475" s="135"/>
      <c r="G475" s="135"/>
      <c r="H475" s="135"/>
      <c r="I475" s="135"/>
      <c r="J475" s="136"/>
    </row>
    <row r="476" spans="1:10" x14ac:dyDescent="0.3">
      <c r="A476" s="21"/>
      <c r="B476" s="242" t="s">
        <v>52</v>
      </c>
      <c r="C476" s="138"/>
      <c r="D476" s="138"/>
      <c r="E476" s="138"/>
      <c r="F476" s="138"/>
      <c r="G476" s="138"/>
      <c r="H476" s="138"/>
      <c r="I476" s="138"/>
      <c r="J476" s="139"/>
    </row>
    <row r="477" spans="1:10" ht="35.700000000000003" customHeight="1" thickBot="1" x14ac:dyDescent="0.35">
      <c r="A477" s="21"/>
      <c r="B477" s="141" t="s">
        <v>53</v>
      </c>
      <c r="C477" s="133"/>
      <c r="D477" s="131"/>
      <c r="E477" s="140" t="s">
        <v>54</v>
      </c>
      <c r="F477" s="133"/>
      <c r="G477" s="131"/>
      <c r="H477" s="140" t="s">
        <v>55</v>
      </c>
      <c r="I477" s="131"/>
      <c r="J477" s="50" t="s">
        <v>56</v>
      </c>
    </row>
    <row r="478" spans="1:10" ht="150" customHeight="1" x14ac:dyDescent="0.3">
      <c r="A478" s="22">
        <v>1</v>
      </c>
      <c r="B478" s="144" t="str">
        <f>IF('Направление 3'!B4="","",'Направление 3'!B4)</f>
        <v/>
      </c>
      <c r="C478" s="133"/>
      <c r="D478" s="131"/>
      <c r="E478" s="130" t="str">
        <f>IF('Направление 3'!C4="","",'Направление 3'!C4)</f>
        <v/>
      </c>
      <c r="F478" s="133"/>
      <c r="G478" s="131"/>
      <c r="H478" s="130" t="str">
        <f>IF('Направление 3'!D4="","",'Направление 3'!D4)</f>
        <v/>
      </c>
      <c r="I478" s="131"/>
      <c r="J478" s="61" t="str">
        <f>IF('Направление 3'!E4=0,"",'Направление 3'!E4)</f>
        <v/>
      </c>
    </row>
    <row r="479" spans="1:10" ht="150" customHeight="1" x14ac:dyDescent="0.3">
      <c r="A479" s="23">
        <v>2</v>
      </c>
      <c r="B479" s="144" t="str">
        <f>IF('Направление 3'!B5="","",'Направление 3'!B5)</f>
        <v/>
      </c>
      <c r="C479" s="133"/>
      <c r="D479" s="131"/>
      <c r="E479" s="130" t="str">
        <f>IF('Направление 3'!C5="","",'Направление 3'!C5)</f>
        <v/>
      </c>
      <c r="F479" s="133"/>
      <c r="G479" s="131"/>
      <c r="H479" s="130" t="str">
        <f>IF('Направление 3'!D5="","",'Направление 3'!D5)</f>
        <v/>
      </c>
      <c r="I479" s="131"/>
      <c r="J479" s="61" t="str">
        <f>IF('Направление 3'!E5=0,"",'Направление 3'!E5)</f>
        <v/>
      </c>
    </row>
    <row r="480" spans="1:10" ht="150" customHeight="1" x14ac:dyDescent="0.3">
      <c r="A480" s="23">
        <v>3</v>
      </c>
      <c r="B480" s="144" t="str">
        <f>IF('Направление 3'!B6="","",'Направление 3'!B6)</f>
        <v/>
      </c>
      <c r="C480" s="133"/>
      <c r="D480" s="131"/>
      <c r="E480" s="130" t="str">
        <f>IF('Направление 3'!C6="","",'Направление 3'!C6)</f>
        <v/>
      </c>
      <c r="F480" s="133"/>
      <c r="G480" s="131"/>
      <c r="H480" s="130" t="str">
        <f>IF('Направление 3'!D6="","",'Направление 3'!D6)</f>
        <v/>
      </c>
      <c r="I480" s="131"/>
      <c r="J480" s="61" t="str">
        <f>IF('Направление 3'!E6=0,"",'Направление 3'!E6)</f>
        <v/>
      </c>
    </row>
    <row r="481" spans="1:10" ht="150" customHeight="1" x14ac:dyDescent="0.3">
      <c r="A481" s="23">
        <v>4</v>
      </c>
      <c r="B481" s="144" t="str">
        <f>IF('Направление 3'!B7="","",'Направление 3'!B7)</f>
        <v/>
      </c>
      <c r="C481" s="133"/>
      <c r="D481" s="131"/>
      <c r="E481" s="130" t="str">
        <f>IF('Направление 3'!C7="","",'Направление 3'!C7)</f>
        <v/>
      </c>
      <c r="F481" s="133"/>
      <c r="G481" s="131"/>
      <c r="H481" s="130" t="str">
        <f>IF('Направление 3'!D7="","",'Направление 3'!D7)</f>
        <v/>
      </c>
      <c r="I481" s="131"/>
      <c r="J481" s="61" t="str">
        <f>IF('Направление 3'!E7=0,"",'Направление 3'!E7)</f>
        <v/>
      </c>
    </row>
    <row r="482" spans="1:10" ht="150" customHeight="1" x14ac:dyDescent="0.3">
      <c r="A482" s="23">
        <v>5</v>
      </c>
      <c r="B482" s="144" t="str">
        <f>IF('Направление 3'!B8="","",'Направление 3'!B8)</f>
        <v/>
      </c>
      <c r="C482" s="133"/>
      <c r="D482" s="131"/>
      <c r="E482" s="130" t="str">
        <f>IF('Направление 3'!C8="","",'Направление 3'!C8)</f>
        <v/>
      </c>
      <c r="F482" s="133"/>
      <c r="G482" s="131"/>
      <c r="H482" s="130" t="str">
        <f>IF('Направление 3'!D8="","",'Направление 3'!D8)</f>
        <v/>
      </c>
      <c r="I482" s="131"/>
      <c r="J482" s="61" t="str">
        <f>IF('Направление 3'!E8=0,"",'Направление 3'!E8)</f>
        <v/>
      </c>
    </row>
    <row r="483" spans="1:10" ht="150" customHeight="1" x14ac:dyDescent="0.3">
      <c r="A483" s="23">
        <v>6</v>
      </c>
      <c r="B483" s="144" t="str">
        <f>IF('Направление 3'!B9="","",'Направление 3'!B9)</f>
        <v/>
      </c>
      <c r="C483" s="133"/>
      <c r="D483" s="131"/>
      <c r="E483" s="130" t="str">
        <f>IF('Направление 3'!C9="","",'Направление 3'!C9)</f>
        <v/>
      </c>
      <c r="F483" s="133"/>
      <c r="G483" s="131"/>
      <c r="H483" s="130" t="str">
        <f>IF('Направление 3'!D9="","",'Направление 3'!D9)</f>
        <v/>
      </c>
      <c r="I483" s="131"/>
      <c r="J483" s="61" t="str">
        <f>IF('Направление 3'!E9=0,"",'Направление 3'!E9)</f>
        <v/>
      </c>
    </row>
    <row r="484" spans="1:10" ht="150" customHeight="1" x14ac:dyDescent="0.3">
      <c r="A484" s="23">
        <v>7</v>
      </c>
      <c r="B484" s="144" t="str">
        <f>IF('Направление 3'!B10="","",'Направление 3'!B10)</f>
        <v/>
      </c>
      <c r="C484" s="133"/>
      <c r="D484" s="131"/>
      <c r="E484" s="130" t="str">
        <f>IF('Направление 3'!C10="","",'Направление 3'!C10)</f>
        <v/>
      </c>
      <c r="F484" s="133"/>
      <c r="G484" s="131"/>
      <c r="H484" s="130" t="str">
        <f>IF('Направление 3'!D10="","",'Направление 3'!D10)</f>
        <v/>
      </c>
      <c r="I484" s="131"/>
      <c r="J484" s="61" t="str">
        <f>IF('Направление 3'!E10=0,"",'Направление 3'!E10)</f>
        <v/>
      </c>
    </row>
    <row r="485" spans="1:10" ht="150" customHeight="1" x14ac:dyDescent="0.3">
      <c r="A485" s="23">
        <v>8</v>
      </c>
      <c r="B485" s="144" t="str">
        <f>IF('Направление 3'!B11="","",'Направление 3'!B11)</f>
        <v/>
      </c>
      <c r="C485" s="133"/>
      <c r="D485" s="131"/>
      <c r="E485" s="130" t="str">
        <f>IF('Направление 3'!C11="","",'Направление 3'!C11)</f>
        <v/>
      </c>
      <c r="F485" s="133"/>
      <c r="G485" s="131"/>
      <c r="H485" s="130" t="str">
        <f>IF('Направление 3'!D11="","",'Направление 3'!D11)</f>
        <v/>
      </c>
      <c r="I485" s="131"/>
      <c r="J485" s="61" t="str">
        <f>IF('Направление 3'!E11=0,"",'Направление 3'!E11)</f>
        <v/>
      </c>
    </row>
    <row r="486" spans="1:10" ht="150" customHeight="1" x14ac:dyDescent="0.3">
      <c r="A486" s="23">
        <v>9</v>
      </c>
      <c r="B486" s="144" t="str">
        <f>IF('Направление 3'!B12="","",'Направление 3'!B12)</f>
        <v/>
      </c>
      <c r="C486" s="133"/>
      <c r="D486" s="131"/>
      <c r="E486" s="130" t="str">
        <f>IF('Направление 3'!C12="","",'Направление 3'!C12)</f>
        <v/>
      </c>
      <c r="F486" s="133"/>
      <c r="G486" s="131"/>
      <c r="H486" s="130" t="str">
        <f>IF('Направление 3'!D12="","",'Направление 3'!D12)</f>
        <v/>
      </c>
      <c r="I486" s="131"/>
      <c r="J486" s="61" t="str">
        <f>IF('Направление 3'!E12=0,"",'Направление 3'!E12)</f>
        <v/>
      </c>
    </row>
    <row r="487" spans="1:10" ht="150" customHeight="1" x14ac:dyDescent="0.3">
      <c r="A487" s="23">
        <v>10</v>
      </c>
      <c r="B487" s="144" t="str">
        <f>IF('Направление 3'!B13="","",'Направление 3'!B13)</f>
        <v/>
      </c>
      <c r="C487" s="133"/>
      <c r="D487" s="131"/>
      <c r="E487" s="130" t="str">
        <f>IF('Направление 3'!C13="","",'Направление 3'!C13)</f>
        <v/>
      </c>
      <c r="F487" s="133"/>
      <c r="G487" s="131"/>
      <c r="H487" s="130" t="str">
        <f>IF('Направление 3'!D13="","",'Направление 3'!D13)</f>
        <v/>
      </c>
      <c r="I487" s="131"/>
      <c r="J487" s="61" t="str">
        <f>IF('Направление 3'!E13=0,"",'Направление 3'!E13)</f>
        <v/>
      </c>
    </row>
    <row r="488" spans="1:10" ht="150" customHeight="1" x14ac:dyDescent="0.3">
      <c r="A488" s="23">
        <v>11</v>
      </c>
      <c r="B488" s="144" t="str">
        <f>IF('Направление 3'!B14="","",'Направление 3'!B14)</f>
        <v/>
      </c>
      <c r="C488" s="133"/>
      <c r="D488" s="131"/>
      <c r="E488" s="130" t="str">
        <f>IF('Направление 3'!C14="","",'Направление 3'!C14)</f>
        <v/>
      </c>
      <c r="F488" s="133"/>
      <c r="G488" s="131"/>
      <c r="H488" s="130" t="str">
        <f>IF('Направление 3'!D14="","",'Направление 3'!D14)</f>
        <v/>
      </c>
      <c r="I488" s="131"/>
      <c r="J488" s="61" t="str">
        <f>IF('Направление 3'!E14=0,"",'Направление 3'!E14)</f>
        <v/>
      </c>
    </row>
    <row r="489" spans="1:10" ht="150" customHeight="1" x14ac:dyDescent="0.3">
      <c r="A489" s="23">
        <v>12</v>
      </c>
      <c r="B489" s="144" t="str">
        <f>IF('Направление 3'!B15="","",'Направление 3'!B15)</f>
        <v/>
      </c>
      <c r="C489" s="133"/>
      <c r="D489" s="131"/>
      <c r="E489" s="130" t="str">
        <f>IF('Направление 3'!C15="","",'Направление 3'!C15)</f>
        <v/>
      </c>
      <c r="F489" s="133"/>
      <c r="G489" s="131"/>
      <c r="H489" s="130" t="str">
        <f>IF('Направление 3'!D15="","",'Направление 3'!D15)</f>
        <v/>
      </c>
      <c r="I489" s="131"/>
      <c r="J489" s="61" t="str">
        <f>IF('Направление 3'!E15=0,"",'Направление 3'!E15)</f>
        <v/>
      </c>
    </row>
    <row r="490" spans="1:10" ht="150" customHeight="1" x14ac:dyDescent="0.3">
      <c r="A490" s="23">
        <v>13</v>
      </c>
      <c r="B490" s="144" t="str">
        <f>IF('Направление 3'!B16="","",'Направление 3'!B16)</f>
        <v/>
      </c>
      <c r="C490" s="133"/>
      <c r="D490" s="131"/>
      <c r="E490" s="130" t="str">
        <f>IF('Направление 3'!C16="","",'Направление 3'!C16)</f>
        <v/>
      </c>
      <c r="F490" s="133"/>
      <c r="G490" s="131"/>
      <c r="H490" s="130" t="str">
        <f>IF('Направление 3'!D16="","",'Направление 3'!D16)</f>
        <v/>
      </c>
      <c r="I490" s="131"/>
      <c r="J490" s="61" t="str">
        <f>IF('Направление 3'!E16=0,"",'Направление 3'!E16)</f>
        <v/>
      </c>
    </row>
    <row r="491" spans="1:10" ht="150" customHeight="1" x14ac:dyDescent="0.3">
      <c r="A491" s="23">
        <v>14</v>
      </c>
      <c r="B491" s="144" t="str">
        <f>IF('Направление 3'!B17="","",'Направление 3'!B17)</f>
        <v/>
      </c>
      <c r="C491" s="133"/>
      <c r="D491" s="131"/>
      <c r="E491" s="130" t="str">
        <f>IF('Направление 3'!C17="","",'Направление 3'!C17)</f>
        <v/>
      </c>
      <c r="F491" s="133"/>
      <c r="G491" s="131"/>
      <c r="H491" s="130" t="str">
        <f>IF('Направление 3'!D17="","",'Направление 3'!D17)</f>
        <v/>
      </c>
      <c r="I491" s="131"/>
      <c r="J491" s="61" t="str">
        <f>IF('Направление 3'!E17=0,"",'Направление 3'!E17)</f>
        <v/>
      </c>
    </row>
    <row r="492" spans="1:10" ht="150" customHeight="1" x14ac:dyDescent="0.3">
      <c r="A492" s="23">
        <v>15</v>
      </c>
      <c r="B492" s="144" t="str">
        <f>IF('Направление 3'!B18="","",'Направление 3'!B18)</f>
        <v/>
      </c>
      <c r="C492" s="133"/>
      <c r="D492" s="131"/>
      <c r="E492" s="130" t="str">
        <f>IF('Направление 3'!C18="","",'Направление 3'!C18)</f>
        <v/>
      </c>
      <c r="F492" s="133"/>
      <c r="G492" s="131"/>
      <c r="H492" s="130" t="str">
        <f>IF('Направление 3'!D18="","",'Направление 3'!D18)</f>
        <v/>
      </c>
      <c r="I492" s="131"/>
      <c r="J492" s="61" t="str">
        <f>IF('Направление 3'!E18=0,"",'Направление 3'!E18)</f>
        <v/>
      </c>
    </row>
    <row r="493" spans="1:10" ht="150" customHeight="1" x14ac:dyDescent="0.3">
      <c r="A493" s="23">
        <v>16</v>
      </c>
      <c r="B493" s="144" t="str">
        <f>IF('Направление 3'!B19="","",'Направление 3'!B19)</f>
        <v/>
      </c>
      <c r="C493" s="133"/>
      <c r="D493" s="131"/>
      <c r="E493" s="130" t="str">
        <f>IF('Направление 3'!C19="","",'Направление 3'!C19)</f>
        <v/>
      </c>
      <c r="F493" s="133"/>
      <c r="G493" s="131"/>
      <c r="H493" s="130" t="str">
        <f>IF('Направление 3'!D19="","",'Направление 3'!D19)</f>
        <v/>
      </c>
      <c r="I493" s="131"/>
      <c r="J493" s="61" t="str">
        <f>IF('Направление 3'!E19=0,"",'Направление 3'!E19)</f>
        <v/>
      </c>
    </row>
    <row r="494" spans="1:10" ht="150" customHeight="1" x14ac:dyDescent="0.3">
      <c r="A494" s="23">
        <v>17</v>
      </c>
      <c r="B494" s="144" t="str">
        <f>IF('Направление 3'!B20="","",'Направление 3'!B20)</f>
        <v/>
      </c>
      <c r="C494" s="133"/>
      <c r="D494" s="131"/>
      <c r="E494" s="130" t="str">
        <f>IF('Направление 3'!C20="","",'Направление 3'!C20)</f>
        <v/>
      </c>
      <c r="F494" s="133"/>
      <c r="G494" s="131"/>
      <c r="H494" s="130" t="str">
        <f>IF('Направление 3'!D20="","",'Направление 3'!D20)</f>
        <v/>
      </c>
      <c r="I494" s="131"/>
      <c r="J494" s="61" t="str">
        <f>IF('Направление 3'!E20=0,"",'Направление 3'!E20)</f>
        <v/>
      </c>
    </row>
    <row r="495" spans="1:10" ht="150" customHeight="1" x14ac:dyDescent="0.3">
      <c r="A495" s="23">
        <v>18</v>
      </c>
      <c r="B495" s="144" t="str">
        <f>IF('Направление 3'!B21="","",'Направление 3'!B21)</f>
        <v/>
      </c>
      <c r="C495" s="133"/>
      <c r="D495" s="131"/>
      <c r="E495" s="130" t="str">
        <f>IF('Направление 3'!C21="","",'Направление 3'!C21)</f>
        <v/>
      </c>
      <c r="F495" s="133"/>
      <c r="G495" s="131"/>
      <c r="H495" s="130" t="str">
        <f>IF('Направление 3'!D21="","",'Направление 3'!D21)</f>
        <v/>
      </c>
      <c r="I495" s="131"/>
      <c r="J495" s="61" t="str">
        <f>IF('Направление 3'!E21=0,"",'Направление 3'!E21)</f>
        <v/>
      </c>
    </row>
    <row r="496" spans="1:10" ht="150" customHeight="1" x14ac:dyDescent="0.3">
      <c r="A496" s="23">
        <v>19</v>
      </c>
      <c r="B496" s="144" t="str">
        <f>IF('Направление 3'!B22="","",'Направление 3'!B22)</f>
        <v/>
      </c>
      <c r="C496" s="133"/>
      <c r="D496" s="131"/>
      <c r="E496" s="130" t="str">
        <f>IF('Направление 3'!C22="","",'Направление 3'!C22)</f>
        <v/>
      </c>
      <c r="F496" s="133"/>
      <c r="G496" s="131"/>
      <c r="H496" s="130" t="str">
        <f>IF('Направление 3'!D22="","",'Направление 3'!D22)</f>
        <v/>
      </c>
      <c r="I496" s="131"/>
      <c r="J496" s="61" t="str">
        <f>IF('Направление 3'!E22=0,"",'Направление 3'!E22)</f>
        <v/>
      </c>
    </row>
    <row r="497" spans="1:10" ht="150" customHeight="1" thickBot="1" x14ac:dyDescent="0.35">
      <c r="A497" s="24">
        <v>20</v>
      </c>
      <c r="B497" s="144" t="str">
        <f>IF('Направление 3'!B23="","",'Направление 3'!B23)</f>
        <v/>
      </c>
      <c r="C497" s="133"/>
      <c r="D497" s="131"/>
      <c r="E497" s="130" t="str">
        <f>IF('Направление 3'!C23="","",'Направление 3'!C23)</f>
        <v/>
      </c>
      <c r="F497" s="133"/>
      <c r="G497" s="131"/>
      <c r="H497" s="130" t="str">
        <f>IF('Направление 3'!D23="","",'Направление 3'!D23)</f>
        <v/>
      </c>
      <c r="I497" s="131"/>
      <c r="J497" s="61" t="str">
        <f>IF('Направление 3'!E23=0,"",'Направление 3'!E23)</f>
        <v/>
      </c>
    </row>
    <row r="498" spans="1:10" ht="150" customHeight="1" x14ac:dyDescent="0.3">
      <c r="A498" s="22">
        <v>21</v>
      </c>
      <c r="B498" s="144" t="str">
        <f>IF('Направление 3'!B24="","",'Направление 3'!B24)</f>
        <v/>
      </c>
      <c r="C498" s="133"/>
      <c r="D498" s="131"/>
      <c r="E498" s="130" t="str">
        <f>IF('Направление 3'!C24="","",'Направление 3'!C24)</f>
        <v/>
      </c>
      <c r="F498" s="133"/>
      <c r="G498" s="131"/>
      <c r="H498" s="130" t="str">
        <f>IF('Направление 3'!D24="","",'Направление 3'!D24)</f>
        <v/>
      </c>
      <c r="I498" s="131"/>
      <c r="J498" s="61" t="str">
        <f>IF('Направление 3'!E24=0,"",'Направление 3'!E24)</f>
        <v/>
      </c>
    </row>
    <row r="499" spans="1:10" ht="150" customHeight="1" x14ac:dyDescent="0.3">
      <c r="A499" s="23">
        <v>22</v>
      </c>
      <c r="B499" s="144" t="str">
        <f>IF('Направление 3'!B25="","",'Направление 3'!B25)</f>
        <v/>
      </c>
      <c r="C499" s="133"/>
      <c r="D499" s="131"/>
      <c r="E499" s="130" t="str">
        <f>IF('Направление 3'!C25="","",'Направление 3'!C25)</f>
        <v/>
      </c>
      <c r="F499" s="133"/>
      <c r="G499" s="131"/>
      <c r="H499" s="130" t="str">
        <f>IF('Направление 3'!D25="","",'Направление 3'!D25)</f>
        <v/>
      </c>
      <c r="I499" s="131"/>
      <c r="J499" s="61" t="str">
        <f>IF('Направление 3'!E25=0,"",'Направление 3'!E25)</f>
        <v/>
      </c>
    </row>
    <row r="500" spans="1:10" ht="150" customHeight="1" x14ac:dyDescent="0.3">
      <c r="A500" s="23">
        <v>23</v>
      </c>
      <c r="B500" s="144" t="str">
        <f>IF('Направление 3'!B26="","",'Направление 3'!B26)</f>
        <v/>
      </c>
      <c r="C500" s="133"/>
      <c r="D500" s="131"/>
      <c r="E500" s="130" t="str">
        <f>IF('Направление 3'!C26="","",'Направление 3'!C26)</f>
        <v/>
      </c>
      <c r="F500" s="133"/>
      <c r="G500" s="131"/>
      <c r="H500" s="130" t="str">
        <f>IF('Направление 3'!D26="","",'Направление 3'!D26)</f>
        <v/>
      </c>
      <c r="I500" s="131"/>
      <c r="J500" s="61" t="str">
        <f>IF('Направление 3'!E26=0,"",'Направление 3'!E26)</f>
        <v/>
      </c>
    </row>
    <row r="501" spans="1:10" ht="150" customHeight="1" x14ac:dyDescent="0.3">
      <c r="A501" s="23">
        <v>24</v>
      </c>
      <c r="B501" s="144" t="str">
        <f>IF('Направление 3'!B27="","",'Направление 3'!B27)</f>
        <v/>
      </c>
      <c r="C501" s="133"/>
      <c r="D501" s="131"/>
      <c r="E501" s="130" t="str">
        <f>IF('Направление 3'!C27="","",'Направление 3'!C27)</f>
        <v/>
      </c>
      <c r="F501" s="133"/>
      <c r="G501" s="131"/>
      <c r="H501" s="130" t="str">
        <f>IF('Направление 3'!D27="","",'Направление 3'!D27)</f>
        <v/>
      </c>
      <c r="I501" s="131"/>
      <c r="J501" s="61" t="str">
        <f>IF('Направление 3'!E27=0,"",'Направление 3'!E27)</f>
        <v/>
      </c>
    </row>
    <row r="502" spans="1:10" ht="150" customHeight="1" x14ac:dyDescent="0.3">
      <c r="A502" s="23">
        <v>25</v>
      </c>
      <c r="B502" s="144" t="str">
        <f>IF('Направление 3'!B28="","",'Направление 3'!B28)</f>
        <v/>
      </c>
      <c r="C502" s="133"/>
      <c r="D502" s="131"/>
      <c r="E502" s="130" t="str">
        <f>IF('Направление 3'!C28="","",'Направление 3'!C28)</f>
        <v/>
      </c>
      <c r="F502" s="133"/>
      <c r="G502" s="131"/>
      <c r="H502" s="130" t="str">
        <f>IF('Направление 3'!D28="","",'Направление 3'!D28)</f>
        <v/>
      </c>
      <c r="I502" s="131"/>
      <c r="J502" s="61" t="str">
        <f>IF('Направление 3'!E28=0,"",'Направление 3'!E28)</f>
        <v/>
      </c>
    </row>
    <row r="503" spans="1:10" ht="150" customHeight="1" x14ac:dyDescent="0.3">
      <c r="A503" s="23">
        <v>26</v>
      </c>
      <c r="B503" s="144" t="str">
        <f>IF('Направление 3'!B29="","",'Направление 3'!B29)</f>
        <v/>
      </c>
      <c r="C503" s="133"/>
      <c r="D503" s="131"/>
      <c r="E503" s="130" t="str">
        <f>IF('Направление 3'!C29="","",'Направление 3'!C29)</f>
        <v/>
      </c>
      <c r="F503" s="133"/>
      <c r="G503" s="131"/>
      <c r="H503" s="130" t="str">
        <f>IF('Направление 3'!D29="","",'Направление 3'!D29)</f>
        <v/>
      </c>
      <c r="I503" s="131"/>
      <c r="J503" s="61" t="str">
        <f>IF('Направление 3'!E29=0,"",'Направление 3'!E29)</f>
        <v/>
      </c>
    </row>
    <row r="504" spans="1:10" ht="150" customHeight="1" x14ac:dyDescent="0.3">
      <c r="A504" s="23">
        <v>27</v>
      </c>
      <c r="B504" s="144" t="str">
        <f>IF('Направление 3'!B30="","",'Направление 3'!B30)</f>
        <v/>
      </c>
      <c r="C504" s="133"/>
      <c r="D504" s="131"/>
      <c r="E504" s="130" t="str">
        <f>IF('Направление 3'!C30="","",'Направление 3'!C30)</f>
        <v/>
      </c>
      <c r="F504" s="133"/>
      <c r="G504" s="131"/>
      <c r="H504" s="130" t="str">
        <f>IF('Направление 3'!D30="","",'Направление 3'!D30)</f>
        <v/>
      </c>
      <c r="I504" s="131"/>
      <c r="J504" s="61" t="str">
        <f>IF('Направление 3'!E30=0,"",'Направление 3'!E30)</f>
        <v/>
      </c>
    </row>
    <row r="505" spans="1:10" ht="150" customHeight="1" x14ac:dyDescent="0.3">
      <c r="A505" s="23">
        <v>28</v>
      </c>
      <c r="B505" s="144" t="str">
        <f>IF('Направление 3'!B31="","",'Направление 3'!B31)</f>
        <v/>
      </c>
      <c r="C505" s="133"/>
      <c r="D505" s="131"/>
      <c r="E505" s="130" t="str">
        <f>IF('Направление 3'!C31="","",'Направление 3'!C31)</f>
        <v/>
      </c>
      <c r="F505" s="133"/>
      <c r="G505" s="131"/>
      <c r="H505" s="130" t="str">
        <f>IF('Направление 3'!D31="","",'Направление 3'!D31)</f>
        <v/>
      </c>
      <c r="I505" s="131"/>
      <c r="J505" s="61" t="str">
        <f>IF('Направление 3'!E31=0,"",'Направление 3'!E31)</f>
        <v/>
      </c>
    </row>
    <row r="506" spans="1:10" ht="150" customHeight="1" x14ac:dyDescent="0.3">
      <c r="A506" s="23">
        <v>29</v>
      </c>
      <c r="B506" s="144" t="str">
        <f>IF('Направление 3'!B32="","",'Направление 3'!B32)</f>
        <v/>
      </c>
      <c r="C506" s="133"/>
      <c r="D506" s="131"/>
      <c r="E506" s="130" t="str">
        <f>IF('Направление 3'!C32="","",'Направление 3'!C32)</f>
        <v/>
      </c>
      <c r="F506" s="133"/>
      <c r="G506" s="131"/>
      <c r="H506" s="130" t="str">
        <f>IF('Направление 3'!D32="","",'Направление 3'!D32)</f>
        <v/>
      </c>
      <c r="I506" s="131"/>
      <c r="J506" s="61" t="str">
        <f>IF('Направление 3'!E32=0,"",'Направление 3'!E32)</f>
        <v/>
      </c>
    </row>
    <row r="507" spans="1:10" ht="150" customHeight="1" x14ac:dyDescent="0.3">
      <c r="A507" s="23">
        <v>30</v>
      </c>
      <c r="B507" s="144" t="str">
        <f>IF('Направление 3'!B33="","",'Направление 3'!B33)</f>
        <v/>
      </c>
      <c r="C507" s="133"/>
      <c r="D507" s="131"/>
      <c r="E507" s="130" t="str">
        <f>IF('Направление 3'!C33="","",'Направление 3'!C33)</f>
        <v/>
      </c>
      <c r="F507" s="133"/>
      <c r="G507" s="131"/>
      <c r="H507" s="130" t="str">
        <f>IF('Направление 3'!D33="","",'Направление 3'!D33)</f>
        <v/>
      </c>
      <c r="I507" s="131"/>
      <c r="J507" s="61" t="str">
        <f>IF('Направление 3'!E33=0,"",'Направление 3'!E33)</f>
        <v/>
      </c>
    </row>
    <row r="508" spans="1:10" ht="150" customHeight="1" x14ac:dyDescent="0.3">
      <c r="A508" s="23">
        <v>31</v>
      </c>
      <c r="B508" s="144" t="str">
        <f>IF('Направление 3'!B34="","",'Направление 3'!B34)</f>
        <v/>
      </c>
      <c r="C508" s="133"/>
      <c r="D508" s="131"/>
      <c r="E508" s="130" t="str">
        <f>IF('Направление 3'!C34="","",'Направление 3'!C34)</f>
        <v/>
      </c>
      <c r="F508" s="133"/>
      <c r="G508" s="131"/>
      <c r="H508" s="130" t="str">
        <f>IF('Направление 3'!D34="","",'Направление 3'!D34)</f>
        <v/>
      </c>
      <c r="I508" s="131"/>
      <c r="J508" s="61" t="str">
        <f>IF('Направление 3'!E34=0,"",'Направление 3'!E34)</f>
        <v/>
      </c>
    </row>
    <row r="509" spans="1:10" ht="150" customHeight="1" x14ac:dyDescent="0.3">
      <c r="A509" s="23">
        <v>32</v>
      </c>
      <c r="B509" s="144" t="str">
        <f>IF('Направление 3'!B35="","",'Направление 3'!B35)</f>
        <v/>
      </c>
      <c r="C509" s="133"/>
      <c r="D509" s="131"/>
      <c r="E509" s="130" t="str">
        <f>IF('Направление 3'!C35="","",'Направление 3'!C35)</f>
        <v/>
      </c>
      <c r="F509" s="133"/>
      <c r="G509" s="131"/>
      <c r="H509" s="130" t="str">
        <f>IF('Направление 3'!D35="","",'Направление 3'!D35)</f>
        <v/>
      </c>
      <c r="I509" s="131"/>
      <c r="J509" s="61" t="str">
        <f>IF('Направление 3'!E35=0,"",'Направление 3'!E35)</f>
        <v/>
      </c>
    </row>
    <row r="510" spans="1:10" ht="150" customHeight="1" x14ac:dyDescent="0.3">
      <c r="A510" s="23">
        <v>33</v>
      </c>
      <c r="B510" s="144" t="str">
        <f>IF('Направление 3'!B36="","",'Направление 3'!B36)</f>
        <v/>
      </c>
      <c r="C510" s="133"/>
      <c r="D510" s="131"/>
      <c r="E510" s="130" t="str">
        <f>IF('Направление 3'!C36="","",'Направление 3'!C36)</f>
        <v/>
      </c>
      <c r="F510" s="133"/>
      <c r="G510" s="131"/>
      <c r="H510" s="130" t="str">
        <f>IF('Направление 3'!D36="","",'Направление 3'!D36)</f>
        <v/>
      </c>
      <c r="I510" s="131"/>
      <c r="J510" s="61" t="str">
        <f>IF('Направление 3'!E36=0,"",'Направление 3'!E36)</f>
        <v/>
      </c>
    </row>
    <row r="511" spans="1:10" ht="150" customHeight="1" x14ac:dyDescent="0.3">
      <c r="A511" s="23">
        <v>34</v>
      </c>
      <c r="B511" s="144" t="str">
        <f>IF('Направление 3'!B37="","",'Направление 3'!B37)</f>
        <v/>
      </c>
      <c r="C511" s="133"/>
      <c r="D511" s="131"/>
      <c r="E511" s="130" t="str">
        <f>IF('Направление 3'!C37="","",'Направление 3'!C37)</f>
        <v/>
      </c>
      <c r="F511" s="133"/>
      <c r="G511" s="131"/>
      <c r="H511" s="130" t="str">
        <f>IF('Направление 3'!D37="","",'Направление 3'!D37)</f>
        <v/>
      </c>
      <c r="I511" s="131"/>
      <c r="J511" s="61" t="str">
        <f>IF('Направление 3'!E37=0,"",'Направление 3'!E37)</f>
        <v/>
      </c>
    </row>
    <row r="512" spans="1:10" ht="150" customHeight="1" x14ac:dyDescent="0.3">
      <c r="A512" s="23">
        <v>35</v>
      </c>
      <c r="B512" s="144" t="str">
        <f>IF('Направление 3'!B38="","",'Направление 3'!B38)</f>
        <v/>
      </c>
      <c r="C512" s="133"/>
      <c r="D512" s="131"/>
      <c r="E512" s="130" t="str">
        <f>IF('Направление 3'!C38="","",'Направление 3'!C38)</f>
        <v/>
      </c>
      <c r="F512" s="133"/>
      <c r="G512" s="131"/>
      <c r="H512" s="130" t="str">
        <f>IF('Направление 3'!D38="","",'Направление 3'!D38)</f>
        <v/>
      </c>
      <c r="I512" s="131"/>
      <c r="J512" s="61" t="str">
        <f>IF('Направление 3'!E38=0,"",'Направление 3'!E38)</f>
        <v/>
      </c>
    </row>
    <row r="513" spans="1:10" ht="150" customHeight="1" x14ac:dyDescent="0.3">
      <c r="A513" s="23">
        <v>36</v>
      </c>
      <c r="B513" s="144" t="str">
        <f>IF('Направление 3'!B39="","",'Направление 3'!B39)</f>
        <v/>
      </c>
      <c r="C513" s="133"/>
      <c r="D513" s="131"/>
      <c r="E513" s="130" t="str">
        <f>IF('Направление 3'!C39="","",'Направление 3'!C39)</f>
        <v/>
      </c>
      <c r="F513" s="133"/>
      <c r="G513" s="131"/>
      <c r="H513" s="130" t="str">
        <f>IF('Направление 3'!D39="","",'Направление 3'!D39)</f>
        <v/>
      </c>
      <c r="I513" s="131"/>
      <c r="J513" s="61" t="str">
        <f>IF('Направление 3'!E39=0,"",'Направление 3'!E39)</f>
        <v/>
      </c>
    </row>
    <row r="514" spans="1:10" ht="150" customHeight="1" x14ac:dyDescent="0.3">
      <c r="A514" s="23">
        <v>37</v>
      </c>
      <c r="B514" s="144" t="str">
        <f>IF('Направление 3'!B40="","",'Направление 3'!B40)</f>
        <v/>
      </c>
      <c r="C514" s="133"/>
      <c r="D514" s="131"/>
      <c r="E514" s="130" t="str">
        <f>IF('Направление 3'!C40="","",'Направление 3'!C40)</f>
        <v/>
      </c>
      <c r="F514" s="133"/>
      <c r="G514" s="131"/>
      <c r="H514" s="130" t="str">
        <f>IF('Направление 3'!D40="","",'Направление 3'!D40)</f>
        <v/>
      </c>
      <c r="I514" s="131"/>
      <c r="J514" s="61" t="str">
        <f>IF('Направление 3'!E40=0,"",'Направление 3'!E40)</f>
        <v/>
      </c>
    </row>
    <row r="515" spans="1:10" ht="150" customHeight="1" x14ac:dyDescent="0.3">
      <c r="A515" s="23">
        <v>38</v>
      </c>
      <c r="B515" s="144" t="str">
        <f>IF('Направление 3'!B41="","",'Направление 3'!B41)</f>
        <v/>
      </c>
      <c r="C515" s="133"/>
      <c r="D515" s="131"/>
      <c r="E515" s="130" t="str">
        <f>IF('Направление 3'!C41="","",'Направление 3'!C41)</f>
        <v/>
      </c>
      <c r="F515" s="133"/>
      <c r="G515" s="131"/>
      <c r="H515" s="130" t="str">
        <f>IF('Направление 3'!D41="","",'Направление 3'!D41)</f>
        <v/>
      </c>
      <c r="I515" s="131"/>
      <c r="J515" s="61" t="str">
        <f>IF('Направление 3'!E41=0,"",'Направление 3'!E41)</f>
        <v/>
      </c>
    </row>
    <row r="516" spans="1:10" ht="150" customHeight="1" x14ac:dyDescent="0.3">
      <c r="A516" s="23">
        <v>39</v>
      </c>
      <c r="B516" s="144" t="str">
        <f>IF('Направление 3'!B42="","",'Направление 3'!B42)</f>
        <v/>
      </c>
      <c r="C516" s="133"/>
      <c r="D516" s="131"/>
      <c r="E516" s="130" t="str">
        <f>IF('Направление 3'!C42="","",'Направление 3'!C42)</f>
        <v/>
      </c>
      <c r="F516" s="133"/>
      <c r="G516" s="131"/>
      <c r="H516" s="130" t="str">
        <f>IF('Направление 3'!D42="","",'Направление 3'!D42)</f>
        <v/>
      </c>
      <c r="I516" s="131"/>
      <c r="J516" s="61" t="str">
        <f>IF('Направление 3'!E42=0,"",'Направление 3'!E42)</f>
        <v/>
      </c>
    </row>
    <row r="517" spans="1:10" ht="150" customHeight="1" thickBot="1" x14ac:dyDescent="0.35">
      <c r="A517" s="24">
        <v>40</v>
      </c>
      <c r="B517" s="144" t="str">
        <f>IF('Направление 3'!B43="","",'Направление 3'!B43)</f>
        <v/>
      </c>
      <c r="C517" s="133"/>
      <c r="D517" s="131"/>
      <c r="E517" s="130" t="str">
        <f>IF('Направление 3'!C43="","",'Направление 3'!C43)</f>
        <v/>
      </c>
      <c r="F517" s="133"/>
      <c r="G517" s="131"/>
      <c r="H517" s="130" t="str">
        <f>IF('Направление 3'!D43="","",'Направление 3'!D43)</f>
        <v/>
      </c>
      <c r="I517" s="131"/>
      <c r="J517" s="61" t="str">
        <f>IF('Направление 3'!E43=0,"",'Направление 3'!E43)</f>
        <v/>
      </c>
    </row>
    <row r="518" spans="1:10" ht="150" customHeight="1" thickBot="1" x14ac:dyDescent="0.35">
      <c r="A518" s="24">
        <v>41</v>
      </c>
      <c r="B518" s="144" t="str">
        <f>IF('Направление 3'!B44="","",'Направление 3'!B44)</f>
        <v/>
      </c>
      <c r="C518" s="133"/>
      <c r="D518" s="131"/>
      <c r="E518" s="130" t="str">
        <f>IF('Направление 3'!C44="","",'Направление 3'!C44)</f>
        <v/>
      </c>
      <c r="F518" s="133"/>
      <c r="G518" s="131"/>
      <c r="H518" s="130" t="str">
        <f>IF('Направление 3'!D44="","",'Направление 3'!D44)</f>
        <v/>
      </c>
      <c r="I518" s="131"/>
      <c r="J518" s="61" t="str">
        <f>IF('Направление 3'!E44=0,"",'Направление 3'!E44)</f>
        <v/>
      </c>
    </row>
    <row r="519" spans="1:10" ht="150" customHeight="1" thickBot="1" x14ac:dyDescent="0.35">
      <c r="A519" s="24">
        <v>42</v>
      </c>
      <c r="B519" s="144" t="str">
        <f>IF('Направление 3'!B45="","",'Направление 3'!B45)</f>
        <v/>
      </c>
      <c r="C519" s="133"/>
      <c r="D519" s="131"/>
      <c r="E519" s="130" t="str">
        <f>IF('Направление 3'!C45="","",'Направление 3'!C45)</f>
        <v/>
      </c>
      <c r="F519" s="133"/>
      <c r="G519" s="131"/>
      <c r="H519" s="130" t="str">
        <f>IF('Направление 3'!D45="","",'Направление 3'!D45)</f>
        <v/>
      </c>
      <c r="I519" s="131"/>
      <c r="J519" s="61" t="str">
        <f>IF('Направление 3'!E45=0,"",'Направление 3'!E45)</f>
        <v/>
      </c>
    </row>
    <row r="520" spans="1:10" ht="150" customHeight="1" thickBot="1" x14ac:dyDescent="0.35">
      <c r="A520" s="24">
        <v>43</v>
      </c>
      <c r="B520" s="144" t="str">
        <f>IF('Направление 3'!B46="","",'Направление 3'!B46)</f>
        <v/>
      </c>
      <c r="C520" s="133"/>
      <c r="D520" s="131"/>
      <c r="E520" s="130" t="str">
        <f>IF('Направление 3'!C46="","",'Направление 3'!C46)</f>
        <v/>
      </c>
      <c r="F520" s="133"/>
      <c r="G520" s="131"/>
      <c r="H520" s="130" t="str">
        <f>IF('Направление 3'!D46="","",'Направление 3'!D46)</f>
        <v/>
      </c>
      <c r="I520" s="131"/>
      <c r="J520" s="61" t="str">
        <f>IF('Направление 3'!E46=0,"",'Направление 3'!E46)</f>
        <v/>
      </c>
    </row>
    <row r="521" spans="1:10" ht="150" customHeight="1" thickBot="1" x14ac:dyDescent="0.35">
      <c r="A521" s="24">
        <v>44</v>
      </c>
      <c r="B521" s="144" t="str">
        <f>IF('Направление 3'!B47="","",'Направление 3'!B47)</f>
        <v/>
      </c>
      <c r="C521" s="133"/>
      <c r="D521" s="131"/>
      <c r="E521" s="130" t="str">
        <f>IF('Направление 3'!C47="","",'Направление 3'!C47)</f>
        <v/>
      </c>
      <c r="F521" s="133"/>
      <c r="G521" s="131"/>
      <c r="H521" s="130" t="str">
        <f>IF('Направление 3'!D47="","",'Направление 3'!D47)</f>
        <v/>
      </c>
      <c r="I521" s="131"/>
      <c r="J521" s="61" t="str">
        <f>IF('Направление 3'!E47=0,"",'Направление 3'!E47)</f>
        <v/>
      </c>
    </row>
    <row r="522" spans="1:10" ht="150" customHeight="1" thickBot="1" x14ac:dyDescent="0.35">
      <c r="A522" s="24">
        <v>45</v>
      </c>
      <c r="B522" s="144" t="str">
        <f>IF('Направление 3'!B48="","",'Направление 3'!B48)</f>
        <v/>
      </c>
      <c r="C522" s="133"/>
      <c r="D522" s="131"/>
      <c r="E522" s="130" t="str">
        <f>IF('Направление 3'!C48="","",'Направление 3'!C48)</f>
        <v/>
      </c>
      <c r="F522" s="133"/>
      <c r="G522" s="131"/>
      <c r="H522" s="130" t="str">
        <f>IF('Направление 3'!D48="","",'Направление 3'!D48)</f>
        <v/>
      </c>
      <c r="I522" s="131"/>
      <c r="J522" s="61" t="str">
        <f>IF('Направление 3'!E48=0,"",'Направление 3'!E48)</f>
        <v/>
      </c>
    </row>
    <row r="523" spans="1:10" ht="150" customHeight="1" thickBot="1" x14ac:dyDescent="0.35">
      <c r="A523" s="24">
        <v>46</v>
      </c>
      <c r="B523" s="144" t="str">
        <f>IF('Направление 3'!B49="","",'Направление 3'!B49)</f>
        <v/>
      </c>
      <c r="C523" s="133"/>
      <c r="D523" s="131"/>
      <c r="E523" s="130" t="str">
        <f>IF('Направление 3'!C49="","",'Направление 3'!C49)</f>
        <v/>
      </c>
      <c r="F523" s="133"/>
      <c r="G523" s="131"/>
      <c r="H523" s="130" t="str">
        <f>IF('Направление 3'!D49="","",'Направление 3'!D49)</f>
        <v/>
      </c>
      <c r="I523" s="131"/>
      <c r="J523" s="61" t="str">
        <f>IF('Направление 3'!E49=0,"",'Направление 3'!E49)</f>
        <v/>
      </c>
    </row>
    <row r="524" spans="1:10" ht="150" customHeight="1" thickBot="1" x14ac:dyDescent="0.35">
      <c r="A524" s="24">
        <v>47</v>
      </c>
      <c r="B524" s="144" t="str">
        <f>IF('Направление 3'!B50="","",'Направление 3'!B50)</f>
        <v/>
      </c>
      <c r="C524" s="133"/>
      <c r="D524" s="131"/>
      <c r="E524" s="130" t="str">
        <f>IF('Направление 3'!C50="","",'Направление 3'!C50)</f>
        <v/>
      </c>
      <c r="F524" s="133"/>
      <c r="G524" s="131"/>
      <c r="H524" s="130" t="str">
        <f>IF('Направление 3'!D50="","",'Направление 3'!D50)</f>
        <v/>
      </c>
      <c r="I524" s="131"/>
      <c r="J524" s="61" t="str">
        <f>IF('Направление 3'!E50=0,"",'Направление 3'!E50)</f>
        <v/>
      </c>
    </row>
    <row r="525" spans="1:10" ht="150" customHeight="1" thickBot="1" x14ac:dyDescent="0.35">
      <c r="A525" s="24">
        <v>48</v>
      </c>
      <c r="B525" s="144" t="str">
        <f>IF('Направление 3'!B51="","",'Направление 3'!B51)</f>
        <v/>
      </c>
      <c r="C525" s="133"/>
      <c r="D525" s="131"/>
      <c r="E525" s="130" t="str">
        <f>IF('Направление 3'!C51="","",'Направление 3'!C51)</f>
        <v/>
      </c>
      <c r="F525" s="133"/>
      <c r="G525" s="131"/>
      <c r="H525" s="130" t="str">
        <f>IF('Направление 3'!D51="","",'Направление 3'!D51)</f>
        <v/>
      </c>
      <c r="I525" s="131"/>
      <c r="J525" s="61" t="str">
        <f>IF('Направление 3'!E51=0,"",'Направление 3'!E51)</f>
        <v/>
      </c>
    </row>
    <row r="526" spans="1:10" ht="150" customHeight="1" thickBot="1" x14ac:dyDescent="0.35">
      <c r="A526" s="24">
        <v>49</v>
      </c>
      <c r="B526" s="144" t="str">
        <f>IF('Направление 3'!B52="","",'Направление 3'!B52)</f>
        <v/>
      </c>
      <c r="C526" s="133"/>
      <c r="D526" s="131"/>
      <c r="E526" s="130" t="str">
        <f>IF('Направление 3'!C52="","",'Направление 3'!C52)</f>
        <v/>
      </c>
      <c r="F526" s="133"/>
      <c r="G526" s="131"/>
      <c r="H526" s="130" t="str">
        <f>IF('Направление 3'!D52="","",'Направление 3'!D52)</f>
        <v/>
      </c>
      <c r="I526" s="131"/>
      <c r="J526" s="61" t="str">
        <f>IF('Направление 3'!E52=0,"",'Направление 3'!E52)</f>
        <v/>
      </c>
    </row>
    <row r="527" spans="1:10" ht="150" customHeight="1" thickBot="1" x14ac:dyDescent="0.35">
      <c r="A527" s="24">
        <v>50</v>
      </c>
      <c r="B527" s="144" t="str">
        <f>IF('Направление 3'!B53="","",'Направление 3'!B53)</f>
        <v/>
      </c>
      <c r="C527" s="133"/>
      <c r="D527" s="131"/>
      <c r="E527" s="130" t="str">
        <f>IF('Направление 3'!C53="","",'Направление 3'!C53)</f>
        <v/>
      </c>
      <c r="F527" s="133"/>
      <c r="G527" s="131"/>
      <c r="H527" s="130" t="str">
        <f>IF('Направление 3'!D53="","",'Направление 3'!D53)</f>
        <v/>
      </c>
      <c r="I527" s="131"/>
      <c r="J527" s="61" t="str">
        <f>IF('Направление 3'!E53=0,"",'Направление 3'!E53)</f>
        <v/>
      </c>
    </row>
    <row r="528" spans="1:10" ht="150" customHeight="1" thickBot="1" x14ac:dyDescent="0.35">
      <c r="A528" s="24">
        <v>51</v>
      </c>
      <c r="B528" s="144" t="str">
        <f>IF('Направление 3'!B54="","",'Направление 3'!B54)</f>
        <v/>
      </c>
      <c r="C528" s="133"/>
      <c r="D528" s="131"/>
      <c r="E528" s="130" t="str">
        <f>IF('Направление 3'!C54="","",'Направление 3'!C54)</f>
        <v/>
      </c>
      <c r="F528" s="133"/>
      <c r="G528" s="131"/>
      <c r="H528" s="130" t="str">
        <f>IF('Направление 3'!D54="","",'Направление 3'!D54)</f>
        <v/>
      </c>
      <c r="I528" s="131"/>
      <c r="J528" s="61" t="str">
        <f>IF('Направление 3'!E54=0,"",'Направление 3'!E54)</f>
        <v/>
      </c>
    </row>
    <row r="529" spans="1:10" ht="150" customHeight="1" thickBot="1" x14ac:dyDescent="0.35">
      <c r="A529" s="24">
        <v>52</v>
      </c>
      <c r="B529" s="144" t="str">
        <f>IF('Направление 3'!B55="","",'Направление 3'!B55)</f>
        <v/>
      </c>
      <c r="C529" s="133"/>
      <c r="D529" s="131"/>
      <c r="E529" s="130" t="str">
        <f>IF('Направление 3'!C55="","",'Направление 3'!C55)</f>
        <v/>
      </c>
      <c r="F529" s="133"/>
      <c r="G529" s="131"/>
      <c r="H529" s="130" t="str">
        <f>IF('Направление 3'!D55="","",'Направление 3'!D55)</f>
        <v/>
      </c>
      <c r="I529" s="131"/>
      <c r="J529" s="61" t="str">
        <f>IF('Направление 3'!E55=0,"",'Направление 3'!E55)</f>
        <v/>
      </c>
    </row>
    <row r="530" spans="1:10" ht="150" customHeight="1" thickBot="1" x14ac:dyDescent="0.35">
      <c r="A530" s="24">
        <v>53</v>
      </c>
      <c r="B530" s="144" t="str">
        <f>IF('Направление 3'!B56="","",'Направление 3'!B56)</f>
        <v/>
      </c>
      <c r="C530" s="133"/>
      <c r="D530" s="131"/>
      <c r="E530" s="130" t="str">
        <f>IF('Направление 3'!C56="","",'Направление 3'!C56)</f>
        <v/>
      </c>
      <c r="F530" s="133"/>
      <c r="G530" s="131"/>
      <c r="H530" s="130" t="str">
        <f>IF('Направление 3'!D56="","",'Направление 3'!D56)</f>
        <v/>
      </c>
      <c r="I530" s="131"/>
      <c r="J530" s="61" t="str">
        <f>IF('Направление 3'!E56=0,"",'Направление 3'!E56)</f>
        <v/>
      </c>
    </row>
    <row r="531" spans="1:10" ht="150" customHeight="1" thickBot="1" x14ac:dyDescent="0.35">
      <c r="A531" s="24">
        <v>54</v>
      </c>
      <c r="B531" s="144" t="str">
        <f>IF('Направление 3'!B57="","",'Направление 3'!B57)</f>
        <v/>
      </c>
      <c r="C531" s="133"/>
      <c r="D531" s="131"/>
      <c r="E531" s="130" t="str">
        <f>IF('Направление 3'!C57="","",'Направление 3'!C57)</f>
        <v/>
      </c>
      <c r="F531" s="133"/>
      <c r="G531" s="131"/>
      <c r="H531" s="130" t="str">
        <f>IF('Направление 3'!D57="","",'Направление 3'!D57)</f>
        <v/>
      </c>
      <c r="I531" s="131"/>
      <c r="J531" s="61" t="str">
        <f>IF('Направление 3'!E57=0,"",'Направление 3'!E57)</f>
        <v/>
      </c>
    </row>
    <row r="532" spans="1:10" ht="150" customHeight="1" thickBot="1" x14ac:dyDescent="0.35">
      <c r="A532" s="24">
        <v>55</v>
      </c>
      <c r="B532" s="144" t="str">
        <f>IF('Направление 3'!B58="","",'Направление 3'!B58)</f>
        <v/>
      </c>
      <c r="C532" s="133"/>
      <c r="D532" s="131"/>
      <c r="E532" s="130" t="str">
        <f>IF('Направление 3'!C58="","",'Направление 3'!C58)</f>
        <v/>
      </c>
      <c r="F532" s="133"/>
      <c r="G532" s="131"/>
      <c r="H532" s="130" t="str">
        <f>IF('Направление 3'!D58="","",'Направление 3'!D58)</f>
        <v/>
      </c>
      <c r="I532" s="131"/>
      <c r="J532" s="61" t="str">
        <f>IF('Направление 3'!E58=0,"",'Направление 3'!E58)</f>
        <v/>
      </c>
    </row>
    <row r="533" spans="1:10" ht="150" customHeight="1" thickBot="1" x14ac:dyDescent="0.35">
      <c r="A533" s="24">
        <v>56</v>
      </c>
      <c r="B533" s="144" t="str">
        <f>IF('Направление 3'!B59="","",'Направление 3'!B59)</f>
        <v/>
      </c>
      <c r="C533" s="133"/>
      <c r="D533" s="131"/>
      <c r="E533" s="130" t="str">
        <f>IF('Направление 3'!C59="","",'Направление 3'!C59)</f>
        <v/>
      </c>
      <c r="F533" s="133"/>
      <c r="G533" s="131"/>
      <c r="H533" s="130" t="str">
        <f>IF('Направление 3'!D59="","",'Направление 3'!D59)</f>
        <v/>
      </c>
      <c r="I533" s="131"/>
      <c r="J533" s="61" t="str">
        <f>IF('Направление 3'!E59=0,"",'Направление 3'!E59)</f>
        <v/>
      </c>
    </row>
    <row r="534" spans="1:10" ht="150" customHeight="1" thickBot="1" x14ac:dyDescent="0.35">
      <c r="A534" s="24">
        <v>57</v>
      </c>
      <c r="B534" s="144" t="str">
        <f>IF('Направление 3'!B60="","",'Направление 3'!B60)</f>
        <v/>
      </c>
      <c r="C534" s="133"/>
      <c r="D534" s="131"/>
      <c r="E534" s="130" t="str">
        <f>IF('Направление 3'!C60="","",'Направление 3'!C60)</f>
        <v/>
      </c>
      <c r="F534" s="133"/>
      <c r="G534" s="131"/>
      <c r="H534" s="130" t="str">
        <f>IF('Направление 3'!D60="","",'Направление 3'!D60)</f>
        <v/>
      </c>
      <c r="I534" s="131"/>
      <c r="J534" s="61" t="str">
        <f>IF('Направление 3'!E60=0,"",'Направление 3'!E60)</f>
        <v/>
      </c>
    </row>
    <row r="535" spans="1:10" ht="150" customHeight="1" thickBot="1" x14ac:dyDescent="0.35">
      <c r="A535" s="24">
        <v>58</v>
      </c>
      <c r="B535" s="144" t="str">
        <f>IF('Направление 3'!B61="","",'Направление 3'!B61)</f>
        <v/>
      </c>
      <c r="C535" s="133"/>
      <c r="D535" s="131"/>
      <c r="E535" s="130" t="str">
        <f>IF('Направление 3'!C61="","",'Направление 3'!C61)</f>
        <v/>
      </c>
      <c r="F535" s="133"/>
      <c r="G535" s="131"/>
      <c r="H535" s="130" t="str">
        <f>IF('Направление 3'!D61="","",'Направление 3'!D61)</f>
        <v/>
      </c>
      <c r="I535" s="131"/>
      <c r="J535" s="61" t="str">
        <f>IF('Направление 3'!E61=0,"",'Направление 3'!E61)</f>
        <v/>
      </c>
    </row>
    <row r="536" spans="1:10" ht="150" customHeight="1" thickBot="1" x14ac:dyDescent="0.35">
      <c r="A536" s="24">
        <v>59</v>
      </c>
      <c r="B536" s="144" t="str">
        <f>IF('Направление 3'!B62="","",'Направление 3'!B62)</f>
        <v/>
      </c>
      <c r="C536" s="133"/>
      <c r="D536" s="131"/>
      <c r="E536" s="130" t="str">
        <f>IF('Направление 3'!C62="","",'Направление 3'!C62)</f>
        <v/>
      </c>
      <c r="F536" s="133"/>
      <c r="G536" s="131"/>
      <c r="H536" s="130" t="str">
        <f>IF('Направление 3'!D62="","",'Направление 3'!D62)</f>
        <v/>
      </c>
      <c r="I536" s="131"/>
      <c r="J536" s="61" t="str">
        <f>IF('Направление 3'!E62=0,"",'Направление 3'!E62)</f>
        <v/>
      </c>
    </row>
    <row r="537" spans="1:10" ht="150" customHeight="1" thickBot="1" x14ac:dyDescent="0.35">
      <c r="A537" s="24">
        <v>60</v>
      </c>
      <c r="B537" s="144" t="str">
        <f>IF('Направление 3'!B63="","",'Направление 3'!B63)</f>
        <v/>
      </c>
      <c r="C537" s="133"/>
      <c r="D537" s="131"/>
      <c r="E537" s="130" t="str">
        <f>IF('Направление 3'!C63="","",'Направление 3'!C63)</f>
        <v/>
      </c>
      <c r="F537" s="133"/>
      <c r="G537" s="131"/>
      <c r="H537" s="130" t="str">
        <f>IF('Направление 3'!D63="","",'Направление 3'!D63)</f>
        <v/>
      </c>
      <c r="I537" s="131"/>
      <c r="J537" s="61" t="str">
        <f>IF('Направление 3'!E63=0,"",'Направление 3'!E63)</f>
        <v/>
      </c>
    </row>
    <row r="538" spans="1:10" ht="150" customHeight="1" thickBot="1" x14ac:dyDescent="0.35">
      <c r="A538" s="24">
        <v>61</v>
      </c>
      <c r="B538" s="144" t="str">
        <f>IF('Направление 3'!B64="","",'Направление 3'!B64)</f>
        <v/>
      </c>
      <c r="C538" s="133"/>
      <c r="D538" s="131"/>
      <c r="E538" s="130" t="str">
        <f>IF('Направление 3'!C64="","",'Направление 3'!C64)</f>
        <v/>
      </c>
      <c r="F538" s="133"/>
      <c r="G538" s="131"/>
      <c r="H538" s="130" t="str">
        <f>IF('Направление 3'!D64="","",'Направление 3'!D64)</f>
        <v/>
      </c>
      <c r="I538" s="131"/>
      <c r="J538" s="61" t="str">
        <f>IF('Направление 3'!E64=0,"",'Направление 3'!E64)</f>
        <v/>
      </c>
    </row>
    <row r="539" spans="1:10" ht="150" customHeight="1" thickBot="1" x14ac:dyDescent="0.35">
      <c r="A539" s="24">
        <v>62</v>
      </c>
      <c r="B539" s="144" t="str">
        <f>IF('Направление 3'!B65="","",'Направление 3'!B65)</f>
        <v/>
      </c>
      <c r="C539" s="133"/>
      <c r="D539" s="131"/>
      <c r="E539" s="130" t="str">
        <f>IF('Направление 3'!C65="","",'Направление 3'!C65)</f>
        <v/>
      </c>
      <c r="F539" s="133"/>
      <c r="G539" s="131"/>
      <c r="H539" s="130" t="str">
        <f>IF('Направление 3'!D65="","",'Направление 3'!D65)</f>
        <v/>
      </c>
      <c r="I539" s="131"/>
      <c r="J539" s="61" t="str">
        <f>IF('Направление 3'!E65=0,"",'Направление 3'!E65)</f>
        <v/>
      </c>
    </row>
    <row r="540" spans="1:10" ht="150" customHeight="1" thickBot="1" x14ac:dyDescent="0.35">
      <c r="A540" s="24">
        <v>63</v>
      </c>
      <c r="B540" s="144" t="str">
        <f>IF('Направление 3'!B66="","",'Направление 3'!B66)</f>
        <v/>
      </c>
      <c r="C540" s="133"/>
      <c r="D540" s="131"/>
      <c r="E540" s="130" t="str">
        <f>IF('Направление 3'!C66="","",'Направление 3'!C66)</f>
        <v/>
      </c>
      <c r="F540" s="133"/>
      <c r="G540" s="131"/>
      <c r="H540" s="130" t="str">
        <f>IF('Направление 3'!D66="","",'Направление 3'!D66)</f>
        <v/>
      </c>
      <c r="I540" s="131"/>
      <c r="J540" s="61" t="str">
        <f>IF('Направление 3'!E66=0,"",'Направление 3'!E66)</f>
        <v/>
      </c>
    </row>
    <row r="541" spans="1:10" ht="150" customHeight="1" thickBot="1" x14ac:dyDescent="0.35">
      <c r="A541" s="24">
        <v>64</v>
      </c>
      <c r="B541" s="144" t="str">
        <f>IF('Направление 3'!B67="","",'Направление 3'!B67)</f>
        <v/>
      </c>
      <c r="C541" s="133"/>
      <c r="D541" s="131"/>
      <c r="E541" s="130" t="str">
        <f>IF('Направление 3'!C67="","",'Направление 3'!C67)</f>
        <v/>
      </c>
      <c r="F541" s="133"/>
      <c r="G541" s="131"/>
      <c r="H541" s="130" t="str">
        <f>IF('Направление 3'!D67="","",'Направление 3'!D67)</f>
        <v/>
      </c>
      <c r="I541" s="131"/>
      <c r="J541" s="61" t="str">
        <f>IF('Направление 3'!E67=0,"",'Направление 3'!E67)</f>
        <v/>
      </c>
    </row>
    <row r="542" spans="1:10" ht="150" customHeight="1" thickBot="1" x14ac:dyDescent="0.35">
      <c r="A542" s="24">
        <v>65</v>
      </c>
      <c r="B542" s="144" t="str">
        <f>IF('Направление 3'!B68="","",'Направление 3'!B68)</f>
        <v/>
      </c>
      <c r="C542" s="133"/>
      <c r="D542" s="131"/>
      <c r="E542" s="130" t="str">
        <f>IF('Направление 3'!C68="","",'Направление 3'!C68)</f>
        <v/>
      </c>
      <c r="F542" s="133"/>
      <c r="G542" s="131"/>
      <c r="H542" s="130" t="str">
        <f>IF('Направление 3'!D68="","",'Направление 3'!D68)</f>
        <v/>
      </c>
      <c r="I542" s="131"/>
      <c r="J542" s="61" t="str">
        <f>IF('Направление 3'!E68=0,"",'Направление 3'!E68)</f>
        <v/>
      </c>
    </row>
    <row r="543" spans="1:10" ht="150" customHeight="1" thickBot="1" x14ac:dyDescent="0.35">
      <c r="A543" s="24">
        <v>66</v>
      </c>
      <c r="B543" s="144" t="str">
        <f>IF('Направление 3'!B69="","",'Направление 3'!B69)</f>
        <v/>
      </c>
      <c r="C543" s="133"/>
      <c r="D543" s="131"/>
      <c r="E543" s="130" t="str">
        <f>IF('Направление 3'!C69="","",'Направление 3'!C69)</f>
        <v/>
      </c>
      <c r="F543" s="133"/>
      <c r="G543" s="131"/>
      <c r="H543" s="130" t="str">
        <f>IF('Направление 3'!D69="","",'Направление 3'!D69)</f>
        <v/>
      </c>
      <c r="I543" s="131"/>
      <c r="J543" s="61" t="str">
        <f>IF('Направление 3'!E69=0,"",'Направление 3'!E69)</f>
        <v/>
      </c>
    </row>
    <row r="544" spans="1:10" ht="150" customHeight="1" thickBot="1" x14ac:dyDescent="0.35">
      <c r="A544" s="24">
        <v>67</v>
      </c>
      <c r="B544" s="144" t="str">
        <f>IF('Направление 3'!B70="","",'Направление 3'!B70)</f>
        <v/>
      </c>
      <c r="C544" s="133"/>
      <c r="D544" s="131"/>
      <c r="E544" s="130" t="str">
        <f>IF('Направление 3'!C70="","",'Направление 3'!C70)</f>
        <v/>
      </c>
      <c r="F544" s="133"/>
      <c r="G544" s="131"/>
      <c r="H544" s="130" t="str">
        <f>IF('Направление 3'!D70="","",'Направление 3'!D70)</f>
        <v/>
      </c>
      <c r="I544" s="131"/>
      <c r="J544" s="61" t="str">
        <f>IF('Направление 3'!E70=0,"",'Направление 3'!E70)</f>
        <v/>
      </c>
    </row>
    <row r="545" spans="1:10" ht="150" customHeight="1" thickBot="1" x14ac:dyDescent="0.35">
      <c r="A545" s="24">
        <v>68</v>
      </c>
      <c r="B545" s="144" t="str">
        <f>IF('Направление 3'!B71="","",'Направление 3'!B71)</f>
        <v/>
      </c>
      <c r="C545" s="133"/>
      <c r="D545" s="131"/>
      <c r="E545" s="130" t="str">
        <f>IF('Направление 3'!C71="","",'Направление 3'!C71)</f>
        <v/>
      </c>
      <c r="F545" s="133"/>
      <c r="G545" s="131"/>
      <c r="H545" s="130" t="str">
        <f>IF('Направление 3'!D71="","",'Направление 3'!D71)</f>
        <v/>
      </c>
      <c r="I545" s="131"/>
      <c r="J545" s="61" t="str">
        <f>IF('Направление 3'!E71=0,"",'Направление 3'!E71)</f>
        <v/>
      </c>
    </row>
    <row r="546" spans="1:10" ht="150" customHeight="1" thickBot="1" x14ac:dyDescent="0.35">
      <c r="A546" s="24">
        <v>69</v>
      </c>
      <c r="B546" s="144" t="str">
        <f>IF('Направление 3'!B72="","",'Направление 3'!B72)</f>
        <v/>
      </c>
      <c r="C546" s="133"/>
      <c r="D546" s="131"/>
      <c r="E546" s="130" t="str">
        <f>IF('Направление 3'!C72="","",'Направление 3'!C72)</f>
        <v/>
      </c>
      <c r="F546" s="133"/>
      <c r="G546" s="131"/>
      <c r="H546" s="130" t="str">
        <f>IF('Направление 3'!D72="","",'Направление 3'!D72)</f>
        <v/>
      </c>
      <c r="I546" s="131"/>
      <c r="J546" s="61" t="str">
        <f>IF('Направление 3'!E72=0,"",'Направление 3'!E72)</f>
        <v/>
      </c>
    </row>
    <row r="547" spans="1:10" ht="150" customHeight="1" thickBot="1" x14ac:dyDescent="0.35">
      <c r="A547" s="24">
        <v>70</v>
      </c>
      <c r="B547" s="144" t="str">
        <f>IF('Направление 3'!B73="","",'Направление 3'!B73)</f>
        <v/>
      </c>
      <c r="C547" s="133"/>
      <c r="D547" s="131"/>
      <c r="E547" s="130" t="str">
        <f>IF('Направление 3'!C73="","",'Направление 3'!C73)</f>
        <v/>
      </c>
      <c r="F547" s="133"/>
      <c r="G547" s="131"/>
      <c r="H547" s="130" t="str">
        <f>IF('Направление 3'!D73="","",'Направление 3'!D73)</f>
        <v/>
      </c>
      <c r="I547" s="131"/>
      <c r="J547" s="61" t="str">
        <f>IF('Направление 3'!E73=0,"",'Направление 3'!E73)</f>
        <v/>
      </c>
    </row>
    <row r="548" spans="1:10" ht="150" customHeight="1" thickBot="1" x14ac:dyDescent="0.35">
      <c r="A548" s="24">
        <v>71</v>
      </c>
      <c r="B548" s="144" t="str">
        <f>IF('Направление 3'!B74="","",'Направление 3'!B74)</f>
        <v/>
      </c>
      <c r="C548" s="133"/>
      <c r="D548" s="131"/>
      <c r="E548" s="130" t="str">
        <f>IF('Направление 3'!C74="","",'Направление 3'!C74)</f>
        <v/>
      </c>
      <c r="F548" s="133"/>
      <c r="G548" s="131"/>
      <c r="H548" s="130" t="str">
        <f>IF('Направление 3'!D74="","",'Направление 3'!D74)</f>
        <v/>
      </c>
      <c r="I548" s="131"/>
      <c r="J548" s="61" t="str">
        <f>IF('Направление 3'!E74=0,"",'Направление 3'!E74)</f>
        <v/>
      </c>
    </row>
    <row r="549" spans="1:10" ht="150" customHeight="1" thickBot="1" x14ac:dyDescent="0.35">
      <c r="A549" s="24">
        <v>72</v>
      </c>
      <c r="B549" s="144" t="str">
        <f>IF('Направление 3'!B75="","",'Направление 3'!B75)</f>
        <v/>
      </c>
      <c r="C549" s="133"/>
      <c r="D549" s="131"/>
      <c r="E549" s="130" t="str">
        <f>IF('Направление 3'!C75="","",'Направление 3'!C75)</f>
        <v/>
      </c>
      <c r="F549" s="133"/>
      <c r="G549" s="131"/>
      <c r="H549" s="130" t="str">
        <f>IF('Направление 3'!D75="","",'Направление 3'!D75)</f>
        <v/>
      </c>
      <c r="I549" s="131"/>
      <c r="J549" s="61" t="str">
        <f>IF('Направление 3'!E75=0,"",'Направление 3'!E75)</f>
        <v/>
      </c>
    </row>
    <row r="550" spans="1:10" ht="150" customHeight="1" thickBot="1" x14ac:dyDescent="0.35">
      <c r="A550" s="24">
        <v>73</v>
      </c>
      <c r="B550" s="144" t="str">
        <f>IF('Направление 3'!B76="","",'Направление 3'!B76)</f>
        <v/>
      </c>
      <c r="C550" s="133"/>
      <c r="D550" s="131"/>
      <c r="E550" s="130" t="str">
        <f>IF('Направление 3'!C76="","",'Направление 3'!C76)</f>
        <v/>
      </c>
      <c r="F550" s="133"/>
      <c r="G550" s="131"/>
      <c r="H550" s="130" t="str">
        <f>IF('Направление 3'!D76="","",'Направление 3'!D76)</f>
        <v/>
      </c>
      <c r="I550" s="131"/>
      <c r="J550" s="61" t="str">
        <f>IF('Направление 3'!E76=0,"",'Направление 3'!E76)</f>
        <v/>
      </c>
    </row>
    <row r="551" spans="1:10" ht="150" customHeight="1" thickBot="1" x14ac:dyDescent="0.35">
      <c r="A551" s="24">
        <v>74</v>
      </c>
      <c r="B551" s="144" t="str">
        <f>IF('Направление 3'!B77="","",'Направление 3'!B77)</f>
        <v/>
      </c>
      <c r="C551" s="133"/>
      <c r="D551" s="131"/>
      <c r="E551" s="130" t="str">
        <f>IF('Направление 3'!C77="","",'Направление 3'!C77)</f>
        <v/>
      </c>
      <c r="F551" s="133"/>
      <c r="G551" s="131"/>
      <c r="H551" s="130" t="str">
        <f>IF('Направление 3'!D77="","",'Направление 3'!D77)</f>
        <v/>
      </c>
      <c r="I551" s="131"/>
      <c r="J551" s="61" t="str">
        <f>IF('Направление 3'!E77=0,"",'Направление 3'!E77)</f>
        <v/>
      </c>
    </row>
    <row r="552" spans="1:10" ht="150" customHeight="1" thickBot="1" x14ac:dyDescent="0.35">
      <c r="A552" s="24">
        <v>75</v>
      </c>
      <c r="B552" s="144" t="str">
        <f>IF('Направление 3'!B78="","",'Направление 3'!B78)</f>
        <v/>
      </c>
      <c r="C552" s="133"/>
      <c r="D552" s="131"/>
      <c r="E552" s="130" t="str">
        <f>IF('Направление 3'!C78="","",'Направление 3'!C78)</f>
        <v/>
      </c>
      <c r="F552" s="133"/>
      <c r="G552" s="131"/>
      <c r="H552" s="130" t="str">
        <f>IF('Направление 3'!D78="","",'Направление 3'!D78)</f>
        <v/>
      </c>
      <c r="I552" s="131"/>
      <c r="J552" s="61" t="str">
        <f>IF('Направление 3'!E78=0,"",'Направление 3'!E78)</f>
        <v/>
      </c>
    </row>
    <row r="553" spans="1:10" ht="150" customHeight="1" thickBot="1" x14ac:dyDescent="0.35">
      <c r="A553" s="24">
        <v>76</v>
      </c>
      <c r="B553" s="144" t="str">
        <f>IF('Направление 3'!B79="","",'Направление 3'!B79)</f>
        <v/>
      </c>
      <c r="C553" s="133"/>
      <c r="D553" s="131"/>
      <c r="E553" s="130" t="str">
        <f>IF('Направление 3'!C79="","",'Направление 3'!C79)</f>
        <v/>
      </c>
      <c r="F553" s="133"/>
      <c r="G553" s="131"/>
      <c r="H553" s="130" t="str">
        <f>IF('Направление 3'!D79="","",'Направление 3'!D79)</f>
        <v/>
      </c>
      <c r="I553" s="131"/>
      <c r="J553" s="61" t="str">
        <f>IF('Направление 3'!E79=0,"",'Направление 3'!E79)</f>
        <v/>
      </c>
    </row>
    <row r="554" spans="1:10" ht="150" customHeight="1" thickBot="1" x14ac:dyDescent="0.35">
      <c r="A554" s="24">
        <v>77</v>
      </c>
      <c r="B554" s="144" t="str">
        <f>IF('Направление 3'!B80="","",'Направление 3'!B80)</f>
        <v/>
      </c>
      <c r="C554" s="133"/>
      <c r="D554" s="131"/>
      <c r="E554" s="130" t="str">
        <f>IF('Направление 3'!C80="","",'Направление 3'!C80)</f>
        <v/>
      </c>
      <c r="F554" s="133"/>
      <c r="G554" s="131"/>
      <c r="H554" s="130" t="str">
        <f>IF('Направление 3'!D80="","",'Направление 3'!D80)</f>
        <v/>
      </c>
      <c r="I554" s="131"/>
      <c r="J554" s="61" t="str">
        <f>IF('Направление 3'!E80=0,"",'Направление 3'!E80)</f>
        <v/>
      </c>
    </row>
    <row r="555" spans="1:10" ht="150" customHeight="1" thickBot="1" x14ac:dyDescent="0.35">
      <c r="A555" s="24">
        <v>78</v>
      </c>
      <c r="B555" s="144" t="str">
        <f>IF('Направление 3'!B81="","",'Направление 3'!B81)</f>
        <v/>
      </c>
      <c r="C555" s="133"/>
      <c r="D555" s="131"/>
      <c r="E555" s="130" t="str">
        <f>IF('Направление 3'!C81="","",'Направление 3'!C81)</f>
        <v/>
      </c>
      <c r="F555" s="133"/>
      <c r="G555" s="131"/>
      <c r="H555" s="130" t="str">
        <f>IF('Направление 3'!D81="","",'Направление 3'!D81)</f>
        <v/>
      </c>
      <c r="I555" s="131"/>
      <c r="J555" s="61" t="str">
        <f>IF('Направление 3'!E81=0,"",'Направление 3'!E81)</f>
        <v/>
      </c>
    </row>
    <row r="556" spans="1:10" ht="150" customHeight="1" thickBot="1" x14ac:dyDescent="0.35">
      <c r="A556" s="24">
        <v>79</v>
      </c>
      <c r="B556" s="144" t="str">
        <f>IF('Направление 3'!B82="","",'Направление 3'!B82)</f>
        <v/>
      </c>
      <c r="C556" s="133"/>
      <c r="D556" s="131"/>
      <c r="E556" s="130" t="str">
        <f>IF('Направление 3'!C82="","",'Направление 3'!C82)</f>
        <v/>
      </c>
      <c r="F556" s="133"/>
      <c r="G556" s="131"/>
      <c r="H556" s="130" t="str">
        <f>IF('Направление 3'!D82="","",'Направление 3'!D82)</f>
        <v/>
      </c>
      <c r="I556" s="131"/>
      <c r="J556" s="61" t="str">
        <f>IF('Направление 3'!E82=0,"",'Направление 3'!E82)</f>
        <v/>
      </c>
    </row>
    <row r="557" spans="1:10" ht="150" customHeight="1" thickBot="1" x14ac:dyDescent="0.35">
      <c r="A557" s="24">
        <v>80</v>
      </c>
      <c r="B557" s="144" t="str">
        <f>IF('Направление 3'!B83="","",'Направление 3'!B83)</f>
        <v/>
      </c>
      <c r="C557" s="133"/>
      <c r="D557" s="131"/>
      <c r="E557" s="130" t="str">
        <f>IF('Направление 3'!C83="","",'Направление 3'!C83)</f>
        <v/>
      </c>
      <c r="F557" s="133"/>
      <c r="G557" s="131"/>
      <c r="H557" s="130" t="str">
        <f>IF('Направление 3'!D83="","",'Направление 3'!D83)</f>
        <v/>
      </c>
      <c r="I557" s="131"/>
      <c r="J557" s="61" t="str">
        <f>IF('Направление 3'!E83=0,"",'Направление 3'!E83)</f>
        <v/>
      </c>
    </row>
    <row r="558" spans="1:10" ht="16.5" customHeight="1" thickBot="1" x14ac:dyDescent="0.35">
      <c r="A558" s="25"/>
      <c r="B558" s="151" t="s">
        <v>57</v>
      </c>
      <c r="C558" s="135"/>
      <c r="D558" s="135"/>
      <c r="E558" s="135"/>
      <c r="F558" s="135"/>
      <c r="G558" s="135"/>
      <c r="H558" s="135"/>
      <c r="I558" s="135"/>
      <c r="J558" s="136"/>
    </row>
    <row r="559" spans="1:10" ht="35.700000000000003" customHeight="1" thickBot="1" x14ac:dyDescent="0.35">
      <c r="A559" s="25"/>
      <c r="B559" s="155" t="s">
        <v>58</v>
      </c>
      <c r="C559" s="156"/>
      <c r="D559" s="157"/>
      <c r="E559" s="142" t="s">
        <v>59</v>
      </c>
      <c r="F559" s="158"/>
      <c r="G559" s="143"/>
      <c r="H559" s="142"/>
      <c r="I559" s="143"/>
      <c r="J559" s="89" t="s">
        <v>56</v>
      </c>
    </row>
    <row r="560" spans="1:10" ht="150" customHeight="1" x14ac:dyDescent="0.3">
      <c r="A560" s="22">
        <v>1</v>
      </c>
      <c r="B560" s="144" t="str">
        <f>IF('Направление 3'!B86="","",'Направление 3'!B86)</f>
        <v/>
      </c>
      <c r="C560" s="133"/>
      <c r="D560" s="131"/>
      <c r="E560" s="130" t="str">
        <f>IF('Направление 3'!C86="","",'Направление 3'!C86)</f>
        <v/>
      </c>
      <c r="F560" s="133"/>
      <c r="G560" s="131"/>
      <c r="H560" s="130" t="str">
        <f>IF('Направление 3'!D86="","",'Направление 3'!D86)</f>
        <v>х</v>
      </c>
      <c r="I560" s="131"/>
      <c r="J560" s="61" t="str">
        <f>IF('Направление 3'!E86=0,"",'Направление 3'!E86)</f>
        <v/>
      </c>
    </row>
    <row r="561" spans="1:10" ht="150" customHeight="1" x14ac:dyDescent="0.3">
      <c r="A561" s="23">
        <v>2</v>
      </c>
      <c r="B561" s="144" t="str">
        <f>IF('Направление 3'!B87="","",'Направление 3'!B87)</f>
        <v/>
      </c>
      <c r="C561" s="133"/>
      <c r="D561" s="131"/>
      <c r="E561" s="130" t="str">
        <f>IF('Направление 3'!C87="","",'Направление 3'!C87)</f>
        <v/>
      </c>
      <c r="F561" s="133"/>
      <c r="G561" s="131"/>
      <c r="H561" s="130" t="str">
        <f>IF('Направление 3'!D87="","",'Направление 3'!D87)</f>
        <v>х</v>
      </c>
      <c r="I561" s="131"/>
      <c r="J561" s="61" t="str">
        <f>IF('Направление 3'!E87=0,"",'Направление 3'!E87)</f>
        <v/>
      </c>
    </row>
    <row r="562" spans="1:10" ht="150" customHeight="1" x14ac:dyDescent="0.3">
      <c r="A562" s="23">
        <v>3</v>
      </c>
      <c r="B562" s="144" t="str">
        <f>IF('Направление 3'!B88="","",'Направление 3'!B88)</f>
        <v/>
      </c>
      <c r="C562" s="133"/>
      <c r="D562" s="131"/>
      <c r="E562" s="130" t="str">
        <f>IF('Направление 3'!C88="","",'Направление 3'!C88)</f>
        <v/>
      </c>
      <c r="F562" s="133"/>
      <c r="G562" s="131"/>
      <c r="H562" s="130" t="str">
        <f>IF('Направление 3'!D88="","",'Направление 3'!D88)</f>
        <v>х</v>
      </c>
      <c r="I562" s="131"/>
      <c r="J562" s="61" t="str">
        <f>IF('Направление 3'!E88=0,"",'Направление 3'!E88)</f>
        <v/>
      </c>
    </row>
    <row r="563" spans="1:10" ht="150" customHeight="1" x14ac:dyDescent="0.3">
      <c r="A563" s="23">
        <v>4</v>
      </c>
      <c r="B563" s="144" t="str">
        <f>IF('Направление 3'!B89="","",'Направление 3'!B89)</f>
        <v/>
      </c>
      <c r="C563" s="133"/>
      <c r="D563" s="131"/>
      <c r="E563" s="130" t="str">
        <f>IF('Направление 3'!C89="","",'Направление 3'!C89)</f>
        <v/>
      </c>
      <c r="F563" s="133"/>
      <c r="G563" s="131"/>
      <c r="H563" s="130" t="str">
        <f>IF('Направление 3'!D89="","",'Направление 3'!D89)</f>
        <v>х</v>
      </c>
      <c r="I563" s="131"/>
      <c r="J563" s="61" t="str">
        <f>IF('Направление 3'!E89=0,"",'Направление 3'!E89)</f>
        <v/>
      </c>
    </row>
    <row r="564" spans="1:10" ht="150" customHeight="1" x14ac:dyDescent="0.3">
      <c r="A564" s="23">
        <v>5</v>
      </c>
      <c r="B564" s="144" t="str">
        <f>IF('Направление 3'!B90="","",'Направление 3'!B90)</f>
        <v/>
      </c>
      <c r="C564" s="133"/>
      <c r="D564" s="131"/>
      <c r="E564" s="130" t="str">
        <f>IF('Направление 3'!C90="","",'Направление 3'!C90)</f>
        <v/>
      </c>
      <c r="F564" s="133"/>
      <c r="G564" s="131"/>
      <c r="H564" s="130" t="str">
        <f>IF('Направление 3'!D90="","",'Направление 3'!D90)</f>
        <v>х</v>
      </c>
      <c r="I564" s="131"/>
      <c r="J564" s="61" t="str">
        <f>IF('Направление 3'!E90=0,"",'Направление 3'!E90)</f>
        <v/>
      </c>
    </row>
    <row r="565" spans="1:10" ht="150" customHeight="1" x14ac:dyDescent="0.3">
      <c r="A565" s="23">
        <v>6</v>
      </c>
      <c r="B565" s="144" t="str">
        <f>IF('Направление 3'!B91="","",'Направление 3'!B91)</f>
        <v/>
      </c>
      <c r="C565" s="133"/>
      <c r="D565" s="131"/>
      <c r="E565" s="130" t="str">
        <f>IF('Направление 3'!C91="","",'Направление 3'!C91)</f>
        <v/>
      </c>
      <c r="F565" s="133"/>
      <c r="G565" s="131"/>
      <c r="H565" s="130" t="str">
        <f>IF('Направление 3'!D91="","",'Направление 3'!D91)</f>
        <v>х</v>
      </c>
      <c r="I565" s="131"/>
      <c r="J565" s="61" t="str">
        <f>IF('Направление 3'!E91=0,"",'Направление 3'!E91)</f>
        <v/>
      </c>
    </row>
    <row r="566" spans="1:10" ht="150" customHeight="1" x14ac:dyDescent="0.3">
      <c r="A566" s="23">
        <v>7</v>
      </c>
      <c r="B566" s="144" t="str">
        <f>IF('Направление 3'!B92="","",'Направление 3'!B92)</f>
        <v/>
      </c>
      <c r="C566" s="133"/>
      <c r="D566" s="131"/>
      <c r="E566" s="130" t="str">
        <f>IF('Направление 3'!C92="","",'Направление 3'!C92)</f>
        <v/>
      </c>
      <c r="F566" s="133"/>
      <c r="G566" s="131"/>
      <c r="H566" s="130" t="str">
        <f>IF('Направление 3'!D92="","",'Направление 3'!D92)</f>
        <v>х</v>
      </c>
      <c r="I566" s="131"/>
      <c r="J566" s="61" t="str">
        <f>IF('Направление 3'!E92=0,"",'Направление 3'!E92)</f>
        <v/>
      </c>
    </row>
    <row r="567" spans="1:10" ht="150" customHeight="1" x14ac:dyDescent="0.3">
      <c r="A567" s="23">
        <v>8</v>
      </c>
      <c r="B567" s="144" t="str">
        <f>IF('Направление 3'!B93="","",'Направление 3'!B93)</f>
        <v/>
      </c>
      <c r="C567" s="133"/>
      <c r="D567" s="131"/>
      <c r="E567" s="130" t="str">
        <f>IF('Направление 3'!C93="","",'Направление 3'!C93)</f>
        <v/>
      </c>
      <c r="F567" s="133"/>
      <c r="G567" s="131"/>
      <c r="H567" s="130" t="str">
        <f>IF('Направление 3'!D93="","",'Направление 3'!D93)</f>
        <v>х</v>
      </c>
      <c r="I567" s="131"/>
      <c r="J567" s="61" t="str">
        <f>IF('Направление 3'!E93=0,"",'Направление 3'!E93)</f>
        <v/>
      </c>
    </row>
    <row r="568" spans="1:10" ht="150" customHeight="1" x14ac:dyDescent="0.3">
      <c r="A568" s="23">
        <v>9</v>
      </c>
      <c r="B568" s="144" t="str">
        <f>IF('Направление 3'!B94="","",'Направление 3'!B94)</f>
        <v/>
      </c>
      <c r="C568" s="133"/>
      <c r="D568" s="131"/>
      <c r="E568" s="130" t="str">
        <f>IF('Направление 3'!C94="","",'Направление 3'!C94)</f>
        <v/>
      </c>
      <c r="F568" s="133"/>
      <c r="G568" s="131"/>
      <c r="H568" s="130" t="str">
        <f>IF('Направление 3'!D94="","",'Направление 3'!D94)</f>
        <v>х</v>
      </c>
      <c r="I568" s="131"/>
      <c r="J568" s="61" t="str">
        <f>IF('Направление 3'!E94=0,"",'Направление 3'!E94)</f>
        <v/>
      </c>
    </row>
    <row r="569" spans="1:10" ht="150" customHeight="1" x14ac:dyDescent="0.3">
      <c r="A569" s="23">
        <v>10</v>
      </c>
      <c r="B569" s="144" t="str">
        <f>IF('Направление 3'!B95="","",'Направление 3'!B95)</f>
        <v/>
      </c>
      <c r="C569" s="133"/>
      <c r="D569" s="131"/>
      <c r="E569" s="130" t="str">
        <f>IF('Направление 3'!C95="","",'Направление 3'!C95)</f>
        <v/>
      </c>
      <c r="F569" s="133"/>
      <c r="G569" s="131"/>
      <c r="H569" s="130" t="str">
        <f>IF('Направление 3'!D95="","",'Направление 3'!D95)</f>
        <v>х</v>
      </c>
      <c r="I569" s="131"/>
      <c r="J569" s="61" t="str">
        <f>IF('Направление 3'!E95=0,"",'Направление 3'!E95)</f>
        <v/>
      </c>
    </row>
    <row r="570" spans="1:10" ht="150" customHeight="1" x14ac:dyDescent="0.3">
      <c r="A570" s="23">
        <v>11</v>
      </c>
      <c r="B570" s="144" t="str">
        <f>IF('Направление 3'!B96="","",'Направление 3'!B96)</f>
        <v/>
      </c>
      <c r="C570" s="133"/>
      <c r="D570" s="131"/>
      <c r="E570" s="130" t="str">
        <f>IF('Направление 3'!C96="","",'Направление 3'!C96)</f>
        <v/>
      </c>
      <c r="F570" s="133"/>
      <c r="G570" s="131"/>
      <c r="H570" s="130" t="str">
        <f>IF('Направление 3'!D96="","",'Направление 3'!D96)</f>
        <v>х</v>
      </c>
      <c r="I570" s="131"/>
      <c r="J570" s="61" t="str">
        <f>IF('Направление 3'!E96=0,"",'Направление 3'!E96)</f>
        <v/>
      </c>
    </row>
    <row r="571" spans="1:10" ht="150" customHeight="1" x14ac:dyDescent="0.3">
      <c r="A571" s="23">
        <v>12</v>
      </c>
      <c r="B571" s="144" t="str">
        <f>IF('Направление 3'!B97="","",'Направление 3'!B97)</f>
        <v/>
      </c>
      <c r="C571" s="133"/>
      <c r="D571" s="131"/>
      <c r="E571" s="130" t="str">
        <f>IF('Направление 3'!C97="","",'Направление 3'!C97)</f>
        <v/>
      </c>
      <c r="F571" s="133"/>
      <c r="G571" s="131"/>
      <c r="H571" s="130" t="str">
        <f>IF('Направление 3'!D97="","",'Направление 3'!D97)</f>
        <v>х</v>
      </c>
      <c r="I571" s="131"/>
      <c r="J571" s="61" t="str">
        <f>IF('Направление 3'!E97=0,"",'Направление 3'!E97)</f>
        <v/>
      </c>
    </row>
    <row r="572" spans="1:10" ht="150" customHeight="1" x14ac:dyDescent="0.3">
      <c r="A572" s="23">
        <v>13</v>
      </c>
      <c r="B572" s="144" t="str">
        <f>IF('Направление 3'!B98="","",'Направление 3'!B98)</f>
        <v/>
      </c>
      <c r="C572" s="133"/>
      <c r="D572" s="131"/>
      <c r="E572" s="130" t="str">
        <f>IF('Направление 3'!C98="","",'Направление 3'!C98)</f>
        <v/>
      </c>
      <c r="F572" s="133"/>
      <c r="G572" s="131"/>
      <c r="H572" s="130" t="str">
        <f>IF('Направление 3'!D98="","",'Направление 3'!D98)</f>
        <v>х</v>
      </c>
      <c r="I572" s="131"/>
      <c r="J572" s="61" t="str">
        <f>IF('Направление 3'!E98=0,"",'Направление 3'!E98)</f>
        <v/>
      </c>
    </row>
    <row r="573" spans="1:10" ht="150" customHeight="1" x14ac:dyDescent="0.3">
      <c r="A573" s="23">
        <v>14</v>
      </c>
      <c r="B573" s="144" t="str">
        <f>IF('Направление 3'!B99="","",'Направление 3'!B99)</f>
        <v/>
      </c>
      <c r="C573" s="133"/>
      <c r="D573" s="131"/>
      <c r="E573" s="130" t="str">
        <f>IF('Направление 3'!C99="","",'Направление 3'!C99)</f>
        <v/>
      </c>
      <c r="F573" s="133"/>
      <c r="G573" s="131"/>
      <c r="H573" s="130" t="str">
        <f>IF('Направление 3'!D99="","",'Направление 3'!D99)</f>
        <v>х</v>
      </c>
      <c r="I573" s="131"/>
      <c r="J573" s="61" t="str">
        <f>IF('Направление 3'!E99=0,"",'Направление 3'!E99)</f>
        <v/>
      </c>
    </row>
    <row r="574" spans="1:10" ht="150" customHeight="1" x14ac:dyDescent="0.3">
      <c r="A574" s="23">
        <v>15</v>
      </c>
      <c r="B574" s="144" t="str">
        <f>IF('Направление 3'!B100="","",'Направление 3'!B100)</f>
        <v/>
      </c>
      <c r="C574" s="133"/>
      <c r="D574" s="131"/>
      <c r="E574" s="130" t="str">
        <f>IF('Направление 3'!C100="","",'Направление 3'!C100)</f>
        <v/>
      </c>
      <c r="F574" s="133"/>
      <c r="G574" s="131"/>
      <c r="H574" s="130" t="str">
        <f>IF('Направление 3'!D100="","",'Направление 3'!D100)</f>
        <v>х</v>
      </c>
      <c r="I574" s="131"/>
      <c r="J574" s="61" t="str">
        <f>IF('Направление 3'!E100=0,"",'Направление 3'!E100)</f>
        <v/>
      </c>
    </row>
    <row r="575" spans="1:10" ht="150" customHeight="1" x14ac:dyDescent="0.3">
      <c r="A575" s="23">
        <v>16</v>
      </c>
      <c r="B575" s="144" t="str">
        <f>IF('Направление 3'!B101="","",'Направление 3'!B101)</f>
        <v/>
      </c>
      <c r="C575" s="133"/>
      <c r="D575" s="131"/>
      <c r="E575" s="130" t="str">
        <f>IF('Направление 3'!C101="","",'Направление 3'!C101)</f>
        <v/>
      </c>
      <c r="F575" s="133"/>
      <c r="G575" s="131"/>
      <c r="H575" s="130" t="str">
        <f>IF('Направление 3'!D101="","",'Направление 3'!D101)</f>
        <v>х</v>
      </c>
      <c r="I575" s="131"/>
      <c r="J575" s="61" t="str">
        <f>IF('Направление 3'!E101=0,"",'Направление 3'!E101)</f>
        <v/>
      </c>
    </row>
    <row r="576" spans="1:10" ht="150" customHeight="1" x14ac:dyDescent="0.3">
      <c r="A576" s="23">
        <v>17</v>
      </c>
      <c r="B576" s="144" t="str">
        <f>IF('Направление 3'!B102="","",'Направление 3'!B102)</f>
        <v/>
      </c>
      <c r="C576" s="133"/>
      <c r="D576" s="131"/>
      <c r="E576" s="130" t="str">
        <f>IF('Направление 3'!C102="","",'Направление 3'!C102)</f>
        <v/>
      </c>
      <c r="F576" s="133"/>
      <c r="G576" s="131"/>
      <c r="H576" s="130" t="str">
        <f>IF('Направление 3'!D102="","",'Направление 3'!D102)</f>
        <v>х</v>
      </c>
      <c r="I576" s="131"/>
      <c r="J576" s="61" t="str">
        <f>IF('Направление 3'!E102=0,"",'Направление 3'!E102)</f>
        <v/>
      </c>
    </row>
    <row r="577" spans="1:10" ht="150" customHeight="1" x14ac:dyDescent="0.3">
      <c r="A577" s="23">
        <v>18</v>
      </c>
      <c r="B577" s="144" t="str">
        <f>IF('Направление 3'!B103="","",'Направление 3'!B103)</f>
        <v/>
      </c>
      <c r="C577" s="133"/>
      <c r="D577" s="131"/>
      <c r="E577" s="130" t="str">
        <f>IF('Направление 3'!C103="","",'Направление 3'!C103)</f>
        <v/>
      </c>
      <c r="F577" s="133"/>
      <c r="G577" s="131"/>
      <c r="H577" s="130" t="str">
        <f>IF('Направление 3'!D103="","",'Направление 3'!D103)</f>
        <v>х</v>
      </c>
      <c r="I577" s="131"/>
      <c r="J577" s="61" t="str">
        <f>IF('Направление 3'!E103=0,"",'Направление 3'!E103)</f>
        <v/>
      </c>
    </row>
    <row r="578" spans="1:10" ht="150" customHeight="1" x14ac:dyDescent="0.3">
      <c r="A578" s="23">
        <v>19</v>
      </c>
      <c r="B578" s="144" t="str">
        <f>IF('Направление 3'!B104="","",'Направление 3'!B104)</f>
        <v/>
      </c>
      <c r="C578" s="133"/>
      <c r="D578" s="131"/>
      <c r="E578" s="130" t="str">
        <f>IF('Направление 3'!C104="","",'Направление 3'!C104)</f>
        <v/>
      </c>
      <c r="F578" s="133"/>
      <c r="G578" s="131"/>
      <c r="H578" s="130" t="str">
        <f>IF('Направление 3'!D104="","",'Направление 3'!D104)</f>
        <v>х</v>
      </c>
      <c r="I578" s="131"/>
      <c r="J578" s="61" t="str">
        <f>IF('Направление 3'!E104=0,"",'Направление 3'!E104)</f>
        <v/>
      </c>
    </row>
    <row r="579" spans="1:10" ht="150" customHeight="1" thickBot="1" x14ac:dyDescent="0.35">
      <c r="A579" s="24">
        <v>20</v>
      </c>
      <c r="B579" s="144" t="str">
        <f>IF('Направление 3'!B105="","",'Направление 3'!B105)</f>
        <v/>
      </c>
      <c r="C579" s="133"/>
      <c r="D579" s="131"/>
      <c r="E579" s="130" t="str">
        <f>IF('Направление 3'!C105="","",'Направление 3'!C105)</f>
        <v/>
      </c>
      <c r="F579" s="133"/>
      <c r="G579" s="131"/>
      <c r="H579" s="130" t="str">
        <f>IF('Направление 3'!D105="","",'Направление 3'!D105)</f>
        <v>х</v>
      </c>
      <c r="I579" s="131"/>
      <c r="J579" s="61" t="str">
        <f>IF('Направление 3'!E105=0,"",'Направление 3'!E105)</f>
        <v/>
      </c>
    </row>
    <row r="580" spans="1:10" ht="150" customHeight="1" thickBot="1" x14ac:dyDescent="0.35">
      <c r="A580" s="24">
        <v>21</v>
      </c>
      <c r="B580" s="144" t="str">
        <f>IF('Направление 3'!B106="","",'Направление 3'!B106)</f>
        <v/>
      </c>
      <c r="C580" s="133"/>
      <c r="D580" s="131"/>
      <c r="E580" s="130" t="str">
        <f>IF('Направление 3'!C106="","",'Направление 3'!C106)</f>
        <v/>
      </c>
      <c r="F580" s="133"/>
      <c r="G580" s="131"/>
      <c r="H580" s="130" t="str">
        <f>IF('Направление 3'!D106="","",'Направление 3'!D106)</f>
        <v>х</v>
      </c>
      <c r="I580" s="131"/>
      <c r="J580" s="61" t="str">
        <f>IF('Направление 3'!E106=0,"",'Направление 3'!E106)</f>
        <v/>
      </c>
    </row>
    <row r="581" spans="1:10" ht="150" customHeight="1" thickBot="1" x14ac:dyDescent="0.35">
      <c r="A581" s="24">
        <v>22</v>
      </c>
      <c r="B581" s="144" t="str">
        <f>IF('Направление 3'!B107="","",'Направление 3'!B107)</f>
        <v/>
      </c>
      <c r="C581" s="133"/>
      <c r="D581" s="131"/>
      <c r="E581" s="130" t="str">
        <f>IF('Направление 3'!C107="","",'Направление 3'!C107)</f>
        <v/>
      </c>
      <c r="F581" s="133"/>
      <c r="G581" s="131"/>
      <c r="H581" s="130" t="str">
        <f>IF('Направление 3'!D107="","",'Направление 3'!D107)</f>
        <v>х</v>
      </c>
      <c r="I581" s="131"/>
      <c r="J581" s="61" t="str">
        <f>IF('Направление 3'!E107=0,"",'Направление 3'!E107)</f>
        <v/>
      </c>
    </row>
    <row r="582" spans="1:10" ht="150" customHeight="1" thickBot="1" x14ac:dyDescent="0.35">
      <c r="A582" s="24">
        <v>23</v>
      </c>
      <c r="B582" s="144" t="str">
        <f>IF('Направление 3'!B108="","",'Направление 3'!B108)</f>
        <v/>
      </c>
      <c r="C582" s="133"/>
      <c r="D582" s="131"/>
      <c r="E582" s="130" t="str">
        <f>IF('Направление 3'!C108="","",'Направление 3'!C108)</f>
        <v/>
      </c>
      <c r="F582" s="133"/>
      <c r="G582" s="131"/>
      <c r="H582" s="130" t="str">
        <f>IF('Направление 3'!D108="","",'Направление 3'!D108)</f>
        <v>х</v>
      </c>
      <c r="I582" s="131"/>
      <c r="J582" s="61" t="str">
        <f>IF('Направление 3'!E108=0,"",'Направление 3'!E108)</f>
        <v/>
      </c>
    </row>
    <row r="583" spans="1:10" ht="150" customHeight="1" thickBot="1" x14ac:dyDescent="0.35">
      <c r="A583" s="24">
        <v>24</v>
      </c>
      <c r="B583" s="144" t="str">
        <f>IF('Направление 3'!B109="","",'Направление 3'!B109)</f>
        <v/>
      </c>
      <c r="C583" s="133"/>
      <c r="D583" s="131"/>
      <c r="E583" s="130" t="str">
        <f>IF('Направление 3'!C109="","",'Направление 3'!C109)</f>
        <v/>
      </c>
      <c r="F583" s="133"/>
      <c r="G583" s="131"/>
      <c r="H583" s="130" t="str">
        <f>IF('Направление 3'!D109="","",'Направление 3'!D109)</f>
        <v>х</v>
      </c>
      <c r="I583" s="131"/>
      <c r="J583" s="61" t="str">
        <f>IF('Направление 3'!E109=0,"",'Направление 3'!E109)</f>
        <v/>
      </c>
    </row>
    <row r="584" spans="1:10" ht="150" customHeight="1" thickBot="1" x14ac:dyDescent="0.35">
      <c r="A584" s="24">
        <v>25</v>
      </c>
      <c r="B584" s="144" t="str">
        <f>IF('Направление 3'!B110="","",'Направление 3'!B110)</f>
        <v/>
      </c>
      <c r="C584" s="133"/>
      <c r="D584" s="131"/>
      <c r="E584" s="130" t="str">
        <f>IF('Направление 3'!C110="","",'Направление 3'!C110)</f>
        <v/>
      </c>
      <c r="F584" s="133"/>
      <c r="G584" s="131"/>
      <c r="H584" s="130" t="str">
        <f>IF('Направление 3'!D110="","",'Направление 3'!D110)</f>
        <v>х</v>
      </c>
      <c r="I584" s="131"/>
      <c r="J584" s="61" t="str">
        <f>IF('Направление 3'!E110=0,"",'Направление 3'!E110)</f>
        <v/>
      </c>
    </row>
    <row r="585" spans="1:10" ht="150" customHeight="1" thickBot="1" x14ac:dyDescent="0.35">
      <c r="A585" s="24">
        <v>26</v>
      </c>
      <c r="B585" s="144" t="str">
        <f>IF('Направление 3'!B111="","",'Направление 3'!B111)</f>
        <v/>
      </c>
      <c r="C585" s="133"/>
      <c r="D585" s="131"/>
      <c r="E585" s="130" t="str">
        <f>IF('Направление 3'!C111="","",'Направление 3'!C111)</f>
        <v/>
      </c>
      <c r="F585" s="133"/>
      <c r="G585" s="131"/>
      <c r="H585" s="130" t="str">
        <f>IF('Направление 3'!D111="","",'Направление 3'!D111)</f>
        <v>х</v>
      </c>
      <c r="I585" s="131"/>
      <c r="J585" s="61" t="str">
        <f>IF('Направление 3'!E111=0,"",'Направление 3'!E111)</f>
        <v/>
      </c>
    </row>
    <row r="586" spans="1:10" ht="150" customHeight="1" thickBot="1" x14ac:dyDescent="0.35">
      <c r="A586" s="24">
        <v>27</v>
      </c>
      <c r="B586" s="144" t="str">
        <f>IF('Направление 3'!B112="","",'Направление 3'!B112)</f>
        <v/>
      </c>
      <c r="C586" s="133"/>
      <c r="D586" s="131"/>
      <c r="E586" s="130" t="str">
        <f>IF('Направление 3'!C112="","",'Направление 3'!C112)</f>
        <v/>
      </c>
      <c r="F586" s="133"/>
      <c r="G586" s="131"/>
      <c r="H586" s="130" t="str">
        <f>IF('Направление 3'!D112="","",'Направление 3'!D112)</f>
        <v>х</v>
      </c>
      <c r="I586" s="131"/>
      <c r="J586" s="61" t="str">
        <f>IF('Направление 3'!E112=0,"",'Направление 3'!E112)</f>
        <v/>
      </c>
    </row>
    <row r="587" spans="1:10" ht="150" customHeight="1" thickBot="1" x14ac:dyDescent="0.35">
      <c r="A587" s="24">
        <v>28</v>
      </c>
      <c r="B587" s="144" t="str">
        <f>IF('Направление 3'!B113="","",'Направление 3'!B113)</f>
        <v/>
      </c>
      <c r="C587" s="133"/>
      <c r="D587" s="131"/>
      <c r="E587" s="130" t="str">
        <f>IF('Направление 3'!C113="","",'Направление 3'!C113)</f>
        <v/>
      </c>
      <c r="F587" s="133"/>
      <c r="G587" s="131"/>
      <c r="H587" s="130" t="str">
        <f>IF('Направление 3'!D113="","",'Направление 3'!D113)</f>
        <v>х</v>
      </c>
      <c r="I587" s="131"/>
      <c r="J587" s="61" t="str">
        <f>IF('Направление 3'!E113=0,"",'Направление 3'!E113)</f>
        <v/>
      </c>
    </row>
    <row r="588" spans="1:10" ht="150" customHeight="1" thickBot="1" x14ac:dyDescent="0.35">
      <c r="A588" s="24">
        <v>29</v>
      </c>
      <c r="B588" s="144" t="str">
        <f>IF('Направление 3'!B114="","",'Направление 3'!B114)</f>
        <v/>
      </c>
      <c r="C588" s="133"/>
      <c r="D588" s="131"/>
      <c r="E588" s="130" t="str">
        <f>IF('Направление 3'!C114="","",'Направление 3'!C114)</f>
        <v/>
      </c>
      <c r="F588" s="133"/>
      <c r="G588" s="131"/>
      <c r="H588" s="130" t="str">
        <f>IF('Направление 3'!D114="","",'Направление 3'!D114)</f>
        <v>х</v>
      </c>
      <c r="I588" s="131"/>
      <c r="J588" s="61" t="str">
        <f>IF('Направление 3'!E114=0,"",'Направление 3'!E114)</f>
        <v/>
      </c>
    </row>
    <row r="589" spans="1:10" ht="150" customHeight="1" thickBot="1" x14ac:dyDescent="0.35">
      <c r="A589" s="24">
        <v>30</v>
      </c>
      <c r="B589" s="144" t="str">
        <f>IF('Направление 3'!B115="","",'Направление 3'!B115)</f>
        <v/>
      </c>
      <c r="C589" s="133"/>
      <c r="D589" s="131"/>
      <c r="E589" s="130" t="str">
        <f>IF('Направление 3'!C115="","",'Направление 3'!C115)</f>
        <v/>
      </c>
      <c r="F589" s="133"/>
      <c r="G589" s="131"/>
      <c r="H589" s="130" t="str">
        <f>IF('Направление 3'!D115="","",'Направление 3'!D115)</f>
        <v>х</v>
      </c>
      <c r="I589" s="131"/>
      <c r="J589" s="61" t="str">
        <f>IF('Направление 3'!E115=0,"",'Направление 3'!E115)</f>
        <v/>
      </c>
    </row>
    <row r="590" spans="1:10" ht="150" customHeight="1" thickBot="1" x14ac:dyDescent="0.35">
      <c r="A590" s="24">
        <v>31</v>
      </c>
      <c r="B590" s="144" t="str">
        <f>IF('Направление 3'!B116="","",'Направление 3'!B116)</f>
        <v/>
      </c>
      <c r="C590" s="133"/>
      <c r="D590" s="131"/>
      <c r="E590" s="130" t="str">
        <f>IF('Направление 3'!C116="","",'Направление 3'!C116)</f>
        <v/>
      </c>
      <c r="F590" s="133"/>
      <c r="G590" s="131"/>
      <c r="H590" s="130" t="str">
        <f>IF('Направление 3'!D116="","",'Направление 3'!D116)</f>
        <v>х</v>
      </c>
      <c r="I590" s="131"/>
      <c r="J590" s="61" t="str">
        <f>IF('Направление 3'!E116=0,"",'Направление 3'!E116)</f>
        <v/>
      </c>
    </row>
    <row r="591" spans="1:10" ht="150" customHeight="1" thickBot="1" x14ac:dyDescent="0.35">
      <c r="A591" s="24">
        <v>32</v>
      </c>
      <c r="B591" s="144" t="str">
        <f>IF('Направление 3'!B117="","",'Направление 3'!B117)</f>
        <v/>
      </c>
      <c r="C591" s="133"/>
      <c r="D591" s="131"/>
      <c r="E591" s="130" t="str">
        <f>IF('Направление 3'!C117="","",'Направление 3'!C117)</f>
        <v/>
      </c>
      <c r="F591" s="133"/>
      <c r="G591" s="131"/>
      <c r="H591" s="130" t="str">
        <f>IF('Направление 3'!D117="","",'Направление 3'!D117)</f>
        <v>х</v>
      </c>
      <c r="I591" s="131"/>
      <c r="J591" s="61" t="str">
        <f>IF('Направление 3'!E117=0,"",'Направление 3'!E117)</f>
        <v/>
      </c>
    </row>
    <row r="592" spans="1:10" ht="150" customHeight="1" thickBot="1" x14ac:dyDescent="0.35">
      <c r="A592" s="24">
        <v>33</v>
      </c>
      <c r="B592" s="144" t="str">
        <f>IF('Направление 3'!B118="","",'Направление 3'!B118)</f>
        <v/>
      </c>
      <c r="C592" s="133"/>
      <c r="D592" s="131"/>
      <c r="E592" s="130" t="str">
        <f>IF('Направление 3'!C118="","",'Направление 3'!C118)</f>
        <v/>
      </c>
      <c r="F592" s="133"/>
      <c r="G592" s="131"/>
      <c r="H592" s="130" t="str">
        <f>IF('Направление 3'!D118="","",'Направление 3'!D118)</f>
        <v>х</v>
      </c>
      <c r="I592" s="131"/>
      <c r="J592" s="61" t="str">
        <f>IF('Направление 3'!E118=0,"",'Направление 3'!E118)</f>
        <v/>
      </c>
    </row>
    <row r="593" spans="1:10" ht="150" customHeight="1" thickBot="1" x14ac:dyDescent="0.35">
      <c r="A593" s="24">
        <v>34</v>
      </c>
      <c r="B593" s="144" t="str">
        <f>IF('Направление 3'!B119="","",'Направление 3'!B119)</f>
        <v/>
      </c>
      <c r="C593" s="133"/>
      <c r="D593" s="131"/>
      <c r="E593" s="130" t="str">
        <f>IF('Направление 3'!C119="","",'Направление 3'!C119)</f>
        <v/>
      </c>
      <c r="F593" s="133"/>
      <c r="G593" s="131"/>
      <c r="H593" s="130" t="str">
        <f>IF('Направление 3'!D119="","",'Направление 3'!D119)</f>
        <v>х</v>
      </c>
      <c r="I593" s="131"/>
      <c r="J593" s="61" t="str">
        <f>IF('Направление 3'!E119=0,"",'Направление 3'!E119)</f>
        <v/>
      </c>
    </row>
    <row r="594" spans="1:10" ht="150" customHeight="1" thickBot="1" x14ac:dyDescent="0.35">
      <c r="A594" s="24">
        <v>35</v>
      </c>
      <c r="B594" s="144" t="str">
        <f>IF('Направление 3'!B120="","",'Направление 3'!B120)</f>
        <v/>
      </c>
      <c r="C594" s="133"/>
      <c r="D594" s="131"/>
      <c r="E594" s="130" t="str">
        <f>IF('Направление 3'!C120="","",'Направление 3'!C120)</f>
        <v/>
      </c>
      <c r="F594" s="133"/>
      <c r="G594" s="131"/>
      <c r="H594" s="130" t="str">
        <f>IF('Направление 3'!D120="","",'Направление 3'!D120)</f>
        <v>х</v>
      </c>
      <c r="I594" s="131"/>
      <c r="J594" s="61" t="str">
        <f>IF('Направление 3'!E120=0,"",'Направление 3'!E120)</f>
        <v/>
      </c>
    </row>
    <row r="595" spans="1:10" ht="150" customHeight="1" thickBot="1" x14ac:dyDescent="0.35">
      <c r="A595" s="24">
        <v>36</v>
      </c>
      <c r="B595" s="144" t="str">
        <f>IF('Направление 3'!B121="","",'Направление 3'!B121)</f>
        <v/>
      </c>
      <c r="C595" s="133"/>
      <c r="D595" s="131"/>
      <c r="E595" s="130" t="str">
        <f>IF('Направление 3'!C121="","",'Направление 3'!C121)</f>
        <v/>
      </c>
      <c r="F595" s="133"/>
      <c r="G595" s="131"/>
      <c r="H595" s="130" t="str">
        <f>IF('Направление 3'!D121="","",'Направление 3'!D121)</f>
        <v>х</v>
      </c>
      <c r="I595" s="131"/>
      <c r="J595" s="61" t="str">
        <f>IF('Направление 3'!E121=0,"",'Направление 3'!E121)</f>
        <v/>
      </c>
    </row>
    <row r="596" spans="1:10" ht="150" customHeight="1" thickBot="1" x14ac:dyDescent="0.35">
      <c r="A596" s="24">
        <v>37</v>
      </c>
      <c r="B596" s="144" t="str">
        <f>IF('Направление 3'!B122="","",'Направление 3'!B122)</f>
        <v/>
      </c>
      <c r="C596" s="133"/>
      <c r="D596" s="131"/>
      <c r="E596" s="130" t="str">
        <f>IF('Направление 3'!C122="","",'Направление 3'!C122)</f>
        <v/>
      </c>
      <c r="F596" s="133"/>
      <c r="G596" s="131"/>
      <c r="H596" s="130" t="str">
        <f>IF('Направление 3'!D122="","",'Направление 3'!D122)</f>
        <v>х</v>
      </c>
      <c r="I596" s="131"/>
      <c r="J596" s="61" t="str">
        <f>IF('Направление 3'!E122=0,"",'Направление 3'!E122)</f>
        <v/>
      </c>
    </row>
    <row r="597" spans="1:10" ht="150" customHeight="1" thickBot="1" x14ac:dyDescent="0.35">
      <c r="A597" s="24">
        <v>38</v>
      </c>
      <c r="B597" s="144" t="str">
        <f>IF('Направление 3'!B123="","",'Направление 3'!B123)</f>
        <v/>
      </c>
      <c r="C597" s="133"/>
      <c r="D597" s="131"/>
      <c r="E597" s="130" t="str">
        <f>IF('Направление 3'!C123="","",'Направление 3'!C123)</f>
        <v/>
      </c>
      <c r="F597" s="133"/>
      <c r="G597" s="131"/>
      <c r="H597" s="130" t="str">
        <f>IF('Направление 3'!D123="","",'Направление 3'!D123)</f>
        <v>х</v>
      </c>
      <c r="I597" s="131"/>
      <c r="J597" s="61" t="str">
        <f>IF('Направление 3'!E123=0,"",'Направление 3'!E123)</f>
        <v/>
      </c>
    </row>
    <row r="598" spans="1:10" ht="150" customHeight="1" thickBot="1" x14ac:dyDescent="0.35">
      <c r="A598" s="24">
        <v>39</v>
      </c>
      <c r="B598" s="144" t="str">
        <f>IF('Направление 3'!B124="","",'Направление 3'!B124)</f>
        <v/>
      </c>
      <c r="C598" s="133"/>
      <c r="D598" s="131"/>
      <c r="E598" s="130" t="str">
        <f>IF('Направление 3'!C124="","",'Направление 3'!C124)</f>
        <v/>
      </c>
      <c r="F598" s="133"/>
      <c r="G598" s="131"/>
      <c r="H598" s="130" t="str">
        <f>IF('Направление 3'!D124="","",'Направление 3'!D124)</f>
        <v>х</v>
      </c>
      <c r="I598" s="131"/>
      <c r="J598" s="61" t="str">
        <f>IF('Направление 3'!E124=0,"",'Направление 3'!E124)</f>
        <v/>
      </c>
    </row>
    <row r="599" spans="1:10" ht="150" customHeight="1" thickBot="1" x14ac:dyDescent="0.35">
      <c r="A599" s="24">
        <v>40</v>
      </c>
      <c r="B599" s="144" t="str">
        <f>IF('Направление 3'!B125="","",'Направление 3'!B125)</f>
        <v/>
      </c>
      <c r="C599" s="133"/>
      <c r="D599" s="131"/>
      <c r="E599" s="130" t="str">
        <f>IF('Направление 3'!C125="","",'Направление 3'!C125)</f>
        <v/>
      </c>
      <c r="F599" s="133"/>
      <c r="G599" s="131"/>
      <c r="H599" s="130" t="str">
        <f>IF('Направление 3'!D125="","",'Направление 3'!D125)</f>
        <v>х</v>
      </c>
      <c r="I599" s="131"/>
      <c r="J599" s="61" t="str">
        <f>IF('Направление 3'!E125=0,"",'Направление 3'!E125)</f>
        <v/>
      </c>
    </row>
    <row r="600" spans="1:10" ht="16.5" customHeight="1" thickBot="1" x14ac:dyDescent="0.35">
      <c r="A600" s="25"/>
      <c r="B600" s="151" t="s">
        <v>60</v>
      </c>
      <c r="C600" s="135"/>
      <c r="D600" s="135"/>
      <c r="E600" s="135"/>
      <c r="F600" s="135"/>
      <c r="G600" s="135"/>
      <c r="H600" s="135"/>
      <c r="I600" s="135"/>
      <c r="J600" s="136"/>
    </row>
    <row r="601" spans="1:10" ht="37.200000000000003" customHeight="1" thickBot="1" x14ac:dyDescent="0.35">
      <c r="A601" s="25"/>
      <c r="B601" s="155" t="s">
        <v>61</v>
      </c>
      <c r="C601" s="156"/>
      <c r="D601" s="157"/>
      <c r="E601" s="142" t="s">
        <v>62</v>
      </c>
      <c r="F601" s="158"/>
      <c r="G601" s="143"/>
      <c r="H601" s="142"/>
      <c r="I601" s="143"/>
      <c r="J601" s="89" t="s">
        <v>56</v>
      </c>
    </row>
    <row r="602" spans="1:10" ht="150" customHeight="1" x14ac:dyDescent="0.3">
      <c r="A602" s="22">
        <v>1</v>
      </c>
      <c r="B602" s="144" t="str">
        <f>IF('Направление 3'!B128="","",'Направление 3'!B128)</f>
        <v/>
      </c>
      <c r="C602" s="133"/>
      <c r="D602" s="131"/>
      <c r="E602" s="130" t="str">
        <f>IF('Направление 3'!C128="","",'Направление 3'!C128)</f>
        <v/>
      </c>
      <c r="F602" s="133"/>
      <c r="G602" s="131"/>
      <c r="H602" s="130" t="str">
        <f>IF('Направление 3'!D128="","",'Направление 3'!D128)</f>
        <v>х</v>
      </c>
      <c r="I602" s="131"/>
      <c r="J602" s="61" t="str">
        <f>IF('Направление 3'!E128=0,"",'Направление 3'!E128)</f>
        <v/>
      </c>
    </row>
    <row r="603" spans="1:10" ht="150" customHeight="1" x14ac:dyDescent="0.3">
      <c r="A603" s="23">
        <v>2</v>
      </c>
      <c r="B603" s="144" t="str">
        <f>IF('Направление 3'!B129="","",'Направление 3'!B129)</f>
        <v/>
      </c>
      <c r="C603" s="133"/>
      <c r="D603" s="131"/>
      <c r="E603" s="130" t="str">
        <f>IF('Направление 3'!C129="","",'Направление 3'!C129)</f>
        <v/>
      </c>
      <c r="F603" s="133"/>
      <c r="G603" s="131"/>
      <c r="H603" s="130" t="str">
        <f>IF('Направление 3'!D129="","",'Направление 3'!D129)</f>
        <v>х</v>
      </c>
      <c r="I603" s="131"/>
      <c r="J603" s="61" t="str">
        <f>IF('Направление 3'!E129=0,"",'Направление 3'!E129)</f>
        <v/>
      </c>
    </row>
    <row r="604" spans="1:10" ht="150" customHeight="1" x14ac:dyDescent="0.3">
      <c r="A604" s="23">
        <v>3</v>
      </c>
      <c r="B604" s="144" t="str">
        <f>IF('Направление 3'!B130="","",'Направление 3'!B130)</f>
        <v/>
      </c>
      <c r="C604" s="133"/>
      <c r="D604" s="131"/>
      <c r="E604" s="130" t="str">
        <f>IF('Направление 3'!C130="","",'Направление 3'!C130)</f>
        <v/>
      </c>
      <c r="F604" s="133"/>
      <c r="G604" s="131"/>
      <c r="H604" s="130" t="str">
        <f>IF('Направление 3'!D130="","",'Направление 3'!D130)</f>
        <v>х</v>
      </c>
      <c r="I604" s="131"/>
      <c r="J604" s="61" t="str">
        <f>IF('Направление 3'!E130=0,"",'Направление 3'!E130)</f>
        <v/>
      </c>
    </row>
    <row r="605" spans="1:10" ht="150" customHeight="1" x14ac:dyDescent="0.3">
      <c r="A605" s="23">
        <v>4</v>
      </c>
      <c r="B605" s="144" t="str">
        <f>IF('Направление 3'!B131="","",'Направление 3'!B131)</f>
        <v/>
      </c>
      <c r="C605" s="133"/>
      <c r="D605" s="131"/>
      <c r="E605" s="130" t="str">
        <f>IF('Направление 3'!C131="","",'Направление 3'!C131)</f>
        <v/>
      </c>
      <c r="F605" s="133"/>
      <c r="G605" s="131"/>
      <c r="H605" s="130" t="str">
        <f>IF('Направление 3'!D131="","",'Направление 3'!D131)</f>
        <v>х</v>
      </c>
      <c r="I605" s="131"/>
      <c r="J605" s="61" t="str">
        <f>IF('Направление 3'!E131=0,"",'Направление 3'!E131)</f>
        <v/>
      </c>
    </row>
    <row r="606" spans="1:10" ht="150" customHeight="1" x14ac:dyDescent="0.3">
      <c r="A606" s="23">
        <v>5</v>
      </c>
      <c r="B606" s="144" t="str">
        <f>IF('Направление 3'!B132="","",'Направление 3'!B132)</f>
        <v/>
      </c>
      <c r="C606" s="133"/>
      <c r="D606" s="131"/>
      <c r="E606" s="130" t="str">
        <f>IF('Направление 3'!C132="","",'Направление 3'!C132)</f>
        <v/>
      </c>
      <c r="F606" s="133"/>
      <c r="G606" s="131"/>
      <c r="H606" s="130" t="str">
        <f>IF('Направление 3'!D132="","",'Направление 3'!D132)</f>
        <v>х</v>
      </c>
      <c r="I606" s="131"/>
      <c r="J606" s="61" t="str">
        <f>IF('Направление 3'!E132=0,"",'Направление 3'!E132)</f>
        <v/>
      </c>
    </row>
    <row r="607" spans="1:10" ht="150" customHeight="1" x14ac:dyDescent="0.3">
      <c r="A607" s="23">
        <v>6</v>
      </c>
      <c r="B607" s="144" t="str">
        <f>IF('Направление 3'!B133="","",'Направление 3'!B133)</f>
        <v/>
      </c>
      <c r="C607" s="133"/>
      <c r="D607" s="131"/>
      <c r="E607" s="130" t="str">
        <f>IF('Направление 3'!C133="","",'Направление 3'!C133)</f>
        <v/>
      </c>
      <c r="F607" s="133"/>
      <c r="G607" s="131"/>
      <c r="H607" s="130" t="str">
        <f>IF('Направление 3'!D133="","",'Направление 3'!D133)</f>
        <v>х</v>
      </c>
      <c r="I607" s="131"/>
      <c r="J607" s="61" t="str">
        <f>IF('Направление 3'!E133=0,"",'Направление 3'!E133)</f>
        <v/>
      </c>
    </row>
    <row r="608" spans="1:10" ht="150" customHeight="1" x14ac:dyDescent="0.3">
      <c r="A608" s="23">
        <v>7</v>
      </c>
      <c r="B608" s="144" t="str">
        <f>IF('Направление 3'!B134="","",'Направление 3'!B134)</f>
        <v/>
      </c>
      <c r="C608" s="133"/>
      <c r="D608" s="131"/>
      <c r="E608" s="130" t="str">
        <f>IF('Направление 3'!C134="","",'Направление 3'!C134)</f>
        <v/>
      </c>
      <c r="F608" s="133"/>
      <c r="G608" s="131"/>
      <c r="H608" s="130" t="str">
        <f>IF('Направление 3'!D134="","",'Направление 3'!D134)</f>
        <v>х</v>
      </c>
      <c r="I608" s="131"/>
      <c r="J608" s="61" t="str">
        <f>IF('Направление 3'!E134=0,"",'Направление 3'!E134)</f>
        <v/>
      </c>
    </row>
    <row r="609" spans="1:10" ht="150" customHeight="1" x14ac:dyDescent="0.3">
      <c r="A609" s="23">
        <v>8</v>
      </c>
      <c r="B609" s="144" t="str">
        <f>IF('Направление 3'!B135="","",'Направление 3'!B135)</f>
        <v/>
      </c>
      <c r="C609" s="133"/>
      <c r="D609" s="131"/>
      <c r="E609" s="130" t="str">
        <f>IF('Направление 3'!C135="","",'Направление 3'!C135)</f>
        <v/>
      </c>
      <c r="F609" s="133"/>
      <c r="G609" s="131"/>
      <c r="H609" s="130" t="str">
        <f>IF('Направление 3'!D135="","",'Направление 3'!D135)</f>
        <v>х</v>
      </c>
      <c r="I609" s="131"/>
      <c r="J609" s="61" t="str">
        <f>IF('Направление 3'!E135=0,"",'Направление 3'!E135)</f>
        <v/>
      </c>
    </row>
    <row r="610" spans="1:10" ht="150" customHeight="1" x14ac:dyDescent="0.3">
      <c r="A610" s="23">
        <v>9</v>
      </c>
      <c r="B610" s="144" t="str">
        <f>IF('Направление 3'!B136="","",'Направление 3'!B136)</f>
        <v/>
      </c>
      <c r="C610" s="133"/>
      <c r="D610" s="131"/>
      <c r="E610" s="130" t="str">
        <f>IF('Направление 3'!C136="","",'Направление 3'!C136)</f>
        <v/>
      </c>
      <c r="F610" s="133"/>
      <c r="G610" s="131"/>
      <c r="H610" s="130" t="str">
        <f>IF('Направление 3'!D136="","",'Направление 3'!D136)</f>
        <v>х</v>
      </c>
      <c r="I610" s="131"/>
      <c r="J610" s="61" t="str">
        <f>IF('Направление 3'!E136=0,"",'Направление 3'!E136)</f>
        <v/>
      </c>
    </row>
    <row r="611" spans="1:10" ht="150" customHeight="1" x14ac:dyDescent="0.3">
      <c r="A611" s="23">
        <v>10</v>
      </c>
      <c r="B611" s="144" t="str">
        <f>IF('Направление 3'!B137="","",'Направление 3'!B137)</f>
        <v/>
      </c>
      <c r="C611" s="133"/>
      <c r="D611" s="131"/>
      <c r="E611" s="130" t="str">
        <f>IF('Направление 3'!C137="","",'Направление 3'!C137)</f>
        <v/>
      </c>
      <c r="F611" s="133"/>
      <c r="G611" s="131"/>
      <c r="H611" s="130" t="str">
        <f>IF('Направление 3'!D137="","",'Направление 3'!D137)</f>
        <v>х</v>
      </c>
      <c r="I611" s="131"/>
      <c r="J611" s="61" t="str">
        <f>IF('Направление 3'!E137=0,"",'Направление 3'!E137)</f>
        <v/>
      </c>
    </row>
    <row r="612" spans="1:10" ht="150" customHeight="1" x14ac:dyDescent="0.3">
      <c r="A612" s="23">
        <v>11</v>
      </c>
      <c r="B612" s="144" t="str">
        <f>IF('Направление 3'!B138="","",'Направление 3'!B138)</f>
        <v/>
      </c>
      <c r="C612" s="133"/>
      <c r="D612" s="131"/>
      <c r="E612" s="130" t="str">
        <f>IF('Направление 3'!C138="","",'Направление 3'!C138)</f>
        <v/>
      </c>
      <c r="F612" s="133"/>
      <c r="G612" s="131"/>
      <c r="H612" s="130" t="str">
        <f>IF('Направление 3'!D138="","",'Направление 3'!D138)</f>
        <v>х</v>
      </c>
      <c r="I612" s="131"/>
      <c r="J612" s="61" t="str">
        <f>IF('Направление 3'!E138=0,"",'Направление 3'!E138)</f>
        <v/>
      </c>
    </row>
    <row r="613" spans="1:10" ht="150" customHeight="1" x14ac:dyDescent="0.3">
      <c r="A613" s="23">
        <v>12</v>
      </c>
      <c r="B613" s="144" t="str">
        <f>IF('Направление 3'!B139="","",'Направление 3'!B139)</f>
        <v/>
      </c>
      <c r="C613" s="133"/>
      <c r="D613" s="131"/>
      <c r="E613" s="130" t="str">
        <f>IF('Направление 3'!C139="","",'Направление 3'!C139)</f>
        <v/>
      </c>
      <c r="F613" s="133"/>
      <c r="G613" s="131"/>
      <c r="H613" s="130" t="str">
        <f>IF('Направление 3'!D139="","",'Направление 3'!D139)</f>
        <v>х</v>
      </c>
      <c r="I613" s="131"/>
      <c r="J613" s="61" t="str">
        <f>IF('Направление 3'!E139=0,"",'Направление 3'!E139)</f>
        <v/>
      </c>
    </row>
    <row r="614" spans="1:10" ht="150" customHeight="1" x14ac:dyDescent="0.3">
      <c r="A614" s="23">
        <v>13</v>
      </c>
      <c r="B614" s="144" t="str">
        <f>IF('Направление 3'!B140="","",'Направление 3'!B140)</f>
        <v/>
      </c>
      <c r="C614" s="133"/>
      <c r="D614" s="131"/>
      <c r="E614" s="130" t="str">
        <f>IF('Направление 3'!C140="","",'Направление 3'!C140)</f>
        <v/>
      </c>
      <c r="F614" s="133"/>
      <c r="G614" s="131"/>
      <c r="H614" s="130" t="str">
        <f>IF('Направление 3'!D140="","",'Направление 3'!D140)</f>
        <v>х</v>
      </c>
      <c r="I614" s="131"/>
      <c r="J614" s="61" t="str">
        <f>IF('Направление 3'!E140=0,"",'Направление 3'!E140)</f>
        <v/>
      </c>
    </row>
    <row r="615" spans="1:10" ht="150" customHeight="1" x14ac:dyDescent="0.3">
      <c r="A615" s="23">
        <v>14</v>
      </c>
      <c r="B615" s="144" t="str">
        <f>IF('Направление 3'!B141="","",'Направление 3'!B141)</f>
        <v/>
      </c>
      <c r="C615" s="133"/>
      <c r="D615" s="131"/>
      <c r="E615" s="130" t="str">
        <f>IF('Направление 3'!C141="","",'Направление 3'!C141)</f>
        <v/>
      </c>
      <c r="F615" s="133"/>
      <c r="G615" s="131"/>
      <c r="H615" s="130" t="str">
        <f>IF('Направление 3'!D141="","",'Направление 3'!D141)</f>
        <v>х</v>
      </c>
      <c r="I615" s="131"/>
      <c r="J615" s="61" t="str">
        <f>IF('Направление 3'!E141=0,"",'Направление 3'!E141)</f>
        <v/>
      </c>
    </row>
    <row r="616" spans="1:10" ht="150" customHeight="1" x14ac:dyDescent="0.3">
      <c r="A616" s="23">
        <v>15</v>
      </c>
      <c r="B616" s="144" t="str">
        <f>IF('Направление 3'!B142="","",'Направление 3'!B142)</f>
        <v/>
      </c>
      <c r="C616" s="133"/>
      <c r="D616" s="131"/>
      <c r="E616" s="130" t="str">
        <f>IF('Направление 3'!C142="","",'Направление 3'!C142)</f>
        <v/>
      </c>
      <c r="F616" s="133"/>
      <c r="G616" s="131"/>
      <c r="H616" s="130" t="str">
        <f>IF('Направление 3'!D142="","",'Направление 3'!D142)</f>
        <v>х</v>
      </c>
      <c r="I616" s="131"/>
      <c r="J616" s="61" t="str">
        <f>IF('Направление 3'!E142=0,"",'Направление 3'!E142)</f>
        <v/>
      </c>
    </row>
    <row r="617" spans="1:10" ht="150" customHeight="1" x14ac:dyDescent="0.3">
      <c r="A617" s="23">
        <v>16</v>
      </c>
      <c r="B617" s="144" t="str">
        <f>IF('Направление 3'!B143="","",'Направление 3'!B143)</f>
        <v/>
      </c>
      <c r="C617" s="133"/>
      <c r="D617" s="131"/>
      <c r="E617" s="130" t="str">
        <f>IF('Направление 3'!C143="","",'Направление 3'!C143)</f>
        <v/>
      </c>
      <c r="F617" s="133"/>
      <c r="G617" s="131"/>
      <c r="H617" s="130" t="str">
        <f>IF('Направление 3'!D143="","",'Направление 3'!D143)</f>
        <v>х</v>
      </c>
      <c r="I617" s="131"/>
      <c r="J617" s="61" t="str">
        <f>IF('Направление 3'!E143=0,"",'Направление 3'!E143)</f>
        <v/>
      </c>
    </row>
    <row r="618" spans="1:10" ht="150" customHeight="1" x14ac:dyDescent="0.3">
      <c r="A618" s="23">
        <v>17</v>
      </c>
      <c r="B618" s="144" t="str">
        <f>IF('Направление 3'!B144="","",'Направление 3'!B144)</f>
        <v/>
      </c>
      <c r="C618" s="133"/>
      <c r="D618" s="131"/>
      <c r="E618" s="130" t="str">
        <f>IF('Направление 3'!C144="","",'Направление 3'!C144)</f>
        <v/>
      </c>
      <c r="F618" s="133"/>
      <c r="G618" s="131"/>
      <c r="H618" s="130" t="str">
        <f>IF('Направление 3'!D144="","",'Направление 3'!D144)</f>
        <v>х</v>
      </c>
      <c r="I618" s="131"/>
      <c r="J618" s="61" t="str">
        <f>IF('Направление 3'!E144=0,"",'Направление 3'!E144)</f>
        <v/>
      </c>
    </row>
    <row r="619" spans="1:10" ht="150" customHeight="1" x14ac:dyDescent="0.3">
      <c r="A619" s="23">
        <v>18</v>
      </c>
      <c r="B619" s="144" t="str">
        <f>IF('Направление 3'!B145="","",'Направление 3'!B145)</f>
        <v/>
      </c>
      <c r="C619" s="133"/>
      <c r="D619" s="131"/>
      <c r="E619" s="130" t="str">
        <f>IF('Направление 3'!C145="","",'Направление 3'!C145)</f>
        <v/>
      </c>
      <c r="F619" s="133"/>
      <c r="G619" s="131"/>
      <c r="H619" s="130" t="str">
        <f>IF('Направление 3'!D145="","",'Направление 3'!D145)</f>
        <v>х</v>
      </c>
      <c r="I619" s="131"/>
      <c r="J619" s="61" t="str">
        <f>IF('Направление 3'!E145=0,"",'Направление 3'!E145)</f>
        <v/>
      </c>
    </row>
    <row r="620" spans="1:10" ht="150" customHeight="1" x14ac:dyDescent="0.3">
      <c r="A620" s="23">
        <v>19</v>
      </c>
      <c r="B620" s="144" t="str">
        <f>IF('Направление 3'!B146="","",'Направление 3'!B146)</f>
        <v/>
      </c>
      <c r="C620" s="133"/>
      <c r="D620" s="131"/>
      <c r="E620" s="130" t="str">
        <f>IF('Направление 3'!C146="","",'Направление 3'!C146)</f>
        <v/>
      </c>
      <c r="F620" s="133"/>
      <c r="G620" s="131"/>
      <c r="H620" s="130" t="str">
        <f>IF('Направление 3'!D146="","",'Направление 3'!D146)</f>
        <v>х</v>
      </c>
      <c r="I620" s="131"/>
      <c r="J620" s="61" t="str">
        <f>IF('Направление 3'!E146=0,"",'Направление 3'!E146)</f>
        <v/>
      </c>
    </row>
    <row r="621" spans="1:10" ht="150" customHeight="1" thickBot="1" x14ac:dyDescent="0.35">
      <c r="A621" s="24">
        <v>20</v>
      </c>
      <c r="B621" s="144" t="str">
        <f>IF('Направление 3'!B147="","",'Направление 3'!B147)</f>
        <v/>
      </c>
      <c r="C621" s="133"/>
      <c r="D621" s="131"/>
      <c r="E621" s="130" t="str">
        <f>IF('Направление 3'!C147="","",'Направление 3'!C147)</f>
        <v/>
      </c>
      <c r="F621" s="133"/>
      <c r="G621" s="131"/>
      <c r="H621" s="130" t="str">
        <f>IF('Направление 3'!D147="","",'Направление 3'!D147)</f>
        <v>х</v>
      </c>
      <c r="I621" s="131"/>
      <c r="J621" s="61" t="str">
        <f>IF('Направление 3'!E147=0,"",'Направление 3'!E147)</f>
        <v/>
      </c>
    </row>
    <row r="622" spans="1:10" ht="150" customHeight="1" x14ac:dyDescent="0.3">
      <c r="A622" s="22">
        <v>21</v>
      </c>
      <c r="B622" s="144" t="str">
        <f>IF('Направление 3'!B148="","",'Направление 3'!B148)</f>
        <v/>
      </c>
      <c r="C622" s="133"/>
      <c r="D622" s="131"/>
      <c r="E622" s="130" t="str">
        <f>IF('Направление 3'!C148="","",'Направление 3'!C148)</f>
        <v/>
      </c>
      <c r="F622" s="133"/>
      <c r="G622" s="131"/>
      <c r="H622" s="130" t="str">
        <f>IF('Направление 3'!D148="","",'Направление 3'!D148)</f>
        <v>х</v>
      </c>
      <c r="I622" s="131"/>
      <c r="J622" s="61" t="str">
        <f>IF('Направление 3'!E148=0,"",'Направление 3'!E148)</f>
        <v/>
      </c>
    </row>
    <row r="623" spans="1:10" ht="150" customHeight="1" x14ac:dyDescent="0.3">
      <c r="A623" s="23">
        <v>22</v>
      </c>
      <c r="B623" s="144" t="str">
        <f>IF('Направление 3'!B149="","",'Направление 3'!B149)</f>
        <v/>
      </c>
      <c r="C623" s="133"/>
      <c r="D623" s="131"/>
      <c r="E623" s="130" t="str">
        <f>IF('Направление 3'!C149="","",'Направление 3'!C149)</f>
        <v/>
      </c>
      <c r="F623" s="133"/>
      <c r="G623" s="131"/>
      <c r="H623" s="130" t="str">
        <f>IF('Направление 3'!D149="","",'Направление 3'!D149)</f>
        <v>х</v>
      </c>
      <c r="I623" s="131"/>
      <c r="J623" s="61" t="str">
        <f>IF('Направление 3'!E149=0,"",'Направление 3'!E149)</f>
        <v/>
      </c>
    </row>
    <row r="624" spans="1:10" ht="150" customHeight="1" x14ac:dyDescent="0.3">
      <c r="A624" s="23">
        <v>23</v>
      </c>
      <c r="B624" s="144" t="str">
        <f>IF('Направление 3'!B150="","",'Направление 3'!B150)</f>
        <v/>
      </c>
      <c r="C624" s="133"/>
      <c r="D624" s="131"/>
      <c r="E624" s="130" t="str">
        <f>IF('Направление 3'!C150="","",'Направление 3'!C150)</f>
        <v/>
      </c>
      <c r="F624" s="133"/>
      <c r="G624" s="131"/>
      <c r="H624" s="130" t="str">
        <f>IF('Направление 3'!D150="","",'Направление 3'!D150)</f>
        <v>х</v>
      </c>
      <c r="I624" s="131"/>
      <c r="J624" s="61" t="str">
        <f>IF('Направление 3'!E150=0,"",'Направление 3'!E150)</f>
        <v/>
      </c>
    </row>
    <row r="625" spans="1:10" ht="150" customHeight="1" x14ac:dyDescent="0.3">
      <c r="A625" s="23">
        <v>24</v>
      </c>
      <c r="B625" s="144" t="str">
        <f>IF('Направление 3'!B151="","",'Направление 3'!B151)</f>
        <v/>
      </c>
      <c r="C625" s="133"/>
      <c r="D625" s="131"/>
      <c r="E625" s="130" t="str">
        <f>IF('Направление 3'!C151="","",'Направление 3'!C151)</f>
        <v/>
      </c>
      <c r="F625" s="133"/>
      <c r="G625" s="131"/>
      <c r="H625" s="130" t="str">
        <f>IF('Направление 3'!D151="","",'Направление 3'!D151)</f>
        <v>х</v>
      </c>
      <c r="I625" s="131"/>
      <c r="J625" s="61" t="str">
        <f>IF('Направление 3'!E151=0,"",'Направление 3'!E151)</f>
        <v/>
      </c>
    </row>
    <row r="626" spans="1:10" ht="150" customHeight="1" x14ac:dyDescent="0.3">
      <c r="A626" s="23">
        <v>25</v>
      </c>
      <c r="B626" s="144" t="str">
        <f>IF('Направление 3'!B152="","",'Направление 3'!B152)</f>
        <v/>
      </c>
      <c r="C626" s="133"/>
      <c r="D626" s="131"/>
      <c r="E626" s="130" t="str">
        <f>IF('Направление 3'!C152="","",'Направление 3'!C152)</f>
        <v/>
      </c>
      <c r="F626" s="133"/>
      <c r="G626" s="131"/>
      <c r="H626" s="130" t="str">
        <f>IF('Направление 3'!D152="","",'Направление 3'!D152)</f>
        <v>х</v>
      </c>
      <c r="I626" s="131"/>
      <c r="J626" s="61" t="str">
        <f>IF('Направление 3'!E152=0,"",'Направление 3'!E152)</f>
        <v/>
      </c>
    </row>
    <row r="627" spans="1:10" ht="150" customHeight="1" x14ac:dyDescent="0.3">
      <c r="A627" s="23">
        <v>26</v>
      </c>
      <c r="B627" s="144" t="str">
        <f>IF('Направление 3'!B153="","",'Направление 3'!B153)</f>
        <v/>
      </c>
      <c r="C627" s="133"/>
      <c r="D627" s="131"/>
      <c r="E627" s="130" t="str">
        <f>IF('Направление 3'!C153="","",'Направление 3'!C153)</f>
        <v/>
      </c>
      <c r="F627" s="133"/>
      <c r="G627" s="131"/>
      <c r="H627" s="130" t="str">
        <f>IF('Направление 3'!D153="","",'Направление 3'!D153)</f>
        <v>х</v>
      </c>
      <c r="I627" s="131"/>
      <c r="J627" s="61" t="str">
        <f>IF('Направление 3'!E153=0,"",'Направление 3'!E153)</f>
        <v/>
      </c>
    </row>
    <row r="628" spans="1:10" ht="150" customHeight="1" x14ac:dyDescent="0.3">
      <c r="A628" s="23">
        <v>27</v>
      </c>
      <c r="B628" s="144" t="str">
        <f>IF('Направление 3'!B154="","",'Направление 3'!B154)</f>
        <v/>
      </c>
      <c r="C628" s="133"/>
      <c r="D628" s="131"/>
      <c r="E628" s="130" t="str">
        <f>IF('Направление 3'!C154="","",'Направление 3'!C154)</f>
        <v/>
      </c>
      <c r="F628" s="133"/>
      <c r="G628" s="131"/>
      <c r="H628" s="130" t="str">
        <f>IF('Направление 3'!D154="","",'Направление 3'!D154)</f>
        <v>х</v>
      </c>
      <c r="I628" s="131"/>
      <c r="J628" s="61" t="str">
        <f>IF('Направление 3'!E154=0,"",'Направление 3'!E154)</f>
        <v/>
      </c>
    </row>
    <row r="629" spans="1:10" ht="150" customHeight="1" x14ac:dyDescent="0.3">
      <c r="A629" s="23">
        <v>28</v>
      </c>
      <c r="B629" s="144" t="str">
        <f>IF('Направление 3'!B155="","",'Направление 3'!B155)</f>
        <v/>
      </c>
      <c r="C629" s="133"/>
      <c r="D629" s="131"/>
      <c r="E629" s="130" t="str">
        <f>IF('Направление 3'!C155="","",'Направление 3'!C155)</f>
        <v/>
      </c>
      <c r="F629" s="133"/>
      <c r="G629" s="131"/>
      <c r="H629" s="130" t="str">
        <f>IF('Направление 3'!D155="","",'Направление 3'!D155)</f>
        <v>х</v>
      </c>
      <c r="I629" s="131"/>
      <c r="J629" s="61" t="str">
        <f>IF('Направление 3'!E155=0,"",'Направление 3'!E155)</f>
        <v/>
      </c>
    </row>
    <row r="630" spans="1:10" ht="150" customHeight="1" x14ac:dyDescent="0.3">
      <c r="A630" s="23">
        <v>29</v>
      </c>
      <c r="B630" s="144" t="str">
        <f>IF('Направление 3'!B156="","",'Направление 3'!B156)</f>
        <v/>
      </c>
      <c r="C630" s="133"/>
      <c r="D630" s="131"/>
      <c r="E630" s="130" t="str">
        <f>IF('Направление 3'!C156="","",'Направление 3'!C156)</f>
        <v/>
      </c>
      <c r="F630" s="133"/>
      <c r="G630" s="131"/>
      <c r="H630" s="130" t="str">
        <f>IF('Направление 3'!D156="","",'Направление 3'!D156)</f>
        <v>х</v>
      </c>
      <c r="I630" s="131"/>
      <c r="J630" s="61" t="str">
        <f>IF('Направление 3'!E156=0,"",'Направление 3'!E156)</f>
        <v/>
      </c>
    </row>
    <row r="631" spans="1:10" ht="150" customHeight="1" x14ac:dyDescent="0.3">
      <c r="A631" s="23">
        <v>30</v>
      </c>
      <c r="B631" s="144" t="str">
        <f>IF('Направление 3'!B157="","",'Направление 3'!B157)</f>
        <v/>
      </c>
      <c r="C631" s="133"/>
      <c r="D631" s="131"/>
      <c r="E631" s="130" t="str">
        <f>IF('Направление 3'!C157="","",'Направление 3'!C157)</f>
        <v/>
      </c>
      <c r="F631" s="133"/>
      <c r="G631" s="131"/>
      <c r="H631" s="130" t="str">
        <f>IF('Направление 3'!D157="","",'Направление 3'!D157)</f>
        <v>х</v>
      </c>
      <c r="I631" s="131"/>
      <c r="J631" s="61" t="str">
        <f>IF('Направление 3'!E157=0,"",'Направление 3'!E157)</f>
        <v/>
      </c>
    </row>
    <row r="632" spans="1:10" ht="150" customHeight="1" x14ac:dyDescent="0.3">
      <c r="A632" s="23">
        <v>31</v>
      </c>
      <c r="B632" s="144" t="str">
        <f>IF('Направление 3'!B158="","",'Направление 3'!B158)</f>
        <v/>
      </c>
      <c r="C632" s="133"/>
      <c r="D632" s="131"/>
      <c r="E632" s="130" t="str">
        <f>IF('Направление 3'!C158="","",'Направление 3'!C158)</f>
        <v/>
      </c>
      <c r="F632" s="133"/>
      <c r="G632" s="131"/>
      <c r="H632" s="130" t="str">
        <f>IF('Направление 3'!D158="","",'Направление 3'!D158)</f>
        <v>х</v>
      </c>
      <c r="I632" s="131"/>
      <c r="J632" s="61" t="str">
        <f>IF('Направление 3'!E158=0,"",'Направление 3'!E158)</f>
        <v/>
      </c>
    </row>
    <row r="633" spans="1:10" ht="150" customHeight="1" x14ac:dyDescent="0.3">
      <c r="A633" s="23">
        <v>32</v>
      </c>
      <c r="B633" s="144" t="str">
        <f>IF('Направление 3'!B159="","",'Направление 3'!B159)</f>
        <v/>
      </c>
      <c r="C633" s="133"/>
      <c r="D633" s="131"/>
      <c r="E633" s="130" t="str">
        <f>IF('Направление 3'!C159="","",'Направление 3'!C159)</f>
        <v/>
      </c>
      <c r="F633" s="133"/>
      <c r="G633" s="131"/>
      <c r="H633" s="130" t="str">
        <f>IF('Направление 3'!D159="","",'Направление 3'!D159)</f>
        <v>х</v>
      </c>
      <c r="I633" s="131"/>
      <c r="J633" s="61" t="str">
        <f>IF('Направление 3'!E159=0,"",'Направление 3'!E159)</f>
        <v/>
      </c>
    </row>
    <row r="634" spans="1:10" ht="150" customHeight="1" x14ac:dyDescent="0.3">
      <c r="A634" s="23">
        <v>33</v>
      </c>
      <c r="B634" s="144" t="str">
        <f>IF('Направление 3'!B160="","",'Направление 3'!B160)</f>
        <v/>
      </c>
      <c r="C634" s="133"/>
      <c r="D634" s="131"/>
      <c r="E634" s="130" t="str">
        <f>IF('Направление 3'!C160="","",'Направление 3'!C160)</f>
        <v/>
      </c>
      <c r="F634" s="133"/>
      <c r="G634" s="131"/>
      <c r="H634" s="130" t="str">
        <f>IF('Направление 3'!D160="","",'Направление 3'!D160)</f>
        <v>х</v>
      </c>
      <c r="I634" s="131"/>
      <c r="J634" s="61" t="str">
        <f>IF('Направление 3'!E160=0,"",'Направление 3'!E160)</f>
        <v/>
      </c>
    </row>
    <row r="635" spans="1:10" ht="150" customHeight="1" x14ac:dyDescent="0.3">
      <c r="A635" s="23">
        <v>34</v>
      </c>
      <c r="B635" s="144" t="str">
        <f>IF('Направление 3'!B161="","",'Направление 3'!B161)</f>
        <v/>
      </c>
      <c r="C635" s="133"/>
      <c r="D635" s="131"/>
      <c r="E635" s="130" t="str">
        <f>IF('Направление 3'!C161="","",'Направление 3'!C161)</f>
        <v/>
      </c>
      <c r="F635" s="133"/>
      <c r="G635" s="131"/>
      <c r="H635" s="130" t="str">
        <f>IF('Направление 3'!D161="","",'Направление 3'!D161)</f>
        <v>х</v>
      </c>
      <c r="I635" s="131"/>
      <c r="J635" s="61" t="str">
        <f>IF('Направление 3'!E161=0,"",'Направление 3'!E161)</f>
        <v/>
      </c>
    </row>
    <row r="636" spans="1:10" ht="150" customHeight="1" x14ac:dyDescent="0.3">
      <c r="A636" s="23">
        <v>35</v>
      </c>
      <c r="B636" s="144" t="str">
        <f>IF('Направление 3'!B162="","",'Направление 3'!B162)</f>
        <v/>
      </c>
      <c r="C636" s="133"/>
      <c r="D636" s="131"/>
      <c r="E636" s="130" t="str">
        <f>IF('Направление 3'!C162="","",'Направление 3'!C162)</f>
        <v/>
      </c>
      <c r="F636" s="133"/>
      <c r="G636" s="131"/>
      <c r="H636" s="130" t="str">
        <f>IF('Направление 3'!D162="","",'Направление 3'!D162)</f>
        <v>х</v>
      </c>
      <c r="I636" s="131"/>
      <c r="J636" s="61" t="str">
        <f>IF('Направление 3'!E162=0,"",'Направление 3'!E162)</f>
        <v/>
      </c>
    </row>
    <row r="637" spans="1:10" ht="150" customHeight="1" x14ac:dyDescent="0.3">
      <c r="A637" s="23">
        <v>36</v>
      </c>
      <c r="B637" s="144" t="str">
        <f>IF('Направление 3'!B163="","",'Направление 3'!B163)</f>
        <v/>
      </c>
      <c r="C637" s="133"/>
      <c r="D637" s="131"/>
      <c r="E637" s="130" t="str">
        <f>IF('Направление 3'!C163="","",'Направление 3'!C163)</f>
        <v/>
      </c>
      <c r="F637" s="133"/>
      <c r="G637" s="131"/>
      <c r="H637" s="130" t="str">
        <f>IF('Направление 3'!D163="","",'Направление 3'!D163)</f>
        <v>х</v>
      </c>
      <c r="I637" s="131"/>
      <c r="J637" s="61" t="str">
        <f>IF('Направление 3'!E163=0,"",'Направление 3'!E163)</f>
        <v/>
      </c>
    </row>
    <row r="638" spans="1:10" ht="150" customHeight="1" x14ac:dyDescent="0.3">
      <c r="A638" s="23">
        <v>37</v>
      </c>
      <c r="B638" s="144" t="str">
        <f>IF('Направление 3'!B164="","",'Направление 3'!B164)</f>
        <v/>
      </c>
      <c r="C638" s="133"/>
      <c r="D638" s="131"/>
      <c r="E638" s="130" t="str">
        <f>IF('Направление 3'!C164="","",'Направление 3'!C164)</f>
        <v/>
      </c>
      <c r="F638" s="133"/>
      <c r="G638" s="131"/>
      <c r="H638" s="130" t="str">
        <f>IF('Направление 3'!D164="","",'Направление 3'!D164)</f>
        <v>х</v>
      </c>
      <c r="I638" s="131"/>
      <c r="J638" s="61" t="str">
        <f>IF('Направление 3'!E164=0,"",'Направление 3'!E164)</f>
        <v/>
      </c>
    </row>
    <row r="639" spans="1:10" ht="150" customHeight="1" x14ac:dyDescent="0.3">
      <c r="A639" s="23">
        <v>38</v>
      </c>
      <c r="B639" s="144" t="str">
        <f>IF('Направление 3'!B165="","",'Направление 3'!B165)</f>
        <v/>
      </c>
      <c r="C639" s="133"/>
      <c r="D639" s="131"/>
      <c r="E639" s="130" t="str">
        <f>IF('Направление 3'!C165="","",'Направление 3'!C165)</f>
        <v/>
      </c>
      <c r="F639" s="133"/>
      <c r="G639" s="131"/>
      <c r="H639" s="130" t="str">
        <f>IF('Направление 3'!D165="","",'Направление 3'!D165)</f>
        <v>х</v>
      </c>
      <c r="I639" s="131"/>
      <c r="J639" s="61" t="str">
        <f>IF('Направление 3'!E165=0,"",'Направление 3'!E165)</f>
        <v/>
      </c>
    </row>
    <row r="640" spans="1:10" ht="150" customHeight="1" x14ac:dyDescent="0.3">
      <c r="A640" s="23">
        <v>39</v>
      </c>
      <c r="B640" s="144" t="str">
        <f>IF('Направление 3'!B166="","",'Направление 3'!B166)</f>
        <v/>
      </c>
      <c r="C640" s="133"/>
      <c r="D640" s="131"/>
      <c r="E640" s="130" t="str">
        <f>IF('Направление 3'!C166="","",'Направление 3'!C166)</f>
        <v/>
      </c>
      <c r="F640" s="133"/>
      <c r="G640" s="131"/>
      <c r="H640" s="130" t="str">
        <f>IF('Направление 3'!D166="","",'Направление 3'!D166)</f>
        <v>х</v>
      </c>
      <c r="I640" s="131"/>
      <c r="J640" s="61" t="str">
        <f>IF('Направление 3'!E166=0,"",'Направление 3'!E166)</f>
        <v/>
      </c>
    </row>
    <row r="641" spans="1:10" ht="150" customHeight="1" thickBot="1" x14ac:dyDescent="0.35">
      <c r="A641" s="24">
        <v>40</v>
      </c>
      <c r="B641" s="144" t="str">
        <f>IF('Направление 3'!B167="","",'Направление 3'!B167)</f>
        <v/>
      </c>
      <c r="C641" s="133"/>
      <c r="D641" s="131"/>
      <c r="E641" s="130" t="str">
        <f>IF('Направление 3'!C167="","",'Направление 3'!C167)</f>
        <v/>
      </c>
      <c r="F641" s="133"/>
      <c r="G641" s="131"/>
      <c r="H641" s="130" t="str">
        <f>IF('Направление 3'!D167="","",'Направление 3'!D167)</f>
        <v>х</v>
      </c>
      <c r="I641" s="131"/>
      <c r="J641" s="61" t="str">
        <f>IF('Направление 3'!E167=0,"",'Направление 3'!E167)</f>
        <v/>
      </c>
    </row>
    <row r="642" spans="1:10" ht="150" customHeight="1" thickBot="1" x14ac:dyDescent="0.35">
      <c r="A642" s="24">
        <v>41</v>
      </c>
      <c r="B642" s="144" t="str">
        <f>IF('Направление 3'!B168="","",'Направление 3'!B168)</f>
        <v/>
      </c>
      <c r="C642" s="133"/>
      <c r="D642" s="131"/>
      <c r="E642" s="130" t="str">
        <f>IF('Направление 3'!C168="","",'Направление 3'!C168)</f>
        <v/>
      </c>
      <c r="F642" s="133"/>
      <c r="G642" s="131"/>
      <c r="H642" s="130" t="str">
        <f>IF('Направление 3'!D168="","",'Направление 3'!D168)</f>
        <v>х</v>
      </c>
      <c r="I642" s="131"/>
      <c r="J642" s="61" t="str">
        <f>IF('Направление 3'!E168=0,"",'Направление 3'!E168)</f>
        <v/>
      </c>
    </row>
    <row r="643" spans="1:10" ht="150" customHeight="1" thickBot="1" x14ac:dyDescent="0.35">
      <c r="A643" s="24">
        <v>42</v>
      </c>
      <c r="B643" s="144" t="str">
        <f>IF('Направление 3'!B169="","",'Направление 3'!B169)</f>
        <v/>
      </c>
      <c r="C643" s="133"/>
      <c r="D643" s="131"/>
      <c r="E643" s="130" t="str">
        <f>IF('Направление 3'!C169="","",'Направление 3'!C169)</f>
        <v/>
      </c>
      <c r="F643" s="133"/>
      <c r="G643" s="131"/>
      <c r="H643" s="130" t="str">
        <f>IF('Направление 3'!D169="","",'Направление 3'!D169)</f>
        <v>х</v>
      </c>
      <c r="I643" s="131"/>
      <c r="J643" s="61" t="str">
        <f>IF('Направление 3'!E169=0,"",'Направление 3'!E169)</f>
        <v/>
      </c>
    </row>
    <row r="644" spans="1:10" ht="150" customHeight="1" thickBot="1" x14ac:dyDescent="0.35">
      <c r="A644" s="24">
        <v>43</v>
      </c>
      <c r="B644" s="144" t="str">
        <f>IF('Направление 3'!B170="","",'Направление 3'!B170)</f>
        <v/>
      </c>
      <c r="C644" s="133"/>
      <c r="D644" s="131"/>
      <c r="E644" s="130" t="str">
        <f>IF('Направление 3'!C170="","",'Направление 3'!C170)</f>
        <v/>
      </c>
      <c r="F644" s="133"/>
      <c r="G644" s="131"/>
      <c r="H644" s="130" t="str">
        <f>IF('Направление 3'!D170="","",'Направление 3'!D170)</f>
        <v>х</v>
      </c>
      <c r="I644" s="131"/>
      <c r="J644" s="61" t="str">
        <f>IF('Направление 3'!E170=0,"",'Направление 3'!E170)</f>
        <v/>
      </c>
    </row>
    <row r="645" spans="1:10" ht="150" customHeight="1" thickBot="1" x14ac:dyDescent="0.35">
      <c r="A645" s="24">
        <v>44</v>
      </c>
      <c r="B645" s="144" t="str">
        <f>IF('Направление 3'!B171="","",'Направление 3'!B171)</f>
        <v/>
      </c>
      <c r="C645" s="133"/>
      <c r="D645" s="131"/>
      <c r="E645" s="130" t="str">
        <f>IF('Направление 3'!C171="","",'Направление 3'!C171)</f>
        <v/>
      </c>
      <c r="F645" s="133"/>
      <c r="G645" s="131"/>
      <c r="H645" s="130" t="str">
        <f>IF('Направление 3'!D171="","",'Направление 3'!D171)</f>
        <v>х</v>
      </c>
      <c r="I645" s="131"/>
      <c r="J645" s="61" t="str">
        <f>IF('Направление 3'!E171=0,"",'Направление 3'!E171)</f>
        <v/>
      </c>
    </row>
    <row r="646" spans="1:10" ht="150" customHeight="1" thickBot="1" x14ac:dyDescent="0.35">
      <c r="A646" s="24">
        <v>45</v>
      </c>
      <c r="B646" s="144" t="str">
        <f>IF('Направление 3'!B172="","",'Направление 3'!B172)</f>
        <v/>
      </c>
      <c r="C646" s="133"/>
      <c r="D646" s="131"/>
      <c r="E646" s="130" t="str">
        <f>IF('Направление 3'!C172="","",'Направление 3'!C172)</f>
        <v/>
      </c>
      <c r="F646" s="133"/>
      <c r="G646" s="131"/>
      <c r="H646" s="130" t="str">
        <f>IF('Направление 3'!D172="","",'Направление 3'!D172)</f>
        <v>х</v>
      </c>
      <c r="I646" s="131"/>
      <c r="J646" s="61" t="str">
        <f>IF('Направление 3'!E172=0,"",'Направление 3'!E172)</f>
        <v/>
      </c>
    </row>
    <row r="647" spans="1:10" ht="150" customHeight="1" thickBot="1" x14ac:dyDescent="0.35">
      <c r="A647" s="24">
        <v>46</v>
      </c>
      <c r="B647" s="144" t="str">
        <f>IF('Направление 3'!B173="","",'Направление 3'!B173)</f>
        <v/>
      </c>
      <c r="C647" s="133"/>
      <c r="D647" s="131"/>
      <c r="E647" s="130" t="str">
        <f>IF('Направление 3'!C173="","",'Направление 3'!C173)</f>
        <v/>
      </c>
      <c r="F647" s="133"/>
      <c r="G647" s="131"/>
      <c r="H647" s="130" t="str">
        <f>IF('Направление 3'!D173="","",'Направление 3'!D173)</f>
        <v>х</v>
      </c>
      <c r="I647" s="131"/>
      <c r="J647" s="61" t="str">
        <f>IF('Направление 3'!E173=0,"",'Направление 3'!E173)</f>
        <v/>
      </c>
    </row>
    <row r="648" spans="1:10" ht="150" customHeight="1" thickBot="1" x14ac:dyDescent="0.35">
      <c r="A648" s="24">
        <v>47</v>
      </c>
      <c r="B648" s="144" t="str">
        <f>IF('Направление 3'!B174="","",'Направление 3'!B174)</f>
        <v/>
      </c>
      <c r="C648" s="133"/>
      <c r="D648" s="131"/>
      <c r="E648" s="130" t="str">
        <f>IF('Направление 3'!C174="","",'Направление 3'!C174)</f>
        <v/>
      </c>
      <c r="F648" s="133"/>
      <c r="G648" s="131"/>
      <c r="H648" s="130" t="str">
        <f>IF('Направление 3'!D174="","",'Направление 3'!D174)</f>
        <v>х</v>
      </c>
      <c r="I648" s="131"/>
      <c r="J648" s="61" t="str">
        <f>IF('Направление 3'!E174=0,"",'Направление 3'!E174)</f>
        <v/>
      </c>
    </row>
    <row r="649" spans="1:10" ht="150" customHeight="1" thickBot="1" x14ac:dyDescent="0.35">
      <c r="A649" s="24">
        <v>48</v>
      </c>
      <c r="B649" s="144" t="str">
        <f>IF('Направление 3'!B175="","",'Направление 3'!B175)</f>
        <v/>
      </c>
      <c r="C649" s="133"/>
      <c r="D649" s="131"/>
      <c r="E649" s="130" t="str">
        <f>IF('Направление 3'!C175="","",'Направление 3'!C175)</f>
        <v/>
      </c>
      <c r="F649" s="133"/>
      <c r="G649" s="131"/>
      <c r="H649" s="130" t="str">
        <f>IF('Направление 3'!D175="","",'Направление 3'!D175)</f>
        <v>х</v>
      </c>
      <c r="I649" s="131"/>
      <c r="J649" s="61" t="str">
        <f>IF('Направление 3'!E175=0,"",'Направление 3'!E175)</f>
        <v/>
      </c>
    </row>
    <row r="650" spans="1:10" ht="150" customHeight="1" thickBot="1" x14ac:dyDescent="0.35">
      <c r="A650" s="24">
        <v>49</v>
      </c>
      <c r="B650" s="144" t="str">
        <f>IF('Направление 3'!B176="","",'Направление 3'!B176)</f>
        <v/>
      </c>
      <c r="C650" s="133"/>
      <c r="D650" s="131"/>
      <c r="E650" s="130" t="str">
        <f>IF('Направление 3'!C176="","",'Направление 3'!C176)</f>
        <v/>
      </c>
      <c r="F650" s="133"/>
      <c r="G650" s="131"/>
      <c r="H650" s="130" t="str">
        <f>IF('Направление 3'!D176="","",'Направление 3'!D176)</f>
        <v>х</v>
      </c>
      <c r="I650" s="131"/>
      <c r="J650" s="61" t="str">
        <f>IF('Направление 3'!E176=0,"",'Направление 3'!E176)</f>
        <v/>
      </c>
    </row>
    <row r="651" spans="1:10" ht="150" customHeight="1" thickBot="1" x14ac:dyDescent="0.35">
      <c r="A651" s="24">
        <v>50</v>
      </c>
      <c r="B651" s="144" t="str">
        <f>IF('Направление 3'!B177="","",'Направление 3'!B177)</f>
        <v/>
      </c>
      <c r="C651" s="133"/>
      <c r="D651" s="131"/>
      <c r="E651" s="130" t="str">
        <f>IF('Направление 3'!C177="","",'Направление 3'!C177)</f>
        <v/>
      </c>
      <c r="F651" s="133"/>
      <c r="G651" s="131"/>
      <c r="H651" s="130" t="str">
        <f>IF('Направление 3'!D177="","",'Направление 3'!D177)</f>
        <v>х</v>
      </c>
      <c r="I651" s="131"/>
      <c r="J651" s="61" t="str">
        <f>IF('Направление 3'!E177=0,"",'Направление 3'!E177)</f>
        <v/>
      </c>
    </row>
    <row r="652" spans="1:10" ht="150" customHeight="1" thickBot="1" x14ac:dyDescent="0.35">
      <c r="A652" s="24">
        <v>51</v>
      </c>
      <c r="B652" s="144" t="str">
        <f>IF('Направление 3'!B178="","",'Направление 3'!B178)</f>
        <v/>
      </c>
      <c r="C652" s="133"/>
      <c r="D652" s="131"/>
      <c r="E652" s="130" t="str">
        <f>IF('Направление 3'!C178="","",'Направление 3'!C178)</f>
        <v/>
      </c>
      <c r="F652" s="133"/>
      <c r="G652" s="131"/>
      <c r="H652" s="130" t="str">
        <f>IF('Направление 3'!D178="","",'Направление 3'!D178)</f>
        <v>х</v>
      </c>
      <c r="I652" s="131"/>
      <c r="J652" s="61" t="str">
        <f>IF('Направление 3'!E178=0,"",'Направление 3'!E178)</f>
        <v/>
      </c>
    </row>
    <row r="653" spans="1:10" ht="150" customHeight="1" thickBot="1" x14ac:dyDescent="0.35">
      <c r="A653" s="24">
        <v>52</v>
      </c>
      <c r="B653" s="144" t="str">
        <f>IF('Направление 3'!B179="","",'Направление 3'!B179)</f>
        <v/>
      </c>
      <c r="C653" s="133"/>
      <c r="D653" s="131"/>
      <c r="E653" s="130" t="str">
        <f>IF('Направление 3'!C179="","",'Направление 3'!C179)</f>
        <v/>
      </c>
      <c r="F653" s="133"/>
      <c r="G653" s="131"/>
      <c r="H653" s="130" t="str">
        <f>IF('Направление 3'!D179="","",'Направление 3'!D179)</f>
        <v>х</v>
      </c>
      <c r="I653" s="131"/>
      <c r="J653" s="61" t="str">
        <f>IF('Направление 3'!E179=0,"",'Направление 3'!E179)</f>
        <v/>
      </c>
    </row>
    <row r="654" spans="1:10" ht="150" customHeight="1" thickBot="1" x14ac:dyDescent="0.35">
      <c r="A654" s="24">
        <v>53</v>
      </c>
      <c r="B654" s="144" t="str">
        <f>IF('Направление 3'!B180="","",'Направление 3'!B180)</f>
        <v/>
      </c>
      <c r="C654" s="133"/>
      <c r="D654" s="131"/>
      <c r="E654" s="130" t="str">
        <f>IF('Направление 3'!C180="","",'Направление 3'!C180)</f>
        <v/>
      </c>
      <c r="F654" s="133"/>
      <c r="G654" s="131"/>
      <c r="H654" s="130" t="str">
        <f>IF('Направление 3'!D180="","",'Направление 3'!D180)</f>
        <v>х</v>
      </c>
      <c r="I654" s="131"/>
      <c r="J654" s="61" t="str">
        <f>IF('Направление 3'!E180=0,"",'Направление 3'!E180)</f>
        <v/>
      </c>
    </row>
    <row r="655" spans="1:10" ht="150" customHeight="1" thickBot="1" x14ac:dyDescent="0.35">
      <c r="A655" s="24">
        <v>54</v>
      </c>
      <c r="B655" s="144" t="str">
        <f>IF('Направление 3'!B181="","",'Направление 3'!B181)</f>
        <v/>
      </c>
      <c r="C655" s="133"/>
      <c r="D655" s="131"/>
      <c r="E655" s="130" t="str">
        <f>IF('Направление 3'!C181="","",'Направление 3'!C181)</f>
        <v/>
      </c>
      <c r="F655" s="133"/>
      <c r="G655" s="131"/>
      <c r="H655" s="130" t="str">
        <f>IF('Направление 3'!D181="","",'Направление 3'!D181)</f>
        <v>х</v>
      </c>
      <c r="I655" s="131"/>
      <c r="J655" s="61" t="str">
        <f>IF('Направление 3'!E181=0,"",'Направление 3'!E181)</f>
        <v/>
      </c>
    </row>
    <row r="656" spans="1:10" ht="150" customHeight="1" thickBot="1" x14ac:dyDescent="0.35">
      <c r="A656" s="24">
        <v>55</v>
      </c>
      <c r="B656" s="144" t="str">
        <f>IF('Направление 3'!B182="","",'Направление 3'!B182)</f>
        <v/>
      </c>
      <c r="C656" s="133"/>
      <c r="D656" s="131"/>
      <c r="E656" s="130" t="str">
        <f>IF('Направление 3'!C182="","",'Направление 3'!C182)</f>
        <v/>
      </c>
      <c r="F656" s="133"/>
      <c r="G656" s="131"/>
      <c r="H656" s="130" t="str">
        <f>IF('Направление 3'!D182="","",'Направление 3'!D182)</f>
        <v>х</v>
      </c>
      <c r="I656" s="131"/>
      <c r="J656" s="61" t="str">
        <f>IF('Направление 3'!E182=0,"",'Направление 3'!E182)</f>
        <v/>
      </c>
    </row>
    <row r="657" spans="1:10" ht="150" customHeight="1" thickBot="1" x14ac:dyDescent="0.35">
      <c r="A657" s="24">
        <v>56</v>
      </c>
      <c r="B657" s="144" t="str">
        <f>IF('Направление 3'!B183="","",'Направление 3'!B183)</f>
        <v/>
      </c>
      <c r="C657" s="133"/>
      <c r="D657" s="131"/>
      <c r="E657" s="130" t="str">
        <f>IF('Направление 3'!C183="","",'Направление 3'!C183)</f>
        <v/>
      </c>
      <c r="F657" s="133"/>
      <c r="G657" s="131"/>
      <c r="H657" s="130" t="str">
        <f>IF('Направление 3'!D183="","",'Направление 3'!D183)</f>
        <v>х</v>
      </c>
      <c r="I657" s="131"/>
      <c r="J657" s="61" t="str">
        <f>IF('Направление 3'!E183=0,"",'Направление 3'!E183)</f>
        <v/>
      </c>
    </row>
    <row r="658" spans="1:10" ht="150" customHeight="1" thickBot="1" x14ac:dyDescent="0.35">
      <c r="A658" s="24">
        <v>57</v>
      </c>
      <c r="B658" s="144" t="str">
        <f>IF('Направление 3'!B184="","",'Направление 3'!B184)</f>
        <v/>
      </c>
      <c r="C658" s="133"/>
      <c r="D658" s="131"/>
      <c r="E658" s="130" t="str">
        <f>IF('Направление 3'!C184="","",'Направление 3'!C184)</f>
        <v/>
      </c>
      <c r="F658" s="133"/>
      <c r="G658" s="131"/>
      <c r="H658" s="130" t="str">
        <f>IF('Направление 3'!D184="","",'Направление 3'!D184)</f>
        <v>х</v>
      </c>
      <c r="I658" s="131"/>
      <c r="J658" s="61" t="str">
        <f>IF('Направление 3'!E184=0,"",'Направление 3'!E184)</f>
        <v/>
      </c>
    </row>
    <row r="659" spans="1:10" ht="150" customHeight="1" thickBot="1" x14ac:dyDescent="0.35">
      <c r="A659" s="24">
        <v>58</v>
      </c>
      <c r="B659" s="144" t="str">
        <f>IF('Направление 3'!B185="","",'Направление 3'!B185)</f>
        <v/>
      </c>
      <c r="C659" s="133"/>
      <c r="D659" s="131"/>
      <c r="E659" s="130" t="str">
        <f>IF('Направление 3'!C185="","",'Направление 3'!C185)</f>
        <v/>
      </c>
      <c r="F659" s="133"/>
      <c r="G659" s="131"/>
      <c r="H659" s="130" t="str">
        <f>IF('Направление 3'!D185="","",'Направление 3'!D185)</f>
        <v>х</v>
      </c>
      <c r="I659" s="131"/>
      <c r="J659" s="61" t="str">
        <f>IF('Направление 3'!E185=0,"",'Направление 3'!E185)</f>
        <v/>
      </c>
    </row>
    <row r="660" spans="1:10" ht="150" customHeight="1" thickBot="1" x14ac:dyDescent="0.35">
      <c r="A660" s="24">
        <v>59</v>
      </c>
      <c r="B660" s="144" t="str">
        <f>IF('Направление 3'!B186="","",'Направление 3'!B186)</f>
        <v/>
      </c>
      <c r="C660" s="133"/>
      <c r="D660" s="131"/>
      <c r="E660" s="130" t="str">
        <f>IF('Направление 3'!C186="","",'Направление 3'!C186)</f>
        <v/>
      </c>
      <c r="F660" s="133"/>
      <c r="G660" s="131"/>
      <c r="H660" s="130" t="str">
        <f>IF('Направление 3'!D186="","",'Направление 3'!D186)</f>
        <v>х</v>
      </c>
      <c r="I660" s="131"/>
      <c r="J660" s="61" t="str">
        <f>IF('Направление 3'!E186=0,"",'Направление 3'!E186)</f>
        <v/>
      </c>
    </row>
    <row r="661" spans="1:10" ht="150" customHeight="1" thickBot="1" x14ac:dyDescent="0.35">
      <c r="A661" s="24">
        <v>60</v>
      </c>
      <c r="B661" s="144" t="str">
        <f>IF('Направление 3'!B187="","",'Направление 3'!B187)</f>
        <v/>
      </c>
      <c r="C661" s="133"/>
      <c r="D661" s="131"/>
      <c r="E661" s="130" t="str">
        <f>IF('Направление 3'!C187="","",'Направление 3'!C187)</f>
        <v/>
      </c>
      <c r="F661" s="133"/>
      <c r="G661" s="131"/>
      <c r="H661" s="130" t="str">
        <f>IF('Направление 3'!D187="","",'Направление 3'!D187)</f>
        <v>х</v>
      </c>
      <c r="I661" s="131"/>
      <c r="J661" s="61" t="str">
        <f>IF('Направление 3'!E187=0,"",'Направление 3'!E187)</f>
        <v/>
      </c>
    </row>
    <row r="662" spans="1:10" ht="150" customHeight="1" thickBot="1" x14ac:dyDescent="0.35">
      <c r="A662" s="24">
        <v>61</v>
      </c>
      <c r="B662" s="144" t="str">
        <f>IF('Направление 3'!B188="","",'Направление 3'!B188)</f>
        <v/>
      </c>
      <c r="C662" s="133"/>
      <c r="D662" s="131"/>
      <c r="E662" s="130" t="str">
        <f>IF('Направление 3'!C188="","",'Направление 3'!C188)</f>
        <v/>
      </c>
      <c r="F662" s="133"/>
      <c r="G662" s="131"/>
      <c r="H662" s="130" t="str">
        <f>IF('Направление 3'!D188="","",'Направление 3'!D188)</f>
        <v>х</v>
      </c>
      <c r="I662" s="131"/>
      <c r="J662" s="61" t="str">
        <f>IF('Направление 3'!E188=0,"",'Направление 3'!E188)</f>
        <v/>
      </c>
    </row>
    <row r="663" spans="1:10" ht="150" customHeight="1" thickBot="1" x14ac:dyDescent="0.35">
      <c r="A663" s="24">
        <v>62</v>
      </c>
      <c r="B663" s="144" t="str">
        <f>IF('Направление 3'!B189="","",'Направление 3'!B189)</f>
        <v/>
      </c>
      <c r="C663" s="133"/>
      <c r="D663" s="131"/>
      <c r="E663" s="130" t="str">
        <f>IF('Направление 3'!C189="","",'Направление 3'!C189)</f>
        <v/>
      </c>
      <c r="F663" s="133"/>
      <c r="G663" s="131"/>
      <c r="H663" s="130" t="str">
        <f>IF('Направление 3'!D189="","",'Направление 3'!D189)</f>
        <v>х</v>
      </c>
      <c r="I663" s="131"/>
      <c r="J663" s="61" t="str">
        <f>IF('Направление 3'!E189=0,"",'Направление 3'!E189)</f>
        <v/>
      </c>
    </row>
    <row r="664" spans="1:10" ht="150" customHeight="1" thickBot="1" x14ac:dyDescent="0.35">
      <c r="A664" s="24">
        <v>63</v>
      </c>
      <c r="B664" s="144" t="str">
        <f>IF('Направление 3'!B190="","",'Направление 3'!B190)</f>
        <v/>
      </c>
      <c r="C664" s="133"/>
      <c r="D664" s="131"/>
      <c r="E664" s="130" t="str">
        <f>IF('Направление 3'!C190="","",'Направление 3'!C190)</f>
        <v/>
      </c>
      <c r="F664" s="133"/>
      <c r="G664" s="131"/>
      <c r="H664" s="130" t="str">
        <f>IF('Направление 3'!D190="","",'Направление 3'!D190)</f>
        <v>х</v>
      </c>
      <c r="I664" s="131"/>
      <c r="J664" s="61" t="str">
        <f>IF('Направление 3'!E190=0,"",'Направление 3'!E190)</f>
        <v/>
      </c>
    </row>
    <row r="665" spans="1:10" ht="150" customHeight="1" thickBot="1" x14ac:dyDescent="0.35">
      <c r="A665" s="24">
        <v>64</v>
      </c>
      <c r="B665" s="144" t="str">
        <f>IF('Направление 3'!B191="","",'Направление 3'!B191)</f>
        <v/>
      </c>
      <c r="C665" s="133"/>
      <c r="D665" s="131"/>
      <c r="E665" s="130" t="str">
        <f>IF('Направление 3'!C191="","",'Направление 3'!C191)</f>
        <v/>
      </c>
      <c r="F665" s="133"/>
      <c r="G665" s="131"/>
      <c r="H665" s="130" t="str">
        <f>IF('Направление 3'!D191="","",'Направление 3'!D191)</f>
        <v>х</v>
      </c>
      <c r="I665" s="131"/>
      <c r="J665" s="61" t="str">
        <f>IF('Направление 3'!E191=0,"",'Направление 3'!E191)</f>
        <v/>
      </c>
    </row>
    <row r="666" spans="1:10" ht="150" customHeight="1" thickBot="1" x14ac:dyDescent="0.35">
      <c r="A666" s="24">
        <v>65</v>
      </c>
      <c r="B666" s="144" t="str">
        <f>IF('Направление 3'!B192="","",'Направление 3'!B192)</f>
        <v/>
      </c>
      <c r="C666" s="133"/>
      <c r="D666" s="131"/>
      <c r="E666" s="130" t="str">
        <f>IF('Направление 3'!C192="","",'Направление 3'!C192)</f>
        <v/>
      </c>
      <c r="F666" s="133"/>
      <c r="G666" s="131"/>
      <c r="H666" s="130" t="str">
        <f>IF('Направление 3'!D192="","",'Направление 3'!D192)</f>
        <v>х</v>
      </c>
      <c r="I666" s="131"/>
      <c r="J666" s="61" t="str">
        <f>IF('Направление 3'!E192=0,"",'Направление 3'!E192)</f>
        <v/>
      </c>
    </row>
    <row r="667" spans="1:10" ht="150" customHeight="1" thickBot="1" x14ac:dyDescent="0.35">
      <c r="A667" s="24">
        <v>66</v>
      </c>
      <c r="B667" s="144" t="str">
        <f>IF('Направление 3'!B193="","",'Направление 3'!B193)</f>
        <v/>
      </c>
      <c r="C667" s="133"/>
      <c r="D667" s="131"/>
      <c r="E667" s="130" t="str">
        <f>IF('Направление 3'!C193="","",'Направление 3'!C193)</f>
        <v/>
      </c>
      <c r="F667" s="133"/>
      <c r="G667" s="131"/>
      <c r="H667" s="130" t="str">
        <f>IF('Направление 3'!D193="","",'Направление 3'!D193)</f>
        <v>х</v>
      </c>
      <c r="I667" s="131"/>
      <c r="J667" s="61" t="str">
        <f>IF('Направление 3'!E193=0,"",'Направление 3'!E193)</f>
        <v/>
      </c>
    </row>
    <row r="668" spans="1:10" ht="150" customHeight="1" thickBot="1" x14ac:dyDescent="0.35">
      <c r="A668" s="24">
        <v>67</v>
      </c>
      <c r="B668" s="144" t="str">
        <f>IF('Направление 3'!B194="","",'Направление 3'!B194)</f>
        <v/>
      </c>
      <c r="C668" s="133"/>
      <c r="D668" s="131"/>
      <c r="E668" s="130" t="str">
        <f>IF('Направление 3'!C194="","",'Направление 3'!C194)</f>
        <v/>
      </c>
      <c r="F668" s="133"/>
      <c r="G668" s="131"/>
      <c r="H668" s="130" t="str">
        <f>IF('Направление 3'!D194="","",'Направление 3'!D194)</f>
        <v>х</v>
      </c>
      <c r="I668" s="131"/>
      <c r="J668" s="61" t="str">
        <f>IF('Направление 3'!E194=0,"",'Направление 3'!E194)</f>
        <v/>
      </c>
    </row>
    <row r="669" spans="1:10" ht="150" customHeight="1" thickBot="1" x14ac:dyDescent="0.35">
      <c r="A669" s="24">
        <v>68</v>
      </c>
      <c r="B669" s="144" t="str">
        <f>IF('Направление 3'!B195="","",'Направление 3'!B195)</f>
        <v/>
      </c>
      <c r="C669" s="133"/>
      <c r="D669" s="131"/>
      <c r="E669" s="130" t="str">
        <f>IF('Направление 3'!C195="","",'Направление 3'!C195)</f>
        <v/>
      </c>
      <c r="F669" s="133"/>
      <c r="G669" s="131"/>
      <c r="H669" s="130" t="str">
        <f>IF('Направление 3'!D195="","",'Направление 3'!D195)</f>
        <v>х</v>
      </c>
      <c r="I669" s="131"/>
      <c r="J669" s="61" t="str">
        <f>IF('Направление 3'!E195=0,"",'Направление 3'!E195)</f>
        <v/>
      </c>
    </row>
    <row r="670" spans="1:10" ht="150" customHeight="1" thickBot="1" x14ac:dyDescent="0.35">
      <c r="A670" s="24">
        <v>69</v>
      </c>
      <c r="B670" s="144" t="str">
        <f>IF('Направление 3'!B196="","",'Направление 3'!B196)</f>
        <v/>
      </c>
      <c r="C670" s="133"/>
      <c r="D670" s="131"/>
      <c r="E670" s="130" t="str">
        <f>IF('Направление 3'!C196="","",'Направление 3'!C196)</f>
        <v/>
      </c>
      <c r="F670" s="133"/>
      <c r="G670" s="131"/>
      <c r="H670" s="130" t="str">
        <f>IF('Направление 3'!D196="","",'Направление 3'!D196)</f>
        <v>х</v>
      </c>
      <c r="I670" s="131"/>
      <c r="J670" s="61" t="str">
        <f>IF('Направление 3'!E196=0,"",'Направление 3'!E196)</f>
        <v/>
      </c>
    </row>
    <row r="671" spans="1:10" ht="150" customHeight="1" thickBot="1" x14ac:dyDescent="0.35">
      <c r="A671" s="24">
        <v>70</v>
      </c>
      <c r="B671" s="144" t="str">
        <f>IF('Направление 3'!B197="","",'Направление 3'!B197)</f>
        <v/>
      </c>
      <c r="C671" s="133"/>
      <c r="D671" s="131"/>
      <c r="E671" s="130" t="str">
        <f>IF('Направление 3'!C197="","",'Направление 3'!C197)</f>
        <v/>
      </c>
      <c r="F671" s="133"/>
      <c r="G671" s="131"/>
      <c r="H671" s="130" t="str">
        <f>IF('Направление 3'!D197="","",'Направление 3'!D197)</f>
        <v>х</v>
      </c>
      <c r="I671" s="131"/>
      <c r="J671" s="61" t="str">
        <f>IF('Направление 3'!E197=0,"",'Направление 3'!E197)</f>
        <v/>
      </c>
    </row>
    <row r="672" spans="1:10" ht="150" customHeight="1" thickBot="1" x14ac:dyDescent="0.35">
      <c r="A672" s="24">
        <v>71</v>
      </c>
      <c r="B672" s="144" t="str">
        <f>IF('Направление 3'!B198="","",'Направление 3'!B198)</f>
        <v/>
      </c>
      <c r="C672" s="133"/>
      <c r="D672" s="131"/>
      <c r="E672" s="130" t="str">
        <f>IF('Направление 3'!C198="","",'Направление 3'!C198)</f>
        <v/>
      </c>
      <c r="F672" s="133"/>
      <c r="G672" s="131"/>
      <c r="H672" s="130" t="str">
        <f>IF('Направление 3'!D198="","",'Направление 3'!D198)</f>
        <v>х</v>
      </c>
      <c r="I672" s="131"/>
      <c r="J672" s="61" t="str">
        <f>IF('Направление 3'!E198=0,"",'Направление 3'!E198)</f>
        <v/>
      </c>
    </row>
    <row r="673" spans="1:11" ht="150" customHeight="1" thickBot="1" x14ac:dyDescent="0.35">
      <c r="A673" s="24">
        <v>72</v>
      </c>
      <c r="B673" s="144" t="str">
        <f>IF('Направление 3'!B199="","",'Направление 3'!B199)</f>
        <v/>
      </c>
      <c r="C673" s="133"/>
      <c r="D673" s="131"/>
      <c r="E673" s="130" t="str">
        <f>IF('Направление 3'!C199="","",'Направление 3'!C199)</f>
        <v/>
      </c>
      <c r="F673" s="133"/>
      <c r="G673" s="131"/>
      <c r="H673" s="130" t="str">
        <f>IF('Направление 3'!D199="","",'Направление 3'!D199)</f>
        <v>х</v>
      </c>
      <c r="I673" s="131"/>
      <c r="J673" s="61" t="str">
        <f>IF('Направление 3'!E199=0,"",'Направление 3'!E199)</f>
        <v/>
      </c>
    </row>
    <row r="674" spans="1:11" ht="150" customHeight="1" thickBot="1" x14ac:dyDescent="0.35">
      <c r="A674" s="24">
        <v>73</v>
      </c>
      <c r="B674" s="144" t="str">
        <f>IF('Направление 3'!B200="","",'Направление 3'!B200)</f>
        <v/>
      </c>
      <c r="C674" s="133"/>
      <c r="D674" s="131"/>
      <c r="E674" s="130" t="str">
        <f>IF('Направление 3'!C200="","",'Направление 3'!C200)</f>
        <v/>
      </c>
      <c r="F674" s="133"/>
      <c r="G674" s="131"/>
      <c r="H674" s="130" t="str">
        <f>IF('Направление 3'!D200="","",'Направление 3'!D200)</f>
        <v>х</v>
      </c>
      <c r="I674" s="131"/>
      <c r="J674" s="61" t="str">
        <f>IF('Направление 3'!E200=0,"",'Направление 3'!E200)</f>
        <v/>
      </c>
    </row>
    <row r="675" spans="1:11" ht="150" customHeight="1" thickBot="1" x14ac:dyDescent="0.35">
      <c r="A675" s="24">
        <v>74</v>
      </c>
      <c r="B675" s="144" t="str">
        <f>IF('Направление 3'!B201="","",'Направление 3'!B201)</f>
        <v/>
      </c>
      <c r="C675" s="133"/>
      <c r="D675" s="131"/>
      <c r="E675" s="130" t="str">
        <f>IF('Направление 3'!C201="","",'Направление 3'!C201)</f>
        <v/>
      </c>
      <c r="F675" s="133"/>
      <c r="G675" s="131"/>
      <c r="H675" s="130" t="str">
        <f>IF('Направление 3'!D201="","",'Направление 3'!D201)</f>
        <v>х</v>
      </c>
      <c r="I675" s="131"/>
      <c r="J675" s="61" t="str">
        <f>IF('Направление 3'!E201=0,"",'Направление 3'!E201)</f>
        <v/>
      </c>
    </row>
    <row r="676" spans="1:11" ht="150" customHeight="1" thickBot="1" x14ac:dyDescent="0.35">
      <c r="A676" s="24">
        <v>75</v>
      </c>
      <c r="B676" s="144" t="str">
        <f>IF('Направление 3'!B202="","",'Направление 3'!B202)</f>
        <v/>
      </c>
      <c r="C676" s="133"/>
      <c r="D676" s="131"/>
      <c r="E676" s="130" t="str">
        <f>IF('Направление 3'!C202="","",'Направление 3'!C202)</f>
        <v/>
      </c>
      <c r="F676" s="133"/>
      <c r="G676" s="131"/>
      <c r="H676" s="130" t="str">
        <f>IF('Направление 3'!D202="","",'Направление 3'!D202)</f>
        <v>х</v>
      </c>
      <c r="I676" s="131"/>
      <c r="J676" s="61" t="str">
        <f>IF('Направление 3'!E202=0,"",'Направление 3'!E202)</f>
        <v/>
      </c>
    </row>
    <row r="677" spans="1:11" ht="150" customHeight="1" thickBot="1" x14ac:dyDescent="0.35">
      <c r="A677" s="24">
        <v>76</v>
      </c>
      <c r="B677" s="144" t="str">
        <f>IF('Направление 3'!B203="","",'Направление 3'!B203)</f>
        <v/>
      </c>
      <c r="C677" s="133"/>
      <c r="D677" s="131"/>
      <c r="E677" s="130" t="str">
        <f>IF('Направление 3'!C203="","",'Направление 3'!C203)</f>
        <v/>
      </c>
      <c r="F677" s="133"/>
      <c r="G677" s="131"/>
      <c r="H677" s="130" t="str">
        <f>IF('Направление 3'!D203="","",'Направление 3'!D203)</f>
        <v>х</v>
      </c>
      <c r="I677" s="131"/>
      <c r="J677" s="61" t="str">
        <f>IF('Направление 3'!E203=0,"",'Направление 3'!E203)</f>
        <v/>
      </c>
    </row>
    <row r="678" spans="1:11" ht="150" customHeight="1" thickBot="1" x14ac:dyDescent="0.35">
      <c r="A678" s="24">
        <v>77</v>
      </c>
      <c r="B678" s="144" t="str">
        <f>IF('Направление 3'!B204="","",'Направление 3'!B204)</f>
        <v/>
      </c>
      <c r="C678" s="133"/>
      <c r="D678" s="131"/>
      <c r="E678" s="130" t="str">
        <f>IF('Направление 3'!C204="","",'Направление 3'!C204)</f>
        <v/>
      </c>
      <c r="F678" s="133"/>
      <c r="G678" s="131"/>
      <c r="H678" s="130" t="str">
        <f>IF('Направление 3'!D204="","",'Направление 3'!D204)</f>
        <v>х</v>
      </c>
      <c r="I678" s="131"/>
      <c r="J678" s="61" t="str">
        <f>IF('Направление 3'!E204=0,"",'Направление 3'!E204)</f>
        <v/>
      </c>
    </row>
    <row r="679" spans="1:11" ht="150" customHeight="1" thickBot="1" x14ac:dyDescent="0.35">
      <c r="A679" s="24">
        <v>78</v>
      </c>
      <c r="B679" s="144" t="str">
        <f>IF('Направление 3'!B205="","",'Направление 3'!B205)</f>
        <v/>
      </c>
      <c r="C679" s="133"/>
      <c r="D679" s="131"/>
      <c r="E679" s="130" t="str">
        <f>IF('Направление 3'!C205="","",'Направление 3'!C205)</f>
        <v/>
      </c>
      <c r="F679" s="133"/>
      <c r="G679" s="131"/>
      <c r="H679" s="130" t="str">
        <f>IF('Направление 3'!D205="","",'Направление 3'!D205)</f>
        <v>х</v>
      </c>
      <c r="I679" s="131"/>
      <c r="J679" s="61" t="str">
        <f>IF('Направление 3'!E205=0,"",'Направление 3'!E205)</f>
        <v/>
      </c>
    </row>
    <row r="680" spans="1:11" ht="150" customHeight="1" thickBot="1" x14ac:dyDescent="0.35">
      <c r="A680" s="24">
        <v>79</v>
      </c>
      <c r="B680" s="144" t="str">
        <f>IF('Направление 3'!B206="","",'Направление 3'!B206)</f>
        <v/>
      </c>
      <c r="C680" s="133"/>
      <c r="D680" s="131"/>
      <c r="E680" s="130" t="str">
        <f>IF('Направление 3'!C206="","",'Направление 3'!C206)</f>
        <v/>
      </c>
      <c r="F680" s="133"/>
      <c r="G680" s="131"/>
      <c r="H680" s="130" t="str">
        <f>IF('Направление 3'!D206="","",'Направление 3'!D206)</f>
        <v>х</v>
      </c>
      <c r="I680" s="131"/>
      <c r="J680" s="61" t="str">
        <f>IF('Направление 3'!E206=0,"",'Направление 3'!E206)</f>
        <v/>
      </c>
    </row>
    <row r="681" spans="1:11" ht="150" customHeight="1" thickBot="1" x14ac:dyDescent="0.35">
      <c r="A681" s="24">
        <v>80</v>
      </c>
      <c r="B681" s="144" t="str">
        <f>IF('Направление 3'!B207="","",'Направление 3'!B207)</f>
        <v/>
      </c>
      <c r="C681" s="133"/>
      <c r="D681" s="131"/>
      <c r="E681" s="130" t="str">
        <f>IF('Направление 3'!C207="","",'Направление 3'!C207)</f>
        <v/>
      </c>
      <c r="F681" s="133"/>
      <c r="G681" s="131"/>
      <c r="H681" s="130" t="str">
        <f>IF('Направление 3'!D207="","",'Направление 3'!D207)</f>
        <v>х</v>
      </c>
      <c r="I681" s="131"/>
      <c r="J681" s="61" t="str">
        <f>IF('Направление 3'!E207=0,"",'Направление 3'!E207)</f>
        <v/>
      </c>
    </row>
    <row r="682" spans="1:11" ht="16.5" customHeight="1" thickBot="1" x14ac:dyDescent="0.35">
      <c r="A682" s="48">
        <v>7.4</v>
      </c>
      <c r="B682" s="152" t="s">
        <v>65</v>
      </c>
      <c r="C682" s="153"/>
      <c r="D682" s="153"/>
      <c r="E682" s="153"/>
      <c r="F682" s="153"/>
      <c r="G682" s="153"/>
      <c r="H682" s="153"/>
      <c r="I682" s="153"/>
      <c r="J682" s="154"/>
    </row>
    <row r="683" spans="1:11" x14ac:dyDescent="0.3">
      <c r="A683" s="38"/>
      <c r="B683" s="242" t="s">
        <v>52</v>
      </c>
      <c r="C683" s="138"/>
      <c r="D683" s="138"/>
      <c r="E683" s="138"/>
      <c r="F683" s="138"/>
      <c r="G683" s="138"/>
      <c r="H683" s="138"/>
      <c r="I683" s="138"/>
      <c r="J683" s="139"/>
      <c r="K683" s="188"/>
    </row>
    <row r="684" spans="1:11" ht="34.200000000000003" customHeight="1" thickBot="1" x14ac:dyDescent="0.35">
      <c r="A684" s="38"/>
      <c r="B684" s="141" t="s">
        <v>53</v>
      </c>
      <c r="C684" s="133"/>
      <c r="D684" s="131"/>
      <c r="E684" s="140" t="s">
        <v>54</v>
      </c>
      <c r="F684" s="133"/>
      <c r="G684" s="131"/>
      <c r="H684" s="140" t="s">
        <v>55</v>
      </c>
      <c r="I684" s="131"/>
      <c r="J684" s="50" t="s">
        <v>56</v>
      </c>
      <c r="K684" s="145"/>
    </row>
    <row r="685" spans="1:11" ht="150" customHeight="1" x14ac:dyDescent="0.3">
      <c r="A685" s="39">
        <v>1</v>
      </c>
      <c r="B685" s="144" t="str">
        <f>IF('Направление 4'!B4="","",'Направление 4'!B4)</f>
        <v/>
      </c>
      <c r="C685" s="133"/>
      <c r="D685" s="131"/>
      <c r="E685" s="130" t="str">
        <f>IF('Направление 4'!C4="","",'Направление 4'!C4)</f>
        <v/>
      </c>
      <c r="F685" s="133"/>
      <c r="G685" s="131"/>
      <c r="H685" s="130" t="str">
        <f>IF('Направление 4'!D4="","",'Направление 4'!D4)</f>
        <v/>
      </c>
      <c r="I685" s="131"/>
      <c r="J685" s="61" t="str">
        <f>IF('Направление 4'!E4=0,"",'Направление 4'!E4)</f>
        <v/>
      </c>
      <c r="K685" s="91"/>
    </row>
    <row r="686" spans="1:11" ht="150" customHeight="1" x14ac:dyDescent="0.3">
      <c r="A686" s="40">
        <v>2</v>
      </c>
      <c r="B686" s="144" t="str">
        <f>IF('Направление 4'!B5="","",'Направление 4'!B5)</f>
        <v/>
      </c>
      <c r="C686" s="133"/>
      <c r="D686" s="131"/>
      <c r="E686" s="130" t="str">
        <f>IF('Направление 4'!C5="","",'Направление 4'!C5)</f>
        <v/>
      </c>
      <c r="F686" s="133"/>
      <c r="G686" s="131"/>
      <c r="H686" s="130" t="str">
        <f>IF('Направление 4'!D5="","",'Направление 4'!D5)</f>
        <v/>
      </c>
      <c r="I686" s="131"/>
      <c r="J686" s="61" t="str">
        <f>IF('Направление 4'!E5=0,"",'Направление 4'!E5)</f>
        <v/>
      </c>
      <c r="K686" s="91"/>
    </row>
    <row r="687" spans="1:11" ht="150" customHeight="1" x14ac:dyDescent="0.3">
      <c r="A687" s="40">
        <v>3</v>
      </c>
      <c r="B687" s="144" t="str">
        <f>IF('Направление 4'!B6="","",'Направление 4'!B6)</f>
        <v/>
      </c>
      <c r="C687" s="133"/>
      <c r="D687" s="131"/>
      <c r="E687" s="130" t="str">
        <f>IF('Направление 4'!C6="","",'Направление 4'!C6)</f>
        <v/>
      </c>
      <c r="F687" s="133"/>
      <c r="G687" s="131"/>
      <c r="H687" s="130" t="str">
        <f>IF('Направление 4'!D6="","",'Направление 4'!D6)</f>
        <v/>
      </c>
      <c r="I687" s="131"/>
      <c r="J687" s="61" t="str">
        <f>IF('Направление 4'!E6=0,"",'Направление 4'!E6)</f>
        <v/>
      </c>
      <c r="K687" s="91"/>
    </row>
    <row r="688" spans="1:11" ht="150" customHeight="1" x14ac:dyDescent="0.3">
      <c r="A688" s="40">
        <v>4</v>
      </c>
      <c r="B688" s="144" t="str">
        <f>IF('Направление 4'!B7="","",'Направление 4'!B7)</f>
        <v/>
      </c>
      <c r="C688" s="133"/>
      <c r="D688" s="131"/>
      <c r="E688" s="130" t="str">
        <f>IF('Направление 4'!C7="","",'Направление 4'!C7)</f>
        <v/>
      </c>
      <c r="F688" s="133"/>
      <c r="G688" s="131"/>
      <c r="H688" s="130" t="str">
        <f>IF('Направление 4'!D7="","",'Направление 4'!D7)</f>
        <v/>
      </c>
      <c r="I688" s="131"/>
      <c r="J688" s="61" t="str">
        <f>IF('Направление 4'!E7=0,"",'Направление 4'!E7)</f>
        <v/>
      </c>
      <c r="K688" s="91"/>
    </row>
    <row r="689" spans="1:11" ht="150" customHeight="1" x14ac:dyDescent="0.3">
      <c r="A689" s="40">
        <v>5</v>
      </c>
      <c r="B689" s="144" t="str">
        <f>IF('Направление 4'!B8="","",'Направление 4'!B8)</f>
        <v/>
      </c>
      <c r="C689" s="133"/>
      <c r="D689" s="131"/>
      <c r="E689" s="130" t="str">
        <f>IF('Направление 4'!C8="","",'Направление 4'!C8)</f>
        <v/>
      </c>
      <c r="F689" s="133"/>
      <c r="G689" s="131"/>
      <c r="H689" s="130" t="str">
        <f>IF('Направление 4'!D8="","",'Направление 4'!D8)</f>
        <v/>
      </c>
      <c r="I689" s="131"/>
      <c r="J689" s="61" t="str">
        <f>IF('Направление 4'!E8=0,"",'Направление 4'!E8)</f>
        <v/>
      </c>
      <c r="K689" s="188"/>
    </row>
    <row r="690" spans="1:11" ht="150" customHeight="1" x14ac:dyDescent="0.3">
      <c r="A690" s="40">
        <v>6</v>
      </c>
      <c r="B690" s="144" t="str">
        <f>IF('Направление 4'!B9="","",'Направление 4'!B9)</f>
        <v/>
      </c>
      <c r="C690" s="133"/>
      <c r="D690" s="131"/>
      <c r="E690" s="130" t="str">
        <f>IF('Направление 4'!C9="","",'Направление 4'!C9)</f>
        <v/>
      </c>
      <c r="F690" s="133"/>
      <c r="G690" s="131"/>
      <c r="H690" s="130" t="str">
        <f>IF('Направление 4'!D9="","",'Направление 4'!D9)</f>
        <v/>
      </c>
      <c r="I690" s="131"/>
      <c r="J690" s="61" t="str">
        <f>IF('Направление 4'!E9=0,"",'Направление 4'!E9)</f>
        <v/>
      </c>
      <c r="K690" s="145"/>
    </row>
    <row r="691" spans="1:11" ht="150" customHeight="1" x14ac:dyDescent="0.3">
      <c r="A691" s="40">
        <v>7</v>
      </c>
      <c r="B691" s="144" t="str">
        <f>IF('Направление 4'!B10="","",'Направление 4'!B10)</f>
        <v/>
      </c>
      <c r="C691" s="133"/>
      <c r="D691" s="131"/>
      <c r="E691" s="130" t="str">
        <f>IF('Направление 4'!C10="","",'Направление 4'!C10)</f>
        <v/>
      </c>
      <c r="F691" s="133"/>
      <c r="G691" s="131"/>
      <c r="H691" s="130" t="str">
        <f>IF('Направление 4'!D10="","",'Направление 4'!D10)</f>
        <v/>
      </c>
      <c r="I691" s="131"/>
      <c r="J691" s="61" t="str">
        <f>IF('Направление 4'!E10=0,"",'Направление 4'!E10)</f>
        <v/>
      </c>
      <c r="K691" s="91"/>
    </row>
    <row r="692" spans="1:11" ht="150" customHeight="1" x14ac:dyDescent="0.3">
      <c r="A692" s="40">
        <v>8</v>
      </c>
      <c r="B692" s="144" t="str">
        <f>IF('Направление 4'!B11="","",'Направление 4'!B11)</f>
        <v/>
      </c>
      <c r="C692" s="133"/>
      <c r="D692" s="131"/>
      <c r="E692" s="130" t="str">
        <f>IF('Направление 4'!C11="","",'Направление 4'!C11)</f>
        <v/>
      </c>
      <c r="F692" s="133"/>
      <c r="G692" s="131"/>
      <c r="H692" s="130" t="str">
        <f>IF('Направление 4'!D11="","",'Направление 4'!D11)</f>
        <v/>
      </c>
      <c r="I692" s="131"/>
      <c r="J692" s="61" t="str">
        <f>IF('Направление 4'!E11=0,"",'Направление 4'!E11)</f>
        <v/>
      </c>
      <c r="K692" s="91"/>
    </row>
    <row r="693" spans="1:11" ht="150" customHeight="1" x14ac:dyDescent="0.3">
      <c r="A693" s="40">
        <v>9</v>
      </c>
      <c r="B693" s="144" t="str">
        <f>IF('Направление 4'!B12="","",'Направление 4'!B12)</f>
        <v/>
      </c>
      <c r="C693" s="133"/>
      <c r="D693" s="131"/>
      <c r="E693" s="130" t="str">
        <f>IF('Направление 4'!C12="","",'Направление 4'!C12)</f>
        <v/>
      </c>
      <c r="F693" s="133"/>
      <c r="G693" s="131"/>
      <c r="H693" s="130" t="str">
        <f>IF('Направление 4'!D12="","",'Направление 4'!D12)</f>
        <v/>
      </c>
      <c r="I693" s="131"/>
      <c r="J693" s="61" t="str">
        <f>IF('Направление 4'!E12=0,"",'Направление 4'!E12)</f>
        <v/>
      </c>
      <c r="K693" s="91"/>
    </row>
    <row r="694" spans="1:11" ht="150" customHeight="1" x14ac:dyDescent="0.3">
      <c r="A694" s="40">
        <v>10</v>
      </c>
      <c r="B694" s="144" t="str">
        <f>IF('Направление 4'!B13="","",'Направление 4'!B13)</f>
        <v/>
      </c>
      <c r="C694" s="133"/>
      <c r="D694" s="131"/>
      <c r="E694" s="130" t="str">
        <f>IF('Направление 4'!C13="","",'Направление 4'!C13)</f>
        <v/>
      </c>
      <c r="F694" s="133"/>
      <c r="G694" s="131"/>
      <c r="H694" s="130" t="str">
        <f>IF('Направление 4'!D13="","",'Направление 4'!D13)</f>
        <v/>
      </c>
      <c r="I694" s="131"/>
      <c r="J694" s="61" t="str">
        <f>IF('Направление 4'!E13=0,"",'Направление 4'!E13)</f>
        <v/>
      </c>
      <c r="K694" s="91"/>
    </row>
    <row r="695" spans="1:11" ht="150" customHeight="1" x14ac:dyDescent="0.3">
      <c r="A695" s="40">
        <v>11</v>
      </c>
      <c r="B695" s="144" t="str">
        <f>IF('Направление 4'!B14="","",'Направление 4'!B14)</f>
        <v/>
      </c>
      <c r="C695" s="133"/>
      <c r="D695" s="131"/>
      <c r="E695" s="130" t="str">
        <f>IF('Направление 4'!C14="","",'Направление 4'!C14)</f>
        <v/>
      </c>
      <c r="F695" s="133"/>
      <c r="G695" s="131"/>
      <c r="H695" s="130" t="str">
        <f>IF('Направление 4'!D14="","",'Направление 4'!D14)</f>
        <v/>
      </c>
      <c r="I695" s="131"/>
      <c r="J695" s="61" t="str">
        <f>IF('Направление 4'!E14=0,"",'Направление 4'!E14)</f>
        <v/>
      </c>
      <c r="K695" s="91"/>
    </row>
    <row r="696" spans="1:11" ht="150" customHeight="1" x14ac:dyDescent="0.3">
      <c r="A696" s="40">
        <v>12</v>
      </c>
      <c r="B696" s="144" t="str">
        <f>IF('Направление 4'!B15="","",'Направление 4'!B15)</f>
        <v/>
      </c>
      <c r="C696" s="133"/>
      <c r="D696" s="131"/>
      <c r="E696" s="130" t="str">
        <f>IF('Направление 4'!C15="","",'Направление 4'!C15)</f>
        <v/>
      </c>
      <c r="F696" s="133"/>
      <c r="G696" s="131"/>
      <c r="H696" s="130" t="str">
        <f>IF('Направление 4'!D15="","",'Направление 4'!D15)</f>
        <v/>
      </c>
      <c r="I696" s="131"/>
      <c r="J696" s="61" t="str">
        <f>IF('Направление 4'!E15=0,"",'Направление 4'!E15)</f>
        <v/>
      </c>
      <c r="K696" s="91"/>
    </row>
    <row r="697" spans="1:11" ht="150" customHeight="1" x14ac:dyDescent="0.3">
      <c r="A697" s="40">
        <v>13</v>
      </c>
      <c r="B697" s="144" t="str">
        <f>IF('Направление 4'!B16="","",'Направление 4'!B16)</f>
        <v/>
      </c>
      <c r="C697" s="133"/>
      <c r="D697" s="131"/>
      <c r="E697" s="130" t="str">
        <f>IF('Направление 4'!C16="","",'Направление 4'!C16)</f>
        <v/>
      </c>
      <c r="F697" s="133"/>
      <c r="G697" s="131"/>
      <c r="H697" s="130" t="str">
        <f>IF('Направление 4'!D16="","",'Направление 4'!D16)</f>
        <v/>
      </c>
      <c r="I697" s="131"/>
      <c r="J697" s="61" t="str">
        <f>IF('Направление 4'!E16=0,"",'Направление 4'!E16)</f>
        <v/>
      </c>
      <c r="K697" s="91"/>
    </row>
    <row r="698" spans="1:11" ht="150" customHeight="1" x14ac:dyDescent="0.3">
      <c r="A698" s="40">
        <v>14</v>
      </c>
      <c r="B698" s="144" t="str">
        <f>IF('Направление 4'!B17="","",'Направление 4'!B17)</f>
        <v/>
      </c>
      <c r="C698" s="133"/>
      <c r="D698" s="131"/>
      <c r="E698" s="130" t="str">
        <f>IF('Направление 4'!C17="","",'Направление 4'!C17)</f>
        <v/>
      </c>
      <c r="F698" s="133"/>
      <c r="G698" s="131"/>
      <c r="H698" s="130" t="str">
        <f>IF('Направление 4'!D17="","",'Направление 4'!D17)</f>
        <v/>
      </c>
      <c r="I698" s="131"/>
      <c r="J698" s="61" t="str">
        <f>IF('Направление 4'!E17=0,"",'Направление 4'!E17)</f>
        <v/>
      </c>
      <c r="K698" s="91"/>
    </row>
    <row r="699" spans="1:11" ht="150" customHeight="1" x14ac:dyDescent="0.3">
      <c r="A699" s="40">
        <v>15</v>
      </c>
      <c r="B699" s="144" t="str">
        <f>IF('Направление 4'!B18="","",'Направление 4'!B18)</f>
        <v/>
      </c>
      <c r="C699" s="133"/>
      <c r="D699" s="131"/>
      <c r="E699" s="130" t="str">
        <f>IF('Направление 4'!C18="","",'Направление 4'!C18)</f>
        <v/>
      </c>
      <c r="F699" s="133"/>
      <c r="G699" s="131"/>
      <c r="H699" s="130" t="str">
        <f>IF('Направление 4'!D18="","",'Направление 4'!D18)</f>
        <v/>
      </c>
      <c r="I699" s="131"/>
      <c r="J699" s="61" t="str">
        <f>IF('Направление 4'!E18=0,"",'Направление 4'!E18)</f>
        <v/>
      </c>
      <c r="K699" s="91"/>
    </row>
    <row r="700" spans="1:11" ht="150" customHeight="1" x14ac:dyDescent="0.3">
      <c r="A700" s="40">
        <v>16</v>
      </c>
      <c r="B700" s="144" t="str">
        <f>IF('Направление 4'!B19="","",'Направление 4'!B19)</f>
        <v/>
      </c>
      <c r="C700" s="133"/>
      <c r="D700" s="131"/>
      <c r="E700" s="130" t="str">
        <f>IF('Направление 4'!C19="","",'Направление 4'!C19)</f>
        <v/>
      </c>
      <c r="F700" s="133"/>
      <c r="G700" s="131"/>
      <c r="H700" s="130" t="str">
        <f>IF('Направление 4'!D19="","",'Направление 4'!D19)</f>
        <v/>
      </c>
      <c r="I700" s="131"/>
      <c r="J700" s="61" t="str">
        <f>IF('Направление 4'!E19=0,"",'Направление 4'!E19)</f>
        <v/>
      </c>
      <c r="K700" s="91"/>
    </row>
    <row r="701" spans="1:11" ht="150" customHeight="1" x14ac:dyDescent="0.3">
      <c r="A701" s="40">
        <v>17</v>
      </c>
      <c r="B701" s="144" t="str">
        <f>IF('Направление 4'!B20="","",'Направление 4'!B20)</f>
        <v/>
      </c>
      <c r="C701" s="133"/>
      <c r="D701" s="131"/>
      <c r="E701" s="130" t="str">
        <f>IF('Направление 4'!C20="","",'Направление 4'!C20)</f>
        <v/>
      </c>
      <c r="F701" s="133"/>
      <c r="G701" s="131"/>
      <c r="H701" s="130" t="str">
        <f>IF('Направление 4'!D20="","",'Направление 4'!D20)</f>
        <v/>
      </c>
      <c r="I701" s="131"/>
      <c r="J701" s="61" t="str">
        <f>IF('Направление 4'!E20=0,"",'Направление 4'!E20)</f>
        <v/>
      </c>
      <c r="K701" s="91"/>
    </row>
    <row r="702" spans="1:11" ht="150" customHeight="1" x14ac:dyDescent="0.3">
      <c r="A702" s="40">
        <v>18</v>
      </c>
      <c r="B702" s="144" t="str">
        <f>IF('Направление 4'!B21="","",'Направление 4'!B21)</f>
        <v/>
      </c>
      <c r="C702" s="133"/>
      <c r="D702" s="131"/>
      <c r="E702" s="130" t="str">
        <f>IF('Направление 4'!C21="","",'Направление 4'!C21)</f>
        <v/>
      </c>
      <c r="F702" s="133"/>
      <c r="G702" s="131"/>
      <c r="H702" s="130" t="str">
        <f>IF('Направление 4'!D21="","",'Направление 4'!D21)</f>
        <v/>
      </c>
      <c r="I702" s="131"/>
      <c r="J702" s="61" t="str">
        <f>IF('Направление 4'!E21=0,"",'Направление 4'!E21)</f>
        <v/>
      </c>
      <c r="K702" s="91"/>
    </row>
    <row r="703" spans="1:11" ht="150" customHeight="1" x14ac:dyDescent="0.3">
      <c r="A703" s="40">
        <v>19</v>
      </c>
      <c r="B703" s="144" t="str">
        <f>IF('Направление 4'!B22="","",'Направление 4'!B22)</f>
        <v/>
      </c>
      <c r="C703" s="133"/>
      <c r="D703" s="131"/>
      <c r="E703" s="130" t="str">
        <f>IF('Направление 4'!C22="","",'Направление 4'!C22)</f>
        <v/>
      </c>
      <c r="F703" s="133"/>
      <c r="G703" s="131"/>
      <c r="H703" s="130" t="str">
        <f>IF('Направление 4'!D22="","",'Направление 4'!D22)</f>
        <v/>
      </c>
      <c r="I703" s="131"/>
      <c r="J703" s="61" t="str">
        <f>IF('Направление 4'!E22=0,"",'Направление 4'!E22)</f>
        <v/>
      </c>
      <c r="K703" s="91"/>
    </row>
    <row r="704" spans="1:11" ht="150" customHeight="1" thickBot="1" x14ac:dyDescent="0.35">
      <c r="A704" s="41">
        <v>20</v>
      </c>
      <c r="B704" s="144" t="str">
        <f>IF('Направление 4'!B23="","",'Направление 4'!B23)</f>
        <v/>
      </c>
      <c r="C704" s="133"/>
      <c r="D704" s="131"/>
      <c r="E704" s="130" t="str">
        <f>IF('Направление 4'!C23="","",'Направление 4'!C23)</f>
        <v/>
      </c>
      <c r="F704" s="133"/>
      <c r="G704" s="131"/>
      <c r="H704" s="130" t="str">
        <f>IF('Направление 4'!D23="","",'Направление 4'!D23)</f>
        <v/>
      </c>
      <c r="I704" s="131"/>
      <c r="J704" s="61" t="str">
        <f>IF('Направление 4'!E23=0,"",'Направление 4'!E23)</f>
        <v/>
      </c>
      <c r="K704" s="91"/>
    </row>
    <row r="705" spans="1:11" ht="150" customHeight="1" x14ac:dyDescent="0.3">
      <c r="A705" s="39">
        <v>21</v>
      </c>
      <c r="B705" s="144" t="str">
        <f>IF('Направление 4'!B24="","",'Направление 4'!B24)</f>
        <v/>
      </c>
      <c r="C705" s="133"/>
      <c r="D705" s="131"/>
      <c r="E705" s="130" t="str">
        <f>IF('Направление 4'!C24="","",'Направление 4'!C24)</f>
        <v/>
      </c>
      <c r="F705" s="133"/>
      <c r="G705" s="131"/>
      <c r="H705" s="130" t="str">
        <f>IF('Направление 4'!D24="","",'Направление 4'!D24)</f>
        <v/>
      </c>
      <c r="I705" s="131"/>
      <c r="J705" s="61" t="str">
        <f>IF('Направление 4'!E24=0,"",'Направление 4'!E24)</f>
        <v/>
      </c>
      <c r="K705" s="91"/>
    </row>
    <row r="706" spans="1:11" ht="150" customHeight="1" x14ac:dyDescent="0.3">
      <c r="A706" s="40">
        <v>22</v>
      </c>
      <c r="B706" s="144" t="str">
        <f>IF('Направление 4'!B25="","",'Направление 4'!B25)</f>
        <v/>
      </c>
      <c r="C706" s="133"/>
      <c r="D706" s="131"/>
      <c r="E706" s="130" t="str">
        <f>IF('Направление 4'!C25="","",'Направление 4'!C25)</f>
        <v/>
      </c>
      <c r="F706" s="133"/>
      <c r="G706" s="131"/>
      <c r="H706" s="130" t="str">
        <f>IF('Направление 4'!D25="","",'Направление 4'!D25)</f>
        <v/>
      </c>
      <c r="I706" s="131"/>
      <c r="J706" s="61" t="str">
        <f>IF('Направление 4'!E25=0,"",'Направление 4'!E25)</f>
        <v/>
      </c>
      <c r="K706" s="91"/>
    </row>
    <row r="707" spans="1:11" ht="150" customHeight="1" x14ac:dyDescent="0.3">
      <c r="A707" s="40">
        <v>23</v>
      </c>
      <c r="B707" s="144" t="str">
        <f>IF('Направление 4'!B26="","",'Направление 4'!B26)</f>
        <v/>
      </c>
      <c r="C707" s="133"/>
      <c r="D707" s="131"/>
      <c r="E707" s="130" t="str">
        <f>IF('Направление 4'!C26="","",'Направление 4'!C26)</f>
        <v/>
      </c>
      <c r="F707" s="133"/>
      <c r="G707" s="131"/>
      <c r="H707" s="130" t="str">
        <f>IF('Направление 4'!D26="","",'Направление 4'!D26)</f>
        <v/>
      </c>
      <c r="I707" s="131"/>
      <c r="J707" s="61" t="str">
        <f>IF('Направление 4'!E26=0,"",'Направление 4'!E26)</f>
        <v/>
      </c>
      <c r="K707" s="91"/>
    </row>
    <row r="708" spans="1:11" ht="150" customHeight="1" x14ac:dyDescent="0.3">
      <c r="A708" s="40">
        <v>24</v>
      </c>
      <c r="B708" s="144" t="str">
        <f>IF('Направление 4'!B27="","",'Направление 4'!B27)</f>
        <v/>
      </c>
      <c r="C708" s="133"/>
      <c r="D708" s="131"/>
      <c r="E708" s="130" t="str">
        <f>IF('Направление 4'!C27="","",'Направление 4'!C27)</f>
        <v/>
      </c>
      <c r="F708" s="133"/>
      <c r="G708" s="131"/>
      <c r="H708" s="130" t="str">
        <f>IF('Направление 4'!D27="","",'Направление 4'!D27)</f>
        <v/>
      </c>
      <c r="I708" s="131"/>
      <c r="J708" s="61" t="str">
        <f>IF('Направление 4'!E27=0,"",'Направление 4'!E27)</f>
        <v/>
      </c>
      <c r="K708" s="91"/>
    </row>
    <row r="709" spans="1:11" ht="150" customHeight="1" x14ac:dyDescent="0.3">
      <c r="A709" s="40">
        <v>25</v>
      </c>
      <c r="B709" s="144" t="str">
        <f>IF('Направление 4'!B28="","",'Направление 4'!B28)</f>
        <v/>
      </c>
      <c r="C709" s="133"/>
      <c r="D709" s="131"/>
      <c r="E709" s="130" t="str">
        <f>IF('Направление 4'!C28="","",'Направление 4'!C28)</f>
        <v/>
      </c>
      <c r="F709" s="133"/>
      <c r="G709" s="131"/>
      <c r="H709" s="130" t="str">
        <f>IF('Направление 4'!D28="","",'Направление 4'!D28)</f>
        <v/>
      </c>
      <c r="I709" s="131"/>
      <c r="J709" s="61" t="str">
        <f>IF('Направление 4'!E28=0,"",'Направление 4'!E28)</f>
        <v/>
      </c>
      <c r="K709" s="91"/>
    </row>
    <row r="710" spans="1:11" ht="150" customHeight="1" x14ac:dyDescent="0.3">
      <c r="A710" s="40">
        <v>26</v>
      </c>
      <c r="B710" s="144" t="str">
        <f>IF('Направление 4'!B29="","",'Направление 4'!B29)</f>
        <v/>
      </c>
      <c r="C710" s="133"/>
      <c r="D710" s="131"/>
      <c r="E710" s="130" t="str">
        <f>IF('Направление 4'!C29="","",'Направление 4'!C29)</f>
        <v/>
      </c>
      <c r="F710" s="133"/>
      <c r="G710" s="131"/>
      <c r="H710" s="130" t="str">
        <f>IF('Направление 4'!D29="","",'Направление 4'!D29)</f>
        <v/>
      </c>
      <c r="I710" s="131"/>
      <c r="J710" s="61" t="str">
        <f>IF('Направление 4'!E29=0,"",'Направление 4'!E29)</f>
        <v/>
      </c>
      <c r="K710" s="91"/>
    </row>
    <row r="711" spans="1:11" ht="150" customHeight="1" x14ac:dyDescent="0.3">
      <c r="A711" s="40">
        <v>27</v>
      </c>
      <c r="B711" s="144" t="str">
        <f>IF('Направление 4'!B30="","",'Направление 4'!B30)</f>
        <v/>
      </c>
      <c r="C711" s="133"/>
      <c r="D711" s="131"/>
      <c r="E711" s="130" t="str">
        <f>IF('Направление 4'!C30="","",'Направление 4'!C30)</f>
        <v/>
      </c>
      <c r="F711" s="133"/>
      <c r="G711" s="131"/>
      <c r="H711" s="130" t="str">
        <f>IF('Направление 4'!D30="","",'Направление 4'!D30)</f>
        <v/>
      </c>
      <c r="I711" s="131"/>
      <c r="J711" s="61" t="str">
        <f>IF('Направление 4'!E30=0,"",'Направление 4'!E30)</f>
        <v/>
      </c>
      <c r="K711" s="91"/>
    </row>
    <row r="712" spans="1:11" ht="150" customHeight="1" x14ac:dyDescent="0.3">
      <c r="A712" s="40">
        <v>28</v>
      </c>
      <c r="B712" s="144" t="str">
        <f>IF('Направление 4'!B31="","",'Направление 4'!B31)</f>
        <v/>
      </c>
      <c r="C712" s="133"/>
      <c r="D712" s="131"/>
      <c r="E712" s="130" t="str">
        <f>IF('Направление 4'!C31="","",'Направление 4'!C31)</f>
        <v/>
      </c>
      <c r="F712" s="133"/>
      <c r="G712" s="131"/>
      <c r="H712" s="130" t="str">
        <f>IF('Направление 4'!D31="","",'Направление 4'!D31)</f>
        <v/>
      </c>
      <c r="I712" s="131"/>
      <c r="J712" s="61" t="str">
        <f>IF('Направление 4'!E31=0,"",'Направление 4'!E31)</f>
        <v/>
      </c>
      <c r="K712" s="91"/>
    </row>
    <row r="713" spans="1:11" ht="150" customHeight="1" x14ac:dyDescent="0.3">
      <c r="A713" s="40">
        <v>29</v>
      </c>
      <c r="B713" s="144" t="str">
        <f>IF('Направление 4'!B32="","",'Направление 4'!B32)</f>
        <v/>
      </c>
      <c r="C713" s="133"/>
      <c r="D713" s="131"/>
      <c r="E713" s="130" t="str">
        <f>IF('Направление 4'!C32="","",'Направление 4'!C32)</f>
        <v/>
      </c>
      <c r="F713" s="133"/>
      <c r="G713" s="131"/>
      <c r="H713" s="130" t="str">
        <f>IF('Направление 4'!D32="","",'Направление 4'!D32)</f>
        <v/>
      </c>
      <c r="I713" s="131"/>
      <c r="J713" s="61" t="str">
        <f>IF('Направление 4'!E32=0,"",'Направление 4'!E32)</f>
        <v/>
      </c>
      <c r="K713" s="91"/>
    </row>
    <row r="714" spans="1:11" ht="150" customHeight="1" x14ac:dyDescent="0.3">
      <c r="A714" s="40">
        <v>30</v>
      </c>
      <c r="B714" s="144" t="str">
        <f>IF('Направление 4'!B33="","",'Направление 4'!B33)</f>
        <v/>
      </c>
      <c r="C714" s="133"/>
      <c r="D714" s="131"/>
      <c r="E714" s="130" t="str">
        <f>IF('Направление 4'!C33="","",'Направление 4'!C33)</f>
        <v/>
      </c>
      <c r="F714" s="133"/>
      <c r="G714" s="131"/>
      <c r="H714" s="130" t="str">
        <f>IF('Направление 4'!D33="","",'Направление 4'!D33)</f>
        <v/>
      </c>
      <c r="I714" s="131"/>
      <c r="J714" s="61" t="str">
        <f>IF('Направление 4'!E33=0,"",'Направление 4'!E33)</f>
        <v/>
      </c>
      <c r="K714" s="91"/>
    </row>
    <row r="715" spans="1:11" ht="150" customHeight="1" x14ac:dyDescent="0.3">
      <c r="A715" s="40">
        <v>31</v>
      </c>
      <c r="B715" s="144" t="str">
        <f>IF('Направление 4'!B34="","",'Направление 4'!B34)</f>
        <v/>
      </c>
      <c r="C715" s="133"/>
      <c r="D715" s="131"/>
      <c r="E715" s="130" t="str">
        <f>IF('Направление 4'!C34="","",'Направление 4'!C34)</f>
        <v/>
      </c>
      <c r="F715" s="133"/>
      <c r="G715" s="131"/>
      <c r="H715" s="130" t="str">
        <f>IF('Направление 4'!D34="","",'Направление 4'!D34)</f>
        <v/>
      </c>
      <c r="I715" s="131"/>
      <c r="J715" s="61" t="str">
        <f>IF('Направление 4'!E34=0,"",'Направление 4'!E34)</f>
        <v/>
      </c>
      <c r="K715" s="91"/>
    </row>
    <row r="716" spans="1:11" ht="150" customHeight="1" x14ac:dyDescent="0.3">
      <c r="A716" s="40">
        <v>32</v>
      </c>
      <c r="B716" s="144" t="str">
        <f>IF('Направление 4'!B35="","",'Направление 4'!B35)</f>
        <v/>
      </c>
      <c r="C716" s="133"/>
      <c r="D716" s="131"/>
      <c r="E716" s="130" t="str">
        <f>IF('Направление 4'!C35="","",'Направление 4'!C35)</f>
        <v/>
      </c>
      <c r="F716" s="133"/>
      <c r="G716" s="131"/>
      <c r="H716" s="130" t="str">
        <f>IF('Направление 4'!D35="","",'Направление 4'!D35)</f>
        <v/>
      </c>
      <c r="I716" s="131"/>
      <c r="J716" s="61" t="str">
        <f>IF('Направление 4'!E35=0,"",'Направление 4'!E35)</f>
        <v/>
      </c>
      <c r="K716" s="91"/>
    </row>
    <row r="717" spans="1:11" ht="150" customHeight="1" x14ac:dyDescent="0.3">
      <c r="A717" s="40">
        <v>33</v>
      </c>
      <c r="B717" s="144" t="str">
        <f>IF('Направление 4'!B36="","",'Направление 4'!B36)</f>
        <v/>
      </c>
      <c r="C717" s="133"/>
      <c r="D717" s="131"/>
      <c r="E717" s="130" t="str">
        <f>IF('Направление 4'!C36="","",'Направление 4'!C36)</f>
        <v/>
      </c>
      <c r="F717" s="133"/>
      <c r="G717" s="131"/>
      <c r="H717" s="130" t="str">
        <f>IF('Направление 4'!D36="","",'Направление 4'!D36)</f>
        <v/>
      </c>
      <c r="I717" s="131"/>
      <c r="J717" s="61" t="str">
        <f>IF('Направление 4'!E36=0,"",'Направление 4'!E36)</f>
        <v/>
      </c>
      <c r="K717" s="91"/>
    </row>
    <row r="718" spans="1:11" ht="150" customHeight="1" x14ac:dyDescent="0.3">
      <c r="A718" s="40">
        <v>34</v>
      </c>
      <c r="B718" s="144" t="str">
        <f>IF('Направление 4'!B37="","",'Направление 4'!B37)</f>
        <v/>
      </c>
      <c r="C718" s="133"/>
      <c r="D718" s="131"/>
      <c r="E718" s="130" t="str">
        <f>IF('Направление 4'!C37="","",'Направление 4'!C37)</f>
        <v/>
      </c>
      <c r="F718" s="133"/>
      <c r="G718" s="131"/>
      <c r="H718" s="130" t="str">
        <f>IF('Направление 4'!D37="","",'Направление 4'!D37)</f>
        <v/>
      </c>
      <c r="I718" s="131"/>
      <c r="J718" s="61" t="str">
        <f>IF('Направление 4'!E37=0,"",'Направление 4'!E37)</f>
        <v/>
      </c>
      <c r="K718" s="91"/>
    </row>
    <row r="719" spans="1:11" ht="150" customHeight="1" x14ac:dyDescent="0.3">
      <c r="A719" s="40">
        <v>35</v>
      </c>
      <c r="B719" s="144" t="str">
        <f>IF('Направление 4'!B38="","",'Направление 4'!B38)</f>
        <v/>
      </c>
      <c r="C719" s="133"/>
      <c r="D719" s="131"/>
      <c r="E719" s="130" t="str">
        <f>IF('Направление 4'!C38="","",'Направление 4'!C38)</f>
        <v/>
      </c>
      <c r="F719" s="133"/>
      <c r="G719" s="131"/>
      <c r="H719" s="130" t="str">
        <f>IF('Направление 4'!D38="","",'Направление 4'!D38)</f>
        <v/>
      </c>
      <c r="I719" s="131"/>
      <c r="J719" s="61" t="str">
        <f>IF('Направление 4'!E38=0,"",'Направление 4'!E38)</f>
        <v/>
      </c>
      <c r="K719" s="91"/>
    </row>
    <row r="720" spans="1:11" ht="150" customHeight="1" x14ac:dyDescent="0.3">
      <c r="A720" s="40">
        <v>36</v>
      </c>
      <c r="B720" s="144" t="str">
        <f>IF('Направление 4'!B39="","",'Направление 4'!B39)</f>
        <v/>
      </c>
      <c r="C720" s="133"/>
      <c r="D720" s="131"/>
      <c r="E720" s="130" t="str">
        <f>IF('Направление 4'!C39="","",'Направление 4'!C39)</f>
        <v/>
      </c>
      <c r="F720" s="133"/>
      <c r="G720" s="131"/>
      <c r="H720" s="130" t="str">
        <f>IF('Направление 4'!D39="","",'Направление 4'!D39)</f>
        <v/>
      </c>
      <c r="I720" s="131"/>
      <c r="J720" s="61" t="str">
        <f>IF('Направление 4'!E39=0,"",'Направление 4'!E39)</f>
        <v/>
      </c>
      <c r="K720" s="91"/>
    </row>
    <row r="721" spans="1:11" ht="150" customHeight="1" x14ac:dyDescent="0.3">
      <c r="A721" s="40">
        <v>37</v>
      </c>
      <c r="B721" s="144" t="str">
        <f>IF('Направление 4'!B40="","",'Направление 4'!B40)</f>
        <v/>
      </c>
      <c r="C721" s="133"/>
      <c r="D721" s="131"/>
      <c r="E721" s="130" t="str">
        <f>IF('Направление 4'!C40="","",'Направление 4'!C40)</f>
        <v/>
      </c>
      <c r="F721" s="133"/>
      <c r="G721" s="131"/>
      <c r="H721" s="130" t="str">
        <f>IF('Направление 4'!D40="","",'Направление 4'!D40)</f>
        <v/>
      </c>
      <c r="I721" s="131"/>
      <c r="J721" s="61" t="str">
        <f>IF('Направление 4'!E40=0,"",'Направление 4'!E40)</f>
        <v/>
      </c>
      <c r="K721" s="91"/>
    </row>
    <row r="722" spans="1:11" ht="150" customHeight="1" x14ac:dyDescent="0.3">
      <c r="A722" s="40">
        <v>38</v>
      </c>
      <c r="B722" s="144" t="str">
        <f>IF('Направление 4'!B41="","",'Направление 4'!B41)</f>
        <v/>
      </c>
      <c r="C722" s="133"/>
      <c r="D722" s="131"/>
      <c r="E722" s="130" t="str">
        <f>IF('Направление 4'!C41="","",'Направление 4'!C41)</f>
        <v/>
      </c>
      <c r="F722" s="133"/>
      <c r="G722" s="131"/>
      <c r="H722" s="130" t="str">
        <f>IF('Направление 4'!D41="","",'Направление 4'!D41)</f>
        <v/>
      </c>
      <c r="I722" s="131"/>
      <c r="J722" s="61" t="str">
        <f>IF('Направление 4'!E41=0,"",'Направление 4'!E41)</f>
        <v/>
      </c>
      <c r="K722" s="91"/>
    </row>
    <row r="723" spans="1:11" ht="150" customHeight="1" x14ac:dyDescent="0.3">
      <c r="A723" s="40">
        <v>39</v>
      </c>
      <c r="B723" s="144" t="str">
        <f>IF('Направление 4'!B42="","",'Направление 4'!B42)</f>
        <v/>
      </c>
      <c r="C723" s="133"/>
      <c r="D723" s="131"/>
      <c r="E723" s="130" t="str">
        <f>IF('Направление 4'!C42="","",'Направление 4'!C42)</f>
        <v/>
      </c>
      <c r="F723" s="133"/>
      <c r="G723" s="131"/>
      <c r="H723" s="130" t="str">
        <f>IF('Направление 4'!D42="","",'Направление 4'!D42)</f>
        <v/>
      </c>
      <c r="I723" s="131"/>
      <c r="J723" s="61" t="str">
        <f>IF('Направление 4'!E42=0,"",'Направление 4'!E42)</f>
        <v/>
      </c>
      <c r="K723" s="91"/>
    </row>
    <row r="724" spans="1:11" ht="150" customHeight="1" thickBot="1" x14ac:dyDescent="0.35">
      <c r="A724" s="41">
        <v>40</v>
      </c>
      <c r="B724" s="144" t="str">
        <f>IF('Направление 4'!B43="","",'Направление 4'!B43)</f>
        <v/>
      </c>
      <c r="C724" s="133"/>
      <c r="D724" s="131"/>
      <c r="E724" s="130" t="str">
        <f>IF('Направление 4'!C43="","",'Направление 4'!C43)</f>
        <v/>
      </c>
      <c r="F724" s="133"/>
      <c r="G724" s="131"/>
      <c r="H724" s="130" t="str">
        <f>IF('Направление 4'!D43="","",'Направление 4'!D43)</f>
        <v/>
      </c>
      <c r="I724" s="131"/>
      <c r="J724" s="61" t="str">
        <f>IF('Направление 4'!E43=0,"",'Направление 4'!E43)</f>
        <v/>
      </c>
      <c r="K724" s="91"/>
    </row>
    <row r="725" spans="1:11" ht="150" customHeight="1" thickBot="1" x14ac:dyDescent="0.35">
      <c r="A725" s="41">
        <v>41</v>
      </c>
      <c r="B725" s="144" t="str">
        <f>IF('Направление 4'!B44="","",'Направление 4'!B44)</f>
        <v/>
      </c>
      <c r="C725" s="133"/>
      <c r="D725" s="131"/>
      <c r="E725" s="130" t="str">
        <f>IF('Направление 4'!C44="","",'Направление 4'!C44)</f>
        <v/>
      </c>
      <c r="F725" s="133"/>
      <c r="G725" s="131"/>
      <c r="H725" s="130" t="str">
        <f>IF('Направление 4'!D44="","",'Направление 4'!D44)</f>
        <v/>
      </c>
      <c r="I725" s="131"/>
      <c r="J725" s="61" t="str">
        <f>IF('Направление 4'!E44=0,"",'Направление 4'!E44)</f>
        <v/>
      </c>
      <c r="K725" s="91"/>
    </row>
    <row r="726" spans="1:11" ht="150" customHeight="1" thickBot="1" x14ac:dyDescent="0.35">
      <c r="A726" s="41">
        <v>42</v>
      </c>
      <c r="B726" s="144" t="str">
        <f>IF('Направление 4'!B45="","",'Направление 4'!B45)</f>
        <v/>
      </c>
      <c r="C726" s="133"/>
      <c r="D726" s="131"/>
      <c r="E726" s="130" t="str">
        <f>IF('Направление 4'!C45="","",'Направление 4'!C45)</f>
        <v/>
      </c>
      <c r="F726" s="133"/>
      <c r="G726" s="131"/>
      <c r="H726" s="130" t="str">
        <f>IF('Направление 4'!D45="","",'Направление 4'!D45)</f>
        <v/>
      </c>
      <c r="I726" s="131"/>
      <c r="J726" s="61" t="str">
        <f>IF('Направление 4'!E45=0,"",'Направление 4'!E45)</f>
        <v/>
      </c>
      <c r="K726" s="91"/>
    </row>
    <row r="727" spans="1:11" ht="150" customHeight="1" thickBot="1" x14ac:dyDescent="0.35">
      <c r="A727" s="41">
        <v>43</v>
      </c>
      <c r="B727" s="144" t="str">
        <f>IF('Направление 4'!B46="","",'Направление 4'!B46)</f>
        <v/>
      </c>
      <c r="C727" s="133"/>
      <c r="D727" s="131"/>
      <c r="E727" s="130" t="str">
        <f>IF('Направление 4'!C46="","",'Направление 4'!C46)</f>
        <v/>
      </c>
      <c r="F727" s="133"/>
      <c r="G727" s="131"/>
      <c r="H727" s="130" t="str">
        <f>IF('Направление 4'!D46="","",'Направление 4'!D46)</f>
        <v/>
      </c>
      <c r="I727" s="131"/>
      <c r="J727" s="61" t="str">
        <f>IF('Направление 4'!E46=0,"",'Направление 4'!E46)</f>
        <v/>
      </c>
      <c r="K727" s="91"/>
    </row>
    <row r="728" spans="1:11" ht="150" customHeight="1" thickBot="1" x14ac:dyDescent="0.35">
      <c r="A728" s="41">
        <v>44</v>
      </c>
      <c r="B728" s="144" t="str">
        <f>IF('Направление 4'!B47="","",'Направление 4'!B47)</f>
        <v/>
      </c>
      <c r="C728" s="133"/>
      <c r="D728" s="131"/>
      <c r="E728" s="130" t="str">
        <f>IF('Направление 4'!C47="","",'Направление 4'!C47)</f>
        <v/>
      </c>
      <c r="F728" s="133"/>
      <c r="G728" s="131"/>
      <c r="H728" s="130" t="str">
        <f>IF('Направление 4'!D47="","",'Направление 4'!D47)</f>
        <v/>
      </c>
      <c r="I728" s="131"/>
      <c r="J728" s="61" t="str">
        <f>IF('Направление 4'!E47=0,"",'Направление 4'!E47)</f>
        <v/>
      </c>
      <c r="K728" s="91"/>
    </row>
    <row r="729" spans="1:11" ht="150" customHeight="1" thickBot="1" x14ac:dyDescent="0.35">
      <c r="A729" s="41">
        <v>45</v>
      </c>
      <c r="B729" s="144" t="str">
        <f>IF('Направление 4'!B48="","",'Направление 4'!B48)</f>
        <v/>
      </c>
      <c r="C729" s="133"/>
      <c r="D729" s="131"/>
      <c r="E729" s="130" t="str">
        <f>IF('Направление 4'!C48="","",'Направление 4'!C48)</f>
        <v/>
      </c>
      <c r="F729" s="133"/>
      <c r="G729" s="131"/>
      <c r="H729" s="130" t="str">
        <f>IF('Направление 4'!D48="","",'Направление 4'!D48)</f>
        <v/>
      </c>
      <c r="I729" s="131"/>
      <c r="J729" s="61" t="str">
        <f>IF('Направление 4'!E48=0,"",'Направление 4'!E48)</f>
        <v/>
      </c>
      <c r="K729" s="91"/>
    </row>
    <row r="730" spans="1:11" ht="150" customHeight="1" thickBot="1" x14ac:dyDescent="0.35">
      <c r="A730" s="41">
        <v>46</v>
      </c>
      <c r="B730" s="144" t="str">
        <f>IF('Направление 4'!B49="","",'Направление 4'!B49)</f>
        <v/>
      </c>
      <c r="C730" s="133"/>
      <c r="D730" s="131"/>
      <c r="E730" s="130" t="str">
        <f>IF('Направление 4'!C49="","",'Направление 4'!C49)</f>
        <v/>
      </c>
      <c r="F730" s="133"/>
      <c r="G730" s="131"/>
      <c r="H730" s="130" t="str">
        <f>IF('Направление 4'!D49="","",'Направление 4'!D49)</f>
        <v/>
      </c>
      <c r="I730" s="131"/>
      <c r="J730" s="61" t="str">
        <f>IF('Направление 4'!E49=0,"",'Направление 4'!E49)</f>
        <v/>
      </c>
      <c r="K730" s="91"/>
    </row>
    <row r="731" spans="1:11" ht="150" customHeight="1" thickBot="1" x14ac:dyDescent="0.35">
      <c r="A731" s="41">
        <v>47</v>
      </c>
      <c r="B731" s="144" t="str">
        <f>IF('Направление 4'!B50="","",'Направление 4'!B50)</f>
        <v/>
      </c>
      <c r="C731" s="133"/>
      <c r="D731" s="131"/>
      <c r="E731" s="130" t="str">
        <f>IF('Направление 4'!C50="","",'Направление 4'!C50)</f>
        <v/>
      </c>
      <c r="F731" s="133"/>
      <c r="G731" s="131"/>
      <c r="H731" s="130" t="str">
        <f>IF('Направление 4'!D50="","",'Направление 4'!D50)</f>
        <v/>
      </c>
      <c r="I731" s="131"/>
      <c r="J731" s="61" t="str">
        <f>IF('Направление 4'!E50=0,"",'Направление 4'!E50)</f>
        <v/>
      </c>
      <c r="K731" s="91"/>
    </row>
    <row r="732" spans="1:11" ht="150" customHeight="1" thickBot="1" x14ac:dyDescent="0.35">
      <c r="A732" s="41">
        <v>48</v>
      </c>
      <c r="B732" s="144" t="str">
        <f>IF('Направление 4'!B51="","",'Направление 4'!B51)</f>
        <v/>
      </c>
      <c r="C732" s="133"/>
      <c r="D732" s="131"/>
      <c r="E732" s="130" t="str">
        <f>IF('Направление 4'!C51="","",'Направление 4'!C51)</f>
        <v/>
      </c>
      <c r="F732" s="133"/>
      <c r="G732" s="131"/>
      <c r="H732" s="130" t="str">
        <f>IF('Направление 4'!D51="","",'Направление 4'!D51)</f>
        <v/>
      </c>
      <c r="I732" s="131"/>
      <c r="J732" s="61" t="str">
        <f>IF('Направление 4'!E51=0,"",'Направление 4'!E51)</f>
        <v/>
      </c>
      <c r="K732" s="91"/>
    </row>
    <row r="733" spans="1:11" ht="150" customHeight="1" thickBot="1" x14ac:dyDescent="0.35">
      <c r="A733" s="41">
        <v>49</v>
      </c>
      <c r="B733" s="144" t="str">
        <f>IF('Направление 4'!B52="","",'Направление 4'!B52)</f>
        <v/>
      </c>
      <c r="C733" s="133"/>
      <c r="D733" s="131"/>
      <c r="E733" s="130" t="str">
        <f>IF('Направление 4'!C52="","",'Направление 4'!C52)</f>
        <v/>
      </c>
      <c r="F733" s="133"/>
      <c r="G733" s="131"/>
      <c r="H733" s="130" t="str">
        <f>IF('Направление 4'!D52="","",'Направление 4'!D52)</f>
        <v/>
      </c>
      <c r="I733" s="131"/>
      <c r="J733" s="61" t="str">
        <f>IF('Направление 4'!E52=0,"",'Направление 4'!E52)</f>
        <v/>
      </c>
      <c r="K733" s="91"/>
    </row>
    <row r="734" spans="1:11" ht="150" customHeight="1" thickBot="1" x14ac:dyDescent="0.35">
      <c r="A734" s="41">
        <v>50</v>
      </c>
      <c r="B734" s="144" t="str">
        <f>IF('Направление 4'!B53="","",'Направление 4'!B53)</f>
        <v/>
      </c>
      <c r="C734" s="133"/>
      <c r="D734" s="131"/>
      <c r="E734" s="130" t="str">
        <f>IF('Направление 4'!C53="","",'Направление 4'!C53)</f>
        <v/>
      </c>
      <c r="F734" s="133"/>
      <c r="G734" s="131"/>
      <c r="H734" s="130" t="str">
        <f>IF('Направление 4'!D53="","",'Направление 4'!D53)</f>
        <v/>
      </c>
      <c r="I734" s="131"/>
      <c r="J734" s="61" t="str">
        <f>IF('Направление 4'!E53=0,"",'Направление 4'!E53)</f>
        <v/>
      </c>
      <c r="K734" s="91"/>
    </row>
    <row r="735" spans="1:11" ht="150" customHeight="1" thickBot="1" x14ac:dyDescent="0.35">
      <c r="A735" s="41">
        <v>51</v>
      </c>
      <c r="B735" s="144" t="str">
        <f>IF('Направление 4'!B54="","",'Направление 4'!B54)</f>
        <v/>
      </c>
      <c r="C735" s="133"/>
      <c r="D735" s="131"/>
      <c r="E735" s="130" t="str">
        <f>IF('Направление 4'!C54="","",'Направление 4'!C54)</f>
        <v/>
      </c>
      <c r="F735" s="133"/>
      <c r="G735" s="131"/>
      <c r="H735" s="130" t="str">
        <f>IF('Направление 4'!D54="","",'Направление 4'!D54)</f>
        <v/>
      </c>
      <c r="I735" s="131"/>
      <c r="J735" s="61" t="str">
        <f>IF('Направление 4'!E54=0,"",'Направление 4'!E54)</f>
        <v/>
      </c>
      <c r="K735" s="91"/>
    </row>
    <row r="736" spans="1:11" ht="150" customHeight="1" thickBot="1" x14ac:dyDescent="0.35">
      <c r="A736" s="41">
        <v>52</v>
      </c>
      <c r="B736" s="144" t="str">
        <f>IF('Направление 4'!B55="","",'Направление 4'!B55)</f>
        <v/>
      </c>
      <c r="C736" s="133"/>
      <c r="D736" s="131"/>
      <c r="E736" s="130" t="str">
        <f>IF('Направление 4'!C55="","",'Направление 4'!C55)</f>
        <v/>
      </c>
      <c r="F736" s="133"/>
      <c r="G736" s="131"/>
      <c r="H736" s="130" t="str">
        <f>IF('Направление 4'!D55="","",'Направление 4'!D55)</f>
        <v/>
      </c>
      <c r="I736" s="131"/>
      <c r="J736" s="61" t="str">
        <f>IF('Направление 4'!E55=0,"",'Направление 4'!E55)</f>
        <v/>
      </c>
      <c r="K736" s="91"/>
    </row>
    <row r="737" spans="1:11" ht="150" customHeight="1" thickBot="1" x14ac:dyDescent="0.35">
      <c r="A737" s="41">
        <v>53</v>
      </c>
      <c r="B737" s="144" t="str">
        <f>IF('Направление 4'!B56="","",'Направление 4'!B56)</f>
        <v/>
      </c>
      <c r="C737" s="133"/>
      <c r="D737" s="131"/>
      <c r="E737" s="130" t="str">
        <f>IF('Направление 4'!C56="","",'Направление 4'!C56)</f>
        <v/>
      </c>
      <c r="F737" s="133"/>
      <c r="G737" s="131"/>
      <c r="H737" s="130" t="str">
        <f>IF('Направление 4'!D56="","",'Направление 4'!D56)</f>
        <v/>
      </c>
      <c r="I737" s="131"/>
      <c r="J737" s="61" t="str">
        <f>IF('Направление 4'!E56=0,"",'Направление 4'!E56)</f>
        <v/>
      </c>
      <c r="K737" s="91"/>
    </row>
    <row r="738" spans="1:11" ht="150" customHeight="1" thickBot="1" x14ac:dyDescent="0.35">
      <c r="A738" s="41">
        <v>54</v>
      </c>
      <c r="B738" s="144" t="str">
        <f>IF('Направление 4'!B57="","",'Направление 4'!B57)</f>
        <v/>
      </c>
      <c r="C738" s="133"/>
      <c r="D738" s="131"/>
      <c r="E738" s="130" t="str">
        <f>IF('Направление 4'!C57="","",'Направление 4'!C57)</f>
        <v/>
      </c>
      <c r="F738" s="133"/>
      <c r="G738" s="131"/>
      <c r="H738" s="130" t="str">
        <f>IF('Направление 4'!D57="","",'Направление 4'!D57)</f>
        <v/>
      </c>
      <c r="I738" s="131"/>
      <c r="J738" s="61" t="str">
        <f>IF('Направление 4'!E57=0,"",'Направление 4'!E57)</f>
        <v/>
      </c>
      <c r="K738" s="91"/>
    </row>
    <row r="739" spans="1:11" ht="150" customHeight="1" thickBot="1" x14ac:dyDescent="0.35">
      <c r="A739" s="41">
        <v>55</v>
      </c>
      <c r="B739" s="144" t="str">
        <f>IF('Направление 4'!B58="","",'Направление 4'!B58)</f>
        <v/>
      </c>
      <c r="C739" s="133"/>
      <c r="D739" s="131"/>
      <c r="E739" s="130" t="str">
        <f>IF('Направление 4'!C58="","",'Направление 4'!C58)</f>
        <v/>
      </c>
      <c r="F739" s="133"/>
      <c r="G739" s="131"/>
      <c r="H739" s="130" t="str">
        <f>IF('Направление 4'!D58="","",'Направление 4'!D58)</f>
        <v/>
      </c>
      <c r="I739" s="131"/>
      <c r="J739" s="61" t="str">
        <f>IF('Направление 4'!E58=0,"",'Направление 4'!E58)</f>
        <v/>
      </c>
      <c r="K739" s="91"/>
    </row>
    <row r="740" spans="1:11" ht="150" customHeight="1" thickBot="1" x14ac:dyDescent="0.35">
      <c r="A740" s="41">
        <v>56</v>
      </c>
      <c r="B740" s="144" t="str">
        <f>IF('Направление 4'!B59="","",'Направление 4'!B59)</f>
        <v/>
      </c>
      <c r="C740" s="133"/>
      <c r="D740" s="131"/>
      <c r="E740" s="130" t="str">
        <f>IF('Направление 4'!C59="","",'Направление 4'!C59)</f>
        <v/>
      </c>
      <c r="F740" s="133"/>
      <c r="G740" s="131"/>
      <c r="H740" s="130" t="str">
        <f>IF('Направление 4'!D59="","",'Направление 4'!D59)</f>
        <v/>
      </c>
      <c r="I740" s="131"/>
      <c r="J740" s="61" t="str">
        <f>IF('Направление 4'!E59=0,"",'Направление 4'!E59)</f>
        <v/>
      </c>
      <c r="K740" s="91"/>
    </row>
    <row r="741" spans="1:11" ht="150" customHeight="1" thickBot="1" x14ac:dyDescent="0.35">
      <c r="A741" s="41">
        <v>57</v>
      </c>
      <c r="B741" s="144" t="str">
        <f>IF('Направление 4'!B60="","",'Направление 4'!B60)</f>
        <v/>
      </c>
      <c r="C741" s="133"/>
      <c r="D741" s="131"/>
      <c r="E741" s="130" t="str">
        <f>IF('Направление 4'!C60="","",'Направление 4'!C60)</f>
        <v/>
      </c>
      <c r="F741" s="133"/>
      <c r="G741" s="131"/>
      <c r="H741" s="130" t="str">
        <f>IF('Направление 4'!D60="","",'Направление 4'!D60)</f>
        <v/>
      </c>
      <c r="I741" s="131"/>
      <c r="J741" s="61" t="str">
        <f>IF('Направление 4'!E60=0,"",'Направление 4'!E60)</f>
        <v/>
      </c>
      <c r="K741" s="91"/>
    </row>
    <row r="742" spans="1:11" ht="150" customHeight="1" thickBot="1" x14ac:dyDescent="0.35">
      <c r="A742" s="41">
        <v>58</v>
      </c>
      <c r="B742" s="144" t="str">
        <f>IF('Направление 4'!B61="","",'Направление 4'!B61)</f>
        <v/>
      </c>
      <c r="C742" s="133"/>
      <c r="D742" s="131"/>
      <c r="E742" s="130" t="str">
        <f>IF('Направление 4'!C61="","",'Направление 4'!C61)</f>
        <v/>
      </c>
      <c r="F742" s="133"/>
      <c r="G742" s="131"/>
      <c r="H742" s="130" t="str">
        <f>IF('Направление 4'!D61="","",'Направление 4'!D61)</f>
        <v/>
      </c>
      <c r="I742" s="131"/>
      <c r="J742" s="61" t="str">
        <f>IF('Направление 4'!E61=0,"",'Направление 4'!E61)</f>
        <v/>
      </c>
      <c r="K742" s="91"/>
    </row>
    <row r="743" spans="1:11" ht="150" customHeight="1" thickBot="1" x14ac:dyDescent="0.35">
      <c r="A743" s="41">
        <v>59</v>
      </c>
      <c r="B743" s="144" t="str">
        <f>IF('Направление 4'!B62="","",'Направление 4'!B62)</f>
        <v/>
      </c>
      <c r="C743" s="133"/>
      <c r="D743" s="131"/>
      <c r="E743" s="130" t="str">
        <f>IF('Направление 4'!C62="","",'Направление 4'!C62)</f>
        <v/>
      </c>
      <c r="F743" s="133"/>
      <c r="G743" s="131"/>
      <c r="H743" s="130" t="str">
        <f>IF('Направление 4'!D62="","",'Направление 4'!D62)</f>
        <v/>
      </c>
      <c r="I743" s="131"/>
      <c r="J743" s="61" t="str">
        <f>IF('Направление 4'!E62=0,"",'Направление 4'!E62)</f>
        <v/>
      </c>
      <c r="K743" s="91"/>
    </row>
    <row r="744" spans="1:11" ht="150" customHeight="1" thickBot="1" x14ac:dyDescent="0.35">
      <c r="A744" s="41">
        <v>60</v>
      </c>
      <c r="B744" s="144" t="str">
        <f>IF('Направление 4'!B63="","",'Направление 4'!B63)</f>
        <v/>
      </c>
      <c r="C744" s="133"/>
      <c r="D744" s="131"/>
      <c r="E744" s="130" t="str">
        <f>IF('Направление 4'!C63="","",'Направление 4'!C63)</f>
        <v/>
      </c>
      <c r="F744" s="133"/>
      <c r="G744" s="131"/>
      <c r="H744" s="130" t="str">
        <f>IF('Направление 4'!D63="","",'Направление 4'!D63)</f>
        <v/>
      </c>
      <c r="I744" s="131"/>
      <c r="J744" s="61" t="str">
        <f>IF('Направление 4'!E63=0,"",'Направление 4'!E63)</f>
        <v/>
      </c>
      <c r="K744" s="91"/>
    </row>
    <row r="745" spans="1:11" ht="150" customHeight="1" thickBot="1" x14ac:dyDescent="0.35">
      <c r="A745" s="41">
        <v>61</v>
      </c>
      <c r="B745" s="144" t="str">
        <f>IF('Направление 4'!B64="","",'Направление 4'!B64)</f>
        <v/>
      </c>
      <c r="C745" s="133"/>
      <c r="D745" s="131"/>
      <c r="E745" s="130" t="str">
        <f>IF('Направление 4'!C64="","",'Направление 4'!C64)</f>
        <v/>
      </c>
      <c r="F745" s="133"/>
      <c r="G745" s="131"/>
      <c r="H745" s="130" t="str">
        <f>IF('Направление 4'!D64="","",'Направление 4'!D64)</f>
        <v/>
      </c>
      <c r="I745" s="131"/>
      <c r="J745" s="61" t="str">
        <f>IF('Направление 4'!E64=0,"",'Направление 4'!E64)</f>
        <v/>
      </c>
      <c r="K745" s="91"/>
    </row>
    <row r="746" spans="1:11" ht="150" customHeight="1" thickBot="1" x14ac:dyDescent="0.35">
      <c r="A746" s="41">
        <v>62</v>
      </c>
      <c r="B746" s="144" t="str">
        <f>IF('Направление 4'!B65="","",'Направление 4'!B65)</f>
        <v/>
      </c>
      <c r="C746" s="133"/>
      <c r="D746" s="131"/>
      <c r="E746" s="130" t="str">
        <f>IF('Направление 4'!C65="","",'Направление 4'!C65)</f>
        <v/>
      </c>
      <c r="F746" s="133"/>
      <c r="G746" s="131"/>
      <c r="H746" s="130" t="str">
        <f>IF('Направление 4'!D65="","",'Направление 4'!D65)</f>
        <v/>
      </c>
      <c r="I746" s="131"/>
      <c r="J746" s="61" t="str">
        <f>IF('Направление 4'!E65=0,"",'Направление 4'!E65)</f>
        <v/>
      </c>
      <c r="K746" s="91"/>
    </row>
    <row r="747" spans="1:11" ht="150" customHeight="1" thickBot="1" x14ac:dyDescent="0.35">
      <c r="A747" s="41">
        <v>63</v>
      </c>
      <c r="B747" s="144" t="str">
        <f>IF('Направление 4'!B66="","",'Направление 4'!B66)</f>
        <v/>
      </c>
      <c r="C747" s="133"/>
      <c r="D747" s="131"/>
      <c r="E747" s="130" t="str">
        <f>IF('Направление 4'!C66="","",'Направление 4'!C66)</f>
        <v/>
      </c>
      <c r="F747" s="133"/>
      <c r="G747" s="131"/>
      <c r="H747" s="130" t="str">
        <f>IF('Направление 4'!D66="","",'Направление 4'!D66)</f>
        <v/>
      </c>
      <c r="I747" s="131"/>
      <c r="J747" s="61" t="str">
        <f>IF('Направление 4'!E66=0,"",'Направление 4'!E66)</f>
        <v/>
      </c>
      <c r="K747" s="91"/>
    </row>
    <row r="748" spans="1:11" ht="150" customHeight="1" thickBot="1" x14ac:dyDescent="0.35">
      <c r="A748" s="41">
        <v>64</v>
      </c>
      <c r="B748" s="144" t="str">
        <f>IF('Направление 4'!B67="","",'Направление 4'!B67)</f>
        <v/>
      </c>
      <c r="C748" s="133"/>
      <c r="D748" s="131"/>
      <c r="E748" s="130" t="str">
        <f>IF('Направление 4'!C67="","",'Направление 4'!C67)</f>
        <v/>
      </c>
      <c r="F748" s="133"/>
      <c r="G748" s="131"/>
      <c r="H748" s="130" t="str">
        <f>IF('Направление 4'!D67="","",'Направление 4'!D67)</f>
        <v/>
      </c>
      <c r="I748" s="131"/>
      <c r="J748" s="61" t="str">
        <f>IF('Направление 4'!E67=0,"",'Направление 4'!E67)</f>
        <v/>
      </c>
      <c r="K748" s="91"/>
    </row>
    <row r="749" spans="1:11" ht="150" customHeight="1" thickBot="1" x14ac:dyDescent="0.35">
      <c r="A749" s="41">
        <v>65</v>
      </c>
      <c r="B749" s="144" t="str">
        <f>IF('Направление 4'!B68="","",'Направление 4'!B68)</f>
        <v/>
      </c>
      <c r="C749" s="133"/>
      <c r="D749" s="131"/>
      <c r="E749" s="130" t="str">
        <f>IF('Направление 4'!C68="","",'Направление 4'!C68)</f>
        <v/>
      </c>
      <c r="F749" s="133"/>
      <c r="G749" s="131"/>
      <c r="H749" s="130" t="str">
        <f>IF('Направление 4'!D68="","",'Направление 4'!D68)</f>
        <v/>
      </c>
      <c r="I749" s="131"/>
      <c r="J749" s="61" t="str">
        <f>IF('Направление 4'!E68=0,"",'Направление 4'!E68)</f>
        <v/>
      </c>
      <c r="K749" s="91"/>
    </row>
    <row r="750" spans="1:11" ht="150" customHeight="1" thickBot="1" x14ac:dyDescent="0.35">
      <c r="A750" s="41">
        <v>66</v>
      </c>
      <c r="B750" s="144" t="str">
        <f>IF('Направление 4'!B69="","",'Направление 4'!B69)</f>
        <v/>
      </c>
      <c r="C750" s="133"/>
      <c r="D750" s="131"/>
      <c r="E750" s="130" t="str">
        <f>IF('Направление 4'!C69="","",'Направление 4'!C69)</f>
        <v/>
      </c>
      <c r="F750" s="133"/>
      <c r="G750" s="131"/>
      <c r="H750" s="130" t="str">
        <f>IF('Направление 4'!D69="","",'Направление 4'!D69)</f>
        <v/>
      </c>
      <c r="I750" s="131"/>
      <c r="J750" s="61" t="str">
        <f>IF('Направление 4'!E69=0,"",'Направление 4'!E69)</f>
        <v/>
      </c>
      <c r="K750" s="91"/>
    </row>
    <row r="751" spans="1:11" ht="150" customHeight="1" thickBot="1" x14ac:dyDescent="0.35">
      <c r="A751" s="41">
        <v>67</v>
      </c>
      <c r="B751" s="144" t="str">
        <f>IF('Направление 4'!B70="","",'Направление 4'!B70)</f>
        <v/>
      </c>
      <c r="C751" s="133"/>
      <c r="D751" s="131"/>
      <c r="E751" s="130" t="str">
        <f>IF('Направление 4'!C70="","",'Направление 4'!C70)</f>
        <v/>
      </c>
      <c r="F751" s="133"/>
      <c r="G751" s="131"/>
      <c r="H751" s="130" t="str">
        <f>IF('Направление 4'!D70="","",'Направление 4'!D70)</f>
        <v/>
      </c>
      <c r="I751" s="131"/>
      <c r="J751" s="61" t="str">
        <f>IF('Направление 4'!E70=0,"",'Направление 4'!E70)</f>
        <v/>
      </c>
      <c r="K751" s="91"/>
    </row>
    <row r="752" spans="1:11" ht="150" customHeight="1" thickBot="1" x14ac:dyDescent="0.35">
      <c r="A752" s="41">
        <v>68</v>
      </c>
      <c r="B752" s="144" t="str">
        <f>IF('Направление 4'!B71="","",'Направление 4'!B71)</f>
        <v/>
      </c>
      <c r="C752" s="133"/>
      <c r="D752" s="131"/>
      <c r="E752" s="130" t="str">
        <f>IF('Направление 4'!C71="","",'Направление 4'!C71)</f>
        <v/>
      </c>
      <c r="F752" s="133"/>
      <c r="G752" s="131"/>
      <c r="H752" s="130" t="str">
        <f>IF('Направление 4'!D71="","",'Направление 4'!D71)</f>
        <v/>
      </c>
      <c r="I752" s="131"/>
      <c r="J752" s="61" t="str">
        <f>IF('Направление 4'!E71=0,"",'Направление 4'!E71)</f>
        <v/>
      </c>
      <c r="K752" s="91"/>
    </row>
    <row r="753" spans="1:11" ht="150" customHeight="1" thickBot="1" x14ac:dyDescent="0.35">
      <c r="A753" s="41">
        <v>69</v>
      </c>
      <c r="B753" s="144" t="str">
        <f>IF('Направление 4'!B72="","",'Направление 4'!B72)</f>
        <v/>
      </c>
      <c r="C753" s="133"/>
      <c r="D753" s="131"/>
      <c r="E753" s="130" t="str">
        <f>IF('Направление 4'!C72="","",'Направление 4'!C72)</f>
        <v/>
      </c>
      <c r="F753" s="133"/>
      <c r="G753" s="131"/>
      <c r="H753" s="130" t="str">
        <f>IF('Направление 4'!D72="","",'Направление 4'!D72)</f>
        <v/>
      </c>
      <c r="I753" s="131"/>
      <c r="J753" s="61" t="str">
        <f>IF('Направление 4'!E72=0,"",'Направление 4'!E72)</f>
        <v/>
      </c>
      <c r="K753" s="91"/>
    </row>
    <row r="754" spans="1:11" ht="150" customHeight="1" thickBot="1" x14ac:dyDescent="0.35">
      <c r="A754" s="41">
        <v>70</v>
      </c>
      <c r="B754" s="144" t="str">
        <f>IF('Направление 4'!B73="","",'Направление 4'!B73)</f>
        <v/>
      </c>
      <c r="C754" s="133"/>
      <c r="D754" s="131"/>
      <c r="E754" s="130" t="str">
        <f>IF('Направление 4'!C73="","",'Направление 4'!C73)</f>
        <v/>
      </c>
      <c r="F754" s="133"/>
      <c r="G754" s="131"/>
      <c r="H754" s="130" t="str">
        <f>IF('Направление 4'!D73="","",'Направление 4'!D73)</f>
        <v/>
      </c>
      <c r="I754" s="131"/>
      <c r="J754" s="61" t="str">
        <f>IF('Направление 4'!E73=0,"",'Направление 4'!E73)</f>
        <v/>
      </c>
      <c r="K754" s="91"/>
    </row>
    <row r="755" spans="1:11" ht="150" customHeight="1" thickBot="1" x14ac:dyDescent="0.35">
      <c r="A755" s="41">
        <v>71</v>
      </c>
      <c r="B755" s="144" t="str">
        <f>IF('Направление 4'!B74="","",'Направление 4'!B74)</f>
        <v/>
      </c>
      <c r="C755" s="133"/>
      <c r="D755" s="131"/>
      <c r="E755" s="130" t="str">
        <f>IF('Направление 4'!C74="","",'Направление 4'!C74)</f>
        <v/>
      </c>
      <c r="F755" s="133"/>
      <c r="G755" s="131"/>
      <c r="H755" s="130" t="str">
        <f>IF('Направление 4'!D74="","",'Направление 4'!D74)</f>
        <v/>
      </c>
      <c r="I755" s="131"/>
      <c r="J755" s="61" t="str">
        <f>IF('Направление 4'!E74=0,"",'Направление 4'!E74)</f>
        <v/>
      </c>
      <c r="K755" s="91"/>
    </row>
    <row r="756" spans="1:11" ht="150" customHeight="1" thickBot="1" x14ac:dyDescent="0.35">
      <c r="A756" s="41">
        <v>72</v>
      </c>
      <c r="B756" s="144" t="str">
        <f>IF('Направление 4'!B75="","",'Направление 4'!B75)</f>
        <v/>
      </c>
      <c r="C756" s="133"/>
      <c r="D756" s="131"/>
      <c r="E756" s="130" t="str">
        <f>IF('Направление 4'!C75="","",'Направление 4'!C75)</f>
        <v/>
      </c>
      <c r="F756" s="133"/>
      <c r="G756" s="131"/>
      <c r="H756" s="130" t="str">
        <f>IF('Направление 4'!D75="","",'Направление 4'!D75)</f>
        <v/>
      </c>
      <c r="I756" s="131"/>
      <c r="J756" s="61" t="str">
        <f>IF('Направление 4'!E75=0,"",'Направление 4'!E75)</f>
        <v/>
      </c>
      <c r="K756" s="91"/>
    </row>
    <row r="757" spans="1:11" ht="150" customHeight="1" thickBot="1" x14ac:dyDescent="0.35">
      <c r="A757" s="41">
        <v>73</v>
      </c>
      <c r="B757" s="144" t="str">
        <f>IF('Направление 4'!B76="","",'Направление 4'!B76)</f>
        <v/>
      </c>
      <c r="C757" s="133"/>
      <c r="D757" s="131"/>
      <c r="E757" s="130" t="str">
        <f>IF('Направление 4'!C76="","",'Направление 4'!C76)</f>
        <v/>
      </c>
      <c r="F757" s="133"/>
      <c r="G757" s="131"/>
      <c r="H757" s="130" t="str">
        <f>IF('Направление 4'!D76="","",'Направление 4'!D76)</f>
        <v/>
      </c>
      <c r="I757" s="131"/>
      <c r="J757" s="61" t="str">
        <f>IF('Направление 4'!E76=0,"",'Направление 4'!E76)</f>
        <v/>
      </c>
      <c r="K757" s="91"/>
    </row>
    <row r="758" spans="1:11" ht="150" customHeight="1" thickBot="1" x14ac:dyDescent="0.35">
      <c r="A758" s="41">
        <v>74</v>
      </c>
      <c r="B758" s="144" t="str">
        <f>IF('Направление 4'!B77="","",'Направление 4'!B77)</f>
        <v/>
      </c>
      <c r="C758" s="133"/>
      <c r="D758" s="131"/>
      <c r="E758" s="130" t="str">
        <f>IF('Направление 4'!C77="","",'Направление 4'!C77)</f>
        <v/>
      </c>
      <c r="F758" s="133"/>
      <c r="G758" s="131"/>
      <c r="H758" s="130" t="str">
        <f>IF('Направление 4'!D77="","",'Направление 4'!D77)</f>
        <v/>
      </c>
      <c r="I758" s="131"/>
      <c r="J758" s="61" t="str">
        <f>IF('Направление 4'!E77=0,"",'Направление 4'!E77)</f>
        <v/>
      </c>
      <c r="K758" s="91"/>
    </row>
    <row r="759" spans="1:11" ht="150" customHeight="1" thickBot="1" x14ac:dyDescent="0.35">
      <c r="A759" s="41">
        <v>75</v>
      </c>
      <c r="B759" s="144" t="str">
        <f>IF('Направление 4'!B78="","",'Направление 4'!B78)</f>
        <v/>
      </c>
      <c r="C759" s="133"/>
      <c r="D759" s="131"/>
      <c r="E759" s="130" t="str">
        <f>IF('Направление 4'!C78="","",'Направление 4'!C78)</f>
        <v/>
      </c>
      <c r="F759" s="133"/>
      <c r="G759" s="131"/>
      <c r="H759" s="130" t="str">
        <f>IF('Направление 4'!D78="","",'Направление 4'!D78)</f>
        <v/>
      </c>
      <c r="I759" s="131"/>
      <c r="J759" s="61" t="str">
        <f>IF('Направление 4'!E78=0,"",'Направление 4'!E78)</f>
        <v/>
      </c>
      <c r="K759" s="91"/>
    </row>
    <row r="760" spans="1:11" ht="150" customHeight="1" thickBot="1" x14ac:dyDescent="0.35">
      <c r="A760" s="41">
        <v>76</v>
      </c>
      <c r="B760" s="144" t="str">
        <f>IF('Направление 4'!B79="","",'Направление 4'!B79)</f>
        <v/>
      </c>
      <c r="C760" s="133"/>
      <c r="D760" s="131"/>
      <c r="E760" s="130" t="str">
        <f>IF('Направление 4'!C79="","",'Направление 4'!C79)</f>
        <v/>
      </c>
      <c r="F760" s="133"/>
      <c r="G760" s="131"/>
      <c r="H760" s="130" t="str">
        <f>IF('Направление 4'!D79="","",'Направление 4'!D79)</f>
        <v/>
      </c>
      <c r="I760" s="131"/>
      <c r="J760" s="61" t="str">
        <f>IF('Направление 4'!E79=0,"",'Направление 4'!E79)</f>
        <v/>
      </c>
      <c r="K760" s="91"/>
    </row>
    <row r="761" spans="1:11" ht="150" customHeight="1" thickBot="1" x14ac:dyDescent="0.35">
      <c r="A761" s="41">
        <v>77</v>
      </c>
      <c r="B761" s="144" t="str">
        <f>IF('Направление 4'!B80="","",'Направление 4'!B80)</f>
        <v/>
      </c>
      <c r="C761" s="133"/>
      <c r="D761" s="131"/>
      <c r="E761" s="130" t="str">
        <f>IF('Направление 4'!C80="","",'Направление 4'!C80)</f>
        <v/>
      </c>
      <c r="F761" s="133"/>
      <c r="G761" s="131"/>
      <c r="H761" s="130" t="str">
        <f>IF('Направление 4'!D80="","",'Направление 4'!D80)</f>
        <v/>
      </c>
      <c r="I761" s="131"/>
      <c r="J761" s="61" t="str">
        <f>IF('Направление 4'!E80=0,"",'Направление 4'!E80)</f>
        <v/>
      </c>
      <c r="K761" s="91"/>
    </row>
    <row r="762" spans="1:11" ht="150" customHeight="1" thickBot="1" x14ac:dyDescent="0.35">
      <c r="A762" s="41">
        <v>78</v>
      </c>
      <c r="B762" s="144" t="str">
        <f>IF('Направление 4'!B81="","",'Направление 4'!B81)</f>
        <v/>
      </c>
      <c r="C762" s="133"/>
      <c r="D762" s="131"/>
      <c r="E762" s="130" t="str">
        <f>IF('Направление 4'!C81="","",'Направление 4'!C81)</f>
        <v/>
      </c>
      <c r="F762" s="133"/>
      <c r="G762" s="131"/>
      <c r="H762" s="130" t="str">
        <f>IF('Направление 4'!D81="","",'Направление 4'!D81)</f>
        <v/>
      </c>
      <c r="I762" s="131"/>
      <c r="J762" s="61" t="str">
        <f>IF('Направление 4'!E81=0,"",'Направление 4'!E81)</f>
        <v/>
      </c>
      <c r="K762" s="91"/>
    </row>
    <row r="763" spans="1:11" ht="150" customHeight="1" thickBot="1" x14ac:dyDescent="0.35">
      <c r="A763" s="41">
        <v>79</v>
      </c>
      <c r="B763" s="144" t="str">
        <f>IF('Направление 4'!B82="","",'Направление 4'!B82)</f>
        <v/>
      </c>
      <c r="C763" s="133"/>
      <c r="D763" s="131"/>
      <c r="E763" s="130" t="str">
        <f>IF('Направление 4'!C82="","",'Направление 4'!C82)</f>
        <v/>
      </c>
      <c r="F763" s="133"/>
      <c r="G763" s="131"/>
      <c r="H763" s="130" t="str">
        <f>IF('Направление 4'!D82="","",'Направление 4'!D82)</f>
        <v/>
      </c>
      <c r="I763" s="131"/>
      <c r="J763" s="61" t="str">
        <f>IF('Направление 4'!E82=0,"",'Направление 4'!E82)</f>
        <v/>
      </c>
      <c r="K763" s="91"/>
    </row>
    <row r="764" spans="1:11" ht="150" customHeight="1" thickBot="1" x14ac:dyDescent="0.35">
      <c r="A764" s="41">
        <v>80</v>
      </c>
      <c r="B764" s="144" t="str">
        <f>IF('Направление 4'!B83="","",'Направление 4'!B83)</f>
        <v/>
      </c>
      <c r="C764" s="133"/>
      <c r="D764" s="131"/>
      <c r="E764" s="130" t="str">
        <f>IF('Направление 4'!C83="","",'Направление 4'!C83)</f>
        <v/>
      </c>
      <c r="F764" s="133"/>
      <c r="G764" s="131"/>
      <c r="H764" s="130" t="str">
        <f>IF('Направление 4'!D83="","",'Направление 4'!D83)</f>
        <v/>
      </c>
      <c r="I764" s="131"/>
      <c r="J764" s="61" t="str">
        <f>IF('Направление 4'!E83=0,"",'Направление 4'!E83)</f>
        <v/>
      </c>
      <c r="K764" s="91"/>
    </row>
    <row r="765" spans="1:11" ht="16.5" customHeight="1" thickBot="1" x14ac:dyDescent="0.35">
      <c r="A765" s="42"/>
      <c r="B765" s="151" t="s">
        <v>57</v>
      </c>
      <c r="C765" s="135"/>
      <c r="D765" s="135"/>
      <c r="E765" s="135"/>
      <c r="F765" s="135"/>
      <c r="G765" s="135"/>
      <c r="H765" s="135"/>
      <c r="I765" s="135"/>
      <c r="J765" s="136"/>
      <c r="K765" s="91"/>
    </row>
    <row r="766" spans="1:11" ht="38.700000000000003" customHeight="1" thickBot="1" x14ac:dyDescent="0.35">
      <c r="A766" s="42"/>
      <c r="B766" s="155" t="s">
        <v>58</v>
      </c>
      <c r="C766" s="156"/>
      <c r="D766" s="157"/>
      <c r="E766" s="142" t="s">
        <v>59</v>
      </c>
      <c r="F766" s="158"/>
      <c r="G766" s="143"/>
      <c r="H766" s="142"/>
      <c r="I766" s="143"/>
      <c r="J766" s="89" t="s">
        <v>56</v>
      </c>
      <c r="K766" s="91"/>
    </row>
    <row r="767" spans="1:11" ht="150" customHeight="1" x14ac:dyDescent="0.3">
      <c r="A767" s="39">
        <v>1</v>
      </c>
      <c r="B767" s="144" t="str">
        <f>IF('Направление 4'!B86="","",'Направление 4'!B86)</f>
        <v/>
      </c>
      <c r="C767" s="133"/>
      <c r="D767" s="131"/>
      <c r="E767" s="130" t="str">
        <f>IF('Направление 4'!C86="","",'Направление 4'!C86)</f>
        <v/>
      </c>
      <c r="F767" s="133"/>
      <c r="G767" s="131"/>
      <c r="H767" s="130" t="str">
        <f>IF('Направление 4'!D86="","",'Направление 4'!D86)</f>
        <v>х</v>
      </c>
      <c r="I767" s="131"/>
      <c r="J767" s="61" t="str">
        <f>IF('Направление 4'!E86=0,"",'Направление 4'!E86)</f>
        <v/>
      </c>
      <c r="K767" s="91"/>
    </row>
    <row r="768" spans="1:11" ht="150" customHeight="1" x14ac:dyDescent="0.3">
      <c r="A768" s="40">
        <v>2</v>
      </c>
      <c r="B768" s="144" t="str">
        <f>IF('Направление 4'!B87="","",'Направление 4'!B87)</f>
        <v/>
      </c>
      <c r="C768" s="133"/>
      <c r="D768" s="131"/>
      <c r="E768" s="130" t="str">
        <f>IF('Направление 4'!C87="","",'Направление 4'!C87)</f>
        <v/>
      </c>
      <c r="F768" s="133"/>
      <c r="G768" s="131"/>
      <c r="H768" s="130" t="str">
        <f>IF('Направление 4'!D87="","",'Направление 4'!D87)</f>
        <v>х</v>
      </c>
      <c r="I768" s="131"/>
      <c r="J768" s="61" t="str">
        <f>IF('Направление 4'!E87=0,"",'Направление 4'!E87)</f>
        <v/>
      </c>
      <c r="K768" s="91"/>
    </row>
    <row r="769" spans="1:11" ht="150" customHeight="1" x14ac:dyDescent="0.3">
      <c r="A769" s="40">
        <v>3</v>
      </c>
      <c r="B769" s="144" t="str">
        <f>IF('Направление 4'!B88="","",'Направление 4'!B88)</f>
        <v/>
      </c>
      <c r="C769" s="133"/>
      <c r="D769" s="131"/>
      <c r="E769" s="130" t="str">
        <f>IF('Направление 4'!C88="","",'Направление 4'!C88)</f>
        <v/>
      </c>
      <c r="F769" s="133"/>
      <c r="G769" s="131"/>
      <c r="H769" s="130" t="str">
        <f>IF('Направление 4'!D88="","",'Направление 4'!D88)</f>
        <v>х</v>
      </c>
      <c r="I769" s="131"/>
      <c r="J769" s="61" t="str">
        <f>IF('Направление 4'!E88=0,"",'Направление 4'!E88)</f>
        <v/>
      </c>
      <c r="K769" s="91"/>
    </row>
    <row r="770" spans="1:11" ht="150" customHeight="1" x14ac:dyDescent="0.3">
      <c r="A770" s="40">
        <v>4</v>
      </c>
      <c r="B770" s="144" t="str">
        <f>IF('Направление 4'!B89="","",'Направление 4'!B89)</f>
        <v/>
      </c>
      <c r="C770" s="133"/>
      <c r="D770" s="131"/>
      <c r="E770" s="130" t="str">
        <f>IF('Направление 4'!C89="","",'Направление 4'!C89)</f>
        <v/>
      </c>
      <c r="F770" s="133"/>
      <c r="G770" s="131"/>
      <c r="H770" s="130" t="str">
        <f>IF('Направление 4'!D89="","",'Направление 4'!D89)</f>
        <v>х</v>
      </c>
      <c r="I770" s="131"/>
      <c r="J770" s="61" t="str">
        <f>IF('Направление 4'!E89=0,"",'Направление 4'!E89)</f>
        <v/>
      </c>
      <c r="K770" s="91"/>
    </row>
    <row r="771" spans="1:11" ht="150" customHeight="1" x14ac:dyDescent="0.3">
      <c r="A771" s="40">
        <v>5</v>
      </c>
      <c r="B771" s="144" t="str">
        <f>IF('Направление 4'!B90="","",'Направление 4'!B90)</f>
        <v/>
      </c>
      <c r="C771" s="133"/>
      <c r="D771" s="131"/>
      <c r="E771" s="130" t="str">
        <f>IF('Направление 4'!C90="","",'Направление 4'!C90)</f>
        <v/>
      </c>
      <c r="F771" s="133"/>
      <c r="G771" s="131"/>
      <c r="H771" s="130" t="str">
        <f>IF('Направление 4'!D90="","",'Направление 4'!D90)</f>
        <v>х</v>
      </c>
      <c r="I771" s="131"/>
      <c r="J771" s="61" t="str">
        <f>IF('Направление 4'!E90=0,"",'Направление 4'!E90)</f>
        <v/>
      </c>
      <c r="K771" s="91"/>
    </row>
    <row r="772" spans="1:11" ht="150" customHeight="1" x14ac:dyDescent="0.3">
      <c r="A772" s="40">
        <v>6</v>
      </c>
      <c r="B772" s="144" t="str">
        <f>IF('Направление 4'!B91="","",'Направление 4'!B91)</f>
        <v/>
      </c>
      <c r="C772" s="133"/>
      <c r="D772" s="131"/>
      <c r="E772" s="130" t="str">
        <f>IF('Направление 4'!C91="","",'Направление 4'!C91)</f>
        <v/>
      </c>
      <c r="F772" s="133"/>
      <c r="G772" s="131"/>
      <c r="H772" s="130" t="str">
        <f>IF('Направление 4'!D91="","",'Направление 4'!D91)</f>
        <v>х</v>
      </c>
      <c r="I772" s="131"/>
      <c r="J772" s="61" t="str">
        <f>IF('Направление 4'!E91=0,"",'Направление 4'!E91)</f>
        <v/>
      </c>
      <c r="K772" s="91"/>
    </row>
    <row r="773" spans="1:11" ht="150" customHeight="1" x14ac:dyDescent="0.3">
      <c r="A773" s="40">
        <v>7</v>
      </c>
      <c r="B773" s="144" t="str">
        <f>IF('Направление 4'!B92="","",'Направление 4'!B92)</f>
        <v/>
      </c>
      <c r="C773" s="133"/>
      <c r="D773" s="131"/>
      <c r="E773" s="130" t="str">
        <f>IF('Направление 4'!C92="","",'Направление 4'!C92)</f>
        <v/>
      </c>
      <c r="F773" s="133"/>
      <c r="G773" s="131"/>
      <c r="H773" s="130" t="str">
        <f>IF('Направление 4'!D92="","",'Направление 4'!D92)</f>
        <v>х</v>
      </c>
      <c r="I773" s="131"/>
      <c r="J773" s="61" t="str">
        <f>IF('Направление 4'!E92=0,"",'Направление 4'!E92)</f>
        <v/>
      </c>
      <c r="K773" s="91"/>
    </row>
    <row r="774" spans="1:11" ht="150" customHeight="1" x14ac:dyDescent="0.3">
      <c r="A774" s="40">
        <v>8</v>
      </c>
      <c r="B774" s="144" t="str">
        <f>IF('Направление 4'!B93="","",'Направление 4'!B93)</f>
        <v/>
      </c>
      <c r="C774" s="133"/>
      <c r="D774" s="131"/>
      <c r="E774" s="130" t="str">
        <f>IF('Направление 4'!C93="","",'Направление 4'!C93)</f>
        <v/>
      </c>
      <c r="F774" s="133"/>
      <c r="G774" s="131"/>
      <c r="H774" s="130" t="str">
        <f>IF('Направление 4'!D93="","",'Направление 4'!D93)</f>
        <v>х</v>
      </c>
      <c r="I774" s="131"/>
      <c r="J774" s="61" t="str">
        <f>IF('Направление 4'!E93=0,"",'Направление 4'!E93)</f>
        <v/>
      </c>
      <c r="K774" s="91"/>
    </row>
    <row r="775" spans="1:11" ht="150" customHeight="1" x14ac:dyDescent="0.3">
      <c r="A775" s="40">
        <v>9</v>
      </c>
      <c r="B775" s="144" t="str">
        <f>IF('Направление 4'!B94="","",'Направление 4'!B94)</f>
        <v/>
      </c>
      <c r="C775" s="133"/>
      <c r="D775" s="131"/>
      <c r="E775" s="130" t="str">
        <f>IF('Направление 4'!C94="","",'Направление 4'!C94)</f>
        <v/>
      </c>
      <c r="F775" s="133"/>
      <c r="G775" s="131"/>
      <c r="H775" s="130" t="str">
        <f>IF('Направление 4'!D94="","",'Направление 4'!D94)</f>
        <v>х</v>
      </c>
      <c r="I775" s="131"/>
      <c r="J775" s="61" t="str">
        <f>IF('Направление 4'!E94=0,"",'Направление 4'!E94)</f>
        <v/>
      </c>
      <c r="K775" s="91"/>
    </row>
    <row r="776" spans="1:11" ht="150" customHeight="1" x14ac:dyDescent="0.3">
      <c r="A776" s="40">
        <v>10</v>
      </c>
      <c r="B776" s="144" t="str">
        <f>IF('Направление 4'!B95="","",'Направление 4'!B95)</f>
        <v/>
      </c>
      <c r="C776" s="133"/>
      <c r="D776" s="131"/>
      <c r="E776" s="130" t="str">
        <f>IF('Направление 4'!C95="","",'Направление 4'!C95)</f>
        <v/>
      </c>
      <c r="F776" s="133"/>
      <c r="G776" s="131"/>
      <c r="H776" s="130" t="str">
        <f>IF('Направление 4'!D95="","",'Направление 4'!D95)</f>
        <v>х</v>
      </c>
      <c r="I776" s="131"/>
      <c r="J776" s="61" t="str">
        <f>IF('Направление 4'!E95=0,"",'Направление 4'!E95)</f>
        <v/>
      </c>
      <c r="K776" s="91"/>
    </row>
    <row r="777" spans="1:11" ht="150" customHeight="1" x14ac:dyDescent="0.3">
      <c r="A777" s="40">
        <v>11</v>
      </c>
      <c r="B777" s="144" t="str">
        <f>IF('Направление 4'!B96="","",'Направление 4'!B96)</f>
        <v/>
      </c>
      <c r="C777" s="133"/>
      <c r="D777" s="131"/>
      <c r="E777" s="130" t="str">
        <f>IF('Направление 4'!C96="","",'Направление 4'!C96)</f>
        <v/>
      </c>
      <c r="F777" s="133"/>
      <c r="G777" s="131"/>
      <c r="H777" s="130" t="str">
        <f>IF('Направление 4'!D96="","",'Направление 4'!D96)</f>
        <v>х</v>
      </c>
      <c r="I777" s="131"/>
      <c r="J777" s="61" t="str">
        <f>IF('Направление 4'!E96=0,"",'Направление 4'!E96)</f>
        <v/>
      </c>
      <c r="K777" s="91"/>
    </row>
    <row r="778" spans="1:11" ht="150" customHeight="1" x14ac:dyDescent="0.3">
      <c r="A778" s="40">
        <v>12</v>
      </c>
      <c r="B778" s="144" t="str">
        <f>IF('Направление 4'!B97="","",'Направление 4'!B97)</f>
        <v/>
      </c>
      <c r="C778" s="133"/>
      <c r="D778" s="131"/>
      <c r="E778" s="130" t="str">
        <f>IF('Направление 4'!C97="","",'Направление 4'!C97)</f>
        <v/>
      </c>
      <c r="F778" s="133"/>
      <c r="G778" s="131"/>
      <c r="H778" s="130" t="str">
        <f>IF('Направление 4'!D97="","",'Направление 4'!D97)</f>
        <v>х</v>
      </c>
      <c r="I778" s="131"/>
      <c r="J778" s="61" t="str">
        <f>IF('Направление 4'!E97=0,"",'Направление 4'!E97)</f>
        <v/>
      </c>
      <c r="K778" s="91"/>
    </row>
    <row r="779" spans="1:11" ht="150" customHeight="1" x14ac:dyDescent="0.3">
      <c r="A779" s="40">
        <v>13</v>
      </c>
      <c r="B779" s="144" t="str">
        <f>IF('Направление 4'!B98="","",'Направление 4'!B98)</f>
        <v/>
      </c>
      <c r="C779" s="133"/>
      <c r="D779" s="131"/>
      <c r="E779" s="130" t="str">
        <f>IF('Направление 4'!C98="","",'Направление 4'!C98)</f>
        <v/>
      </c>
      <c r="F779" s="133"/>
      <c r="G779" s="131"/>
      <c r="H779" s="130" t="str">
        <f>IF('Направление 4'!D98="","",'Направление 4'!D98)</f>
        <v>х</v>
      </c>
      <c r="I779" s="131"/>
      <c r="J779" s="61" t="str">
        <f>IF('Направление 4'!E98=0,"",'Направление 4'!E98)</f>
        <v/>
      </c>
      <c r="K779" s="91"/>
    </row>
    <row r="780" spans="1:11" ht="150" customHeight="1" x14ac:dyDescent="0.3">
      <c r="A780" s="40">
        <v>14</v>
      </c>
      <c r="B780" s="144" t="str">
        <f>IF('Направление 4'!B99="","",'Направление 4'!B99)</f>
        <v/>
      </c>
      <c r="C780" s="133"/>
      <c r="D780" s="131"/>
      <c r="E780" s="130" t="str">
        <f>IF('Направление 4'!C99="","",'Направление 4'!C99)</f>
        <v/>
      </c>
      <c r="F780" s="133"/>
      <c r="G780" s="131"/>
      <c r="H780" s="130" t="str">
        <f>IF('Направление 4'!D99="","",'Направление 4'!D99)</f>
        <v>х</v>
      </c>
      <c r="I780" s="131"/>
      <c r="J780" s="61" t="str">
        <f>IF('Направление 4'!E99=0,"",'Направление 4'!E99)</f>
        <v/>
      </c>
      <c r="K780" s="91"/>
    </row>
    <row r="781" spans="1:11" ht="150" customHeight="1" x14ac:dyDescent="0.3">
      <c r="A781" s="40">
        <v>15</v>
      </c>
      <c r="B781" s="144" t="str">
        <f>IF('Направление 4'!B100="","",'Направление 4'!B100)</f>
        <v/>
      </c>
      <c r="C781" s="133"/>
      <c r="D781" s="131"/>
      <c r="E781" s="130" t="str">
        <f>IF('Направление 4'!C100="","",'Направление 4'!C100)</f>
        <v/>
      </c>
      <c r="F781" s="133"/>
      <c r="G781" s="131"/>
      <c r="H781" s="130" t="str">
        <f>IF('Направление 4'!D100="","",'Направление 4'!D100)</f>
        <v>х</v>
      </c>
      <c r="I781" s="131"/>
      <c r="J781" s="61" t="str">
        <f>IF('Направление 4'!E100=0,"",'Направление 4'!E100)</f>
        <v/>
      </c>
      <c r="K781" s="91"/>
    </row>
    <row r="782" spans="1:11" ht="150" customHeight="1" x14ac:dyDescent="0.3">
      <c r="A782" s="40">
        <v>16</v>
      </c>
      <c r="B782" s="144" t="str">
        <f>IF('Направление 4'!B101="","",'Направление 4'!B101)</f>
        <v/>
      </c>
      <c r="C782" s="133"/>
      <c r="D782" s="131"/>
      <c r="E782" s="130" t="str">
        <f>IF('Направление 4'!C101="","",'Направление 4'!C101)</f>
        <v/>
      </c>
      <c r="F782" s="133"/>
      <c r="G782" s="131"/>
      <c r="H782" s="130" t="str">
        <f>IF('Направление 4'!D101="","",'Направление 4'!D101)</f>
        <v>х</v>
      </c>
      <c r="I782" s="131"/>
      <c r="J782" s="61" t="str">
        <f>IF('Направление 4'!E101=0,"",'Направление 4'!E101)</f>
        <v/>
      </c>
      <c r="K782" s="91"/>
    </row>
    <row r="783" spans="1:11" ht="150" customHeight="1" x14ac:dyDescent="0.3">
      <c r="A783" s="40">
        <v>17</v>
      </c>
      <c r="B783" s="144" t="str">
        <f>IF('Направление 4'!B102="","",'Направление 4'!B102)</f>
        <v/>
      </c>
      <c r="C783" s="133"/>
      <c r="D783" s="131"/>
      <c r="E783" s="130" t="str">
        <f>IF('Направление 4'!C102="","",'Направление 4'!C102)</f>
        <v/>
      </c>
      <c r="F783" s="133"/>
      <c r="G783" s="131"/>
      <c r="H783" s="130" t="str">
        <f>IF('Направление 4'!D102="","",'Направление 4'!D102)</f>
        <v>х</v>
      </c>
      <c r="I783" s="131"/>
      <c r="J783" s="61" t="str">
        <f>IF('Направление 4'!E102=0,"",'Направление 4'!E102)</f>
        <v/>
      </c>
      <c r="K783" s="91"/>
    </row>
    <row r="784" spans="1:11" ht="150" customHeight="1" x14ac:dyDescent="0.3">
      <c r="A784" s="40">
        <v>18</v>
      </c>
      <c r="B784" s="144" t="str">
        <f>IF('Направление 4'!B103="","",'Направление 4'!B103)</f>
        <v/>
      </c>
      <c r="C784" s="133"/>
      <c r="D784" s="131"/>
      <c r="E784" s="130" t="str">
        <f>IF('Направление 4'!C103="","",'Направление 4'!C103)</f>
        <v/>
      </c>
      <c r="F784" s="133"/>
      <c r="G784" s="131"/>
      <c r="H784" s="130" t="str">
        <f>IF('Направление 4'!D103="","",'Направление 4'!D103)</f>
        <v>х</v>
      </c>
      <c r="I784" s="131"/>
      <c r="J784" s="61" t="str">
        <f>IF('Направление 4'!E103=0,"",'Направление 4'!E103)</f>
        <v/>
      </c>
      <c r="K784" s="91"/>
    </row>
    <row r="785" spans="1:11" ht="150" customHeight="1" x14ac:dyDescent="0.3">
      <c r="A785" s="40">
        <v>19</v>
      </c>
      <c r="B785" s="144" t="str">
        <f>IF('Направление 4'!B104="","",'Направление 4'!B104)</f>
        <v/>
      </c>
      <c r="C785" s="133"/>
      <c r="D785" s="131"/>
      <c r="E785" s="130" t="str">
        <f>IF('Направление 4'!C104="","",'Направление 4'!C104)</f>
        <v/>
      </c>
      <c r="F785" s="133"/>
      <c r="G785" s="131"/>
      <c r="H785" s="130" t="str">
        <f>IF('Направление 4'!D104="","",'Направление 4'!D104)</f>
        <v>х</v>
      </c>
      <c r="I785" s="131"/>
      <c r="J785" s="61" t="str">
        <f>IF('Направление 4'!E104=0,"",'Направление 4'!E104)</f>
        <v/>
      </c>
      <c r="K785" s="91"/>
    </row>
    <row r="786" spans="1:11" ht="150" customHeight="1" thickBot="1" x14ac:dyDescent="0.35">
      <c r="A786" s="41">
        <v>20</v>
      </c>
      <c r="B786" s="144" t="str">
        <f>IF('Направление 4'!B105="","",'Направление 4'!B105)</f>
        <v/>
      </c>
      <c r="C786" s="133"/>
      <c r="D786" s="131"/>
      <c r="E786" s="130" t="str">
        <f>IF('Направление 4'!C105="","",'Направление 4'!C105)</f>
        <v/>
      </c>
      <c r="F786" s="133"/>
      <c r="G786" s="131"/>
      <c r="H786" s="130" t="str">
        <f>IF('Направление 4'!D105="","",'Направление 4'!D105)</f>
        <v>х</v>
      </c>
      <c r="I786" s="131"/>
      <c r="J786" s="61" t="str">
        <f>IF('Направление 4'!E105=0,"",'Направление 4'!E105)</f>
        <v/>
      </c>
      <c r="K786" s="91"/>
    </row>
    <row r="787" spans="1:11" ht="150" customHeight="1" thickBot="1" x14ac:dyDescent="0.35">
      <c r="A787" s="41">
        <v>21</v>
      </c>
      <c r="B787" s="144" t="str">
        <f>IF('Направление 4'!B106="","",'Направление 4'!B106)</f>
        <v/>
      </c>
      <c r="C787" s="133"/>
      <c r="D787" s="131"/>
      <c r="E787" s="130" t="str">
        <f>IF('Направление 4'!C106="","",'Направление 4'!C106)</f>
        <v/>
      </c>
      <c r="F787" s="133"/>
      <c r="G787" s="131"/>
      <c r="H787" s="130" t="str">
        <f>IF('Направление 4'!D106="","",'Направление 4'!D106)</f>
        <v>х</v>
      </c>
      <c r="I787" s="131"/>
      <c r="J787" s="61" t="str">
        <f>IF('Направление 4'!E106=0,"",'Направление 4'!E106)</f>
        <v/>
      </c>
      <c r="K787" s="91"/>
    </row>
    <row r="788" spans="1:11" ht="150" customHeight="1" thickBot="1" x14ac:dyDescent="0.35">
      <c r="A788" s="41">
        <v>22</v>
      </c>
      <c r="B788" s="144" t="str">
        <f>IF('Направление 4'!B107="","",'Направление 4'!B107)</f>
        <v/>
      </c>
      <c r="C788" s="133"/>
      <c r="D788" s="131"/>
      <c r="E788" s="130" t="str">
        <f>IF('Направление 4'!C107="","",'Направление 4'!C107)</f>
        <v/>
      </c>
      <c r="F788" s="133"/>
      <c r="G788" s="131"/>
      <c r="H788" s="130" t="str">
        <f>IF('Направление 4'!D107="","",'Направление 4'!D107)</f>
        <v>х</v>
      </c>
      <c r="I788" s="131"/>
      <c r="J788" s="61" t="str">
        <f>IF('Направление 4'!E107=0,"",'Направление 4'!E107)</f>
        <v/>
      </c>
      <c r="K788" s="91"/>
    </row>
    <row r="789" spans="1:11" ht="150" customHeight="1" thickBot="1" x14ac:dyDescent="0.35">
      <c r="A789" s="41">
        <v>23</v>
      </c>
      <c r="B789" s="144" t="str">
        <f>IF('Направление 4'!B108="","",'Направление 4'!B108)</f>
        <v/>
      </c>
      <c r="C789" s="133"/>
      <c r="D789" s="131"/>
      <c r="E789" s="130" t="str">
        <f>IF('Направление 4'!C108="","",'Направление 4'!C108)</f>
        <v/>
      </c>
      <c r="F789" s="133"/>
      <c r="G789" s="131"/>
      <c r="H789" s="130" t="str">
        <f>IF('Направление 4'!D108="","",'Направление 4'!D108)</f>
        <v>х</v>
      </c>
      <c r="I789" s="131"/>
      <c r="J789" s="61" t="str">
        <f>IF('Направление 4'!E108=0,"",'Направление 4'!E108)</f>
        <v/>
      </c>
      <c r="K789" s="91"/>
    </row>
    <row r="790" spans="1:11" ht="150" customHeight="1" thickBot="1" x14ac:dyDescent="0.35">
      <c r="A790" s="41">
        <v>24</v>
      </c>
      <c r="B790" s="144" t="str">
        <f>IF('Направление 4'!B109="","",'Направление 4'!B109)</f>
        <v/>
      </c>
      <c r="C790" s="133"/>
      <c r="D790" s="131"/>
      <c r="E790" s="130" t="str">
        <f>IF('Направление 4'!C109="","",'Направление 4'!C109)</f>
        <v/>
      </c>
      <c r="F790" s="133"/>
      <c r="G790" s="131"/>
      <c r="H790" s="130" t="str">
        <f>IF('Направление 4'!D109="","",'Направление 4'!D109)</f>
        <v>х</v>
      </c>
      <c r="I790" s="131"/>
      <c r="J790" s="61" t="str">
        <f>IF('Направление 4'!E109=0,"",'Направление 4'!E109)</f>
        <v/>
      </c>
      <c r="K790" s="91"/>
    </row>
    <row r="791" spans="1:11" ht="150" customHeight="1" thickBot="1" x14ac:dyDescent="0.35">
      <c r="A791" s="41">
        <v>25</v>
      </c>
      <c r="B791" s="144" t="str">
        <f>IF('Направление 4'!B110="","",'Направление 4'!B110)</f>
        <v/>
      </c>
      <c r="C791" s="133"/>
      <c r="D791" s="131"/>
      <c r="E791" s="130" t="str">
        <f>IF('Направление 4'!C110="","",'Направление 4'!C110)</f>
        <v/>
      </c>
      <c r="F791" s="133"/>
      <c r="G791" s="131"/>
      <c r="H791" s="130" t="str">
        <f>IF('Направление 4'!D110="","",'Направление 4'!D110)</f>
        <v>х</v>
      </c>
      <c r="I791" s="131"/>
      <c r="J791" s="61" t="str">
        <f>IF('Направление 4'!E110=0,"",'Направление 4'!E110)</f>
        <v/>
      </c>
      <c r="K791" s="91"/>
    </row>
    <row r="792" spans="1:11" ht="150" customHeight="1" thickBot="1" x14ac:dyDescent="0.35">
      <c r="A792" s="41">
        <v>26</v>
      </c>
      <c r="B792" s="144" t="str">
        <f>IF('Направление 4'!B111="","",'Направление 4'!B111)</f>
        <v/>
      </c>
      <c r="C792" s="133"/>
      <c r="D792" s="131"/>
      <c r="E792" s="130" t="str">
        <f>IF('Направление 4'!C111="","",'Направление 4'!C111)</f>
        <v/>
      </c>
      <c r="F792" s="133"/>
      <c r="G792" s="131"/>
      <c r="H792" s="130" t="str">
        <f>IF('Направление 4'!D111="","",'Направление 4'!D111)</f>
        <v>х</v>
      </c>
      <c r="I792" s="131"/>
      <c r="J792" s="61" t="str">
        <f>IF('Направление 4'!E111=0,"",'Направление 4'!E111)</f>
        <v/>
      </c>
      <c r="K792" s="91"/>
    </row>
    <row r="793" spans="1:11" ht="150" customHeight="1" thickBot="1" x14ac:dyDescent="0.35">
      <c r="A793" s="41">
        <v>27</v>
      </c>
      <c r="B793" s="144" t="str">
        <f>IF('Направление 4'!B112="","",'Направление 4'!B112)</f>
        <v/>
      </c>
      <c r="C793" s="133"/>
      <c r="D793" s="131"/>
      <c r="E793" s="130" t="str">
        <f>IF('Направление 4'!C112="","",'Направление 4'!C112)</f>
        <v/>
      </c>
      <c r="F793" s="133"/>
      <c r="G793" s="131"/>
      <c r="H793" s="130" t="str">
        <f>IF('Направление 4'!D112="","",'Направление 4'!D112)</f>
        <v>х</v>
      </c>
      <c r="I793" s="131"/>
      <c r="J793" s="61" t="str">
        <f>IF('Направление 4'!E112=0,"",'Направление 4'!E112)</f>
        <v/>
      </c>
      <c r="K793" s="91"/>
    </row>
    <row r="794" spans="1:11" ht="150" customHeight="1" thickBot="1" x14ac:dyDescent="0.35">
      <c r="A794" s="41">
        <v>28</v>
      </c>
      <c r="B794" s="144" t="str">
        <f>IF('Направление 4'!B113="","",'Направление 4'!B113)</f>
        <v/>
      </c>
      <c r="C794" s="133"/>
      <c r="D794" s="131"/>
      <c r="E794" s="130" t="str">
        <f>IF('Направление 4'!C113="","",'Направление 4'!C113)</f>
        <v/>
      </c>
      <c r="F794" s="133"/>
      <c r="G794" s="131"/>
      <c r="H794" s="130" t="str">
        <f>IF('Направление 4'!D113="","",'Направление 4'!D113)</f>
        <v>х</v>
      </c>
      <c r="I794" s="131"/>
      <c r="J794" s="61" t="str">
        <f>IF('Направление 4'!E113=0,"",'Направление 4'!E113)</f>
        <v/>
      </c>
      <c r="K794" s="91"/>
    </row>
    <row r="795" spans="1:11" ht="150" customHeight="1" thickBot="1" x14ac:dyDescent="0.35">
      <c r="A795" s="41">
        <v>29</v>
      </c>
      <c r="B795" s="144" t="str">
        <f>IF('Направление 4'!B114="","",'Направление 4'!B114)</f>
        <v/>
      </c>
      <c r="C795" s="133"/>
      <c r="D795" s="131"/>
      <c r="E795" s="130" t="str">
        <f>IF('Направление 4'!C114="","",'Направление 4'!C114)</f>
        <v/>
      </c>
      <c r="F795" s="133"/>
      <c r="G795" s="131"/>
      <c r="H795" s="130" t="str">
        <f>IF('Направление 4'!D114="","",'Направление 4'!D114)</f>
        <v>х</v>
      </c>
      <c r="I795" s="131"/>
      <c r="J795" s="61" t="str">
        <f>IF('Направление 4'!E114=0,"",'Направление 4'!E114)</f>
        <v/>
      </c>
      <c r="K795" s="91"/>
    </row>
    <row r="796" spans="1:11" ht="150" customHeight="1" thickBot="1" x14ac:dyDescent="0.35">
      <c r="A796" s="41">
        <v>30</v>
      </c>
      <c r="B796" s="144" t="str">
        <f>IF('Направление 4'!B115="","",'Направление 4'!B115)</f>
        <v/>
      </c>
      <c r="C796" s="133"/>
      <c r="D796" s="131"/>
      <c r="E796" s="130" t="str">
        <f>IF('Направление 4'!C115="","",'Направление 4'!C115)</f>
        <v/>
      </c>
      <c r="F796" s="133"/>
      <c r="G796" s="131"/>
      <c r="H796" s="130" t="str">
        <f>IF('Направление 4'!D115="","",'Направление 4'!D115)</f>
        <v>х</v>
      </c>
      <c r="I796" s="131"/>
      <c r="J796" s="61" t="str">
        <f>IF('Направление 4'!E115=0,"",'Направление 4'!E115)</f>
        <v/>
      </c>
      <c r="K796" s="91"/>
    </row>
    <row r="797" spans="1:11" ht="150" customHeight="1" thickBot="1" x14ac:dyDescent="0.35">
      <c r="A797" s="41">
        <v>31</v>
      </c>
      <c r="B797" s="144" t="str">
        <f>IF('Направление 4'!B116="","",'Направление 4'!B116)</f>
        <v/>
      </c>
      <c r="C797" s="133"/>
      <c r="D797" s="131"/>
      <c r="E797" s="130" t="str">
        <f>IF('Направление 4'!C116="","",'Направление 4'!C116)</f>
        <v/>
      </c>
      <c r="F797" s="133"/>
      <c r="G797" s="131"/>
      <c r="H797" s="130" t="str">
        <f>IF('Направление 4'!D116="","",'Направление 4'!D116)</f>
        <v>х</v>
      </c>
      <c r="I797" s="131"/>
      <c r="J797" s="61" t="str">
        <f>IF('Направление 4'!E116=0,"",'Направление 4'!E116)</f>
        <v/>
      </c>
      <c r="K797" s="91"/>
    </row>
    <row r="798" spans="1:11" ht="150" customHeight="1" thickBot="1" x14ac:dyDescent="0.35">
      <c r="A798" s="41">
        <v>32</v>
      </c>
      <c r="B798" s="144" t="str">
        <f>IF('Направление 4'!B117="","",'Направление 4'!B117)</f>
        <v/>
      </c>
      <c r="C798" s="133"/>
      <c r="D798" s="131"/>
      <c r="E798" s="130" t="str">
        <f>IF('Направление 4'!C117="","",'Направление 4'!C117)</f>
        <v/>
      </c>
      <c r="F798" s="133"/>
      <c r="G798" s="131"/>
      <c r="H798" s="130" t="str">
        <f>IF('Направление 4'!D117="","",'Направление 4'!D117)</f>
        <v>х</v>
      </c>
      <c r="I798" s="131"/>
      <c r="J798" s="61" t="str">
        <f>IF('Направление 4'!E117=0,"",'Направление 4'!E117)</f>
        <v/>
      </c>
      <c r="K798" s="91"/>
    </row>
    <row r="799" spans="1:11" ht="150" customHeight="1" thickBot="1" x14ac:dyDescent="0.35">
      <c r="A799" s="41">
        <v>33</v>
      </c>
      <c r="B799" s="144" t="str">
        <f>IF('Направление 4'!B118="","",'Направление 4'!B118)</f>
        <v/>
      </c>
      <c r="C799" s="133"/>
      <c r="D799" s="131"/>
      <c r="E799" s="130" t="str">
        <f>IF('Направление 4'!C118="","",'Направление 4'!C118)</f>
        <v/>
      </c>
      <c r="F799" s="133"/>
      <c r="G799" s="131"/>
      <c r="H799" s="130" t="str">
        <f>IF('Направление 4'!D118="","",'Направление 4'!D118)</f>
        <v>х</v>
      </c>
      <c r="I799" s="131"/>
      <c r="J799" s="61" t="str">
        <f>IF('Направление 4'!E118=0,"",'Направление 4'!E118)</f>
        <v/>
      </c>
      <c r="K799" s="91"/>
    </row>
    <row r="800" spans="1:11" ht="150" customHeight="1" thickBot="1" x14ac:dyDescent="0.35">
      <c r="A800" s="41">
        <v>34</v>
      </c>
      <c r="B800" s="144" t="str">
        <f>IF('Направление 4'!B119="","",'Направление 4'!B119)</f>
        <v/>
      </c>
      <c r="C800" s="133"/>
      <c r="D800" s="131"/>
      <c r="E800" s="130" t="str">
        <f>IF('Направление 4'!C119="","",'Направление 4'!C119)</f>
        <v/>
      </c>
      <c r="F800" s="133"/>
      <c r="G800" s="131"/>
      <c r="H800" s="130" t="str">
        <f>IF('Направление 4'!D119="","",'Направление 4'!D119)</f>
        <v>х</v>
      </c>
      <c r="I800" s="131"/>
      <c r="J800" s="61" t="str">
        <f>IF('Направление 4'!E119=0,"",'Направление 4'!E119)</f>
        <v/>
      </c>
      <c r="K800" s="91"/>
    </row>
    <row r="801" spans="1:11" ht="150" customHeight="1" thickBot="1" x14ac:dyDescent="0.35">
      <c r="A801" s="41">
        <v>35</v>
      </c>
      <c r="B801" s="144" t="str">
        <f>IF('Направление 4'!B120="","",'Направление 4'!B120)</f>
        <v/>
      </c>
      <c r="C801" s="133"/>
      <c r="D801" s="131"/>
      <c r="E801" s="130" t="str">
        <f>IF('Направление 4'!C120="","",'Направление 4'!C120)</f>
        <v/>
      </c>
      <c r="F801" s="133"/>
      <c r="G801" s="131"/>
      <c r="H801" s="130" t="str">
        <f>IF('Направление 4'!D120="","",'Направление 4'!D120)</f>
        <v>х</v>
      </c>
      <c r="I801" s="131"/>
      <c r="J801" s="61" t="str">
        <f>IF('Направление 4'!E120=0,"",'Направление 4'!E120)</f>
        <v/>
      </c>
      <c r="K801" s="91"/>
    </row>
    <row r="802" spans="1:11" ht="150" customHeight="1" thickBot="1" x14ac:dyDescent="0.35">
      <c r="A802" s="41">
        <v>36</v>
      </c>
      <c r="B802" s="144" t="str">
        <f>IF('Направление 4'!B121="","",'Направление 4'!B121)</f>
        <v/>
      </c>
      <c r="C802" s="133"/>
      <c r="D802" s="131"/>
      <c r="E802" s="130" t="str">
        <f>IF('Направление 4'!C121="","",'Направление 4'!C121)</f>
        <v/>
      </c>
      <c r="F802" s="133"/>
      <c r="G802" s="131"/>
      <c r="H802" s="130" t="str">
        <f>IF('Направление 4'!D121="","",'Направление 4'!D121)</f>
        <v>х</v>
      </c>
      <c r="I802" s="131"/>
      <c r="J802" s="61" t="str">
        <f>IF('Направление 4'!E121=0,"",'Направление 4'!E121)</f>
        <v/>
      </c>
      <c r="K802" s="91"/>
    </row>
    <row r="803" spans="1:11" ht="150" customHeight="1" thickBot="1" x14ac:dyDescent="0.35">
      <c r="A803" s="41">
        <v>37</v>
      </c>
      <c r="B803" s="144" t="str">
        <f>IF('Направление 4'!B122="","",'Направление 4'!B122)</f>
        <v/>
      </c>
      <c r="C803" s="133"/>
      <c r="D803" s="131"/>
      <c r="E803" s="130" t="str">
        <f>IF('Направление 4'!C122="","",'Направление 4'!C122)</f>
        <v/>
      </c>
      <c r="F803" s="133"/>
      <c r="G803" s="131"/>
      <c r="H803" s="130" t="str">
        <f>IF('Направление 4'!D122="","",'Направление 4'!D122)</f>
        <v>х</v>
      </c>
      <c r="I803" s="131"/>
      <c r="J803" s="61" t="str">
        <f>IF('Направление 4'!E122=0,"",'Направление 4'!E122)</f>
        <v/>
      </c>
      <c r="K803" s="91"/>
    </row>
    <row r="804" spans="1:11" ht="150" customHeight="1" thickBot="1" x14ac:dyDescent="0.35">
      <c r="A804" s="41">
        <v>38</v>
      </c>
      <c r="B804" s="144" t="str">
        <f>IF('Направление 4'!B123="","",'Направление 4'!B123)</f>
        <v/>
      </c>
      <c r="C804" s="133"/>
      <c r="D804" s="131"/>
      <c r="E804" s="130" t="str">
        <f>IF('Направление 4'!C123="","",'Направление 4'!C123)</f>
        <v/>
      </c>
      <c r="F804" s="133"/>
      <c r="G804" s="131"/>
      <c r="H804" s="130" t="str">
        <f>IF('Направление 4'!D123="","",'Направление 4'!D123)</f>
        <v>х</v>
      </c>
      <c r="I804" s="131"/>
      <c r="J804" s="61" t="str">
        <f>IF('Направление 4'!E123=0,"",'Направление 4'!E123)</f>
        <v/>
      </c>
      <c r="K804" s="91"/>
    </row>
    <row r="805" spans="1:11" ht="150" customHeight="1" thickBot="1" x14ac:dyDescent="0.35">
      <c r="A805" s="41">
        <v>39</v>
      </c>
      <c r="B805" s="144" t="str">
        <f>IF('Направление 4'!B124="","",'Направление 4'!B124)</f>
        <v/>
      </c>
      <c r="C805" s="133"/>
      <c r="D805" s="131"/>
      <c r="E805" s="130" t="str">
        <f>IF('Направление 4'!C124="","",'Направление 4'!C124)</f>
        <v/>
      </c>
      <c r="F805" s="133"/>
      <c r="G805" s="131"/>
      <c r="H805" s="130" t="str">
        <f>IF('Направление 4'!D124="","",'Направление 4'!D124)</f>
        <v>х</v>
      </c>
      <c r="I805" s="131"/>
      <c r="J805" s="61" t="str">
        <f>IF('Направление 4'!E124=0,"",'Направление 4'!E124)</f>
        <v/>
      </c>
      <c r="K805" s="91"/>
    </row>
    <row r="806" spans="1:11" ht="150" customHeight="1" thickBot="1" x14ac:dyDescent="0.35">
      <c r="A806" s="41">
        <v>40</v>
      </c>
      <c r="B806" s="144" t="str">
        <f>IF('Направление 4'!B125="","",'Направление 4'!B125)</f>
        <v/>
      </c>
      <c r="C806" s="133"/>
      <c r="D806" s="131"/>
      <c r="E806" s="130" t="str">
        <f>IF('Направление 4'!C125="","",'Направление 4'!C125)</f>
        <v/>
      </c>
      <c r="F806" s="133"/>
      <c r="G806" s="131"/>
      <c r="H806" s="130" t="str">
        <f>IF('Направление 4'!D125="","",'Направление 4'!D125)</f>
        <v>х</v>
      </c>
      <c r="I806" s="131"/>
      <c r="J806" s="61" t="str">
        <f>IF('Направление 4'!E125=0,"",'Направление 4'!E125)</f>
        <v/>
      </c>
      <c r="K806" s="91"/>
    </row>
    <row r="807" spans="1:11" ht="16.5" customHeight="1" thickBot="1" x14ac:dyDescent="0.35">
      <c r="A807" s="42"/>
      <c r="B807" s="151" t="s">
        <v>60</v>
      </c>
      <c r="C807" s="135"/>
      <c r="D807" s="135"/>
      <c r="E807" s="135"/>
      <c r="F807" s="135"/>
      <c r="G807" s="135"/>
      <c r="H807" s="135"/>
      <c r="I807" s="135"/>
      <c r="J807" s="136"/>
      <c r="K807" s="91"/>
    </row>
    <row r="808" spans="1:11" ht="33.6" customHeight="1" thickBot="1" x14ac:dyDescent="0.35">
      <c r="A808" s="42"/>
      <c r="B808" s="155" t="s">
        <v>61</v>
      </c>
      <c r="C808" s="156"/>
      <c r="D808" s="157"/>
      <c r="E808" s="142" t="s">
        <v>62</v>
      </c>
      <c r="F808" s="158"/>
      <c r="G808" s="143"/>
      <c r="H808" s="142"/>
      <c r="I808" s="143"/>
      <c r="J808" s="89" t="s">
        <v>56</v>
      </c>
      <c r="K808" s="91"/>
    </row>
    <row r="809" spans="1:11" ht="150" customHeight="1" x14ac:dyDescent="0.3">
      <c r="A809" s="39">
        <v>1</v>
      </c>
      <c r="B809" s="144" t="str">
        <f>IF('Направление 4'!B128="","",'Направление 4'!B128)</f>
        <v/>
      </c>
      <c r="C809" s="133"/>
      <c r="D809" s="131"/>
      <c r="E809" s="130" t="str">
        <f>IF('Направление 4'!C128="","",'Направление 4'!C128)</f>
        <v/>
      </c>
      <c r="F809" s="133"/>
      <c r="G809" s="131"/>
      <c r="H809" s="130" t="str">
        <f>IF('Направление 4'!D128="","",'Направление 4'!D128)</f>
        <v>х</v>
      </c>
      <c r="I809" s="131"/>
      <c r="J809" s="61" t="str">
        <f>IF('Направление 4'!E128=0,"",'Направление 4'!E128)</f>
        <v/>
      </c>
      <c r="K809" s="91"/>
    </row>
    <row r="810" spans="1:11" ht="150" customHeight="1" x14ac:dyDescent="0.3">
      <c r="A810" s="40">
        <v>2</v>
      </c>
      <c r="B810" s="144" t="str">
        <f>IF('Направление 4'!B129="","",'Направление 4'!B129)</f>
        <v/>
      </c>
      <c r="C810" s="133"/>
      <c r="D810" s="131"/>
      <c r="E810" s="130" t="str">
        <f>IF('Направление 4'!C129="","",'Направление 4'!C129)</f>
        <v/>
      </c>
      <c r="F810" s="133"/>
      <c r="G810" s="131"/>
      <c r="H810" s="130" t="str">
        <f>IF('Направление 4'!D129="","",'Направление 4'!D129)</f>
        <v>х</v>
      </c>
      <c r="I810" s="131"/>
      <c r="J810" s="61" t="str">
        <f>IF('Направление 4'!E129=0,"",'Направление 4'!E129)</f>
        <v/>
      </c>
      <c r="K810" s="91"/>
    </row>
    <row r="811" spans="1:11" ht="150" customHeight="1" x14ac:dyDescent="0.3">
      <c r="A811" s="40">
        <v>3</v>
      </c>
      <c r="B811" s="144" t="str">
        <f>IF('Направление 4'!B130="","",'Направление 4'!B130)</f>
        <v/>
      </c>
      <c r="C811" s="133"/>
      <c r="D811" s="131"/>
      <c r="E811" s="130" t="str">
        <f>IF('Направление 4'!C130="","",'Направление 4'!C130)</f>
        <v/>
      </c>
      <c r="F811" s="133"/>
      <c r="G811" s="131"/>
      <c r="H811" s="130" t="str">
        <f>IF('Направление 4'!D130="","",'Направление 4'!D130)</f>
        <v>х</v>
      </c>
      <c r="I811" s="131"/>
      <c r="J811" s="61" t="str">
        <f>IF('Направление 4'!E130=0,"",'Направление 4'!E130)</f>
        <v/>
      </c>
      <c r="K811" s="91"/>
    </row>
    <row r="812" spans="1:11" ht="150" customHeight="1" x14ac:dyDescent="0.3">
      <c r="A812" s="40">
        <v>4</v>
      </c>
      <c r="B812" s="144" t="str">
        <f>IF('Направление 4'!B131="","",'Направление 4'!B131)</f>
        <v/>
      </c>
      <c r="C812" s="133"/>
      <c r="D812" s="131"/>
      <c r="E812" s="130" t="str">
        <f>IF('Направление 4'!C131="","",'Направление 4'!C131)</f>
        <v/>
      </c>
      <c r="F812" s="133"/>
      <c r="G812" s="131"/>
      <c r="H812" s="130" t="str">
        <f>IF('Направление 4'!D131="","",'Направление 4'!D131)</f>
        <v>х</v>
      </c>
      <c r="I812" s="131"/>
      <c r="J812" s="61" t="str">
        <f>IF('Направление 4'!E131=0,"",'Направление 4'!E131)</f>
        <v/>
      </c>
      <c r="K812" s="91"/>
    </row>
    <row r="813" spans="1:11" ht="150" customHeight="1" x14ac:dyDescent="0.3">
      <c r="A813" s="40">
        <v>5</v>
      </c>
      <c r="B813" s="144" t="str">
        <f>IF('Направление 4'!B132="","",'Направление 4'!B132)</f>
        <v/>
      </c>
      <c r="C813" s="133"/>
      <c r="D813" s="131"/>
      <c r="E813" s="130" t="str">
        <f>IF('Направление 4'!C132="","",'Направление 4'!C132)</f>
        <v/>
      </c>
      <c r="F813" s="133"/>
      <c r="G813" s="131"/>
      <c r="H813" s="130" t="str">
        <f>IF('Направление 4'!D132="","",'Направление 4'!D132)</f>
        <v>х</v>
      </c>
      <c r="I813" s="131"/>
      <c r="J813" s="61" t="str">
        <f>IF('Направление 4'!E132=0,"",'Направление 4'!E132)</f>
        <v/>
      </c>
      <c r="K813" s="91"/>
    </row>
    <row r="814" spans="1:11" ht="150" customHeight="1" x14ac:dyDescent="0.3">
      <c r="A814" s="40">
        <v>6</v>
      </c>
      <c r="B814" s="144" t="str">
        <f>IF('Направление 4'!B133="","",'Направление 4'!B133)</f>
        <v/>
      </c>
      <c r="C814" s="133"/>
      <c r="D814" s="131"/>
      <c r="E814" s="130" t="str">
        <f>IF('Направление 4'!C133="","",'Направление 4'!C133)</f>
        <v/>
      </c>
      <c r="F814" s="133"/>
      <c r="G814" s="131"/>
      <c r="H814" s="130" t="str">
        <f>IF('Направление 4'!D133="","",'Направление 4'!D133)</f>
        <v>х</v>
      </c>
      <c r="I814" s="131"/>
      <c r="J814" s="61" t="str">
        <f>IF('Направление 4'!E133=0,"",'Направление 4'!E133)</f>
        <v/>
      </c>
      <c r="K814" s="91"/>
    </row>
    <row r="815" spans="1:11" ht="150" customHeight="1" x14ac:dyDescent="0.3">
      <c r="A815" s="40">
        <v>7</v>
      </c>
      <c r="B815" s="144" t="str">
        <f>IF('Направление 4'!B134="","",'Направление 4'!B134)</f>
        <v/>
      </c>
      <c r="C815" s="133"/>
      <c r="D815" s="131"/>
      <c r="E815" s="130" t="str">
        <f>IF('Направление 4'!C134="","",'Направление 4'!C134)</f>
        <v/>
      </c>
      <c r="F815" s="133"/>
      <c r="G815" s="131"/>
      <c r="H815" s="130" t="str">
        <f>IF('Направление 4'!D134="","",'Направление 4'!D134)</f>
        <v>х</v>
      </c>
      <c r="I815" s="131"/>
      <c r="J815" s="61" t="str">
        <f>IF('Направление 4'!E134=0,"",'Направление 4'!E134)</f>
        <v/>
      </c>
      <c r="K815" s="91"/>
    </row>
    <row r="816" spans="1:11" ht="150" customHeight="1" x14ac:dyDescent="0.3">
      <c r="A816" s="40">
        <v>8</v>
      </c>
      <c r="B816" s="144" t="str">
        <f>IF('Направление 4'!B135="","",'Направление 4'!B135)</f>
        <v/>
      </c>
      <c r="C816" s="133"/>
      <c r="D816" s="131"/>
      <c r="E816" s="130" t="str">
        <f>IF('Направление 4'!C135="","",'Направление 4'!C135)</f>
        <v/>
      </c>
      <c r="F816" s="133"/>
      <c r="G816" s="131"/>
      <c r="H816" s="130" t="str">
        <f>IF('Направление 4'!D135="","",'Направление 4'!D135)</f>
        <v>х</v>
      </c>
      <c r="I816" s="131"/>
      <c r="J816" s="61" t="str">
        <f>IF('Направление 4'!E135=0,"",'Направление 4'!E135)</f>
        <v/>
      </c>
      <c r="K816" s="91"/>
    </row>
    <row r="817" spans="1:11" ht="150" customHeight="1" x14ac:dyDescent="0.3">
      <c r="A817" s="40">
        <v>9</v>
      </c>
      <c r="B817" s="144" t="str">
        <f>IF('Направление 4'!B136="","",'Направление 4'!B136)</f>
        <v/>
      </c>
      <c r="C817" s="133"/>
      <c r="D817" s="131"/>
      <c r="E817" s="130" t="str">
        <f>IF('Направление 4'!C136="","",'Направление 4'!C136)</f>
        <v/>
      </c>
      <c r="F817" s="133"/>
      <c r="G817" s="131"/>
      <c r="H817" s="130" t="str">
        <f>IF('Направление 4'!D136="","",'Направление 4'!D136)</f>
        <v>х</v>
      </c>
      <c r="I817" s="131"/>
      <c r="J817" s="61" t="str">
        <f>IF('Направление 4'!E136=0,"",'Направление 4'!E136)</f>
        <v/>
      </c>
      <c r="K817" s="91"/>
    </row>
    <row r="818" spans="1:11" ht="150" customHeight="1" x14ac:dyDescent="0.3">
      <c r="A818" s="40">
        <v>10</v>
      </c>
      <c r="B818" s="144" t="str">
        <f>IF('Направление 4'!B137="","",'Направление 4'!B137)</f>
        <v/>
      </c>
      <c r="C818" s="133"/>
      <c r="D818" s="131"/>
      <c r="E818" s="130" t="str">
        <f>IF('Направление 4'!C137="","",'Направление 4'!C137)</f>
        <v/>
      </c>
      <c r="F818" s="133"/>
      <c r="G818" s="131"/>
      <c r="H818" s="130" t="str">
        <f>IF('Направление 4'!D137="","",'Направление 4'!D137)</f>
        <v>х</v>
      </c>
      <c r="I818" s="131"/>
      <c r="J818" s="61" t="str">
        <f>IF('Направление 4'!E137=0,"",'Направление 4'!E137)</f>
        <v/>
      </c>
      <c r="K818" s="91"/>
    </row>
    <row r="819" spans="1:11" ht="150" customHeight="1" x14ac:dyDescent="0.3">
      <c r="A819" s="40">
        <v>11</v>
      </c>
      <c r="B819" s="144" t="str">
        <f>IF('Направление 4'!B138="","",'Направление 4'!B138)</f>
        <v/>
      </c>
      <c r="C819" s="133"/>
      <c r="D819" s="131"/>
      <c r="E819" s="130" t="str">
        <f>IF('Направление 4'!C138="","",'Направление 4'!C138)</f>
        <v/>
      </c>
      <c r="F819" s="133"/>
      <c r="G819" s="131"/>
      <c r="H819" s="130" t="str">
        <f>IF('Направление 4'!D138="","",'Направление 4'!D138)</f>
        <v>х</v>
      </c>
      <c r="I819" s="131"/>
      <c r="J819" s="61" t="str">
        <f>IF('Направление 4'!E138=0,"",'Направление 4'!E138)</f>
        <v/>
      </c>
      <c r="K819" s="91"/>
    </row>
    <row r="820" spans="1:11" ht="150" customHeight="1" x14ac:dyDescent="0.3">
      <c r="A820" s="40">
        <v>12</v>
      </c>
      <c r="B820" s="144" t="str">
        <f>IF('Направление 4'!B139="","",'Направление 4'!B139)</f>
        <v/>
      </c>
      <c r="C820" s="133"/>
      <c r="D820" s="131"/>
      <c r="E820" s="130" t="str">
        <f>IF('Направление 4'!C139="","",'Направление 4'!C139)</f>
        <v/>
      </c>
      <c r="F820" s="133"/>
      <c r="G820" s="131"/>
      <c r="H820" s="130" t="str">
        <f>IF('Направление 4'!D139="","",'Направление 4'!D139)</f>
        <v>х</v>
      </c>
      <c r="I820" s="131"/>
      <c r="J820" s="61" t="str">
        <f>IF('Направление 4'!E139=0,"",'Направление 4'!E139)</f>
        <v/>
      </c>
      <c r="K820" s="91"/>
    </row>
    <row r="821" spans="1:11" ht="150" customHeight="1" x14ac:dyDescent="0.3">
      <c r="A821" s="40">
        <v>13</v>
      </c>
      <c r="B821" s="144" t="str">
        <f>IF('Направление 4'!B140="","",'Направление 4'!B140)</f>
        <v/>
      </c>
      <c r="C821" s="133"/>
      <c r="D821" s="131"/>
      <c r="E821" s="130" t="str">
        <f>IF('Направление 4'!C140="","",'Направление 4'!C140)</f>
        <v/>
      </c>
      <c r="F821" s="133"/>
      <c r="G821" s="131"/>
      <c r="H821" s="130" t="str">
        <f>IF('Направление 4'!D140="","",'Направление 4'!D140)</f>
        <v>х</v>
      </c>
      <c r="I821" s="131"/>
      <c r="J821" s="61" t="str">
        <f>IF('Направление 4'!E140=0,"",'Направление 4'!E140)</f>
        <v/>
      </c>
      <c r="K821" s="91"/>
    </row>
    <row r="822" spans="1:11" ht="150" customHeight="1" x14ac:dyDescent="0.3">
      <c r="A822" s="40">
        <v>14</v>
      </c>
      <c r="B822" s="144" t="str">
        <f>IF('Направление 4'!B141="","",'Направление 4'!B141)</f>
        <v/>
      </c>
      <c r="C822" s="133"/>
      <c r="D822" s="131"/>
      <c r="E822" s="130" t="str">
        <f>IF('Направление 4'!C141="","",'Направление 4'!C141)</f>
        <v/>
      </c>
      <c r="F822" s="133"/>
      <c r="G822" s="131"/>
      <c r="H822" s="130" t="str">
        <f>IF('Направление 4'!D141="","",'Направление 4'!D141)</f>
        <v>х</v>
      </c>
      <c r="I822" s="131"/>
      <c r="J822" s="61" t="str">
        <f>IF('Направление 4'!E141=0,"",'Направление 4'!E141)</f>
        <v/>
      </c>
      <c r="K822" s="91"/>
    </row>
    <row r="823" spans="1:11" ht="150" customHeight="1" x14ac:dyDescent="0.3">
      <c r="A823" s="40">
        <v>15</v>
      </c>
      <c r="B823" s="144" t="str">
        <f>IF('Направление 4'!B142="","",'Направление 4'!B142)</f>
        <v/>
      </c>
      <c r="C823" s="133"/>
      <c r="D823" s="131"/>
      <c r="E823" s="130" t="str">
        <f>IF('Направление 4'!C142="","",'Направление 4'!C142)</f>
        <v/>
      </c>
      <c r="F823" s="133"/>
      <c r="G823" s="131"/>
      <c r="H823" s="130" t="str">
        <f>IF('Направление 4'!D142="","",'Направление 4'!D142)</f>
        <v>х</v>
      </c>
      <c r="I823" s="131"/>
      <c r="J823" s="61" t="str">
        <f>IF('Направление 4'!E142=0,"",'Направление 4'!E142)</f>
        <v/>
      </c>
      <c r="K823" s="91"/>
    </row>
    <row r="824" spans="1:11" ht="150" customHeight="1" x14ac:dyDescent="0.3">
      <c r="A824" s="40">
        <v>16</v>
      </c>
      <c r="B824" s="144" t="str">
        <f>IF('Направление 4'!B143="","",'Направление 4'!B143)</f>
        <v/>
      </c>
      <c r="C824" s="133"/>
      <c r="D824" s="131"/>
      <c r="E824" s="130" t="str">
        <f>IF('Направление 4'!C143="","",'Направление 4'!C143)</f>
        <v/>
      </c>
      <c r="F824" s="133"/>
      <c r="G824" s="131"/>
      <c r="H824" s="130" t="str">
        <f>IF('Направление 4'!D143="","",'Направление 4'!D143)</f>
        <v>х</v>
      </c>
      <c r="I824" s="131"/>
      <c r="J824" s="61" t="str">
        <f>IF('Направление 4'!E143=0,"",'Направление 4'!E143)</f>
        <v/>
      </c>
      <c r="K824" s="91"/>
    </row>
    <row r="825" spans="1:11" ht="150" customHeight="1" x14ac:dyDescent="0.3">
      <c r="A825" s="40">
        <v>17</v>
      </c>
      <c r="B825" s="144" t="str">
        <f>IF('Направление 4'!B144="","",'Направление 4'!B144)</f>
        <v/>
      </c>
      <c r="C825" s="133"/>
      <c r="D825" s="131"/>
      <c r="E825" s="130" t="str">
        <f>IF('Направление 4'!C144="","",'Направление 4'!C144)</f>
        <v/>
      </c>
      <c r="F825" s="133"/>
      <c r="G825" s="131"/>
      <c r="H825" s="130" t="str">
        <f>IF('Направление 4'!D144="","",'Направление 4'!D144)</f>
        <v>х</v>
      </c>
      <c r="I825" s="131"/>
      <c r="J825" s="61" t="str">
        <f>IF('Направление 4'!E144=0,"",'Направление 4'!E144)</f>
        <v/>
      </c>
      <c r="K825" s="91"/>
    </row>
    <row r="826" spans="1:11" ht="150" customHeight="1" x14ac:dyDescent="0.3">
      <c r="A826" s="40">
        <v>18</v>
      </c>
      <c r="B826" s="144" t="str">
        <f>IF('Направление 4'!B145="","",'Направление 4'!B145)</f>
        <v/>
      </c>
      <c r="C826" s="133"/>
      <c r="D826" s="131"/>
      <c r="E826" s="130" t="str">
        <f>IF('Направление 4'!C145="","",'Направление 4'!C145)</f>
        <v/>
      </c>
      <c r="F826" s="133"/>
      <c r="G826" s="131"/>
      <c r="H826" s="130" t="str">
        <f>IF('Направление 4'!D145="","",'Направление 4'!D145)</f>
        <v>х</v>
      </c>
      <c r="I826" s="131"/>
      <c r="J826" s="61" t="str">
        <f>IF('Направление 4'!E145=0,"",'Направление 4'!E145)</f>
        <v/>
      </c>
      <c r="K826" s="91"/>
    </row>
    <row r="827" spans="1:11" ht="150" customHeight="1" x14ac:dyDescent="0.3">
      <c r="A827" s="40">
        <v>19</v>
      </c>
      <c r="B827" s="144" t="str">
        <f>IF('Направление 4'!B146="","",'Направление 4'!B146)</f>
        <v/>
      </c>
      <c r="C827" s="133"/>
      <c r="D827" s="131"/>
      <c r="E827" s="130" t="str">
        <f>IF('Направление 4'!C146="","",'Направление 4'!C146)</f>
        <v/>
      </c>
      <c r="F827" s="133"/>
      <c r="G827" s="131"/>
      <c r="H827" s="130" t="str">
        <f>IF('Направление 4'!D146="","",'Направление 4'!D146)</f>
        <v>х</v>
      </c>
      <c r="I827" s="131"/>
      <c r="J827" s="61" t="str">
        <f>IF('Направление 4'!E146=0,"",'Направление 4'!E146)</f>
        <v/>
      </c>
      <c r="K827" s="91"/>
    </row>
    <row r="828" spans="1:11" ht="150" customHeight="1" thickBot="1" x14ac:dyDescent="0.35">
      <c r="A828" s="41">
        <v>20</v>
      </c>
      <c r="B828" s="144" t="str">
        <f>IF('Направление 4'!B147="","",'Направление 4'!B147)</f>
        <v/>
      </c>
      <c r="C828" s="133"/>
      <c r="D828" s="131"/>
      <c r="E828" s="130" t="str">
        <f>IF('Направление 4'!C147="","",'Направление 4'!C147)</f>
        <v/>
      </c>
      <c r="F828" s="133"/>
      <c r="G828" s="131"/>
      <c r="H828" s="130" t="str">
        <f>IF('Направление 4'!D147="","",'Направление 4'!D147)</f>
        <v>х</v>
      </c>
      <c r="I828" s="131"/>
      <c r="J828" s="61" t="str">
        <f>IF('Направление 4'!E147=0,"",'Направление 4'!E147)</f>
        <v/>
      </c>
      <c r="K828" s="91"/>
    </row>
    <row r="829" spans="1:11" ht="150" customHeight="1" x14ac:dyDescent="0.3">
      <c r="A829" s="39">
        <v>21</v>
      </c>
      <c r="B829" s="144" t="str">
        <f>IF('Направление 4'!B148="","",'Направление 4'!B148)</f>
        <v/>
      </c>
      <c r="C829" s="133"/>
      <c r="D829" s="131"/>
      <c r="E829" s="130" t="str">
        <f>IF('Направление 4'!C148="","",'Направление 4'!C148)</f>
        <v/>
      </c>
      <c r="F829" s="133"/>
      <c r="G829" s="131"/>
      <c r="H829" s="130" t="str">
        <f>IF('Направление 4'!D148="","",'Направление 4'!D148)</f>
        <v>х</v>
      </c>
      <c r="I829" s="131"/>
      <c r="J829" s="61" t="str">
        <f>IF('Направление 4'!E148=0,"",'Направление 4'!E148)</f>
        <v/>
      </c>
      <c r="K829" s="91"/>
    </row>
    <row r="830" spans="1:11" ht="150" customHeight="1" x14ac:dyDescent="0.3">
      <c r="A830" s="40">
        <v>22</v>
      </c>
      <c r="B830" s="144" t="str">
        <f>IF('Направление 4'!B149="","",'Направление 4'!B149)</f>
        <v/>
      </c>
      <c r="C830" s="133"/>
      <c r="D830" s="131"/>
      <c r="E830" s="130" t="str">
        <f>IF('Направление 4'!C149="","",'Направление 4'!C149)</f>
        <v/>
      </c>
      <c r="F830" s="133"/>
      <c r="G830" s="131"/>
      <c r="H830" s="130" t="str">
        <f>IF('Направление 4'!D149="","",'Направление 4'!D149)</f>
        <v>х</v>
      </c>
      <c r="I830" s="131"/>
      <c r="J830" s="61" t="str">
        <f>IF('Направление 4'!E149=0,"",'Направление 4'!E149)</f>
        <v/>
      </c>
      <c r="K830" s="91"/>
    </row>
    <row r="831" spans="1:11" ht="150" customHeight="1" x14ac:dyDescent="0.3">
      <c r="A831" s="40">
        <v>23</v>
      </c>
      <c r="B831" s="144" t="str">
        <f>IF('Направление 4'!B150="","",'Направление 4'!B150)</f>
        <v/>
      </c>
      <c r="C831" s="133"/>
      <c r="D831" s="131"/>
      <c r="E831" s="130" t="str">
        <f>IF('Направление 4'!C150="","",'Направление 4'!C150)</f>
        <v/>
      </c>
      <c r="F831" s="133"/>
      <c r="G831" s="131"/>
      <c r="H831" s="130" t="str">
        <f>IF('Направление 4'!D150="","",'Направление 4'!D150)</f>
        <v>х</v>
      </c>
      <c r="I831" s="131"/>
      <c r="J831" s="61" t="str">
        <f>IF('Направление 4'!E150=0,"",'Направление 4'!E150)</f>
        <v/>
      </c>
      <c r="K831" s="91"/>
    </row>
    <row r="832" spans="1:11" ht="150" customHeight="1" x14ac:dyDescent="0.3">
      <c r="A832" s="40">
        <v>24</v>
      </c>
      <c r="B832" s="144" t="str">
        <f>IF('Направление 4'!B151="","",'Направление 4'!B151)</f>
        <v/>
      </c>
      <c r="C832" s="133"/>
      <c r="D832" s="131"/>
      <c r="E832" s="130" t="str">
        <f>IF('Направление 4'!C151="","",'Направление 4'!C151)</f>
        <v/>
      </c>
      <c r="F832" s="133"/>
      <c r="G832" s="131"/>
      <c r="H832" s="130" t="str">
        <f>IF('Направление 4'!D151="","",'Направление 4'!D151)</f>
        <v>х</v>
      </c>
      <c r="I832" s="131"/>
      <c r="J832" s="61" t="str">
        <f>IF('Направление 4'!E151=0,"",'Направление 4'!E151)</f>
        <v/>
      </c>
      <c r="K832" s="91"/>
    </row>
    <row r="833" spans="1:11" ht="150" customHeight="1" x14ac:dyDescent="0.3">
      <c r="A833" s="40">
        <v>25</v>
      </c>
      <c r="B833" s="144" t="str">
        <f>IF('Направление 4'!B152="","",'Направление 4'!B152)</f>
        <v/>
      </c>
      <c r="C833" s="133"/>
      <c r="D833" s="131"/>
      <c r="E833" s="130" t="str">
        <f>IF('Направление 4'!C152="","",'Направление 4'!C152)</f>
        <v/>
      </c>
      <c r="F833" s="133"/>
      <c r="G833" s="131"/>
      <c r="H833" s="130" t="str">
        <f>IF('Направление 4'!D152="","",'Направление 4'!D152)</f>
        <v>х</v>
      </c>
      <c r="I833" s="131"/>
      <c r="J833" s="61" t="str">
        <f>IF('Направление 4'!E152=0,"",'Направление 4'!E152)</f>
        <v/>
      </c>
      <c r="K833" s="91"/>
    </row>
    <row r="834" spans="1:11" ht="150" customHeight="1" x14ac:dyDescent="0.3">
      <c r="A834" s="40">
        <v>26</v>
      </c>
      <c r="B834" s="144" t="str">
        <f>IF('Направление 4'!B153="","",'Направление 4'!B153)</f>
        <v/>
      </c>
      <c r="C834" s="133"/>
      <c r="D834" s="131"/>
      <c r="E834" s="130" t="str">
        <f>IF('Направление 4'!C153="","",'Направление 4'!C153)</f>
        <v/>
      </c>
      <c r="F834" s="133"/>
      <c r="G834" s="131"/>
      <c r="H834" s="130" t="str">
        <f>IF('Направление 4'!D153="","",'Направление 4'!D153)</f>
        <v>х</v>
      </c>
      <c r="I834" s="131"/>
      <c r="J834" s="61" t="str">
        <f>IF('Направление 4'!E153=0,"",'Направление 4'!E153)</f>
        <v/>
      </c>
      <c r="K834" s="91"/>
    </row>
    <row r="835" spans="1:11" ht="150" customHeight="1" x14ac:dyDescent="0.3">
      <c r="A835" s="40">
        <v>27</v>
      </c>
      <c r="B835" s="144" t="str">
        <f>IF('Направление 4'!B154="","",'Направление 4'!B154)</f>
        <v/>
      </c>
      <c r="C835" s="133"/>
      <c r="D835" s="131"/>
      <c r="E835" s="130" t="str">
        <f>IF('Направление 4'!C154="","",'Направление 4'!C154)</f>
        <v/>
      </c>
      <c r="F835" s="133"/>
      <c r="G835" s="131"/>
      <c r="H835" s="130" t="str">
        <f>IF('Направление 4'!D154="","",'Направление 4'!D154)</f>
        <v>х</v>
      </c>
      <c r="I835" s="131"/>
      <c r="J835" s="61" t="str">
        <f>IF('Направление 4'!E154=0,"",'Направление 4'!E154)</f>
        <v/>
      </c>
      <c r="K835" s="91"/>
    </row>
    <row r="836" spans="1:11" ht="150" customHeight="1" x14ac:dyDescent="0.3">
      <c r="A836" s="40">
        <v>28</v>
      </c>
      <c r="B836" s="144" t="str">
        <f>IF('Направление 4'!B155="","",'Направление 4'!B155)</f>
        <v/>
      </c>
      <c r="C836" s="133"/>
      <c r="D836" s="131"/>
      <c r="E836" s="130" t="str">
        <f>IF('Направление 4'!C155="","",'Направление 4'!C155)</f>
        <v/>
      </c>
      <c r="F836" s="133"/>
      <c r="G836" s="131"/>
      <c r="H836" s="130" t="str">
        <f>IF('Направление 4'!D155="","",'Направление 4'!D155)</f>
        <v>х</v>
      </c>
      <c r="I836" s="131"/>
      <c r="J836" s="61" t="str">
        <f>IF('Направление 4'!E155=0,"",'Направление 4'!E155)</f>
        <v/>
      </c>
      <c r="K836" s="91"/>
    </row>
    <row r="837" spans="1:11" ht="150" customHeight="1" x14ac:dyDescent="0.3">
      <c r="A837" s="40">
        <v>29</v>
      </c>
      <c r="B837" s="144" t="str">
        <f>IF('Направление 4'!B156="","",'Направление 4'!B156)</f>
        <v/>
      </c>
      <c r="C837" s="133"/>
      <c r="D837" s="131"/>
      <c r="E837" s="130" t="str">
        <f>IF('Направление 4'!C156="","",'Направление 4'!C156)</f>
        <v/>
      </c>
      <c r="F837" s="133"/>
      <c r="G837" s="131"/>
      <c r="H837" s="130" t="str">
        <f>IF('Направление 4'!D156="","",'Направление 4'!D156)</f>
        <v>х</v>
      </c>
      <c r="I837" s="131"/>
      <c r="J837" s="61" t="str">
        <f>IF('Направление 4'!E156=0,"",'Направление 4'!E156)</f>
        <v/>
      </c>
      <c r="K837" s="91"/>
    </row>
    <row r="838" spans="1:11" ht="150" customHeight="1" x14ac:dyDescent="0.3">
      <c r="A838" s="40">
        <v>30</v>
      </c>
      <c r="B838" s="144" t="str">
        <f>IF('Направление 4'!B157="","",'Направление 4'!B157)</f>
        <v/>
      </c>
      <c r="C838" s="133"/>
      <c r="D838" s="131"/>
      <c r="E838" s="130" t="str">
        <f>IF('Направление 4'!C157="","",'Направление 4'!C157)</f>
        <v/>
      </c>
      <c r="F838" s="133"/>
      <c r="G838" s="131"/>
      <c r="H838" s="130" t="str">
        <f>IF('Направление 4'!D157="","",'Направление 4'!D157)</f>
        <v>х</v>
      </c>
      <c r="I838" s="131"/>
      <c r="J838" s="61" t="str">
        <f>IF('Направление 4'!E157=0,"",'Направление 4'!E157)</f>
        <v/>
      </c>
      <c r="K838" s="91"/>
    </row>
    <row r="839" spans="1:11" ht="150" customHeight="1" x14ac:dyDescent="0.3">
      <c r="A839" s="40">
        <v>31</v>
      </c>
      <c r="B839" s="144" t="str">
        <f>IF('Направление 4'!B158="","",'Направление 4'!B158)</f>
        <v/>
      </c>
      <c r="C839" s="133"/>
      <c r="D839" s="131"/>
      <c r="E839" s="130" t="str">
        <f>IF('Направление 4'!C158="","",'Направление 4'!C158)</f>
        <v/>
      </c>
      <c r="F839" s="133"/>
      <c r="G839" s="131"/>
      <c r="H839" s="130" t="str">
        <f>IF('Направление 4'!D158="","",'Направление 4'!D158)</f>
        <v>х</v>
      </c>
      <c r="I839" s="131"/>
      <c r="J839" s="61" t="str">
        <f>IF('Направление 4'!E158=0,"",'Направление 4'!E158)</f>
        <v/>
      </c>
      <c r="K839" s="91"/>
    </row>
    <row r="840" spans="1:11" ht="150" customHeight="1" x14ac:dyDescent="0.3">
      <c r="A840" s="40">
        <v>32</v>
      </c>
      <c r="B840" s="144" t="str">
        <f>IF('Направление 4'!B159="","",'Направление 4'!B159)</f>
        <v/>
      </c>
      <c r="C840" s="133"/>
      <c r="D840" s="131"/>
      <c r="E840" s="130" t="str">
        <f>IF('Направление 4'!C159="","",'Направление 4'!C159)</f>
        <v/>
      </c>
      <c r="F840" s="133"/>
      <c r="G840" s="131"/>
      <c r="H840" s="130" t="str">
        <f>IF('Направление 4'!D159="","",'Направление 4'!D159)</f>
        <v>х</v>
      </c>
      <c r="I840" s="131"/>
      <c r="J840" s="61" t="str">
        <f>IF('Направление 4'!E159=0,"",'Направление 4'!E159)</f>
        <v/>
      </c>
      <c r="K840" s="91"/>
    </row>
    <row r="841" spans="1:11" ht="150" customHeight="1" x14ac:dyDescent="0.3">
      <c r="A841" s="40">
        <v>33</v>
      </c>
      <c r="B841" s="144" t="str">
        <f>IF('Направление 4'!B160="","",'Направление 4'!B160)</f>
        <v/>
      </c>
      <c r="C841" s="133"/>
      <c r="D841" s="131"/>
      <c r="E841" s="130" t="str">
        <f>IF('Направление 4'!C160="","",'Направление 4'!C160)</f>
        <v/>
      </c>
      <c r="F841" s="133"/>
      <c r="G841" s="131"/>
      <c r="H841" s="130" t="str">
        <f>IF('Направление 4'!D160="","",'Направление 4'!D160)</f>
        <v>х</v>
      </c>
      <c r="I841" s="131"/>
      <c r="J841" s="61" t="str">
        <f>IF('Направление 4'!E160=0,"",'Направление 4'!E160)</f>
        <v/>
      </c>
      <c r="K841" s="91"/>
    </row>
    <row r="842" spans="1:11" ht="150" customHeight="1" x14ac:dyDescent="0.3">
      <c r="A842" s="40">
        <v>34</v>
      </c>
      <c r="B842" s="144" t="str">
        <f>IF('Направление 4'!B161="","",'Направление 4'!B161)</f>
        <v/>
      </c>
      <c r="C842" s="133"/>
      <c r="D842" s="131"/>
      <c r="E842" s="130" t="str">
        <f>IF('Направление 4'!C161="","",'Направление 4'!C161)</f>
        <v/>
      </c>
      <c r="F842" s="133"/>
      <c r="G842" s="131"/>
      <c r="H842" s="130" t="str">
        <f>IF('Направление 4'!D161="","",'Направление 4'!D161)</f>
        <v>х</v>
      </c>
      <c r="I842" s="131"/>
      <c r="J842" s="61" t="str">
        <f>IF('Направление 4'!E161=0,"",'Направление 4'!E161)</f>
        <v/>
      </c>
      <c r="K842" s="91"/>
    </row>
    <row r="843" spans="1:11" ht="150" customHeight="1" x14ac:dyDescent="0.3">
      <c r="A843" s="40">
        <v>35</v>
      </c>
      <c r="B843" s="144" t="str">
        <f>IF('Направление 4'!B162="","",'Направление 4'!B162)</f>
        <v/>
      </c>
      <c r="C843" s="133"/>
      <c r="D843" s="131"/>
      <c r="E843" s="130" t="str">
        <f>IF('Направление 4'!C162="","",'Направление 4'!C162)</f>
        <v/>
      </c>
      <c r="F843" s="133"/>
      <c r="G843" s="131"/>
      <c r="H843" s="130" t="str">
        <f>IF('Направление 4'!D162="","",'Направление 4'!D162)</f>
        <v>х</v>
      </c>
      <c r="I843" s="131"/>
      <c r="J843" s="61" t="str">
        <f>IF('Направление 4'!E162=0,"",'Направление 4'!E162)</f>
        <v/>
      </c>
      <c r="K843" s="91"/>
    </row>
    <row r="844" spans="1:11" ht="150" customHeight="1" x14ac:dyDescent="0.3">
      <c r="A844" s="40">
        <v>36</v>
      </c>
      <c r="B844" s="144" t="str">
        <f>IF('Направление 4'!B163="","",'Направление 4'!B163)</f>
        <v/>
      </c>
      <c r="C844" s="133"/>
      <c r="D844" s="131"/>
      <c r="E844" s="130" t="str">
        <f>IF('Направление 4'!C163="","",'Направление 4'!C163)</f>
        <v/>
      </c>
      <c r="F844" s="133"/>
      <c r="G844" s="131"/>
      <c r="H844" s="130" t="str">
        <f>IF('Направление 4'!D163="","",'Направление 4'!D163)</f>
        <v>х</v>
      </c>
      <c r="I844" s="131"/>
      <c r="J844" s="61" t="str">
        <f>IF('Направление 4'!E163=0,"",'Направление 4'!E163)</f>
        <v/>
      </c>
      <c r="K844" s="91"/>
    </row>
    <row r="845" spans="1:11" ht="150" customHeight="1" x14ac:dyDescent="0.3">
      <c r="A845" s="40">
        <v>37</v>
      </c>
      <c r="B845" s="144" t="str">
        <f>IF('Направление 4'!B164="","",'Направление 4'!B164)</f>
        <v/>
      </c>
      <c r="C845" s="133"/>
      <c r="D845" s="131"/>
      <c r="E845" s="130" t="str">
        <f>IF('Направление 4'!C164="","",'Направление 4'!C164)</f>
        <v/>
      </c>
      <c r="F845" s="133"/>
      <c r="G845" s="131"/>
      <c r="H845" s="130" t="str">
        <f>IF('Направление 4'!D164="","",'Направление 4'!D164)</f>
        <v>х</v>
      </c>
      <c r="I845" s="131"/>
      <c r="J845" s="61" t="str">
        <f>IF('Направление 4'!E164=0,"",'Направление 4'!E164)</f>
        <v/>
      </c>
      <c r="K845" s="91"/>
    </row>
    <row r="846" spans="1:11" ht="150" customHeight="1" x14ac:dyDescent="0.3">
      <c r="A846" s="40">
        <v>38</v>
      </c>
      <c r="B846" s="144" t="str">
        <f>IF('Направление 4'!B165="","",'Направление 4'!B165)</f>
        <v/>
      </c>
      <c r="C846" s="133"/>
      <c r="D846" s="131"/>
      <c r="E846" s="130" t="str">
        <f>IF('Направление 4'!C165="","",'Направление 4'!C165)</f>
        <v/>
      </c>
      <c r="F846" s="133"/>
      <c r="G846" s="131"/>
      <c r="H846" s="130" t="str">
        <f>IF('Направление 4'!D165="","",'Направление 4'!D165)</f>
        <v>х</v>
      </c>
      <c r="I846" s="131"/>
      <c r="J846" s="61" t="str">
        <f>IF('Направление 4'!E165=0,"",'Направление 4'!E165)</f>
        <v/>
      </c>
      <c r="K846" s="91"/>
    </row>
    <row r="847" spans="1:11" ht="150" customHeight="1" x14ac:dyDescent="0.3">
      <c r="A847" s="40">
        <v>39</v>
      </c>
      <c r="B847" s="144" t="str">
        <f>IF('Направление 4'!B166="","",'Направление 4'!B166)</f>
        <v/>
      </c>
      <c r="C847" s="133"/>
      <c r="D847" s="131"/>
      <c r="E847" s="130" t="str">
        <f>IF('Направление 4'!C166="","",'Направление 4'!C166)</f>
        <v/>
      </c>
      <c r="F847" s="133"/>
      <c r="G847" s="131"/>
      <c r="H847" s="130" t="str">
        <f>IF('Направление 4'!D166="","",'Направление 4'!D166)</f>
        <v>х</v>
      </c>
      <c r="I847" s="131"/>
      <c r="J847" s="61" t="str">
        <f>IF('Направление 4'!E166=0,"",'Направление 4'!E166)</f>
        <v/>
      </c>
      <c r="K847" s="91"/>
    </row>
    <row r="848" spans="1:11" ht="150" customHeight="1" thickBot="1" x14ac:dyDescent="0.35">
      <c r="A848" s="41">
        <v>40</v>
      </c>
      <c r="B848" s="144" t="str">
        <f>IF('Направление 4'!B167="","",'Направление 4'!B167)</f>
        <v/>
      </c>
      <c r="C848" s="133"/>
      <c r="D848" s="131"/>
      <c r="E848" s="130" t="str">
        <f>IF('Направление 4'!C167="","",'Направление 4'!C167)</f>
        <v/>
      </c>
      <c r="F848" s="133"/>
      <c r="G848" s="131"/>
      <c r="H848" s="130" t="str">
        <f>IF('Направление 4'!D167="","",'Направление 4'!D167)</f>
        <v>х</v>
      </c>
      <c r="I848" s="131"/>
      <c r="J848" s="61" t="str">
        <f>IF('Направление 4'!E167=0,"",'Направление 4'!E167)</f>
        <v/>
      </c>
      <c r="K848" s="91"/>
    </row>
    <row r="849" spans="1:11" ht="150" customHeight="1" thickBot="1" x14ac:dyDescent="0.35">
      <c r="A849" s="41">
        <v>41</v>
      </c>
      <c r="B849" s="144" t="str">
        <f>IF('Направление 4'!B168="","",'Направление 4'!B168)</f>
        <v/>
      </c>
      <c r="C849" s="133"/>
      <c r="D849" s="131"/>
      <c r="E849" s="130" t="str">
        <f>IF('Направление 4'!C168="","",'Направление 4'!C168)</f>
        <v/>
      </c>
      <c r="F849" s="133"/>
      <c r="G849" s="131"/>
      <c r="H849" s="130" t="str">
        <f>IF('Направление 4'!D168="","",'Направление 4'!D168)</f>
        <v>х</v>
      </c>
      <c r="I849" s="131"/>
      <c r="J849" s="61" t="str">
        <f>IF('Направление 4'!E168=0,"",'Направление 4'!E168)</f>
        <v/>
      </c>
      <c r="K849" s="91"/>
    </row>
    <row r="850" spans="1:11" ht="150" customHeight="1" thickBot="1" x14ac:dyDescent="0.35">
      <c r="A850" s="41">
        <v>42</v>
      </c>
      <c r="B850" s="144" t="str">
        <f>IF('Направление 4'!B169="","",'Направление 4'!B169)</f>
        <v/>
      </c>
      <c r="C850" s="133"/>
      <c r="D850" s="131"/>
      <c r="E850" s="130" t="str">
        <f>IF('Направление 4'!C169="","",'Направление 4'!C169)</f>
        <v/>
      </c>
      <c r="F850" s="133"/>
      <c r="G850" s="131"/>
      <c r="H850" s="130" t="str">
        <f>IF('Направление 4'!D169="","",'Направление 4'!D169)</f>
        <v>х</v>
      </c>
      <c r="I850" s="131"/>
      <c r="J850" s="61" t="str">
        <f>IF('Направление 4'!E169=0,"",'Направление 4'!E169)</f>
        <v/>
      </c>
      <c r="K850" s="91"/>
    </row>
    <row r="851" spans="1:11" ht="150" customHeight="1" thickBot="1" x14ac:dyDescent="0.35">
      <c r="A851" s="41">
        <v>43</v>
      </c>
      <c r="B851" s="144" t="str">
        <f>IF('Направление 4'!B170="","",'Направление 4'!B170)</f>
        <v/>
      </c>
      <c r="C851" s="133"/>
      <c r="D851" s="131"/>
      <c r="E851" s="130" t="str">
        <f>IF('Направление 4'!C170="","",'Направление 4'!C170)</f>
        <v/>
      </c>
      <c r="F851" s="133"/>
      <c r="G851" s="131"/>
      <c r="H851" s="130" t="str">
        <f>IF('Направление 4'!D170="","",'Направление 4'!D170)</f>
        <v>х</v>
      </c>
      <c r="I851" s="131"/>
      <c r="J851" s="61" t="str">
        <f>IF('Направление 4'!E170=0,"",'Направление 4'!E170)</f>
        <v/>
      </c>
      <c r="K851" s="91"/>
    </row>
    <row r="852" spans="1:11" ht="150" customHeight="1" thickBot="1" x14ac:dyDescent="0.35">
      <c r="A852" s="41">
        <v>44</v>
      </c>
      <c r="B852" s="144" t="str">
        <f>IF('Направление 4'!B171="","",'Направление 4'!B171)</f>
        <v/>
      </c>
      <c r="C852" s="133"/>
      <c r="D852" s="131"/>
      <c r="E852" s="130" t="str">
        <f>IF('Направление 4'!C171="","",'Направление 4'!C171)</f>
        <v/>
      </c>
      <c r="F852" s="133"/>
      <c r="G852" s="131"/>
      <c r="H852" s="130" t="str">
        <f>IF('Направление 4'!D171="","",'Направление 4'!D171)</f>
        <v>х</v>
      </c>
      <c r="I852" s="131"/>
      <c r="J852" s="61" t="str">
        <f>IF('Направление 4'!E171=0,"",'Направление 4'!E171)</f>
        <v/>
      </c>
      <c r="K852" s="91"/>
    </row>
    <row r="853" spans="1:11" ht="150" customHeight="1" thickBot="1" x14ac:dyDescent="0.35">
      <c r="A853" s="41">
        <v>45</v>
      </c>
      <c r="B853" s="144" t="str">
        <f>IF('Направление 4'!B172="","",'Направление 4'!B172)</f>
        <v/>
      </c>
      <c r="C853" s="133"/>
      <c r="D853" s="131"/>
      <c r="E853" s="130" t="str">
        <f>IF('Направление 4'!C172="","",'Направление 4'!C172)</f>
        <v/>
      </c>
      <c r="F853" s="133"/>
      <c r="G853" s="131"/>
      <c r="H853" s="130" t="str">
        <f>IF('Направление 4'!D172="","",'Направление 4'!D172)</f>
        <v>х</v>
      </c>
      <c r="I853" s="131"/>
      <c r="J853" s="61" t="str">
        <f>IF('Направление 4'!E172=0,"",'Направление 4'!E172)</f>
        <v/>
      </c>
      <c r="K853" s="91"/>
    </row>
    <row r="854" spans="1:11" ht="150" customHeight="1" thickBot="1" x14ac:dyDescent="0.35">
      <c r="A854" s="41">
        <v>46</v>
      </c>
      <c r="B854" s="144" t="str">
        <f>IF('Направление 4'!B173="","",'Направление 4'!B173)</f>
        <v/>
      </c>
      <c r="C854" s="133"/>
      <c r="D854" s="131"/>
      <c r="E854" s="130" t="str">
        <f>IF('Направление 4'!C173="","",'Направление 4'!C173)</f>
        <v/>
      </c>
      <c r="F854" s="133"/>
      <c r="G854" s="131"/>
      <c r="H854" s="130" t="str">
        <f>IF('Направление 4'!D173="","",'Направление 4'!D173)</f>
        <v>х</v>
      </c>
      <c r="I854" s="131"/>
      <c r="J854" s="61" t="str">
        <f>IF('Направление 4'!E173=0,"",'Направление 4'!E173)</f>
        <v/>
      </c>
      <c r="K854" s="91"/>
    </row>
    <row r="855" spans="1:11" ht="150" customHeight="1" thickBot="1" x14ac:dyDescent="0.35">
      <c r="A855" s="41">
        <v>47</v>
      </c>
      <c r="B855" s="144" t="str">
        <f>IF('Направление 4'!B174="","",'Направление 4'!B174)</f>
        <v/>
      </c>
      <c r="C855" s="133"/>
      <c r="D855" s="131"/>
      <c r="E855" s="130" t="str">
        <f>IF('Направление 4'!C174="","",'Направление 4'!C174)</f>
        <v/>
      </c>
      <c r="F855" s="133"/>
      <c r="G855" s="131"/>
      <c r="H855" s="130" t="str">
        <f>IF('Направление 4'!D174="","",'Направление 4'!D174)</f>
        <v>х</v>
      </c>
      <c r="I855" s="131"/>
      <c r="J855" s="61" t="str">
        <f>IF('Направление 4'!E174=0,"",'Направление 4'!E174)</f>
        <v/>
      </c>
      <c r="K855" s="91"/>
    </row>
    <row r="856" spans="1:11" ht="150" customHeight="1" thickBot="1" x14ac:dyDescent="0.35">
      <c r="A856" s="41">
        <v>48</v>
      </c>
      <c r="B856" s="144" t="str">
        <f>IF('Направление 4'!B175="","",'Направление 4'!B175)</f>
        <v/>
      </c>
      <c r="C856" s="133"/>
      <c r="D856" s="131"/>
      <c r="E856" s="130" t="str">
        <f>IF('Направление 4'!C175="","",'Направление 4'!C175)</f>
        <v/>
      </c>
      <c r="F856" s="133"/>
      <c r="G856" s="131"/>
      <c r="H856" s="130" t="str">
        <f>IF('Направление 4'!D175="","",'Направление 4'!D175)</f>
        <v>х</v>
      </c>
      <c r="I856" s="131"/>
      <c r="J856" s="61" t="str">
        <f>IF('Направление 4'!E175=0,"",'Направление 4'!E175)</f>
        <v/>
      </c>
      <c r="K856" s="91"/>
    </row>
    <row r="857" spans="1:11" ht="150" customHeight="1" thickBot="1" x14ac:dyDescent="0.35">
      <c r="A857" s="41">
        <v>49</v>
      </c>
      <c r="B857" s="144" t="str">
        <f>IF('Направление 4'!B176="","",'Направление 4'!B176)</f>
        <v/>
      </c>
      <c r="C857" s="133"/>
      <c r="D857" s="131"/>
      <c r="E857" s="130" t="str">
        <f>IF('Направление 4'!C176="","",'Направление 4'!C176)</f>
        <v/>
      </c>
      <c r="F857" s="133"/>
      <c r="G857" s="131"/>
      <c r="H857" s="130" t="str">
        <f>IF('Направление 4'!D176="","",'Направление 4'!D176)</f>
        <v>х</v>
      </c>
      <c r="I857" s="131"/>
      <c r="J857" s="61" t="str">
        <f>IF('Направление 4'!E176=0,"",'Направление 4'!E176)</f>
        <v/>
      </c>
      <c r="K857" s="91"/>
    </row>
    <row r="858" spans="1:11" ht="150" customHeight="1" thickBot="1" x14ac:dyDescent="0.35">
      <c r="A858" s="41">
        <v>50</v>
      </c>
      <c r="B858" s="144" t="str">
        <f>IF('Направление 4'!B177="","",'Направление 4'!B177)</f>
        <v/>
      </c>
      <c r="C858" s="133"/>
      <c r="D858" s="131"/>
      <c r="E858" s="130" t="str">
        <f>IF('Направление 4'!C177="","",'Направление 4'!C177)</f>
        <v/>
      </c>
      <c r="F858" s="133"/>
      <c r="G858" s="131"/>
      <c r="H858" s="130" t="str">
        <f>IF('Направление 4'!D177="","",'Направление 4'!D177)</f>
        <v>х</v>
      </c>
      <c r="I858" s="131"/>
      <c r="J858" s="61" t="str">
        <f>IF('Направление 4'!E177=0,"",'Направление 4'!E177)</f>
        <v/>
      </c>
      <c r="K858" s="91"/>
    </row>
    <row r="859" spans="1:11" ht="150" customHeight="1" thickBot="1" x14ac:dyDescent="0.35">
      <c r="A859" s="41">
        <v>51</v>
      </c>
      <c r="B859" s="144" t="str">
        <f>IF('Направление 4'!B178="","",'Направление 4'!B178)</f>
        <v/>
      </c>
      <c r="C859" s="133"/>
      <c r="D859" s="131"/>
      <c r="E859" s="130" t="str">
        <f>IF('Направление 4'!C178="","",'Направление 4'!C178)</f>
        <v/>
      </c>
      <c r="F859" s="133"/>
      <c r="G859" s="131"/>
      <c r="H859" s="130" t="str">
        <f>IF('Направление 4'!D178="","",'Направление 4'!D178)</f>
        <v>х</v>
      </c>
      <c r="I859" s="131"/>
      <c r="J859" s="61" t="str">
        <f>IF('Направление 4'!E178=0,"",'Направление 4'!E178)</f>
        <v/>
      </c>
      <c r="K859" s="91"/>
    </row>
    <row r="860" spans="1:11" ht="150" customHeight="1" thickBot="1" x14ac:dyDescent="0.35">
      <c r="A860" s="41">
        <v>52</v>
      </c>
      <c r="B860" s="144" t="str">
        <f>IF('Направление 4'!B179="","",'Направление 4'!B179)</f>
        <v/>
      </c>
      <c r="C860" s="133"/>
      <c r="D860" s="131"/>
      <c r="E860" s="130" t="str">
        <f>IF('Направление 4'!C179="","",'Направление 4'!C179)</f>
        <v/>
      </c>
      <c r="F860" s="133"/>
      <c r="G860" s="131"/>
      <c r="H860" s="130" t="str">
        <f>IF('Направление 4'!D179="","",'Направление 4'!D179)</f>
        <v>х</v>
      </c>
      <c r="I860" s="131"/>
      <c r="J860" s="61" t="str">
        <f>IF('Направление 4'!E179=0,"",'Направление 4'!E179)</f>
        <v/>
      </c>
      <c r="K860" s="91"/>
    </row>
    <row r="861" spans="1:11" ht="150" customHeight="1" thickBot="1" x14ac:dyDescent="0.35">
      <c r="A861" s="41">
        <v>53</v>
      </c>
      <c r="B861" s="144" t="str">
        <f>IF('Направление 4'!B180="","",'Направление 4'!B180)</f>
        <v/>
      </c>
      <c r="C861" s="133"/>
      <c r="D861" s="131"/>
      <c r="E861" s="130" t="str">
        <f>IF('Направление 4'!C180="","",'Направление 4'!C180)</f>
        <v/>
      </c>
      <c r="F861" s="133"/>
      <c r="G861" s="131"/>
      <c r="H861" s="130" t="str">
        <f>IF('Направление 4'!D180="","",'Направление 4'!D180)</f>
        <v>х</v>
      </c>
      <c r="I861" s="131"/>
      <c r="J861" s="61" t="str">
        <f>IF('Направление 4'!E180=0,"",'Направление 4'!E180)</f>
        <v/>
      </c>
      <c r="K861" s="91"/>
    </row>
    <row r="862" spans="1:11" ht="150" customHeight="1" thickBot="1" x14ac:dyDescent="0.35">
      <c r="A862" s="41">
        <v>54</v>
      </c>
      <c r="B862" s="144" t="str">
        <f>IF('Направление 4'!B181="","",'Направление 4'!B181)</f>
        <v/>
      </c>
      <c r="C862" s="133"/>
      <c r="D862" s="131"/>
      <c r="E862" s="130" t="str">
        <f>IF('Направление 4'!C181="","",'Направление 4'!C181)</f>
        <v/>
      </c>
      <c r="F862" s="133"/>
      <c r="G862" s="131"/>
      <c r="H862" s="130" t="str">
        <f>IF('Направление 4'!D181="","",'Направление 4'!D181)</f>
        <v>х</v>
      </c>
      <c r="I862" s="131"/>
      <c r="J862" s="61" t="str">
        <f>IF('Направление 4'!E181=0,"",'Направление 4'!E181)</f>
        <v/>
      </c>
      <c r="K862" s="91"/>
    </row>
    <row r="863" spans="1:11" ht="150" customHeight="1" thickBot="1" x14ac:dyDescent="0.35">
      <c r="A863" s="41">
        <v>55</v>
      </c>
      <c r="B863" s="144" t="str">
        <f>IF('Направление 4'!B182="","",'Направление 4'!B182)</f>
        <v/>
      </c>
      <c r="C863" s="133"/>
      <c r="D863" s="131"/>
      <c r="E863" s="130" t="str">
        <f>IF('Направление 4'!C182="","",'Направление 4'!C182)</f>
        <v/>
      </c>
      <c r="F863" s="133"/>
      <c r="G863" s="131"/>
      <c r="H863" s="130" t="str">
        <f>IF('Направление 4'!D182="","",'Направление 4'!D182)</f>
        <v>х</v>
      </c>
      <c r="I863" s="131"/>
      <c r="J863" s="61" t="str">
        <f>IF('Направление 4'!E182=0,"",'Направление 4'!E182)</f>
        <v/>
      </c>
      <c r="K863" s="91"/>
    </row>
    <row r="864" spans="1:11" ht="150" customHeight="1" thickBot="1" x14ac:dyDescent="0.35">
      <c r="A864" s="41">
        <v>56</v>
      </c>
      <c r="B864" s="144" t="str">
        <f>IF('Направление 4'!B183="","",'Направление 4'!B183)</f>
        <v/>
      </c>
      <c r="C864" s="133"/>
      <c r="D864" s="131"/>
      <c r="E864" s="130" t="str">
        <f>IF('Направление 4'!C183="","",'Направление 4'!C183)</f>
        <v/>
      </c>
      <c r="F864" s="133"/>
      <c r="G864" s="131"/>
      <c r="H864" s="130" t="str">
        <f>IF('Направление 4'!D183="","",'Направление 4'!D183)</f>
        <v>х</v>
      </c>
      <c r="I864" s="131"/>
      <c r="J864" s="61" t="str">
        <f>IF('Направление 4'!E183=0,"",'Направление 4'!E183)</f>
        <v/>
      </c>
      <c r="K864" s="91"/>
    </row>
    <row r="865" spans="1:11" ht="150" customHeight="1" thickBot="1" x14ac:dyDescent="0.35">
      <c r="A865" s="41">
        <v>57</v>
      </c>
      <c r="B865" s="144" t="str">
        <f>IF('Направление 4'!B184="","",'Направление 4'!B184)</f>
        <v/>
      </c>
      <c r="C865" s="133"/>
      <c r="D865" s="131"/>
      <c r="E865" s="130" t="str">
        <f>IF('Направление 4'!C184="","",'Направление 4'!C184)</f>
        <v/>
      </c>
      <c r="F865" s="133"/>
      <c r="G865" s="131"/>
      <c r="H865" s="130" t="str">
        <f>IF('Направление 4'!D184="","",'Направление 4'!D184)</f>
        <v>х</v>
      </c>
      <c r="I865" s="131"/>
      <c r="J865" s="61" t="str">
        <f>IF('Направление 4'!E184=0,"",'Направление 4'!E184)</f>
        <v/>
      </c>
      <c r="K865" s="91"/>
    </row>
    <row r="866" spans="1:11" ht="150" customHeight="1" thickBot="1" x14ac:dyDescent="0.35">
      <c r="A866" s="41">
        <v>58</v>
      </c>
      <c r="B866" s="144" t="str">
        <f>IF('Направление 4'!B185="","",'Направление 4'!B185)</f>
        <v/>
      </c>
      <c r="C866" s="133"/>
      <c r="D866" s="131"/>
      <c r="E866" s="130" t="str">
        <f>IF('Направление 4'!C185="","",'Направление 4'!C185)</f>
        <v/>
      </c>
      <c r="F866" s="133"/>
      <c r="G866" s="131"/>
      <c r="H866" s="130" t="str">
        <f>IF('Направление 4'!D185="","",'Направление 4'!D185)</f>
        <v>х</v>
      </c>
      <c r="I866" s="131"/>
      <c r="J866" s="61" t="str">
        <f>IF('Направление 4'!E185=0,"",'Направление 4'!E185)</f>
        <v/>
      </c>
      <c r="K866" s="91"/>
    </row>
    <row r="867" spans="1:11" ht="150" customHeight="1" thickBot="1" x14ac:dyDescent="0.35">
      <c r="A867" s="41">
        <v>59</v>
      </c>
      <c r="B867" s="144" t="str">
        <f>IF('Направление 4'!B186="","",'Направление 4'!B186)</f>
        <v/>
      </c>
      <c r="C867" s="133"/>
      <c r="D867" s="131"/>
      <c r="E867" s="130" t="str">
        <f>IF('Направление 4'!C186="","",'Направление 4'!C186)</f>
        <v/>
      </c>
      <c r="F867" s="133"/>
      <c r="G867" s="131"/>
      <c r="H867" s="130" t="str">
        <f>IF('Направление 4'!D186="","",'Направление 4'!D186)</f>
        <v>х</v>
      </c>
      <c r="I867" s="131"/>
      <c r="J867" s="61" t="str">
        <f>IF('Направление 4'!E186=0,"",'Направление 4'!E186)</f>
        <v/>
      </c>
      <c r="K867" s="91"/>
    </row>
    <row r="868" spans="1:11" ht="150" customHeight="1" thickBot="1" x14ac:dyDescent="0.35">
      <c r="A868" s="41">
        <v>60</v>
      </c>
      <c r="B868" s="144" t="str">
        <f>IF('Направление 4'!B187="","",'Направление 4'!B187)</f>
        <v/>
      </c>
      <c r="C868" s="133"/>
      <c r="D868" s="131"/>
      <c r="E868" s="130" t="str">
        <f>IF('Направление 4'!C187="","",'Направление 4'!C187)</f>
        <v/>
      </c>
      <c r="F868" s="133"/>
      <c r="G868" s="131"/>
      <c r="H868" s="130" t="str">
        <f>IF('Направление 4'!D187="","",'Направление 4'!D187)</f>
        <v>х</v>
      </c>
      <c r="I868" s="131"/>
      <c r="J868" s="61" t="str">
        <f>IF('Направление 4'!E187=0,"",'Направление 4'!E187)</f>
        <v/>
      </c>
      <c r="K868" s="91"/>
    </row>
    <row r="869" spans="1:11" ht="150" customHeight="1" thickBot="1" x14ac:dyDescent="0.35">
      <c r="A869" s="41">
        <v>61</v>
      </c>
      <c r="B869" s="144" t="str">
        <f>IF('Направление 4'!B188="","",'Направление 4'!B188)</f>
        <v/>
      </c>
      <c r="C869" s="133"/>
      <c r="D869" s="131"/>
      <c r="E869" s="130" t="str">
        <f>IF('Направление 4'!C188="","",'Направление 4'!C188)</f>
        <v/>
      </c>
      <c r="F869" s="133"/>
      <c r="G869" s="131"/>
      <c r="H869" s="130" t="str">
        <f>IF('Направление 4'!D188="","",'Направление 4'!D188)</f>
        <v>х</v>
      </c>
      <c r="I869" s="131"/>
      <c r="J869" s="61" t="str">
        <f>IF('Направление 4'!E188=0,"",'Направление 4'!E188)</f>
        <v/>
      </c>
      <c r="K869" s="91"/>
    </row>
    <row r="870" spans="1:11" ht="150" customHeight="1" thickBot="1" x14ac:dyDescent="0.35">
      <c r="A870" s="41">
        <v>62</v>
      </c>
      <c r="B870" s="144" t="str">
        <f>IF('Направление 4'!B189="","",'Направление 4'!B189)</f>
        <v/>
      </c>
      <c r="C870" s="133"/>
      <c r="D870" s="131"/>
      <c r="E870" s="130" t="str">
        <f>IF('Направление 4'!C189="","",'Направление 4'!C189)</f>
        <v/>
      </c>
      <c r="F870" s="133"/>
      <c r="G870" s="131"/>
      <c r="H870" s="130" t="str">
        <f>IF('Направление 4'!D189="","",'Направление 4'!D189)</f>
        <v>х</v>
      </c>
      <c r="I870" s="131"/>
      <c r="J870" s="61" t="str">
        <f>IF('Направление 4'!E189=0,"",'Направление 4'!E189)</f>
        <v/>
      </c>
      <c r="K870" s="91"/>
    </row>
    <row r="871" spans="1:11" ht="150" customHeight="1" thickBot="1" x14ac:dyDescent="0.35">
      <c r="A871" s="41">
        <v>63</v>
      </c>
      <c r="B871" s="144" t="str">
        <f>IF('Направление 4'!B190="","",'Направление 4'!B190)</f>
        <v/>
      </c>
      <c r="C871" s="133"/>
      <c r="D871" s="131"/>
      <c r="E871" s="130" t="str">
        <f>IF('Направление 4'!C190="","",'Направление 4'!C190)</f>
        <v/>
      </c>
      <c r="F871" s="133"/>
      <c r="G871" s="131"/>
      <c r="H871" s="130" t="str">
        <f>IF('Направление 4'!D190="","",'Направление 4'!D190)</f>
        <v>х</v>
      </c>
      <c r="I871" s="131"/>
      <c r="J871" s="61" t="str">
        <f>IF('Направление 4'!E190=0,"",'Направление 4'!E190)</f>
        <v/>
      </c>
      <c r="K871" s="91"/>
    </row>
    <row r="872" spans="1:11" ht="150" customHeight="1" thickBot="1" x14ac:dyDescent="0.35">
      <c r="A872" s="41">
        <v>64</v>
      </c>
      <c r="B872" s="144" t="str">
        <f>IF('Направление 4'!B191="","",'Направление 4'!B191)</f>
        <v/>
      </c>
      <c r="C872" s="133"/>
      <c r="D872" s="131"/>
      <c r="E872" s="130" t="str">
        <f>IF('Направление 4'!C191="","",'Направление 4'!C191)</f>
        <v/>
      </c>
      <c r="F872" s="133"/>
      <c r="G872" s="131"/>
      <c r="H872" s="130" t="str">
        <f>IF('Направление 4'!D191="","",'Направление 4'!D191)</f>
        <v>х</v>
      </c>
      <c r="I872" s="131"/>
      <c r="J872" s="61" t="str">
        <f>IF('Направление 4'!E191=0,"",'Направление 4'!E191)</f>
        <v/>
      </c>
      <c r="K872" s="91"/>
    </row>
    <row r="873" spans="1:11" ht="150" customHeight="1" thickBot="1" x14ac:dyDescent="0.35">
      <c r="A873" s="41">
        <v>65</v>
      </c>
      <c r="B873" s="144" t="str">
        <f>IF('Направление 4'!B192="","",'Направление 4'!B192)</f>
        <v/>
      </c>
      <c r="C873" s="133"/>
      <c r="D873" s="131"/>
      <c r="E873" s="130" t="str">
        <f>IF('Направление 4'!C192="","",'Направление 4'!C192)</f>
        <v/>
      </c>
      <c r="F873" s="133"/>
      <c r="G873" s="131"/>
      <c r="H873" s="130" t="str">
        <f>IF('Направление 4'!D192="","",'Направление 4'!D192)</f>
        <v>х</v>
      </c>
      <c r="I873" s="131"/>
      <c r="J873" s="61" t="str">
        <f>IF('Направление 4'!E192=0,"",'Направление 4'!E192)</f>
        <v/>
      </c>
      <c r="K873" s="91"/>
    </row>
    <row r="874" spans="1:11" ht="150" customHeight="1" thickBot="1" x14ac:dyDescent="0.35">
      <c r="A874" s="41">
        <v>66</v>
      </c>
      <c r="B874" s="144" t="str">
        <f>IF('Направление 4'!B193="","",'Направление 4'!B193)</f>
        <v/>
      </c>
      <c r="C874" s="133"/>
      <c r="D874" s="131"/>
      <c r="E874" s="130" t="str">
        <f>IF('Направление 4'!C193="","",'Направление 4'!C193)</f>
        <v/>
      </c>
      <c r="F874" s="133"/>
      <c r="G874" s="131"/>
      <c r="H874" s="130" t="str">
        <f>IF('Направление 4'!D193="","",'Направление 4'!D193)</f>
        <v>х</v>
      </c>
      <c r="I874" s="131"/>
      <c r="J874" s="61" t="str">
        <f>IF('Направление 4'!E193=0,"",'Направление 4'!E193)</f>
        <v/>
      </c>
      <c r="K874" s="91"/>
    </row>
    <row r="875" spans="1:11" ht="150" customHeight="1" thickBot="1" x14ac:dyDescent="0.35">
      <c r="A875" s="41">
        <v>67</v>
      </c>
      <c r="B875" s="144" t="str">
        <f>IF('Направление 4'!B194="","",'Направление 4'!B194)</f>
        <v/>
      </c>
      <c r="C875" s="133"/>
      <c r="D875" s="131"/>
      <c r="E875" s="130" t="str">
        <f>IF('Направление 4'!C194="","",'Направление 4'!C194)</f>
        <v/>
      </c>
      <c r="F875" s="133"/>
      <c r="G875" s="131"/>
      <c r="H875" s="130" t="str">
        <f>IF('Направление 4'!D194="","",'Направление 4'!D194)</f>
        <v>х</v>
      </c>
      <c r="I875" s="131"/>
      <c r="J875" s="61" t="str">
        <f>IF('Направление 4'!E194=0,"",'Направление 4'!E194)</f>
        <v/>
      </c>
      <c r="K875" s="91"/>
    </row>
    <row r="876" spans="1:11" ht="150" customHeight="1" thickBot="1" x14ac:dyDescent="0.35">
      <c r="A876" s="41">
        <v>68</v>
      </c>
      <c r="B876" s="144" t="str">
        <f>IF('Направление 4'!B195="","",'Направление 4'!B195)</f>
        <v/>
      </c>
      <c r="C876" s="133"/>
      <c r="D876" s="131"/>
      <c r="E876" s="130" t="str">
        <f>IF('Направление 4'!C195="","",'Направление 4'!C195)</f>
        <v/>
      </c>
      <c r="F876" s="133"/>
      <c r="G876" s="131"/>
      <c r="H876" s="130" t="str">
        <f>IF('Направление 4'!D195="","",'Направление 4'!D195)</f>
        <v>х</v>
      </c>
      <c r="I876" s="131"/>
      <c r="J876" s="61" t="str">
        <f>IF('Направление 4'!E195=0,"",'Направление 4'!E195)</f>
        <v/>
      </c>
      <c r="K876" s="91"/>
    </row>
    <row r="877" spans="1:11" ht="150" customHeight="1" thickBot="1" x14ac:dyDescent="0.35">
      <c r="A877" s="41">
        <v>69</v>
      </c>
      <c r="B877" s="144" t="str">
        <f>IF('Направление 4'!B196="","",'Направление 4'!B196)</f>
        <v/>
      </c>
      <c r="C877" s="133"/>
      <c r="D877" s="131"/>
      <c r="E877" s="130" t="str">
        <f>IF('Направление 4'!C196="","",'Направление 4'!C196)</f>
        <v/>
      </c>
      <c r="F877" s="133"/>
      <c r="G877" s="131"/>
      <c r="H877" s="130" t="str">
        <f>IF('Направление 4'!D196="","",'Направление 4'!D196)</f>
        <v>х</v>
      </c>
      <c r="I877" s="131"/>
      <c r="J877" s="61" t="str">
        <f>IF('Направление 4'!E196=0,"",'Направление 4'!E196)</f>
        <v/>
      </c>
      <c r="K877" s="91"/>
    </row>
    <row r="878" spans="1:11" ht="150" customHeight="1" thickBot="1" x14ac:dyDescent="0.35">
      <c r="A878" s="41">
        <v>70</v>
      </c>
      <c r="B878" s="144" t="str">
        <f>IF('Направление 4'!B197="","",'Направление 4'!B197)</f>
        <v/>
      </c>
      <c r="C878" s="133"/>
      <c r="D878" s="131"/>
      <c r="E878" s="130" t="str">
        <f>IF('Направление 4'!C197="","",'Направление 4'!C197)</f>
        <v/>
      </c>
      <c r="F878" s="133"/>
      <c r="G878" s="131"/>
      <c r="H878" s="130" t="str">
        <f>IF('Направление 4'!D197="","",'Направление 4'!D197)</f>
        <v>х</v>
      </c>
      <c r="I878" s="131"/>
      <c r="J878" s="61" t="str">
        <f>IF('Направление 4'!E197=0,"",'Направление 4'!E197)</f>
        <v/>
      </c>
      <c r="K878" s="91"/>
    </row>
    <row r="879" spans="1:11" ht="150" customHeight="1" thickBot="1" x14ac:dyDescent="0.35">
      <c r="A879" s="41">
        <v>71</v>
      </c>
      <c r="B879" s="144" t="str">
        <f>IF('Направление 4'!B198="","",'Направление 4'!B198)</f>
        <v/>
      </c>
      <c r="C879" s="133"/>
      <c r="D879" s="131"/>
      <c r="E879" s="130" t="str">
        <f>IF('Направление 4'!C198="","",'Направление 4'!C198)</f>
        <v/>
      </c>
      <c r="F879" s="133"/>
      <c r="G879" s="131"/>
      <c r="H879" s="130" t="str">
        <f>IF('Направление 4'!D198="","",'Направление 4'!D198)</f>
        <v>х</v>
      </c>
      <c r="I879" s="131"/>
      <c r="J879" s="61" t="str">
        <f>IF('Направление 4'!E198=0,"",'Направление 4'!E198)</f>
        <v/>
      </c>
      <c r="K879" s="91"/>
    </row>
    <row r="880" spans="1:11" ht="150" customHeight="1" thickBot="1" x14ac:dyDescent="0.35">
      <c r="A880" s="41">
        <v>72</v>
      </c>
      <c r="B880" s="144" t="str">
        <f>IF('Направление 4'!B199="","",'Направление 4'!B199)</f>
        <v/>
      </c>
      <c r="C880" s="133"/>
      <c r="D880" s="131"/>
      <c r="E880" s="130" t="str">
        <f>IF('Направление 4'!C199="","",'Направление 4'!C199)</f>
        <v/>
      </c>
      <c r="F880" s="133"/>
      <c r="G880" s="131"/>
      <c r="H880" s="130" t="str">
        <f>IF('Направление 4'!D199="","",'Направление 4'!D199)</f>
        <v>х</v>
      </c>
      <c r="I880" s="131"/>
      <c r="J880" s="61" t="str">
        <f>IF('Направление 4'!E199=0,"",'Направление 4'!E199)</f>
        <v/>
      </c>
      <c r="K880" s="91"/>
    </row>
    <row r="881" spans="1:11" ht="150" customHeight="1" thickBot="1" x14ac:dyDescent="0.35">
      <c r="A881" s="41">
        <v>73</v>
      </c>
      <c r="B881" s="144" t="str">
        <f>IF('Направление 4'!B200="","",'Направление 4'!B200)</f>
        <v/>
      </c>
      <c r="C881" s="133"/>
      <c r="D881" s="131"/>
      <c r="E881" s="130" t="str">
        <f>IF('Направление 4'!C200="","",'Направление 4'!C200)</f>
        <v/>
      </c>
      <c r="F881" s="133"/>
      <c r="G881" s="131"/>
      <c r="H881" s="130" t="str">
        <f>IF('Направление 4'!D200="","",'Направление 4'!D200)</f>
        <v>х</v>
      </c>
      <c r="I881" s="131"/>
      <c r="J881" s="61" t="str">
        <f>IF('Направление 4'!E200=0,"",'Направление 4'!E200)</f>
        <v/>
      </c>
      <c r="K881" s="91"/>
    </row>
    <row r="882" spans="1:11" ht="150" customHeight="1" thickBot="1" x14ac:dyDescent="0.35">
      <c r="A882" s="41">
        <v>74</v>
      </c>
      <c r="B882" s="144" t="str">
        <f>IF('Направление 4'!B201="","",'Направление 4'!B201)</f>
        <v/>
      </c>
      <c r="C882" s="133"/>
      <c r="D882" s="131"/>
      <c r="E882" s="130" t="str">
        <f>IF('Направление 4'!C201="","",'Направление 4'!C201)</f>
        <v/>
      </c>
      <c r="F882" s="133"/>
      <c r="G882" s="131"/>
      <c r="H882" s="130" t="str">
        <f>IF('Направление 4'!D201="","",'Направление 4'!D201)</f>
        <v>х</v>
      </c>
      <c r="I882" s="131"/>
      <c r="J882" s="61" t="str">
        <f>IF('Направление 4'!E201=0,"",'Направление 4'!E201)</f>
        <v/>
      </c>
      <c r="K882" s="91"/>
    </row>
    <row r="883" spans="1:11" ht="150" customHeight="1" thickBot="1" x14ac:dyDescent="0.35">
      <c r="A883" s="41">
        <v>75</v>
      </c>
      <c r="B883" s="144" t="str">
        <f>IF('Направление 4'!B202="","",'Направление 4'!B202)</f>
        <v/>
      </c>
      <c r="C883" s="133"/>
      <c r="D883" s="131"/>
      <c r="E883" s="130" t="str">
        <f>IF('Направление 4'!C202="","",'Направление 4'!C202)</f>
        <v/>
      </c>
      <c r="F883" s="133"/>
      <c r="G883" s="131"/>
      <c r="H883" s="130" t="str">
        <f>IF('Направление 4'!D202="","",'Направление 4'!D202)</f>
        <v>х</v>
      </c>
      <c r="I883" s="131"/>
      <c r="J883" s="61" t="str">
        <f>IF('Направление 4'!E202=0,"",'Направление 4'!E202)</f>
        <v/>
      </c>
      <c r="K883" s="91"/>
    </row>
    <row r="884" spans="1:11" ht="150" customHeight="1" thickBot="1" x14ac:dyDescent="0.35">
      <c r="A884" s="41">
        <v>76</v>
      </c>
      <c r="B884" s="144" t="str">
        <f>IF('Направление 4'!B203="","",'Направление 4'!B203)</f>
        <v/>
      </c>
      <c r="C884" s="133"/>
      <c r="D884" s="131"/>
      <c r="E884" s="130" t="str">
        <f>IF('Направление 4'!C203="","",'Направление 4'!C203)</f>
        <v/>
      </c>
      <c r="F884" s="133"/>
      <c r="G884" s="131"/>
      <c r="H884" s="130" t="str">
        <f>IF('Направление 4'!D203="","",'Направление 4'!D203)</f>
        <v>х</v>
      </c>
      <c r="I884" s="131"/>
      <c r="J884" s="61" t="str">
        <f>IF('Направление 4'!E203=0,"",'Направление 4'!E203)</f>
        <v/>
      </c>
      <c r="K884" s="91"/>
    </row>
    <row r="885" spans="1:11" ht="150" customHeight="1" thickBot="1" x14ac:dyDescent="0.35">
      <c r="A885" s="41">
        <v>77</v>
      </c>
      <c r="B885" s="144" t="str">
        <f>IF('Направление 4'!B204="","",'Направление 4'!B204)</f>
        <v/>
      </c>
      <c r="C885" s="133"/>
      <c r="D885" s="131"/>
      <c r="E885" s="130" t="str">
        <f>IF('Направление 4'!C204="","",'Направление 4'!C204)</f>
        <v/>
      </c>
      <c r="F885" s="133"/>
      <c r="G885" s="131"/>
      <c r="H885" s="130" t="str">
        <f>IF('Направление 4'!D204="","",'Направление 4'!D204)</f>
        <v>х</v>
      </c>
      <c r="I885" s="131"/>
      <c r="J885" s="61" t="str">
        <f>IF('Направление 4'!E204=0,"",'Направление 4'!E204)</f>
        <v/>
      </c>
      <c r="K885" s="91"/>
    </row>
    <row r="886" spans="1:11" ht="150" customHeight="1" thickBot="1" x14ac:dyDescent="0.35">
      <c r="A886" s="41">
        <v>78</v>
      </c>
      <c r="B886" s="144" t="str">
        <f>IF('Направление 4'!B205="","",'Направление 4'!B205)</f>
        <v/>
      </c>
      <c r="C886" s="133"/>
      <c r="D886" s="131"/>
      <c r="E886" s="130" t="str">
        <f>IF('Направление 4'!C205="","",'Направление 4'!C205)</f>
        <v/>
      </c>
      <c r="F886" s="133"/>
      <c r="G886" s="131"/>
      <c r="H886" s="130" t="str">
        <f>IF('Направление 4'!D205="","",'Направление 4'!D205)</f>
        <v>х</v>
      </c>
      <c r="I886" s="131"/>
      <c r="J886" s="61" t="str">
        <f>IF('Направление 4'!E205=0,"",'Направление 4'!E205)</f>
        <v/>
      </c>
      <c r="K886" s="91"/>
    </row>
    <row r="887" spans="1:11" ht="150" customHeight="1" thickBot="1" x14ac:dyDescent="0.35">
      <c r="A887" s="41">
        <v>79</v>
      </c>
      <c r="B887" s="144" t="str">
        <f>IF('Направление 4'!B206="","",'Направление 4'!B206)</f>
        <v/>
      </c>
      <c r="C887" s="133"/>
      <c r="D887" s="131"/>
      <c r="E887" s="130" t="str">
        <f>IF('Направление 4'!C206="","",'Направление 4'!C206)</f>
        <v/>
      </c>
      <c r="F887" s="133"/>
      <c r="G887" s="131"/>
      <c r="H887" s="130" t="str">
        <f>IF('Направление 4'!D206="","",'Направление 4'!D206)</f>
        <v>х</v>
      </c>
      <c r="I887" s="131"/>
      <c r="J887" s="61" t="str">
        <f>IF('Направление 4'!E206=0,"",'Направление 4'!E206)</f>
        <v/>
      </c>
      <c r="K887" s="91"/>
    </row>
    <row r="888" spans="1:11" ht="150" customHeight="1" thickBot="1" x14ac:dyDescent="0.35">
      <c r="A888" s="41">
        <v>80</v>
      </c>
      <c r="B888" s="144" t="str">
        <f>IF('Направление 4'!B207="","",'Направление 4'!B207)</f>
        <v/>
      </c>
      <c r="C888" s="133"/>
      <c r="D888" s="131"/>
      <c r="E888" s="130" t="str">
        <f>IF('Направление 4'!C207="","",'Направление 4'!C207)</f>
        <v/>
      </c>
      <c r="F888" s="133"/>
      <c r="G888" s="131"/>
      <c r="H888" s="130" t="str">
        <f>IF('Направление 4'!D207="","",'Направление 4'!D207)</f>
        <v>х</v>
      </c>
      <c r="I888" s="131"/>
      <c r="J888" s="61" t="str">
        <f>IF('Направление 4'!E207=0,"",'Направление 4'!E207)</f>
        <v/>
      </c>
      <c r="K888" s="91"/>
    </row>
    <row r="889" spans="1:11" ht="16.5" customHeight="1" thickBot="1" x14ac:dyDescent="0.35">
      <c r="A889" s="49">
        <v>7.5</v>
      </c>
      <c r="B889" s="236" t="s">
        <v>66</v>
      </c>
      <c r="C889" s="153"/>
      <c r="D889" s="153"/>
      <c r="E889" s="153"/>
      <c r="F889" s="153"/>
      <c r="G889" s="153"/>
      <c r="H889" s="153"/>
      <c r="I889" s="153"/>
      <c r="J889" s="154"/>
    </row>
    <row r="890" spans="1:11" x14ac:dyDescent="0.3">
      <c r="A890" s="33"/>
      <c r="B890" s="242" t="s">
        <v>52</v>
      </c>
      <c r="C890" s="138"/>
      <c r="D890" s="138"/>
      <c r="E890" s="138"/>
      <c r="F890" s="138"/>
      <c r="G890" s="138"/>
      <c r="H890" s="138"/>
      <c r="I890" s="138"/>
      <c r="J890" s="139"/>
    </row>
    <row r="891" spans="1:11" ht="34.200000000000003" customHeight="1" thickBot="1" x14ac:dyDescent="0.35">
      <c r="A891" s="33"/>
      <c r="B891" s="141" t="s">
        <v>53</v>
      </c>
      <c r="C891" s="133"/>
      <c r="D891" s="131"/>
      <c r="E891" s="140" t="s">
        <v>54</v>
      </c>
      <c r="F891" s="133"/>
      <c r="G891" s="131"/>
      <c r="H891" s="140" t="s">
        <v>55</v>
      </c>
      <c r="I891" s="131"/>
      <c r="J891" s="50" t="s">
        <v>56</v>
      </c>
    </row>
    <row r="892" spans="1:11" ht="150" customHeight="1" x14ac:dyDescent="0.3">
      <c r="A892" s="34">
        <v>1</v>
      </c>
      <c r="B892" s="144" t="str">
        <f>IF('Направление 5'!B4="","",'Направление 5'!B4)</f>
        <v>преносим компютър</v>
      </c>
      <c r="C892" s="133"/>
      <c r="D892" s="131"/>
      <c r="E892" s="130" t="str">
        <f>IF('Направление 5'!C4="","",'Направление 5'!C4)</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892" s="133"/>
      <c r="G892" s="131"/>
      <c r="H892" s="130" t="str">
        <f>IF('Направление 5'!D4="","",'Направление 5'!D4)</f>
        <v>преносим компютър</v>
      </c>
      <c r="I892" s="131"/>
      <c r="J892" s="61">
        <f>IF('Направление 5'!E4=0,"",'Направление 5'!E4)</f>
        <v>45</v>
      </c>
    </row>
    <row r="893" spans="1:11" ht="150" customHeight="1" x14ac:dyDescent="0.3">
      <c r="A893" s="35">
        <v>2</v>
      </c>
      <c r="B893" s="144" t="str">
        <f>IF('Направление 5'!B5="","",'Направление 5'!B5)</f>
        <v>Интерактивен дисплей с широкоъгълна камера и микрофон</v>
      </c>
      <c r="C893" s="133"/>
      <c r="D893" s="131"/>
      <c r="E893" s="130" t="str">
        <f>IF('Направление 5'!C5="","",'Направление 5'!C5)</f>
        <v>65-инчов 4K интерактивен плосък панел с камера и микрофон,  с OPS/OPS-C устройства, реализирайки плавно превключване между вградените системи.</v>
      </c>
      <c r="F893" s="133"/>
      <c r="G893" s="131"/>
      <c r="H893" s="130" t="str">
        <f>IF('Направление 5'!D5="","",'Направление 5'!D5)</f>
        <v>интерактивен дисплей</v>
      </c>
      <c r="I893" s="131"/>
      <c r="J893" s="61">
        <f>IF('Направление 5'!E5=0,"",'Направление 5'!E5)</f>
        <v>3</v>
      </c>
    </row>
    <row r="894" spans="1:11" ht="150" customHeight="1" x14ac:dyDescent="0.3">
      <c r="A894" s="35">
        <v>3</v>
      </c>
      <c r="B894" s="144" t="str">
        <f>IF('Направление 5'!B6="","",'Направление 5'!B6)</f>
        <v>Рутер, 5.4Gbps, черен</v>
      </c>
      <c r="C894" s="133"/>
      <c r="D894" s="131"/>
      <c r="E894" s="130" t="str">
        <f>IF('Направление 5'!C6="","",'Направление 5'!C6)</f>
        <v>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v>
      </c>
      <c r="F894" s="133"/>
      <c r="G894" s="131"/>
      <c r="H894" s="130" t="str">
        <f>IF('Направление 5'!D6="","",'Направление 5'!D6)</f>
        <v>мрежово оборудване</v>
      </c>
      <c r="I894" s="131"/>
      <c r="J894" s="61">
        <f>IF('Направление 5'!E6=0,"",'Направление 5'!E6)</f>
        <v>3</v>
      </c>
    </row>
    <row r="895" spans="1:11" ht="150" customHeight="1" x14ac:dyDescent="0.3">
      <c r="A895" s="35">
        <v>4</v>
      </c>
      <c r="B895" s="144" t="str">
        <f>IF('Направление 5'!B7="","",'Направление 5'!B7)</f>
        <v>Очила за виртуална реалност</v>
      </c>
      <c r="C895" s="133"/>
      <c r="D895" s="131"/>
      <c r="E895" s="130" t="str">
        <f>IF('Направление 5'!C7="","",'Направление 5'!C7)</f>
        <v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v>
      </c>
      <c r="F895" s="133"/>
      <c r="G895" s="131"/>
      <c r="H895" s="130" t="str">
        <f>IF('Направление 5'!D7="","",'Направление 5'!D7)</f>
        <v>3D очила</v>
      </c>
      <c r="I895" s="131"/>
      <c r="J895" s="61">
        <f>IF('Направление 5'!E7=0,"",'Направление 5'!E7)</f>
        <v>28</v>
      </c>
    </row>
    <row r="896" spans="1:11" ht="150" customHeight="1" x14ac:dyDescent="0.3">
      <c r="A896" s="35">
        <v>5</v>
      </c>
      <c r="B896" s="144" t="str">
        <f>IF('Направление 5'!B8="","",'Направление 5'!B8)</f>
        <v>Платки</v>
      </c>
      <c r="C896" s="133"/>
      <c r="D896" s="131"/>
      <c r="E896" s="130" t="str">
        <f>IF('Направление 5'!C8="","",'Направление 5'!C8)</f>
        <v>Комплект за програмиране с многобройни компоненти</v>
      </c>
      <c r="F896" s="133"/>
      <c r="G896" s="131"/>
      <c r="H896" s="130" t="str">
        <f>IF('Направление 5'!D8="","",'Направление 5'!D8)</f>
        <v>контролерни платки с микроконтролери или микропроцесори</v>
      </c>
      <c r="I896" s="131"/>
      <c r="J896" s="61">
        <f>IF('Направление 5'!E8=0,"",'Направление 5'!E8)</f>
        <v>3</v>
      </c>
    </row>
    <row r="897" spans="1:10" ht="150" customHeight="1" x14ac:dyDescent="0.3">
      <c r="A897" s="35">
        <v>6</v>
      </c>
      <c r="B897" s="144" t="str">
        <f>IF('Направление 5'!B9="","",'Направление 5'!B9)</f>
        <v>Режещ плотер</v>
      </c>
      <c r="C897" s="133"/>
      <c r="D897" s="131"/>
      <c r="E897" s="130" t="str">
        <f>IF('Направление 5'!C9="","",'Направление 5'!C9)</f>
        <v>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v>
      </c>
      <c r="F897" s="133"/>
      <c r="G897" s="131"/>
      <c r="H897" s="130" t="str">
        <f>IF('Направление 5'!D9="","",'Направление 5'!D9)</f>
        <v>плотер</v>
      </c>
      <c r="I897" s="131"/>
      <c r="J897" s="61">
        <f>IF('Направление 5'!E9=0,"",'Направление 5'!E9)</f>
        <v>2</v>
      </c>
    </row>
    <row r="898" spans="1:10" ht="150" customHeight="1" x14ac:dyDescent="0.3">
      <c r="A898" s="35">
        <v>7</v>
      </c>
      <c r="B898" s="144" t="str">
        <f>IF('Направление 5'!B10="","",'Направление 5'!B10)</f>
        <v>3D Принтер</v>
      </c>
      <c r="C898" s="133"/>
      <c r="D898" s="131"/>
      <c r="E898" s="130" t="str">
        <f>IF('Направление 5'!C10="","",'Направление 5'!C10)</f>
        <v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v>
      </c>
      <c r="F898" s="133"/>
      <c r="G898" s="131"/>
      <c r="H898" s="130" t="str">
        <f>IF('Направление 5'!D10="","",'Направление 5'!D10)</f>
        <v>3D Принтер</v>
      </c>
      <c r="I898" s="131"/>
      <c r="J898" s="61">
        <f>IF('Направление 5'!E10=0,"",'Направление 5'!E10)</f>
        <v>2</v>
      </c>
    </row>
    <row r="899" spans="1:10" ht="150" customHeight="1" x14ac:dyDescent="0.3">
      <c r="A899" s="35">
        <v>8</v>
      </c>
      <c r="B899" s="144" t="str">
        <f>IF('Направление 5'!B11="","",'Направление 5'!B11)</f>
        <v>HDMI кабел</v>
      </c>
      <c r="C899" s="133"/>
      <c r="D899" s="131"/>
      <c r="E899" s="130" t="str">
        <f>IF('Направление 5'!C11="","",'Направление 5'!C11)</f>
        <v xml:space="preserve">HDMI кабел 15м </v>
      </c>
      <c r="F899" s="133"/>
      <c r="G899" s="131"/>
      <c r="H899" s="130" t="str">
        <f>IF('Направление 5'!D11="","",'Направление 5'!D11)</f>
        <v>мрежово оборудване</v>
      </c>
      <c r="I899" s="131"/>
      <c r="J899" s="61">
        <f>IF('Направление 5'!E11=0,"",'Направление 5'!E11)</f>
        <v>10</v>
      </c>
    </row>
    <row r="900" spans="1:10" ht="150" customHeight="1" x14ac:dyDescent="0.3">
      <c r="A900" s="35">
        <v>9</v>
      </c>
      <c r="B900" s="144" t="str">
        <f>IF('Направление 5'!B12="","",'Направление 5'!B12)</f>
        <v xml:space="preserve"> суич-комутатор</v>
      </c>
      <c r="C900" s="133"/>
      <c r="D900" s="131"/>
      <c r="E900" s="130" t="str">
        <f>IF('Направление 5'!C12="","",'Направление 5'!C12)</f>
        <v>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v>
      </c>
      <c r="F900" s="133"/>
      <c r="G900" s="131"/>
      <c r="H900" s="130" t="str">
        <f>IF('Направление 5'!D12="","",'Направление 5'!D12)</f>
        <v>мрежово оборудване</v>
      </c>
      <c r="I900" s="131"/>
      <c r="J900" s="61">
        <f>IF('Направление 5'!E12=0,"",'Направление 5'!E12)</f>
        <v>2</v>
      </c>
    </row>
    <row r="901" spans="1:10" ht="150" customHeight="1" x14ac:dyDescent="0.3">
      <c r="A901" s="35">
        <v>10</v>
      </c>
      <c r="B901" s="144" t="str">
        <f>IF('Направление 5'!B13="","",'Направление 5'!B13)</f>
        <v>видеорегистратор</v>
      </c>
      <c r="C901" s="133"/>
      <c r="D901" s="131"/>
      <c r="E901" s="130" t="str">
        <f>IF('Направление 5'!C13="","",'Направление 5'!C13)</f>
        <v>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v>
      </c>
      <c r="F901" s="133"/>
      <c r="G901" s="131"/>
      <c r="H901" s="130" t="str">
        <f>IF('Направление 5'!D13="","",'Направление 5'!D13)</f>
        <v>друго</v>
      </c>
      <c r="I901" s="131"/>
      <c r="J901" s="61">
        <f>IF('Направление 5'!E13=0,"",'Направление 5'!E13)</f>
        <v>2</v>
      </c>
    </row>
    <row r="902" spans="1:10" ht="150" customHeight="1" x14ac:dyDescent="0.3">
      <c r="A902" s="35">
        <v>11</v>
      </c>
      <c r="B902" s="144" t="str">
        <f>IF('Направление 5'!B14="","",'Направление 5'!B14)</f>
        <v>камери</v>
      </c>
      <c r="C902" s="133"/>
      <c r="D902" s="131"/>
      <c r="E902" s="130" t="str">
        <f>IF('Направление 5'!C14="","",'Направление 5'!C14)</f>
        <v>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v>
      </c>
      <c r="F902" s="133"/>
      <c r="G902" s="131"/>
      <c r="H902" s="130" t="str">
        <f>IF('Направление 5'!D14="","",'Направление 5'!D14)</f>
        <v>друго</v>
      </c>
      <c r="I902" s="131"/>
      <c r="J902" s="61">
        <f>IF('Направление 5'!E14=0,"",'Направление 5'!E14)</f>
        <v>2</v>
      </c>
    </row>
    <row r="903" spans="1:10" ht="150" customHeight="1" x14ac:dyDescent="0.3">
      <c r="A903" s="35">
        <v>12</v>
      </c>
      <c r="B903" s="144" t="str">
        <f>IF('Направление 5'!B15="","",'Направление 5'!B15)</f>
        <v>камери</v>
      </c>
      <c r="C903" s="133"/>
      <c r="D903" s="131"/>
      <c r="E903" s="130" t="str">
        <f>IF('Направление 5'!C15="","",'Направление 5'!C15)</f>
        <v>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v>
      </c>
      <c r="F903" s="133"/>
      <c r="G903" s="131"/>
      <c r="H903" s="130" t="str">
        <f>IF('Направление 5'!D15="","",'Направление 5'!D15)</f>
        <v>друго</v>
      </c>
      <c r="I903" s="131"/>
      <c r="J903" s="61">
        <f>IF('Направление 5'!E15=0,"",'Направление 5'!E15)</f>
        <v>2</v>
      </c>
    </row>
    <row r="904" spans="1:10" ht="150" customHeight="1" x14ac:dyDescent="0.3">
      <c r="A904" s="35">
        <v>13</v>
      </c>
      <c r="B904" s="144" t="str">
        <f>IF('Направление 5'!B16="","",'Направление 5'!B16)</f>
        <v>микрофон</v>
      </c>
      <c r="C904" s="133"/>
      <c r="D904" s="131"/>
      <c r="E904" s="130" t="str">
        <f>IF('Направление 5'!C16="","",'Направление 5'!C16)</f>
        <v>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v>
      </c>
      <c r="F904" s="133"/>
      <c r="G904" s="131"/>
      <c r="H904" s="130" t="str">
        <f>IF('Направление 5'!D16="","",'Направление 5'!D16)</f>
        <v>друго</v>
      </c>
      <c r="I904" s="131"/>
      <c r="J904" s="61">
        <f>IF('Направление 5'!E16=0,"",'Направление 5'!E16)</f>
        <v>2</v>
      </c>
    </row>
    <row r="905" spans="1:10" ht="150" customHeight="1" x14ac:dyDescent="0.3">
      <c r="A905" s="35">
        <v>14</v>
      </c>
      <c r="B905" s="144" t="str">
        <f>IF('Направление 5'!B17="","",'Направление 5'!B17)</f>
        <v>Монитор за наблюдение</v>
      </c>
      <c r="C905" s="133"/>
      <c r="D905" s="131"/>
      <c r="E905" s="130" t="str">
        <f>IF('Направление 5'!C17="","",'Направление 5'!C17)</f>
        <v>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v>
      </c>
      <c r="F905" s="133"/>
      <c r="G905" s="131"/>
      <c r="H905" s="130" t="str">
        <f>IF('Направление 5'!D17="","",'Направление 5'!D17)</f>
        <v>друго</v>
      </c>
      <c r="I905" s="131"/>
      <c r="J905" s="61">
        <f>IF('Направление 5'!E17=0,"",'Направление 5'!E17)</f>
        <v>1</v>
      </c>
    </row>
    <row r="906" spans="1:10" ht="150" customHeight="1" x14ac:dyDescent="0.3">
      <c r="A906" s="35">
        <v>15</v>
      </c>
      <c r="B906" s="144" t="str">
        <f>IF('Направление 5'!B18="","",'Направление 5'!B18)</f>
        <v xml:space="preserve">Консуматив за 3D принтер </v>
      </c>
      <c r="C906" s="133"/>
      <c r="D906" s="131"/>
      <c r="E906" s="130" t="str">
        <f>IF('Направление 5'!C18="","",'Направление 5'!C18)</f>
        <v>Модул на огъване: 1,882-2,385Mpa
Якост на огъване: 40-58MPa
Температура на гореща деформация: 80 ℃
Термично разширение: 95*E-6
Свиване на обема: 3,35-4,24%
Линейно свиване: 1,05-1,35%
Якост на опън: 30-52MPa
Модул на опън: 1,779-2,385 MPa
Удължение при скъсване: 4-10%
Твърдост (Shore D): 85-88 D
Температура на стъкловиден преход: 100 ℃
Плътност: 1,05-1,25 g/cm3
Устойчивост на удар в зъб: 41-48j/m
Вискозитет: 100-350MPa-s</v>
      </c>
      <c r="F906" s="133"/>
      <c r="G906" s="131"/>
      <c r="H906" s="130" t="str">
        <f>IF('Направление 5'!D18="","",'Направление 5'!D18)</f>
        <v>3D Принтер</v>
      </c>
      <c r="I906" s="131"/>
      <c r="J906" s="61">
        <f>IF('Направление 5'!E18=0,"",'Направление 5'!E18)</f>
        <v>50</v>
      </c>
    </row>
    <row r="907" spans="1:10" ht="150" customHeight="1" x14ac:dyDescent="0.3">
      <c r="A907" s="35">
        <v>16</v>
      </c>
      <c r="B907" s="144" t="e">
        <f>IF('Направление 5'!#REF!="","",'Направление 5'!#REF!)</f>
        <v>#REF!</v>
      </c>
      <c r="C907" s="133"/>
      <c r="D907" s="131"/>
      <c r="E907" s="130" t="e">
        <f>IF('Направление 5'!#REF!="","",'Направление 5'!#REF!)</f>
        <v>#REF!</v>
      </c>
      <c r="F907" s="133"/>
      <c r="G907" s="131"/>
      <c r="H907" s="130" t="str">
        <f>IF('Направление 5'!D19="","",'Направление 5'!D19)</f>
        <v>друго</v>
      </c>
      <c r="I907" s="131"/>
      <c r="J907" s="61">
        <f>IF('Направление 5'!E19=0,"",'Направление 5'!E19)</f>
        <v>17</v>
      </c>
    </row>
    <row r="908" spans="1:10" ht="150" customHeight="1" x14ac:dyDescent="0.3">
      <c r="A908" s="35">
        <v>17</v>
      </c>
      <c r="B908" s="144" t="e">
        <f>IF('Направление 5'!#REF!="","",'Направление 5'!#REF!)</f>
        <v>#REF!</v>
      </c>
      <c r="C908" s="133"/>
      <c r="D908" s="131"/>
      <c r="E908" s="130" t="e">
        <f>IF('Направление 5'!#REF!="","",'Направление 5'!#REF!)</f>
        <v>#REF!</v>
      </c>
      <c r="F908" s="133"/>
      <c r="G908" s="131"/>
      <c r="H908" s="130" t="str">
        <f>IF('Направление 5'!D20="","",'Направление 5'!D20)</f>
        <v>принтер</v>
      </c>
      <c r="I908" s="131"/>
      <c r="J908" s="61">
        <f>IF('Направление 5'!E20=0,"",'Направление 5'!E20)</f>
        <v>1</v>
      </c>
    </row>
    <row r="909" spans="1:10" ht="150" customHeight="1" x14ac:dyDescent="0.3">
      <c r="A909" s="35">
        <v>18</v>
      </c>
      <c r="B909" s="144" t="str">
        <f>IF('Направление 5'!B21="","",'Направление 5'!B21)</f>
        <v/>
      </c>
      <c r="C909" s="133"/>
      <c r="D909" s="131"/>
      <c r="E909" s="130" t="str">
        <f>IF('Направление 5'!C21="","",'Направление 5'!C21)</f>
        <v/>
      </c>
      <c r="F909" s="133"/>
      <c r="G909" s="131"/>
      <c r="H909" s="130" t="str">
        <f>IF('Направление 5'!D21="","",'Направление 5'!D21)</f>
        <v/>
      </c>
      <c r="I909" s="131"/>
      <c r="J909" s="61" t="str">
        <f>IF('Направление 5'!E21=0,"",'Направление 5'!E21)</f>
        <v/>
      </c>
    </row>
    <row r="910" spans="1:10" ht="150" customHeight="1" x14ac:dyDescent="0.3">
      <c r="A910" s="35">
        <v>19</v>
      </c>
      <c r="B910" s="144" t="str">
        <f>IF('Направление 5'!B22="","",'Направление 5'!B22)</f>
        <v/>
      </c>
      <c r="C910" s="133"/>
      <c r="D910" s="131"/>
      <c r="E910" s="130" t="str">
        <f>IF('Направление 5'!C22="","",'Направление 5'!C22)</f>
        <v/>
      </c>
      <c r="F910" s="133"/>
      <c r="G910" s="131"/>
      <c r="H910" s="130" t="str">
        <f>IF('Направление 5'!D22="","",'Направление 5'!D22)</f>
        <v/>
      </c>
      <c r="I910" s="131"/>
      <c r="J910" s="61" t="str">
        <f>IF('Направление 5'!E22=0,"",'Направление 5'!E22)</f>
        <v/>
      </c>
    </row>
    <row r="911" spans="1:10" ht="150" customHeight="1" thickBot="1" x14ac:dyDescent="0.35">
      <c r="A911" s="35">
        <v>20</v>
      </c>
      <c r="B911" s="144" t="str">
        <f>IF('Направление 5'!B23="","",'Направление 5'!B23)</f>
        <v/>
      </c>
      <c r="C911" s="133"/>
      <c r="D911" s="131"/>
      <c r="E911" s="130" t="str">
        <f>IF('Направление 5'!C23="","",'Направление 5'!C23)</f>
        <v/>
      </c>
      <c r="F911" s="133"/>
      <c r="G911" s="131"/>
      <c r="H911" s="130" t="str">
        <f>IF('Направление 5'!D23="","",'Направление 5'!D23)</f>
        <v/>
      </c>
      <c r="I911" s="131"/>
      <c r="J911" s="61" t="str">
        <f>IF('Направление 5'!E23=0,"",'Направление 5'!E23)</f>
        <v/>
      </c>
    </row>
    <row r="912" spans="1:10" ht="150" customHeight="1" x14ac:dyDescent="0.3">
      <c r="A912" s="34">
        <v>21</v>
      </c>
      <c r="B912" s="144" t="str">
        <f>IF('Направление 5'!B24="","",'Направление 5'!B24)</f>
        <v/>
      </c>
      <c r="C912" s="133"/>
      <c r="D912" s="131"/>
      <c r="E912" s="130" t="str">
        <f>IF('Направление 5'!C24="","",'Направление 5'!C24)</f>
        <v/>
      </c>
      <c r="F912" s="133"/>
      <c r="G912" s="131"/>
      <c r="H912" s="130" t="str">
        <f>IF('Направление 5'!D24="","",'Направление 5'!D24)</f>
        <v/>
      </c>
      <c r="I912" s="131"/>
      <c r="J912" s="61" t="str">
        <f>IF('Направление 5'!E24=0,"",'Направление 5'!E24)</f>
        <v/>
      </c>
    </row>
    <row r="913" spans="1:10" ht="150" customHeight="1" x14ac:dyDescent="0.3">
      <c r="A913" s="35">
        <v>22</v>
      </c>
      <c r="B913" s="144" t="str">
        <f>IF('Направление 5'!B25="","",'Направление 5'!B25)</f>
        <v/>
      </c>
      <c r="C913" s="133"/>
      <c r="D913" s="131"/>
      <c r="E913" s="130" t="str">
        <f>IF('Направление 5'!C25="","",'Направление 5'!C25)</f>
        <v/>
      </c>
      <c r="F913" s="133"/>
      <c r="G913" s="131"/>
      <c r="H913" s="130" t="str">
        <f>IF('Направление 5'!D25="","",'Направление 5'!D25)</f>
        <v/>
      </c>
      <c r="I913" s="131"/>
      <c r="J913" s="61" t="str">
        <f>IF('Направление 5'!E25=0,"",'Направление 5'!E25)</f>
        <v/>
      </c>
    </row>
    <row r="914" spans="1:10" ht="150" customHeight="1" x14ac:dyDescent="0.3">
      <c r="A914" s="35">
        <v>23</v>
      </c>
      <c r="B914" s="144" t="str">
        <f>IF('Направление 5'!B26="","",'Направление 5'!B26)</f>
        <v/>
      </c>
      <c r="C914" s="133"/>
      <c r="D914" s="131"/>
      <c r="E914" s="130" t="str">
        <f>IF('Направление 5'!C26="","",'Направление 5'!C26)</f>
        <v/>
      </c>
      <c r="F914" s="133"/>
      <c r="G914" s="131"/>
      <c r="H914" s="130" t="str">
        <f>IF('Направление 5'!D26="","",'Направление 5'!D26)</f>
        <v/>
      </c>
      <c r="I914" s="131"/>
      <c r="J914" s="61" t="str">
        <f>IF('Направление 5'!E26=0,"",'Направление 5'!E26)</f>
        <v/>
      </c>
    </row>
    <row r="915" spans="1:10" ht="150" customHeight="1" x14ac:dyDescent="0.3">
      <c r="A915" s="35">
        <v>24</v>
      </c>
      <c r="B915" s="144" t="str">
        <f>IF('Направление 5'!B27="","",'Направление 5'!B27)</f>
        <v/>
      </c>
      <c r="C915" s="133"/>
      <c r="D915" s="131"/>
      <c r="E915" s="130" t="str">
        <f>IF('Направление 5'!C27="","",'Направление 5'!C27)</f>
        <v/>
      </c>
      <c r="F915" s="133"/>
      <c r="G915" s="131"/>
      <c r="H915" s="130" t="str">
        <f>IF('Направление 5'!D27="","",'Направление 5'!D27)</f>
        <v/>
      </c>
      <c r="I915" s="131"/>
      <c r="J915" s="61" t="str">
        <f>IF('Направление 5'!E27=0,"",'Направление 5'!E27)</f>
        <v/>
      </c>
    </row>
    <row r="916" spans="1:10" ht="150" customHeight="1" x14ac:dyDescent="0.3">
      <c r="A916" s="35">
        <v>25</v>
      </c>
      <c r="B916" s="144" t="str">
        <f>IF('Направление 5'!B28="","",'Направление 5'!B28)</f>
        <v/>
      </c>
      <c r="C916" s="133"/>
      <c r="D916" s="131"/>
      <c r="E916" s="130" t="str">
        <f>IF('Направление 5'!C28="","",'Направление 5'!C28)</f>
        <v/>
      </c>
      <c r="F916" s="133"/>
      <c r="G916" s="131"/>
      <c r="H916" s="130" t="str">
        <f>IF('Направление 5'!D28="","",'Направление 5'!D28)</f>
        <v/>
      </c>
      <c r="I916" s="131"/>
      <c r="J916" s="61" t="str">
        <f>IF('Направление 5'!E28=0,"",'Направление 5'!E28)</f>
        <v/>
      </c>
    </row>
    <row r="917" spans="1:10" ht="150" customHeight="1" x14ac:dyDescent="0.3">
      <c r="A917" s="35">
        <v>26</v>
      </c>
      <c r="B917" s="144" t="str">
        <f>IF('Направление 5'!B29="","",'Направление 5'!B29)</f>
        <v/>
      </c>
      <c r="C917" s="133"/>
      <c r="D917" s="131"/>
      <c r="E917" s="130" t="str">
        <f>IF('Направление 5'!C29="","",'Направление 5'!C29)</f>
        <v/>
      </c>
      <c r="F917" s="133"/>
      <c r="G917" s="131"/>
      <c r="H917" s="130" t="str">
        <f>IF('Направление 5'!D29="","",'Направление 5'!D29)</f>
        <v/>
      </c>
      <c r="I917" s="131"/>
      <c r="J917" s="61" t="str">
        <f>IF('Направление 5'!E29=0,"",'Направление 5'!E29)</f>
        <v/>
      </c>
    </row>
    <row r="918" spans="1:10" ht="150" customHeight="1" x14ac:dyDescent="0.3">
      <c r="A918" s="35">
        <v>27</v>
      </c>
      <c r="B918" s="144" t="str">
        <f>IF('Направление 5'!B30="","",'Направление 5'!B30)</f>
        <v/>
      </c>
      <c r="C918" s="133"/>
      <c r="D918" s="131"/>
      <c r="E918" s="130" t="str">
        <f>IF('Направление 5'!C30="","",'Направление 5'!C30)</f>
        <v/>
      </c>
      <c r="F918" s="133"/>
      <c r="G918" s="131"/>
      <c r="H918" s="130" t="str">
        <f>IF('Направление 5'!D30="","",'Направление 5'!D30)</f>
        <v/>
      </c>
      <c r="I918" s="131"/>
      <c r="J918" s="61" t="str">
        <f>IF('Направление 5'!E30=0,"",'Направление 5'!E30)</f>
        <v/>
      </c>
    </row>
    <row r="919" spans="1:10" ht="150" customHeight="1" x14ac:dyDescent="0.3">
      <c r="A919" s="35">
        <v>28</v>
      </c>
      <c r="B919" s="144" t="str">
        <f>IF('Направление 5'!B31="","",'Направление 5'!B31)</f>
        <v/>
      </c>
      <c r="C919" s="133"/>
      <c r="D919" s="131"/>
      <c r="E919" s="130" t="str">
        <f>IF('Направление 5'!C31="","",'Направление 5'!C31)</f>
        <v/>
      </c>
      <c r="F919" s="133"/>
      <c r="G919" s="131"/>
      <c r="H919" s="130" t="str">
        <f>IF('Направление 5'!D31="","",'Направление 5'!D31)</f>
        <v/>
      </c>
      <c r="I919" s="131"/>
      <c r="J919" s="61" t="str">
        <f>IF('Направление 5'!E31=0,"",'Направление 5'!E31)</f>
        <v/>
      </c>
    </row>
    <row r="920" spans="1:10" ht="150" customHeight="1" x14ac:dyDescent="0.3">
      <c r="A920" s="35">
        <v>29</v>
      </c>
      <c r="B920" s="144" t="str">
        <f>IF('Направление 5'!B32="","",'Направление 5'!B32)</f>
        <v/>
      </c>
      <c r="C920" s="133"/>
      <c r="D920" s="131"/>
      <c r="E920" s="130" t="str">
        <f>IF('Направление 5'!C32="","",'Направление 5'!C32)</f>
        <v/>
      </c>
      <c r="F920" s="133"/>
      <c r="G920" s="131"/>
      <c r="H920" s="130" t="str">
        <f>IF('Направление 5'!D32="","",'Направление 5'!D32)</f>
        <v/>
      </c>
      <c r="I920" s="131"/>
      <c r="J920" s="61" t="str">
        <f>IF('Направление 5'!E32=0,"",'Направление 5'!E32)</f>
        <v/>
      </c>
    </row>
    <row r="921" spans="1:10" ht="150" customHeight="1" x14ac:dyDescent="0.3">
      <c r="A921" s="35">
        <v>30</v>
      </c>
      <c r="B921" s="144" t="str">
        <f>IF('Направление 5'!B33="","",'Направление 5'!B33)</f>
        <v/>
      </c>
      <c r="C921" s="133"/>
      <c r="D921" s="131"/>
      <c r="E921" s="130" t="str">
        <f>IF('Направление 5'!C33="","",'Направление 5'!C33)</f>
        <v/>
      </c>
      <c r="F921" s="133"/>
      <c r="G921" s="131"/>
      <c r="H921" s="130" t="str">
        <f>IF('Направление 5'!D33="","",'Направление 5'!D33)</f>
        <v/>
      </c>
      <c r="I921" s="131"/>
      <c r="J921" s="61" t="str">
        <f>IF('Направление 5'!E33=0,"",'Направление 5'!E33)</f>
        <v/>
      </c>
    </row>
    <row r="922" spans="1:10" ht="150" customHeight="1" x14ac:dyDescent="0.3">
      <c r="A922" s="35">
        <v>31</v>
      </c>
      <c r="B922" s="144" t="str">
        <f>IF('Направление 5'!B34="","",'Направление 5'!B34)</f>
        <v/>
      </c>
      <c r="C922" s="133"/>
      <c r="D922" s="131"/>
      <c r="E922" s="130" t="str">
        <f>IF('Направление 5'!C34="","",'Направление 5'!C34)</f>
        <v/>
      </c>
      <c r="F922" s="133"/>
      <c r="G922" s="131"/>
      <c r="H922" s="130" t="str">
        <f>IF('Направление 5'!D34="","",'Направление 5'!D34)</f>
        <v/>
      </c>
      <c r="I922" s="131"/>
      <c r="J922" s="61" t="str">
        <f>IF('Направление 5'!E34=0,"",'Направление 5'!E34)</f>
        <v/>
      </c>
    </row>
    <row r="923" spans="1:10" ht="150" customHeight="1" x14ac:dyDescent="0.3">
      <c r="A923" s="35">
        <v>32</v>
      </c>
      <c r="B923" s="144" t="str">
        <f>IF('Направление 5'!B35="","",'Направление 5'!B35)</f>
        <v/>
      </c>
      <c r="C923" s="133"/>
      <c r="D923" s="131"/>
      <c r="E923" s="130" t="str">
        <f>IF('Направление 5'!C35="","",'Направление 5'!C35)</f>
        <v/>
      </c>
      <c r="F923" s="133"/>
      <c r="G923" s="131"/>
      <c r="H923" s="130" t="str">
        <f>IF('Направление 5'!D35="","",'Направление 5'!D35)</f>
        <v/>
      </c>
      <c r="I923" s="131"/>
      <c r="J923" s="61" t="str">
        <f>IF('Направление 5'!E35=0,"",'Направление 5'!E35)</f>
        <v/>
      </c>
    </row>
    <row r="924" spans="1:10" ht="150" customHeight="1" x14ac:dyDescent="0.3">
      <c r="A924" s="35">
        <v>33</v>
      </c>
      <c r="B924" s="144" t="str">
        <f>IF('Направление 5'!B36="","",'Направление 5'!B36)</f>
        <v/>
      </c>
      <c r="C924" s="133"/>
      <c r="D924" s="131"/>
      <c r="E924" s="130" t="str">
        <f>IF('Направление 5'!C36="","",'Направление 5'!C36)</f>
        <v/>
      </c>
      <c r="F924" s="133"/>
      <c r="G924" s="131"/>
      <c r="H924" s="130" t="str">
        <f>IF('Направление 5'!D36="","",'Направление 5'!D36)</f>
        <v/>
      </c>
      <c r="I924" s="131"/>
      <c r="J924" s="61" t="str">
        <f>IF('Направление 5'!E36=0,"",'Направление 5'!E36)</f>
        <v/>
      </c>
    </row>
    <row r="925" spans="1:10" ht="150" customHeight="1" x14ac:dyDescent="0.3">
      <c r="A925" s="35">
        <v>34</v>
      </c>
      <c r="B925" s="144" t="str">
        <f>IF('Направление 5'!B37="","",'Направление 5'!B37)</f>
        <v/>
      </c>
      <c r="C925" s="133"/>
      <c r="D925" s="131"/>
      <c r="E925" s="130" t="str">
        <f>IF('Направление 5'!C37="","",'Направление 5'!C37)</f>
        <v/>
      </c>
      <c r="F925" s="133"/>
      <c r="G925" s="131"/>
      <c r="H925" s="130" t="str">
        <f>IF('Направление 5'!D37="","",'Направление 5'!D37)</f>
        <v/>
      </c>
      <c r="I925" s="131"/>
      <c r="J925" s="61" t="str">
        <f>IF('Направление 5'!E37=0,"",'Направление 5'!E37)</f>
        <v/>
      </c>
    </row>
    <row r="926" spans="1:10" ht="150" customHeight="1" x14ac:dyDescent="0.3">
      <c r="A926" s="35">
        <v>35</v>
      </c>
      <c r="B926" s="144" t="str">
        <f>IF('Направление 5'!B38="","",'Направление 5'!B38)</f>
        <v/>
      </c>
      <c r="C926" s="133"/>
      <c r="D926" s="131"/>
      <c r="E926" s="130" t="str">
        <f>IF('Направление 5'!C38="","",'Направление 5'!C38)</f>
        <v/>
      </c>
      <c r="F926" s="133"/>
      <c r="G926" s="131"/>
      <c r="H926" s="130" t="str">
        <f>IF('Направление 5'!D38="","",'Направление 5'!D38)</f>
        <v/>
      </c>
      <c r="I926" s="131"/>
      <c r="J926" s="61" t="str">
        <f>IF('Направление 5'!E38=0,"",'Направление 5'!E38)</f>
        <v/>
      </c>
    </row>
    <row r="927" spans="1:10" ht="150" customHeight="1" x14ac:dyDescent="0.3">
      <c r="A927" s="35">
        <v>36</v>
      </c>
      <c r="B927" s="144" t="str">
        <f>IF('Направление 5'!B39="","",'Направление 5'!B39)</f>
        <v/>
      </c>
      <c r="C927" s="133"/>
      <c r="D927" s="131"/>
      <c r="E927" s="130" t="str">
        <f>IF('Направление 5'!C39="","",'Направление 5'!C39)</f>
        <v/>
      </c>
      <c r="F927" s="133"/>
      <c r="G927" s="131"/>
      <c r="H927" s="130" t="str">
        <f>IF('Направление 5'!D39="","",'Направление 5'!D39)</f>
        <v/>
      </c>
      <c r="I927" s="131"/>
      <c r="J927" s="61" t="str">
        <f>IF('Направление 5'!E39=0,"",'Направление 5'!E39)</f>
        <v/>
      </c>
    </row>
    <row r="928" spans="1:10" ht="150" customHeight="1" x14ac:dyDescent="0.3">
      <c r="A928" s="35">
        <v>37</v>
      </c>
      <c r="B928" s="144" t="str">
        <f>IF('Направление 5'!B40="","",'Направление 5'!B40)</f>
        <v/>
      </c>
      <c r="C928" s="133"/>
      <c r="D928" s="131"/>
      <c r="E928" s="130" t="str">
        <f>IF('Направление 5'!C40="","",'Направление 5'!C40)</f>
        <v/>
      </c>
      <c r="F928" s="133"/>
      <c r="G928" s="131"/>
      <c r="H928" s="130" t="str">
        <f>IF('Направление 5'!D40="","",'Направление 5'!D40)</f>
        <v/>
      </c>
      <c r="I928" s="131"/>
      <c r="J928" s="61" t="str">
        <f>IF('Направление 5'!E40=0,"",'Направление 5'!E40)</f>
        <v/>
      </c>
    </row>
    <row r="929" spans="1:10" ht="150" customHeight="1" x14ac:dyDescent="0.3">
      <c r="A929" s="35">
        <v>38</v>
      </c>
      <c r="B929" s="144" t="str">
        <f>IF('Направление 5'!B41="","",'Направление 5'!B41)</f>
        <v/>
      </c>
      <c r="C929" s="133"/>
      <c r="D929" s="131"/>
      <c r="E929" s="130" t="str">
        <f>IF('Направление 5'!C41="","",'Направление 5'!C41)</f>
        <v/>
      </c>
      <c r="F929" s="133"/>
      <c r="G929" s="131"/>
      <c r="H929" s="130" t="str">
        <f>IF('Направление 5'!D41="","",'Направление 5'!D41)</f>
        <v/>
      </c>
      <c r="I929" s="131"/>
      <c r="J929" s="61" t="str">
        <f>IF('Направление 5'!E41=0,"",'Направление 5'!E41)</f>
        <v/>
      </c>
    </row>
    <row r="930" spans="1:10" ht="150" customHeight="1" x14ac:dyDescent="0.3">
      <c r="A930" s="35">
        <v>39</v>
      </c>
      <c r="B930" s="144" t="str">
        <f>IF('Направление 5'!B42="","",'Направление 5'!B42)</f>
        <v/>
      </c>
      <c r="C930" s="133"/>
      <c r="D930" s="131"/>
      <c r="E930" s="130" t="str">
        <f>IF('Направление 5'!C42="","",'Направление 5'!C42)</f>
        <v/>
      </c>
      <c r="F930" s="133"/>
      <c r="G930" s="131"/>
      <c r="H930" s="130" t="str">
        <f>IF('Направление 5'!D42="","",'Направление 5'!D42)</f>
        <v/>
      </c>
      <c r="I930" s="131"/>
      <c r="J930" s="61" t="str">
        <f>IF('Направление 5'!E42=0,"",'Направление 5'!E42)</f>
        <v/>
      </c>
    </row>
    <row r="931" spans="1:10" ht="150" customHeight="1" x14ac:dyDescent="0.3">
      <c r="A931" s="35">
        <v>40</v>
      </c>
      <c r="B931" s="144" t="str">
        <f>IF('Направление 5'!B43="","",'Направление 5'!B43)</f>
        <v/>
      </c>
      <c r="C931" s="133"/>
      <c r="D931" s="131"/>
      <c r="E931" s="130" t="str">
        <f>IF('Направление 5'!C43="","",'Направление 5'!C43)</f>
        <v/>
      </c>
      <c r="F931" s="133"/>
      <c r="G931" s="131"/>
      <c r="H931" s="130" t="str">
        <f>IF('Направление 5'!D43="","",'Направление 5'!D43)</f>
        <v/>
      </c>
      <c r="I931" s="131"/>
      <c r="J931" s="61" t="str">
        <f>IF('Направление 5'!E43=0,"",'Направление 5'!E43)</f>
        <v/>
      </c>
    </row>
    <row r="932" spans="1:10" ht="150" customHeight="1" x14ac:dyDescent="0.3">
      <c r="A932" s="35">
        <v>41</v>
      </c>
      <c r="B932" s="144" t="str">
        <f>IF('Направление 5'!B44="","",'Направление 5'!B44)</f>
        <v/>
      </c>
      <c r="C932" s="133"/>
      <c r="D932" s="131"/>
      <c r="E932" s="130" t="str">
        <f>IF('Направление 5'!C44="","",'Направление 5'!C44)</f>
        <v/>
      </c>
      <c r="F932" s="133"/>
      <c r="G932" s="131"/>
      <c r="H932" s="130" t="str">
        <f>IF('Направление 5'!D44="","",'Направление 5'!D44)</f>
        <v/>
      </c>
      <c r="I932" s="131"/>
      <c r="J932" s="61" t="str">
        <f>IF('Направление 5'!E44=0,"",'Направление 5'!E44)</f>
        <v/>
      </c>
    </row>
    <row r="933" spans="1:10" ht="150" customHeight="1" x14ac:dyDescent="0.3">
      <c r="A933" s="35">
        <v>42</v>
      </c>
      <c r="B933" s="144" t="str">
        <f>IF('Направление 5'!B45="","",'Направление 5'!B45)</f>
        <v/>
      </c>
      <c r="C933" s="133"/>
      <c r="D933" s="131"/>
      <c r="E933" s="130" t="str">
        <f>IF('Направление 5'!C45="","",'Направление 5'!C45)</f>
        <v/>
      </c>
      <c r="F933" s="133"/>
      <c r="G933" s="131"/>
      <c r="H933" s="130" t="str">
        <f>IF('Направление 5'!D45="","",'Направление 5'!D45)</f>
        <v/>
      </c>
      <c r="I933" s="131"/>
      <c r="J933" s="61" t="str">
        <f>IF('Направление 5'!E45=0,"",'Направление 5'!E45)</f>
        <v/>
      </c>
    </row>
    <row r="934" spans="1:10" ht="150" customHeight="1" x14ac:dyDescent="0.3">
      <c r="A934" s="35">
        <v>43</v>
      </c>
      <c r="B934" s="144" t="str">
        <f>IF('Направление 5'!B46="","",'Направление 5'!B46)</f>
        <v/>
      </c>
      <c r="C934" s="133"/>
      <c r="D934" s="131"/>
      <c r="E934" s="130" t="str">
        <f>IF('Направление 5'!C46="","",'Направление 5'!C46)</f>
        <v/>
      </c>
      <c r="F934" s="133"/>
      <c r="G934" s="131"/>
      <c r="H934" s="130" t="str">
        <f>IF('Направление 5'!D46="","",'Направление 5'!D46)</f>
        <v/>
      </c>
      <c r="I934" s="131"/>
      <c r="J934" s="61" t="str">
        <f>IF('Направление 5'!E46=0,"",'Направление 5'!E46)</f>
        <v/>
      </c>
    </row>
    <row r="935" spans="1:10" ht="150" customHeight="1" x14ac:dyDescent="0.3">
      <c r="A935" s="35">
        <v>44</v>
      </c>
      <c r="B935" s="144" t="str">
        <f>IF('Направление 5'!B47="","",'Направление 5'!B47)</f>
        <v/>
      </c>
      <c r="C935" s="133"/>
      <c r="D935" s="131"/>
      <c r="E935" s="130" t="str">
        <f>IF('Направление 5'!C47="","",'Направление 5'!C47)</f>
        <v/>
      </c>
      <c r="F935" s="133"/>
      <c r="G935" s="131"/>
      <c r="H935" s="130" t="str">
        <f>IF('Направление 5'!D47="","",'Направление 5'!D47)</f>
        <v/>
      </c>
      <c r="I935" s="131"/>
      <c r="J935" s="61" t="str">
        <f>IF('Направление 5'!E47=0,"",'Направление 5'!E47)</f>
        <v/>
      </c>
    </row>
    <row r="936" spans="1:10" ht="150" customHeight="1" x14ac:dyDescent="0.3">
      <c r="A936" s="35">
        <v>45</v>
      </c>
      <c r="B936" s="144" t="str">
        <f>IF('Направление 5'!B48="","",'Направление 5'!B48)</f>
        <v/>
      </c>
      <c r="C936" s="133"/>
      <c r="D936" s="131"/>
      <c r="E936" s="130" t="str">
        <f>IF('Направление 5'!C48="","",'Направление 5'!C48)</f>
        <v/>
      </c>
      <c r="F936" s="133"/>
      <c r="G936" s="131"/>
      <c r="H936" s="130" t="str">
        <f>IF('Направление 5'!D48="","",'Направление 5'!D48)</f>
        <v/>
      </c>
      <c r="I936" s="131"/>
      <c r="J936" s="61" t="str">
        <f>IF('Направление 5'!E48=0,"",'Направление 5'!E48)</f>
        <v/>
      </c>
    </row>
    <row r="937" spans="1:10" ht="150" customHeight="1" x14ac:dyDescent="0.3">
      <c r="A937" s="35">
        <v>46</v>
      </c>
      <c r="B937" s="144" t="str">
        <f>IF('Направление 5'!B49="","",'Направление 5'!B49)</f>
        <v/>
      </c>
      <c r="C937" s="133"/>
      <c r="D937" s="131"/>
      <c r="E937" s="130" t="str">
        <f>IF('Направление 5'!C49="","",'Направление 5'!C49)</f>
        <v/>
      </c>
      <c r="F937" s="133"/>
      <c r="G937" s="131"/>
      <c r="H937" s="130" t="str">
        <f>IF('Направление 5'!D49="","",'Направление 5'!D49)</f>
        <v/>
      </c>
      <c r="I937" s="131"/>
      <c r="J937" s="61" t="str">
        <f>IF('Направление 5'!E49=0,"",'Направление 5'!E49)</f>
        <v/>
      </c>
    </row>
    <row r="938" spans="1:10" ht="150" customHeight="1" x14ac:dyDescent="0.3">
      <c r="A938" s="35">
        <v>47</v>
      </c>
      <c r="B938" s="144" t="str">
        <f>IF('Направление 5'!B50="","",'Направление 5'!B50)</f>
        <v/>
      </c>
      <c r="C938" s="133"/>
      <c r="D938" s="131"/>
      <c r="E938" s="130" t="str">
        <f>IF('Направление 5'!C50="","",'Направление 5'!C50)</f>
        <v/>
      </c>
      <c r="F938" s="133"/>
      <c r="G938" s="131"/>
      <c r="H938" s="130" t="str">
        <f>IF('Направление 5'!D50="","",'Направление 5'!D50)</f>
        <v/>
      </c>
      <c r="I938" s="131"/>
      <c r="J938" s="61" t="str">
        <f>IF('Направление 5'!E50=0,"",'Направление 5'!E50)</f>
        <v/>
      </c>
    </row>
    <row r="939" spans="1:10" ht="150" customHeight="1" x14ac:dyDescent="0.3">
      <c r="A939" s="35">
        <v>48</v>
      </c>
      <c r="B939" s="144" t="str">
        <f>IF('Направление 5'!B51="","",'Направление 5'!B51)</f>
        <v/>
      </c>
      <c r="C939" s="133"/>
      <c r="D939" s="131"/>
      <c r="E939" s="130" t="str">
        <f>IF('Направление 5'!C51="","",'Направление 5'!C51)</f>
        <v/>
      </c>
      <c r="F939" s="133"/>
      <c r="G939" s="131"/>
      <c r="H939" s="130" t="str">
        <f>IF('Направление 5'!D51="","",'Направление 5'!D51)</f>
        <v/>
      </c>
      <c r="I939" s="131"/>
      <c r="J939" s="61" t="str">
        <f>IF('Направление 5'!E51=0,"",'Направление 5'!E51)</f>
        <v/>
      </c>
    </row>
    <row r="940" spans="1:10" ht="150" customHeight="1" x14ac:dyDescent="0.3">
      <c r="A940" s="35">
        <v>49</v>
      </c>
      <c r="B940" s="144" t="str">
        <f>IF('Направление 5'!B52="","",'Направление 5'!B52)</f>
        <v/>
      </c>
      <c r="C940" s="133"/>
      <c r="D940" s="131"/>
      <c r="E940" s="130" t="str">
        <f>IF('Направление 5'!C52="","",'Направление 5'!C52)</f>
        <v/>
      </c>
      <c r="F940" s="133"/>
      <c r="G940" s="131"/>
      <c r="H940" s="130" t="str">
        <f>IF('Направление 5'!D52="","",'Направление 5'!D52)</f>
        <v/>
      </c>
      <c r="I940" s="131"/>
      <c r="J940" s="61" t="str">
        <f>IF('Направление 5'!E52=0,"",'Направление 5'!E52)</f>
        <v/>
      </c>
    </row>
    <row r="941" spans="1:10" ht="150" customHeight="1" x14ac:dyDescent="0.3">
      <c r="A941" s="35">
        <v>50</v>
      </c>
      <c r="B941" s="144" t="str">
        <f>IF('Направление 5'!B53="","",'Направление 5'!B53)</f>
        <v/>
      </c>
      <c r="C941" s="133"/>
      <c r="D941" s="131"/>
      <c r="E941" s="130" t="str">
        <f>IF('Направление 5'!C53="","",'Направление 5'!C53)</f>
        <v/>
      </c>
      <c r="F941" s="133"/>
      <c r="G941" s="131"/>
      <c r="H941" s="130" t="str">
        <f>IF('Направление 5'!D53="","",'Направление 5'!D53)</f>
        <v/>
      </c>
      <c r="I941" s="131"/>
      <c r="J941" s="61" t="str">
        <f>IF('Направление 5'!E53=0,"",'Направление 5'!E53)</f>
        <v/>
      </c>
    </row>
    <row r="942" spans="1:10" ht="150" customHeight="1" x14ac:dyDescent="0.3">
      <c r="A942" s="35">
        <v>51</v>
      </c>
      <c r="B942" s="144" t="str">
        <f>IF('Направление 5'!B54="","",'Направление 5'!B54)</f>
        <v/>
      </c>
      <c r="C942" s="133"/>
      <c r="D942" s="131"/>
      <c r="E942" s="130" t="str">
        <f>IF('Направление 5'!C54="","",'Направление 5'!C54)</f>
        <v/>
      </c>
      <c r="F942" s="133"/>
      <c r="G942" s="131"/>
      <c r="H942" s="130" t="str">
        <f>IF('Направление 5'!D54="","",'Направление 5'!D54)</f>
        <v/>
      </c>
      <c r="I942" s="131"/>
      <c r="J942" s="61" t="str">
        <f>IF('Направление 5'!E54=0,"",'Направление 5'!E54)</f>
        <v/>
      </c>
    </row>
    <row r="943" spans="1:10" ht="150" customHeight="1" x14ac:dyDescent="0.3">
      <c r="A943" s="35">
        <v>52</v>
      </c>
      <c r="B943" s="144" t="str">
        <f>IF('Направление 5'!B55="","",'Направление 5'!B55)</f>
        <v/>
      </c>
      <c r="C943" s="133"/>
      <c r="D943" s="131"/>
      <c r="E943" s="130" t="str">
        <f>IF('Направление 5'!C55="","",'Направление 5'!C55)</f>
        <v/>
      </c>
      <c r="F943" s="133"/>
      <c r="G943" s="131"/>
      <c r="H943" s="130" t="str">
        <f>IF('Направление 5'!D55="","",'Направление 5'!D55)</f>
        <v/>
      </c>
      <c r="I943" s="131"/>
      <c r="J943" s="61" t="str">
        <f>IF('Направление 5'!E55=0,"",'Направление 5'!E55)</f>
        <v/>
      </c>
    </row>
    <row r="944" spans="1:10" ht="150" customHeight="1" x14ac:dyDescent="0.3">
      <c r="A944" s="35">
        <v>53</v>
      </c>
      <c r="B944" s="144" t="str">
        <f>IF('Направление 5'!B56="","",'Направление 5'!B56)</f>
        <v/>
      </c>
      <c r="C944" s="133"/>
      <c r="D944" s="131"/>
      <c r="E944" s="130" t="str">
        <f>IF('Направление 5'!C56="","",'Направление 5'!C56)</f>
        <v/>
      </c>
      <c r="F944" s="133"/>
      <c r="G944" s="131"/>
      <c r="H944" s="130" t="str">
        <f>IF('Направление 5'!D56="","",'Направление 5'!D56)</f>
        <v/>
      </c>
      <c r="I944" s="131"/>
      <c r="J944" s="61" t="str">
        <f>IF('Направление 5'!E56=0,"",'Направление 5'!E56)</f>
        <v/>
      </c>
    </row>
    <row r="945" spans="1:10" ht="150" customHeight="1" x14ac:dyDescent="0.3">
      <c r="A945" s="35">
        <v>54</v>
      </c>
      <c r="B945" s="144" t="str">
        <f>IF('Направление 5'!B57="","",'Направление 5'!B57)</f>
        <v/>
      </c>
      <c r="C945" s="133"/>
      <c r="D945" s="131"/>
      <c r="E945" s="130" t="str">
        <f>IF('Направление 5'!C57="","",'Направление 5'!C57)</f>
        <v/>
      </c>
      <c r="F945" s="133"/>
      <c r="G945" s="131"/>
      <c r="H945" s="130" t="str">
        <f>IF('Направление 5'!D57="","",'Направление 5'!D57)</f>
        <v/>
      </c>
      <c r="I945" s="131"/>
      <c r="J945" s="61" t="str">
        <f>IF('Направление 5'!E57=0,"",'Направление 5'!E57)</f>
        <v/>
      </c>
    </row>
    <row r="946" spans="1:10" ht="150" customHeight="1" x14ac:dyDescent="0.3">
      <c r="A946" s="35">
        <v>55</v>
      </c>
      <c r="B946" s="144" t="str">
        <f>IF('Направление 5'!B58="","",'Направление 5'!B58)</f>
        <v/>
      </c>
      <c r="C946" s="133"/>
      <c r="D946" s="131"/>
      <c r="E946" s="130" t="str">
        <f>IF('Направление 5'!C58="","",'Направление 5'!C58)</f>
        <v/>
      </c>
      <c r="F946" s="133"/>
      <c r="G946" s="131"/>
      <c r="H946" s="130" t="str">
        <f>IF('Направление 5'!D58="","",'Направление 5'!D58)</f>
        <v/>
      </c>
      <c r="I946" s="131"/>
      <c r="J946" s="61" t="str">
        <f>IF('Направление 5'!E58=0,"",'Направление 5'!E58)</f>
        <v/>
      </c>
    </row>
    <row r="947" spans="1:10" ht="150" customHeight="1" x14ac:dyDescent="0.3">
      <c r="A947" s="35">
        <v>56</v>
      </c>
      <c r="B947" s="144" t="str">
        <f>IF('Направление 5'!B59="","",'Направление 5'!B59)</f>
        <v/>
      </c>
      <c r="C947" s="133"/>
      <c r="D947" s="131"/>
      <c r="E947" s="130" t="str">
        <f>IF('Направление 5'!C59="","",'Направление 5'!C59)</f>
        <v/>
      </c>
      <c r="F947" s="133"/>
      <c r="G947" s="131"/>
      <c r="H947" s="130" t="str">
        <f>IF('Направление 5'!D59="","",'Направление 5'!D59)</f>
        <v/>
      </c>
      <c r="I947" s="131"/>
      <c r="J947" s="61" t="str">
        <f>IF('Направление 5'!E59=0,"",'Направление 5'!E59)</f>
        <v/>
      </c>
    </row>
    <row r="948" spans="1:10" ht="150" customHeight="1" x14ac:dyDescent="0.3">
      <c r="A948" s="35">
        <v>57</v>
      </c>
      <c r="B948" s="144" t="str">
        <f>IF('Направление 5'!B60="","",'Направление 5'!B60)</f>
        <v/>
      </c>
      <c r="C948" s="133"/>
      <c r="D948" s="131"/>
      <c r="E948" s="130" t="str">
        <f>IF('Направление 5'!C60="","",'Направление 5'!C60)</f>
        <v/>
      </c>
      <c r="F948" s="133"/>
      <c r="G948" s="131"/>
      <c r="H948" s="130" t="str">
        <f>IF('Направление 5'!D60="","",'Направление 5'!D60)</f>
        <v/>
      </c>
      <c r="I948" s="131"/>
      <c r="J948" s="61" t="str">
        <f>IF('Направление 5'!E60=0,"",'Направление 5'!E60)</f>
        <v/>
      </c>
    </row>
    <row r="949" spans="1:10" ht="150" customHeight="1" x14ac:dyDescent="0.3">
      <c r="A949" s="35">
        <v>58</v>
      </c>
      <c r="B949" s="144" t="str">
        <f>IF('Направление 5'!B61="","",'Направление 5'!B61)</f>
        <v/>
      </c>
      <c r="C949" s="133"/>
      <c r="D949" s="131"/>
      <c r="E949" s="130" t="str">
        <f>IF('Направление 5'!C61="","",'Направление 5'!C61)</f>
        <v/>
      </c>
      <c r="F949" s="133"/>
      <c r="G949" s="131"/>
      <c r="H949" s="130" t="str">
        <f>IF('Направление 5'!D61="","",'Направление 5'!D61)</f>
        <v/>
      </c>
      <c r="I949" s="131"/>
      <c r="J949" s="61" t="str">
        <f>IF('Направление 5'!E61=0,"",'Направление 5'!E61)</f>
        <v/>
      </c>
    </row>
    <row r="950" spans="1:10" ht="150" customHeight="1" x14ac:dyDescent="0.3">
      <c r="A950" s="35">
        <v>59</v>
      </c>
      <c r="B950" s="144" t="str">
        <f>IF('Направление 5'!B62="","",'Направление 5'!B62)</f>
        <v/>
      </c>
      <c r="C950" s="133"/>
      <c r="D950" s="131"/>
      <c r="E950" s="130" t="str">
        <f>IF('Направление 5'!C62="","",'Направление 5'!C62)</f>
        <v/>
      </c>
      <c r="F950" s="133"/>
      <c r="G950" s="131"/>
      <c r="H950" s="130" t="str">
        <f>IF('Направление 5'!D62="","",'Направление 5'!D62)</f>
        <v/>
      </c>
      <c r="I950" s="131"/>
      <c r="J950" s="61" t="str">
        <f>IF('Направление 5'!E62=0,"",'Направление 5'!E62)</f>
        <v/>
      </c>
    </row>
    <row r="951" spans="1:10" ht="150" customHeight="1" x14ac:dyDescent="0.3">
      <c r="A951" s="35">
        <v>60</v>
      </c>
      <c r="B951" s="144" t="str">
        <f>IF('Направление 5'!B63="","",'Направление 5'!B63)</f>
        <v/>
      </c>
      <c r="C951" s="133"/>
      <c r="D951" s="131"/>
      <c r="E951" s="130" t="str">
        <f>IF('Направление 5'!C63="","",'Направление 5'!C63)</f>
        <v/>
      </c>
      <c r="F951" s="133"/>
      <c r="G951" s="131"/>
      <c r="H951" s="130" t="str">
        <f>IF('Направление 5'!D63="","",'Направление 5'!D63)</f>
        <v/>
      </c>
      <c r="I951" s="131"/>
      <c r="J951" s="61" t="str">
        <f>IF('Направление 5'!E63=0,"",'Направление 5'!E63)</f>
        <v/>
      </c>
    </row>
    <row r="952" spans="1:10" ht="150" customHeight="1" x14ac:dyDescent="0.3">
      <c r="A952" s="35">
        <v>61</v>
      </c>
      <c r="B952" s="144" t="str">
        <f>IF('Направление 5'!B64="","",'Направление 5'!B64)</f>
        <v/>
      </c>
      <c r="C952" s="133"/>
      <c r="D952" s="131"/>
      <c r="E952" s="130" t="str">
        <f>IF('Направление 5'!C64="","",'Направление 5'!C64)</f>
        <v/>
      </c>
      <c r="F952" s="133"/>
      <c r="G952" s="131"/>
      <c r="H952" s="130" t="str">
        <f>IF('Направление 5'!D64="","",'Направление 5'!D64)</f>
        <v/>
      </c>
      <c r="I952" s="131"/>
      <c r="J952" s="61" t="str">
        <f>IF('Направление 5'!E64=0,"",'Направление 5'!E64)</f>
        <v/>
      </c>
    </row>
    <row r="953" spans="1:10" ht="150" customHeight="1" x14ac:dyDescent="0.3">
      <c r="A953" s="35">
        <v>62</v>
      </c>
      <c r="B953" s="144" t="str">
        <f>IF('Направление 5'!B65="","",'Направление 5'!B65)</f>
        <v/>
      </c>
      <c r="C953" s="133"/>
      <c r="D953" s="131"/>
      <c r="E953" s="130" t="str">
        <f>IF('Направление 5'!C65="","",'Направление 5'!C65)</f>
        <v/>
      </c>
      <c r="F953" s="133"/>
      <c r="G953" s="131"/>
      <c r="H953" s="130" t="str">
        <f>IF('Направление 5'!D65="","",'Направление 5'!D65)</f>
        <v/>
      </c>
      <c r="I953" s="131"/>
      <c r="J953" s="61" t="str">
        <f>IF('Направление 5'!E65=0,"",'Направление 5'!E65)</f>
        <v/>
      </c>
    </row>
    <row r="954" spans="1:10" ht="150" customHeight="1" x14ac:dyDescent="0.3">
      <c r="A954" s="35">
        <v>63</v>
      </c>
      <c r="B954" s="144" t="str">
        <f>IF('Направление 5'!B66="","",'Направление 5'!B66)</f>
        <v/>
      </c>
      <c r="C954" s="133"/>
      <c r="D954" s="131"/>
      <c r="E954" s="130" t="str">
        <f>IF('Направление 5'!C66="","",'Направление 5'!C66)</f>
        <v/>
      </c>
      <c r="F954" s="133"/>
      <c r="G954" s="131"/>
      <c r="H954" s="130" t="str">
        <f>IF('Направление 5'!D66="","",'Направление 5'!D66)</f>
        <v/>
      </c>
      <c r="I954" s="131"/>
      <c r="J954" s="61" t="str">
        <f>IF('Направление 5'!E66=0,"",'Направление 5'!E66)</f>
        <v/>
      </c>
    </row>
    <row r="955" spans="1:10" ht="150" customHeight="1" x14ac:dyDescent="0.3">
      <c r="A955" s="35">
        <v>64</v>
      </c>
      <c r="B955" s="144" t="str">
        <f>IF('Направление 5'!B67="","",'Направление 5'!B67)</f>
        <v/>
      </c>
      <c r="C955" s="133"/>
      <c r="D955" s="131"/>
      <c r="E955" s="130" t="str">
        <f>IF('Направление 5'!C67="","",'Направление 5'!C67)</f>
        <v/>
      </c>
      <c r="F955" s="133"/>
      <c r="G955" s="131"/>
      <c r="H955" s="130" t="str">
        <f>IF('Направление 5'!D67="","",'Направление 5'!D67)</f>
        <v/>
      </c>
      <c r="I955" s="131"/>
      <c r="J955" s="61" t="str">
        <f>IF('Направление 5'!E67=0,"",'Направление 5'!E67)</f>
        <v/>
      </c>
    </row>
    <row r="956" spans="1:10" ht="150" customHeight="1" x14ac:dyDescent="0.3">
      <c r="A956" s="35">
        <v>65</v>
      </c>
      <c r="B956" s="144" t="str">
        <f>IF('Направление 5'!B68="","",'Направление 5'!B68)</f>
        <v/>
      </c>
      <c r="C956" s="133"/>
      <c r="D956" s="131"/>
      <c r="E956" s="130" t="str">
        <f>IF('Направление 5'!C68="","",'Направление 5'!C68)</f>
        <v/>
      </c>
      <c r="F956" s="133"/>
      <c r="G956" s="131"/>
      <c r="H956" s="130" t="str">
        <f>IF('Направление 5'!D68="","",'Направление 5'!D68)</f>
        <v/>
      </c>
      <c r="I956" s="131"/>
      <c r="J956" s="61" t="str">
        <f>IF('Направление 5'!E68=0,"",'Направление 5'!E68)</f>
        <v/>
      </c>
    </row>
    <row r="957" spans="1:10" ht="150" customHeight="1" x14ac:dyDescent="0.3">
      <c r="A957" s="35">
        <v>66</v>
      </c>
      <c r="B957" s="144" t="str">
        <f>IF('Направление 5'!B69="","",'Направление 5'!B69)</f>
        <v/>
      </c>
      <c r="C957" s="133"/>
      <c r="D957" s="131"/>
      <c r="E957" s="130" t="str">
        <f>IF('Направление 5'!C69="","",'Направление 5'!C69)</f>
        <v/>
      </c>
      <c r="F957" s="133"/>
      <c r="G957" s="131"/>
      <c r="H957" s="130" t="str">
        <f>IF('Направление 5'!D69="","",'Направление 5'!D69)</f>
        <v/>
      </c>
      <c r="I957" s="131"/>
      <c r="J957" s="61" t="str">
        <f>IF('Направление 5'!E69=0,"",'Направление 5'!E69)</f>
        <v/>
      </c>
    </row>
    <row r="958" spans="1:10" ht="150" customHeight="1" x14ac:dyDescent="0.3">
      <c r="A958" s="35">
        <v>67</v>
      </c>
      <c r="B958" s="144" t="str">
        <f>IF('Направление 5'!B70="","",'Направление 5'!B70)</f>
        <v/>
      </c>
      <c r="C958" s="133"/>
      <c r="D958" s="131"/>
      <c r="E958" s="130" t="str">
        <f>IF('Направление 5'!C70="","",'Направление 5'!C70)</f>
        <v/>
      </c>
      <c r="F958" s="133"/>
      <c r="G958" s="131"/>
      <c r="H958" s="130" t="str">
        <f>IF('Направление 5'!D70="","",'Направление 5'!D70)</f>
        <v/>
      </c>
      <c r="I958" s="131"/>
      <c r="J958" s="61" t="str">
        <f>IF('Направление 5'!E70=0,"",'Направление 5'!E70)</f>
        <v/>
      </c>
    </row>
    <row r="959" spans="1:10" ht="150" customHeight="1" x14ac:dyDescent="0.3">
      <c r="A959" s="35">
        <v>68</v>
      </c>
      <c r="B959" s="144" t="str">
        <f>IF('Направление 5'!B71="","",'Направление 5'!B71)</f>
        <v/>
      </c>
      <c r="C959" s="133"/>
      <c r="D959" s="131"/>
      <c r="E959" s="130" t="str">
        <f>IF('Направление 5'!C71="","",'Направление 5'!C71)</f>
        <v/>
      </c>
      <c r="F959" s="133"/>
      <c r="G959" s="131"/>
      <c r="H959" s="130" t="str">
        <f>IF('Направление 5'!D71="","",'Направление 5'!D71)</f>
        <v/>
      </c>
      <c r="I959" s="131"/>
      <c r="J959" s="61" t="str">
        <f>IF('Направление 5'!E71=0,"",'Направление 5'!E71)</f>
        <v/>
      </c>
    </row>
    <row r="960" spans="1:10" ht="150" customHeight="1" x14ac:dyDescent="0.3">
      <c r="A960" s="35">
        <v>69</v>
      </c>
      <c r="B960" s="144" t="str">
        <f>IF('Направление 5'!B72="","",'Направление 5'!B72)</f>
        <v/>
      </c>
      <c r="C960" s="133"/>
      <c r="D960" s="131"/>
      <c r="E960" s="130" t="str">
        <f>IF('Направление 5'!C72="","",'Направление 5'!C72)</f>
        <v/>
      </c>
      <c r="F960" s="133"/>
      <c r="G960" s="131"/>
      <c r="H960" s="130" t="str">
        <f>IF('Направление 5'!D72="","",'Направление 5'!D72)</f>
        <v/>
      </c>
      <c r="I960" s="131"/>
      <c r="J960" s="61" t="str">
        <f>IF('Направление 5'!E72=0,"",'Направление 5'!E72)</f>
        <v/>
      </c>
    </row>
    <row r="961" spans="1:10" ht="150" customHeight="1" x14ac:dyDescent="0.3">
      <c r="A961" s="35">
        <v>70</v>
      </c>
      <c r="B961" s="144" t="str">
        <f>IF('Направление 5'!B73="","",'Направление 5'!B73)</f>
        <v/>
      </c>
      <c r="C961" s="133"/>
      <c r="D961" s="131"/>
      <c r="E961" s="130" t="str">
        <f>IF('Направление 5'!C73="","",'Направление 5'!C73)</f>
        <v/>
      </c>
      <c r="F961" s="133"/>
      <c r="G961" s="131"/>
      <c r="H961" s="130" t="str">
        <f>IF('Направление 5'!D73="","",'Направление 5'!D73)</f>
        <v/>
      </c>
      <c r="I961" s="131"/>
      <c r="J961" s="61" t="str">
        <f>IF('Направление 5'!E73=0,"",'Направление 5'!E73)</f>
        <v/>
      </c>
    </row>
    <row r="962" spans="1:10" ht="150" customHeight="1" x14ac:dyDescent="0.3">
      <c r="A962" s="35">
        <v>71</v>
      </c>
      <c r="B962" s="144" t="str">
        <f>IF('Направление 5'!B74="","",'Направление 5'!B74)</f>
        <v/>
      </c>
      <c r="C962" s="133"/>
      <c r="D962" s="131"/>
      <c r="E962" s="130" t="str">
        <f>IF('Направление 5'!C74="","",'Направление 5'!C74)</f>
        <v/>
      </c>
      <c r="F962" s="133"/>
      <c r="G962" s="131"/>
      <c r="H962" s="130" t="str">
        <f>IF('Направление 5'!D74="","",'Направление 5'!D74)</f>
        <v/>
      </c>
      <c r="I962" s="131"/>
      <c r="J962" s="61" t="str">
        <f>IF('Направление 5'!E74=0,"",'Направление 5'!E74)</f>
        <v/>
      </c>
    </row>
    <row r="963" spans="1:10" ht="150" customHeight="1" x14ac:dyDescent="0.3">
      <c r="A963" s="35">
        <v>72</v>
      </c>
      <c r="B963" s="144" t="str">
        <f>IF('Направление 5'!B75="","",'Направление 5'!B75)</f>
        <v/>
      </c>
      <c r="C963" s="133"/>
      <c r="D963" s="131"/>
      <c r="E963" s="130" t="str">
        <f>IF('Направление 5'!C75="","",'Направление 5'!C75)</f>
        <v/>
      </c>
      <c r="F963" s="133"/>
      <c r="G963" s="131"/>
      <c r="H963" s="130" t="str">
        <f>IF('Направление 5'!D75="","",'Направление 5'!D75)</f>
        <v/>
      </c>
      <c r="I963" s="131"/>
      <c r="J963" s="61" t="str">
        <f>IF('Направление 5'!E75=0,"",'Направление 5'!E75)</f>
        <v/>
      </c>
    </row>
    <row r="964" spans="1:10" ht="150" customHeight="1" x14ac:dyDescent="0.3">
      <c r="A964" s="35">
        <v>73</v>
      </c>
      <c r="B964" s="144" t="str">
        <f>IF('Направление 5'!B76="","",'Направление 5'!B76)</f>
        <v/>
      </c>
      <c r="C964" s="133"/>
      <c r="D964" s="131"/>
      <c r="E964" s="130" t="str">
        <f>IF('Направление 5'!C76="","",'Направление 5'!C76)</f>
        <v/>
      </c>
      <c r="F964" s="133"/>
      <c r="G964" s="131"/>
      <c r="H964" s="130" t="str">
        <f>IF('Направление 5'!D76="","",'Направление 5'!D76)</f>
        <v/>
      </c>
      <c r="I964" s="131"/>
      <c r="J964" s="61" t="str">
        <f>IF('Направление 5'!E76=0,"",'Направление 5'!E76)</f>
        <v/>
      </c>
    </row>
    <row r="965" spans="1:10" ht="150" customHeight="1" x14ac:dyDescent="0.3">
      <c r="A965" s="35">
        <v>74</v>
      </c>
      <c r="B965" s="144" t="str">
        <f>IF('Направление 5'!B77="","",'Направление 5'!B77)</f>
        <v/>
      </c>
      <c r="C965" s="133"/>
      <c r="D965" s="131"/>
      <c r="E965" s="130" t="str">
        <f>IF('Направление 5'!C77="","",'Направление 5'!C77)</f>
        <v/>
      </c>
      <c r="F965" s="133"/>
      <c r="G965" s="131"/>
      <c r="H965" s="130" t="str">
        <f>IF('Направление 5'!D77="","",'Направление 5'!D77)</f>
        <v/>
      </c>
      <c r="I965" s="131"/>
      <c r="J965" s="61" t="str">
        <f>IF('Направление 5'!E77=0,"",'Направление 5'!E77)</f>
        <v/>
      </c>
    </row>
    <row r="966" spans="1:10" ht="150" customHeight="1" x14ac:dyDescent="0.3">
      <c r="A966" s="35">
        <v>75</v>
      </c>
      <c r="B966" s="144" t="str">
        <f>IF('Направление 5'!B78="","",'Направление 5'!B78)</f>
        <v/>
      </c>
      <c r="C966" s="133"/>
      <c r="D966" s="131"/>
      <c r="E966" s="130" t="str">
        <f>IF('Направление 5'!C78="","",'Направление 5'!C78)</f>
        <v/>
      </c>
      <c r="F966" s="133"/>
      <c r="G966" s="131"/>
      <c r="H966" s="130" t="str">
        <f>IF('Направление 5'!D78="","",'Направление 5'!D78)</f>
        <v/>
      </c>
      <c r="I966" s="131"/>
      <c r="J966" s="61" t="str">
        <f>IF('Направление 5'!E78=0,"",'Направление 5'!E78)</f>
        <v/>
      </c>
    </row>
    <row r="967" spans="1:10" ht="150" customHeight="1" x14ac:dyDescent="0.3">
      <c r="A967" s="35">
        <v>76</v>
      </c>
      <c r="B967" s="144" t="str">
        <f>IF('Направление 5'!B79="","",'Направление 5'!B79)</f>
        <v/>
      </c>
      <c r="C967" s="133"/>
      <c r="D967" s="131"/>
      <c r="E967" s="130" t="str">
        <f>IF('Направление 5'!C79="","",'Направление 5'!C79)</f>
        <v/>
      </c>
      <c r="F967" s="133"/>
      <c r="G967" s="131"/>
      <c r="H967" s="130" t="str">
        <f>IF('Направление 5'!D79="","",'Направление 5'!D79)</f>
        <v/>
      </c>
      <c r="I967" s="131"/>
      <c r="J967" s="61" t="str">
        <f>IF('Направление 5'!E79=0,"",'Направление 5'!E79)</f>
        <v/>
      </c>
    </row>
    <row r="968" spans="1:10" ht="150" customHeight="1" x14ac:dyDescent="0.3">
      <c r="A968" s="35">
        <v>77</v>
      </c>
      <c r="B968" s="144" t="str">
        <f>IF('Направление 5'!B80="","",'Направление 5'!B80)</f>
        <v/>
      </c>
      <c r="C968" s="133"/>
      <c r="D968" s="131"/>
      <c r="E968" s="130" t="str">
        <f>IF('Направление 5'!C80="","",'Направление 5'!C80)</f>
        <v/>
      </c>
      <c r="F968" s="133"/>
      <c r="G968" s="131"/>
      <c r="H968" s="130" t="str">
        <f>IF('Направление 5'!D80="","",'Направление 5'!D80)</f>
        <v/>
      </c>
      <c r="I968" s="131"/>
      <c r="J968" s="61" t="str">
        <f>IF('Направление 5'!E80=0,"",'Направление 5'!E80)</f>
        <v/>
      </c>
    </row>
    <row r="969" spans="1:10" ht="150" customHeight="1" x14ac:dyDescent="0.3">
      <c r="A969" s="35">
        <v>78</v>
      </c>
      <c r="B969" s="144" t="str">
        <f>IF('Направление 5'!B81="","",'Направление 5'!B81)</f>
        <v/>
      </c>
      <c r="C969" s="133"/>
      <c r="D969" s="131"/>
      <c r="E969" s="130" t="str">
        <f>IF('Направление 5'!C81="","",'Направление 5'!C81)</f>
        <v/>
      </c>
      <c r="F969" s="133"/>
      <c r="G969" s="131"/>
      <c r="H969" s="130" t="str">
        <f>IF('Направление 5'!D81="","",'Направление 5'!D81)</f>
        <v/>
      </c>
      <c r="I969" s="131"/>
      <c r="J969" s="61" t="str">
        <f>IF('Направление 5'!E81=0,"",'Направление 5'!E81)</f>
        <v/>
      </c>
    </row>
    <row r="970" spans="1:10" ht="150" customHeight="1" x14ac:dyDescent="0.3">
      <c r="A970" s="35">
        <v>79</v>
      </c>
      <c r="B970" s="144" t="str">
        <f>IF('Направление 5'!B82="","",'Направление 5'!B82)</f>
        <v/>
      </c>
      <c r="C970" s="133"/>
      <c r="D970" s="131"/>
      <c r="E970" s="130" t="str">
        <f>IF('Направление 5'!C82="","",'Направление 5'!C82)</f>
        <v/>
      </c>
      <c r="F970" s="133"/>
      <c r="G970" s="131"/>
      <c r="H970" s="130" t="str">
        <f>IF('Направление 5'!D82="","",'Направление 5'!D82)</f>
        <v/>
      </c>
      <c r="I970" s="131"/>
      <c r="J970" s="61" t="str">
        <f>IF('Направление 5'!E82=0,"",'Направление 5'!E82)</f>
        <v/>
      </c>
    </row>
    <row r="971" spans="1:10" ht="150" customHeight="1" thickBot="1" x14ac:dyDescent="0.35">
      <c r="A971" s="35">
        <v>80</v>
      </c>
      <c r="B971" s="144" t="str">
        <f>IF('Направление 5'!B83="","",'Направление 5'!B83)</f>
        <v/>
      </c>
      <c r="C971" s="133"/>
      <c r="D971" s="131"/>
      <c r="E971" s="130" t="str">
        <f>IF('Направление 5'!C83="","",'Направление 5'!C83)</f>
        <v/>
      </c>
      <c r="F971" s="133"/>
      <c r="G971" s="131"/>
      <c r="H971" s="130" t="str">
        <f>IF('Направление 5'!D83="","",'Направление 5'!D83)</f>
        <v/>
      </c>
      <c r="I971" s="131"/>
      <c r="J971" s="61" t="str">
        <f>IF('Направление 5'!E83=0,"",'Направление 5'!E83)</f>
        <v/>
      </c>
    </row>
    <row r="972" spans="1:10" ht="16.5" customHeight="1" thickBot="1" x14ac:dyDescent="0.35">
      <c r="A972" s="37"/>
      <c r="B972" s="151" t="s">
        <v>57</v>
      </c>
      <c r="C972" s="135"/>
      <c r="D972" s="135"/>
      <c r="E972" s="135"/>
      <c r="F972" s="135"/>
      <c r="G972" s="135"/>
      <c r="H972" s="135"/>
      <c r="I972" s="135"/>
      <c r="J972" s="136"/>
    </row>
    <row r="973" spans="1:10" ht="35.700000000000003" customHeight="1" thickBot="1" x14ac:dyDescent="0.35">
      <c r="A973" s="37"/>
      <c r="B973" s="155" t="s">
        <v>58</v>
      </c>
      <c r="C973" s="156"/>
      <c r="D973" s="157"/>
      <c r="E973" s="142" t="s">
        <v>59</v>
      </c>
      <c r="F973" s="158"/>
      <c r="G973" s="143"/>
      <c r="H973" s="142"/>
      <c r="I973" s="143"/>
      <c r="J973" s="89" t="s">
        <v>56</v>
      </c>
    </row>
    <row r="974" spans="1:10" ht="150" customHeight="1" x14ac:dyDescent="0.3">
      <c r="A974" s="34">
        <v>1</v>
      </c>
      <c r="B974" s="144" t="e">
        <f>IF('Направление 5'!#REF!="","",'Направление 5'!#REF!)</f>
        <v>#REF!</v>
      </c>
      <c r="C974" s="133"/>
      <c r="D974" s="131"/>
      <c r="E974" s="130" t="e">
        <f>IF('Направление 5'!#REF!="","",'Направление 5'!#REF!)</f>
        <v>#REF!</v>
      </c>
      <c r="F974" s="133"/>
      <c r="G974" s="131"/>
      <c r="H974" s="130" t="str">
        <f>IF('Направление 5'!D86="","",'Направление 5'!D86)</f>
        <v>х</v>
      </c>
      <c r="I974" s="131"/>
      <c r="J974" s="61">
        <f>IF('Направление 5'!E86=0,"",'Направление 5'!E86)</f>
        <v>27</v>
      </c>
    </row>
    <row r="975" spans="1:10" ht="150" customHeight="1" x14ac:dyDescent="0.3">
      <c r="A975" s="35">
        <v>2</v>
      </c>
      <c r="B975" s="144" t="str">
        <f>IF('Направление 5'!B87="","",'Направление 5'!B87)</f>
        <v>Софтуер за дигитализация на учебния процес</v>
      </c>
      <c r="C975" s="133"/>
      <c r="D975" s="131"/>
      <c r="E975" s="130" t="str">
        <f>IF('Направление 5'!C87="","",'Направление 5'!C87)</f>
        <v>Софтуер в подкрепа на дигиталната трансформация в образованието</v>
      </c>
      <c r="F975" s="133"/>
      <c r="G975" s="131"/>
      <c r="H975" s="130" t="str">
        <f>IF('Направление 5'!D87="","",'Направление 5'!D87)</f>
        <v>х</v>
      </c>
      <c r="I975" s="131"/>
      <c r="J975" s="61">
        <f>IF('Направление 5'!E87=0,"",'Направление 5'!E87)</f>
        <v>1</v>
      </c>
    </row>
    <row r="976" spans="1:10" ht="150" customHeight="1" x14ac:dyDescent="0.3">
      <c r="A976" s="35">
        <v>3</v>
      </c>
      <c r="B976" s="144" t="str">
        <f>IF('Направление 5'!B88="","",'Направление 5'!B88)</f>
        <v>софтуер за  централизирано
 управление  на интерактивни дисплеи</v>
      </c>
      <c r="C976" s="133"/>
      <c r="D976" s="131"/>
      <c r="E976" s="130" t="str">
        <f>IF('Направление 5'!C88="","",'Направление 5'!C88)</f>
        <v>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v>
      </c>
      <c r="F976" s="133"/>
      <c r="G976" s="131"/>
      <c r="H976" s="130" t="str">
        <f>IF('Направление 5'!D88="","",'Направление 5'!D88)</f>
        <v>х</v>
      </c>
      <c r="I976" s="131"/>
      <c r="J976" s="61">
        <f>IF('Направление 5'!E88=0,"",'Направление 5'!E88)</f>
        <v>1</v>
      </c>
    </row>
    <row r="977" spans="1:10" ht="150" customHeight="1" x14ac:dyDescent="0.3">
      <c r="A977" s="35">
        <v>4</v>
      </c>
      <c r="B977" s="144" t="str">
        <f>IF('Направление 5'!B89="","",'Направление 5'!B89)</f>
        <v/>
      </c>
      <c r="C977" s="133"/>
      <c r="D977" s="131"/>
      <c r="E977" s="130" t="str">
        <f>IF('Направление 5'!C89="","",'Направление 5'!C89)</f>
        <v/>
      </c>
      <c r="F977" s="133"/>
      <c r="G977" s="131"/>
      <c r="H977" s="130" t="str">
        <f>IF('Направление 5'!D89="","",'Направление 5'!D89)</f>
        <v>х</v>
      </c>
      <c r="I977" s="131"/>
      <c r="J977" s="61" t="str">
        <f>IF('Направление 5'!E89=0,"",'Направление 5'!E89)</f>
        <v/>
      </c>
    </row>
    <row r="978" spans="1:10" ht="150" customHeight="1" x14ac:dyDescent="0.3">
      <c r="A978" s="35">
        <v>5</v>
      </c>
      <c r="B978" s="144" t="str">
        <f>IF('Направление 5'!B90="","",'Направление 5'!B90)</f>
        <v/>
      </c>
      <c r="C978" s="133"/>
      <c r="D978" s="131"/>
      <c r="E978" s="130" t="str">
        <f>IF('Направление 5'!C90="","",'Направление 5'!C90)</f>
        <v/>
      </c>
      <c r="F978" s="133"/>
      <c r="G978" s="131"/>
      <c r="H978" s="130" t="str">
        <f>IF('Направление 5'!D90="","",'Направление 5'!D90)</f>
        <v>х</v>
      </c>
      <c r="I978" s="131"/>
      <c r="J978" s="61" t="str">
        <f>IF('Направление 5'!E90=0,"",'Направление 5'!E90)</f>
        <v/>
      </c>
    </row>
    <row r="979" spans="1:10" ht="150" customHeight="1" x14ac:dyDescent="0.3">
      <c r="A979" s="35">
        <v>6</v>
      </c>
      <c r="B979" s="144" t="str">
        <f>IF('Направление 5'!B91="","",'Направление 5'!B91)</f>
        <v/>
      </c>
      <c r="C979" s="133"/>
      <c r="D979" s="131"/>
      <c r="E979" s="130" t="str">
        <f>IF('Направление 5'!C91="","",'Направление 5'!C91)</f>
        <v/>
      </c>
      <c r="F979" s="133"/>
      <c r="G979" s="131"/>
      <c r="H979" s="130" t="str">
        <f>IF('Направление 5'!D91="","",'Направление 5'!D91)</f>
        <v>х</v>
      </c>
      <c r="I979" s="131"/>
      <c r="J979" s="61" t="str">
        <f>IF('Направление 5'!E91=0,"",'Направление 5'!E91)</f>
        <v/>
      </c>
    </row>
    <row r="980" spans="1:10" ht="150" customHeight="1" x14ac:dyDescent="0.3">
      <c r="A980" s="35">
        <v>7</v>
      </c>
      <c r="B980" s="144" t="str">
        <f>IF('Направление 5'!B92="","",'Направление 5'!B92)</f>
        <v/>
      </c>
      <c r="C980" s="133"/>
      <c r="D980" s="131"/>
      <c r="E980" s="130" t="str">
        <f>IF('Направление 5'!C92="","",'Направление 5'!C92)</f>
        <v/>
      </c>
      <c r="F980" s="133"/>
      <c r="G980" s="131"/>
      <c r="H980" s="130" t="str">
        <f>IF('Направление 5'!D92="","",'Направление 5'!D92)</f>
        <v>х</v>
      </c>
      <c r="I980" s="131"/>
      <c r="J980" s="61" t="str">
        <f>IF('Направление 5'!E92=0,"",'Направление 5'!E92)</f>
        <v/>
      </c>
    </row>
    <row r="981" spans="1:10" ht="150" customHeight="1" x14ac:dyDescent="0.3">
      <c r="A981" s="35">
        <v>8</v>
      </c>
      <c r="B981" s="144" t="str">
        <f>IF('Направление 5'!B93="","",'Направление 5'!B93)</f>
        <v/>
      </c>
      <c r="C981" s="133"/>
      <c r="D981" s="131"/>
      <c r="E981" s="130" t="str">
        <f>IF('Направление 5'!C93="","",'Направление 5'!C93)</f>
        <v/>
      </c>
      <c r="F981" s="133"/>
      <c r="G981" s="131"/>
      <c r="H981" s="130" t="str">
        <f>IF('Направление 5'!D93="","",'Направление 5'!D93)</f>
        <v>х</v>
      </c>
      <c r="I981" s="131"/>
      <c r="J981" s="61" t="str">
        <f>IF('Направление 5'!E93=0,"",'Направление 5'!E93)</f>
        <v/>
      </c>
    </row>
    <row r="982" spans="1:10" ht="150" customHeight="1" x14ac:dyDescent="0.3">
      <c r="A982" s="35">
        <v>9</v>
      </c>
      <c r="B982" s="144" t="str">
        <f>IF('Направление 5'!B94="","",'Направление 5'!B94)</f>
        <v/>
      </c>
      <c r="C982" s="133"/>
      <c r="D982" s="131"/>
      <c r="E982" s="130" t="str">
        <f>IF('Направление 5'!C94="","",'Направление 5'!C94)</f>
        <v/>
      </c>
      <c r="F982" s="133"/>
      <c r="G982" s="131"/>
      <c r="H982" s="130" t="str">
        <f>IF('Направление 5'!D94="","",'Направление 5'!D94)</f>
        <v>х</v>
      </c>
      <c r="I982" s="131"/>
      <c r="J982" s="61" t="str">
        <f>IF('Направление 5'!E94=0,"",'Направление 5'!E94)</f>
        <v/>
      </c>
    </row>
    <row r="983" spans="1:10" ht="150" customHeight="1" x14ac:dyDescent="0.3">
      <c r="A983" s="35">
        <v>10</v>
      </c>
      <c r="B983" s="144" t="str">
        <f>IF('Направление 5'!B95="","",'Направление 5'!B95)</f>
        <v/>
      </c>
      <c r="C983" s="133"/>
      <c r="D983" s="131"/>
      <c r="E983" s="130" t="str">
        <f>IF('Направление 5'!C95="","",'Направление 5'!C95)</f>
        <v/>
      </c>
      <c r="F983" s="133"/>
      <c r="G983" s="131"/>
      <c r="H983" s="130" t="str">
        <f>IF('Направление 5'!D95="","",'Направление 5'!D95)</f>
        <v>х</v>
      </c>
      <c r="I983" s="131"/>
      <c r="J983" s="61" t="str">
        <f>IF('Направление 5'!E95=0,"",'Направление 5'!E95)</f>
        <v/>
      </c>
    </row>
    <row r="984" spans="1:10" ht="150" customHeight="1" x14ac:dyDescent="0.3">
      <c r="A984" s="35">
        <v>11</v>
      </c>
      <c r="B984" s="144" t="str">
        <f>IF('Направление 5'!B96="","",'Направление 5'!B96)</f>
        <v/>
      </c>
      <c r="C984" s="133"/>
      <c r="D984" s="131"/>
      <c r="E984" s="130" t="str">
        <f>IF('Направление 5'!C96="","",'Направление 5'!C96)</f>
        <v/>
      </c>
      <c r="F984" s="133"/>
      <c r="G984" s="131"/>
      <c r="H984" s="130" t="str">
        <f>IF('Направление 5'!D96="","",'Направление 5'!D96)</f>
        <v>х</v>
      </c>
      <c r="I984" s="131"/>
      <c r="J984" s="61" t="str">
        <f>IF('Направление 5'!E96=0,"",'Направление 5'!E96)</f>
        <v/>
      </c>
    </row>
    <row r="985" spans="1:10" ht="150" customHeight="1" x14ac:dyDescent="0.3">
      <c r="A985" s="35">
        <v>12</v>
      </c>
      <c r="B985" s="144" t="str">
        <f>IF('Направление 5'!B97="","",'Направление 5'!B97)</f>
        <v/>
      </c>
      <c r="C985" s="133"/>
      <c r="D985" s="131"/>
      <c r="E985" s="130" t="str">
        <f>IF('Направление 5'!C97="","",'Направление 5'!C97)</f>
        <v/>
      </c>
      <c r="F985" s="133"/>
      <c r="G985" s="131"/>
      <c r="H985" s="130" t="str">
        <f>IF('Направление 5'!D97="","",'Направление 5'!D97)</f>
        <v>х</v>
      </c>
      <c r="I985" s="131"/>
      <c r="J985" s="61" t="str">
        <f>IF('Направление 5'!E97=0,"",'Направление 5'!E97)</f>
        <v/>
      </c>
    </row>
    <row r="986" spans="1:10" ht="150" customHeight="1" x14ac:dyDescent="0.3">
      <c r="A986" s="35">
        <v>13</v>
      </c>
      <c r="B986" s="144" t="str">
        <f>IF('Направление 5'!B98="","",'Направление 5'!B98)</f>
        <v/>
      </c>
      <c r="C986" s="133"/>
      <c r="D986" s="131"/>
      <c r="E986" s="130" t="str">
        <f>IF('Направление 5'!C98="","",'Направление 5'!C98)</f>
        <v/>
      </c>
      <c r="F986" s="133"/>
      <c r="G986" s="131"/>
      <c r="H986" s="130" t="str">
        <f>IF('Направление 5'!D98="","",'Направление 5'!D98)</f>
        <v>х</v>
      </c>
      <c r="I986" s="131"/>
      <c r="J986" s="61" t="str">
        <f>IF('Направление 5'!E98=0,"",'Направление 5'!E98)</f>
        <v/>
      </c>
    </row>
    <row r="987" spans="1:10" ht="150" customHeight="1" x14ac:dyDescent="0.3">
      <c r="A987" s="35">
        <v>14</v>
      </c>
      <c r="B987" s="144" t="str">
        <f>IF('Направление 5'!B99="","",'Направление 5'!B99)</f>
        <v/>
      </c>
      <c r="C987" s="133"/>
      <c r="D987" s="131"/>
      <c r="E987" s="130" t="str">
        <f>IF('Направление 5'!C99="","",'Направление 5'!C99)</f>
        <v/>
      </c>
      <c r="F987" s="133"/>
      <c r="G987" s="131"/>
      <c r="H987" s="130" t="str">
        <f>IF('Направление 5'!D99="","",'Направление 5'!D99)</f>
        <v>х</v>
      </c>
      <c r="I987" s="131"/>
      <c r="J987" s="61" t="str">
        <f>IF('Направление 5'!E99=0,"",'Направление 5'!E99)</f>
        <v/>
      </c>
    </row>
    <row r="988" spans="1:10" ht="150" customHeight="1" x14ac:dyDescent="0.3">
      <c r="A988" s="35">
        <v>15</v>
      </c>
      <c r="B988" s="144" t="str">
        <f>IF('Направление 5'!B100="","",'Направление 5'!B100)</f>
        <v/>
      </c>
      <c r="C988" s="133"/>
      <c r="D988" s="131"/>
      <c r="E988" s="130" t="str">
        <f>IF('Направление 5'!C100="","",'Направление 5'!C100)</f>
        <v/>
      </c>
      <c r="F988" s="133"/>
      <c r="G988" s="131"/>
      <c r="H988" s="130" t="str">
        <f>IF('Направление 5'!D100="","",'Направление 5'!D100)</f>
        <v>х</v>
      </c>
      <c r="I988" s="131"/>
      <c r="J988" s="61" t="str">
        <f>IF('Направление 5'!E100=0,"",'Направление 5'!E100)</f>
        <v/>
      </c>
    </row>
    <row r="989" spans="1:10" ht="150" customHeight="1" x14ac:dyDescent="0.3">
      <c r="A989" s="35">
        <v>16</v>
      </c>
      <c r="B989" s="144" t="str">
        <f>IF('Направление 5'!B101="","",'Направление 5'!B101)</f>
        <v/>
      </c>
      <c r="C989" s="133"/>
      <c r="D989" s="131"/>
      <c r="E989" s="130" t="str">
        <f>IF('Направление 5'!C101="","",'Направление 5'!C101)</f>
        <v/>
      </c>
      <c r="F989" s="133"/>
      <c r="G989" s="131"/>
      <c r="H989" s="130" t="str">
        <f>IF('Направление 5'!D101="","",'Направление 5'!D101)</f>
        <v>х</v>
      </c>
      <c r="I989" s="131"/>
      <c r="J989" s="61" t="str">
        <f>IF('Направление 5'!E101=0,"",'Направление 5'!E101)</f>
        <v/>
      </c>
    </row>
    <row r="990" spans="1:10" ht="150" customHeight="1" x14ac:dyDescent="0.3">
      <c r="A990" s="35">
        <v>17</v>
      </c>
      <c r="B990" s="144" t="str">
        <f>IF('Направление 5'!B102="","",'Направление 5'!B102)</f>
        <v/>
      </c>
      <c r="C990" s="133"/>
      <c r="D990" s="131"/>
      <c r="E990" s="130" t="str">
        <f>IF('Направление 5'!C102="","",'Направление 5'!C102)</f>
        <v/>
      </c>
      <c r="F990" s="133"/>
      <c r="G990" s="131"/>
      <c r="H990" s="130" t="str">
        <f>IF('Направление 5'!D102="","",'Направление 5'!D102)</f>
        <v>х</v>
      </c>
      <c r="I990" s="131"/>
      <c r="J990" s="61" t="str">
        <f>IF('Направление 5'!E102=0,"",'Направление 5'!E102)</f>
        <v/>
      </c>
    </row>
    <row r="991" spans="1:10" ht="150" customHeight="1" x14ac:dyDescent="0.3">
      <c r="A991" s="35">
        <v>18</v>
      </c>
      <c r="B991" s="144" t="str">
        <f>IF('Направление 5'!B103="","",'Направление 5'!B103)</f>
        <v/>
      </c>
      <c r="C991" s="133"/>
      <c r="D991" s="131"/>
      <c r="E991" s="130" t="str">
        <f>IF('Направление 5'!C103="","",'Направление 5'!C103)</f>
        <v/>
      </c>
      <c r="F991" s="133"/>
      <c r="G991" s="131"/>
      <c r="H991" s="130" t="str">
        <f>IF('Направление 5'!D103="","",'Направление 5'!D103)</f>
        <v>х</v>
      </c>
      <c r="I991" s="131"/>
      <c r="J991" s="61" t="str">
        <f>IF('Направление 5'!E103=0,"",'Направление 5'!E103)</f>
        <v/>
      </c>
    </row>
    <row r="992" spans="1:10" ht="150" customHeight="1" x14ac:dyDescent="0.3">
      <c r="A992" s="35">
        <v>19</v>
      </c>
      <c r="B992" s="144" t="str">
        <f>IF('Направление 5'!B104="","",'Направление 5'!B104)</f>
        <v/>
      </c>
      <c r="C992" s="133"/>
      <c r="D992" s="131"/>
      <c r="E992" s="130" t="str">
        <f>IF('Направление 5'!C104="","",'Направление 5'!C104)</f>
        <v/>
      </c>
      <c r="F992" s="133"/>
      <c r="G992" s="131"/>
      <c r="H992" s="130" t="str">
        <f>IF('Направление 5'!D104="","",'Направление 5'!D104)</f>
        <v>х</v>
      </c>
      <c r="I992" s="131"/>
      <c r="J992" s="61" t="str">
        <f>IF('Направление 5'!E104=0,"",'Направление 5'!E104)</f>
        <v/>
      </c>
    </row>
    <row r="993" spans="1:10" ht="150" customHeight="1" x14ac:dyDescent="0.3">
      <c r="A993" s="35">
        <v>20</v>
      </c>
      <c r="B993" s="144" t="str">
        <f>IF('Направление 5'!B105="","",'Направление 5'!B105)</f>
        <v/>
      </c>
      <c r="C993" s="133"/>
      <c r="D993" s="131"/>
      <c r="E993" s="130" t="str">
        <f>IF('Направление 5'!C105="","",'Направление 5'!C105)</f>
        <v/>
      </c>
      <c r="F993" s="133"/>
      <c r="G993" s="131"/>
      <c r="H993" s="130" t="str">
        <f>IF('Направление 5'!D105="","",'Направление 5'!D105)</f>
        <v>х</v>
      </c>
      <c r="I993" s="131"/>
      <c r="J993" s="61" t="str">
        <f>IF('Направление 5'!E105=0,"",'Направление 5'!E105)</f>
        <v/>
      </c>
    </row>
    <row r="994" spans="1:10" ht="150" customHeight="1" x14ac:dyDescent="0.3">
      <c r="A994" s="35">
        <v>21</v>
      </c>
      <c r="B994" s="144" t="str">
        <f>IF('Направление 5'!B106="","",'Направление 5'!B106)</f>
        <v/>
      </c>
      <c r="C994" s="133"/>
      <c r="D994" s="131"/>
      <c r="E994" s="130" t="str">
        <f>IF('Направление 5'!C106="","",'Направление 5'!C106)</f>
        <v/>
      </c>
      <c r="F994" s="133"/>
      <c r="G994" s="131"/>
      <c r="H994" s="130" t="str">
        <f>IF('Направление 5'!D106="","",'Направление 5'!D106)</f>
        <v>х</v>
      </c>
      <c r="I994" s="131"/>
      <c r="J994" s="61" t="str">
        <f>IF('Направление 5'!E106=0,"",'Направление 5'!E106)</f>
        <v/>
      </c>
    </row>
    <row r="995" spans="1:10" ht="150" customHeight="1" x14ac:dyDescent="0.3">
      <c r="A995" s="35">
        <v>22</v>
      </c>
      <c r="B995" s="144" t="str">
        <f>IF('Направление 5'!B107="","",'Направление 5'!B107)</f>
        <v/>
      </c>
      <c r="C995" s="133"/>
      <c r="D995" s="131"/>
      <c r="E995" s="130" t="str">
        <f>IF('Направление 5'!C107="","",'Направление 5'!C107)</f>
        <v/>
      </c>
      <c r="F995" s="133"/>
      <c r="G995" s="131"/>
      <c r="H995" s="130" t="str">
        <f>IF('Направление 5'!D107="","",'Направление 5'!D107)</f>
        <v>х</v>
      </c>
      <c r="I995" s="131"/>
      <c r="J995" s="61" t="str">
        <f>IF('Направление 5'!E107=0,"",'Направление 5'!E107)</f>
        <v/>
      </c>
    </row>
    <row r="996" spans="1:10" ht="150" customHeight="1" x14ac:dyDescent="0.3">
      <c r="A996" s="35">
        <v>23</v>
      </c>
      <c r="B996" s="144" t="str">
        <f>IF('Направление 5'!B108="","",'Направление 5'!B108)</f>
        <v/>
      </c>
      <c r="C996" s="133"/>
      <c r="D996" s="131"/>
      <c r="E996" s="130" t="str">
        <f>IF('Направление 5'!C108="","",'Направление 5'!C108)</f>
        <v/>
      </c>
      <c r="F996" s="133"/>
      <c r="G996" s="131"/>
      <c r="H996" s="130" t="str">
        <f>IF('Направление 5'!D108="","",'Направление 5'!D108)</f>
        <v>х</v>
      </c>
      <c r="I996" s="131"/>
      <c r="J996" s="61" t="str">
        <f>IF('Направление 5'!E108=0,"",'Направление 5'!E108)</f>
        <v/>
      </c>
    </row>
    <row r="997" spans="1:10" ht="150" customHeight="1" x14ac:dyDescent="0.3">
      <c r="A997" s="35">
        <v>24</v>
      </c>
      <c r="B997" s="144" t="str">
        <f>IF('Направление 5'!B109="","",'Направление 5'!B109)</f>
        <v/>
      </c>
      <c r="C997" s="133"/>
      <c r="D997" s="131"/>
      <c r="E997" s="130" t="str">
        <f>IF('Направление 5'!C109="","",'Направление 5'!C109)</f>
        <v/>
      </c>
      <c r="F997" s="133"/>
      <c r="G997" s="131"/>
      <c r="H997" s="130" t="str">
        <f>IF('Направление 5'!D109="","",'Направление 5'!D109)</f>
        <v>х</v>
      </c>
      <c r="I997" s="131"/>
      <c r="J997" s="61" t="str">
        <f>IF('Направление 5'!E109=0,"",'Направление 5'!E109)</f>
        <v/>
      </c>
    </row>
    <row r="998" spans="1:10" ht="150" customHeight="1" x14ac:dyDescent="0.3">
      <c r="A998" s="35">
        <v>25</v>
      </c>
      <c r="B998" s="144" t="str">
        <f>IF('Направление 5'!B110="","",'Направление 5'!B110)</f>
        <v/>
      </c>
      <c r="C998" s="133"/>
      <c r="D998" s="131"/>
      <c r="E998" s="130" t="str">
        <f>IF('Направление 5'!C110="","",'Направление 5'!C110)</f>
        <v/>
      </c>
      <c r="F998" s="133"/>
      <c r="G998" s="131"/>
      <c r="H998" s="130" t="str">
        <f>IF('Направление 5'!D110="","",'Направление 5'!D110)</f>
        <v>х</v>
      </c>
      <c r="I998" s="131"/>
      <c r="J998" s="61" t="str">
        <f>IF('Направление 5'!E110=0,"",'Направление 5'!E110)</f>
        <v/>
      </c>
    </row>
    <row r="999" spans="1:10" ht="150" customHeight="1" x14ac:dyDescent="0.3">
      <c r="A999" s="35">
        <v>26</v>
      </c>
      <c r="B999" s="144" t="str">
        <f>IF('Направление 5'!B111="","",'Направление 5'!B111)</f>
        <v/>
      </c>
      <c r="C999" s="133"/>
      <c r="D999" s="131"/>
      <c r="E999" s="130" t="str">
        <f>IF('Направление 5'!C111="","",'Направление 5'!C111)</f>
        <v/>
      </c>
      <c r="F999" s="133"/>
      <c r="G999" s="131"/>
      <c r="H999" s="130" t="str">
        <f>IF('Направление 5'!D111="","",'Направление 5'!D111)</f>
        <v>х</v>
      </c>
      <c r="I999" s="131"/>
      <c r="J999" s="61" t="str">
        <f>IF('Направление 5'!E111=0,"",'Направление 5'!E111)</f>
        <v/>
      </c>
    </row>
    <row r="1000" spans="1:10" ht="150" customHeight="1" x14ac:dyDescent="0.3">
      <c r="A1000" s="35">
        <v>27</v>
      </c>
      <c r="B1000" s="144" t="str">
        <f>IF('Направление 5'!B112="","",'Направление 5'!B112)</f>
        <v/>
      </c>
      <c r="C1000" s="133"/>
      <c r="D1000" s="131"/>
      <c r="E1000" s="130" t="str">
        <f>IF('Направление 5'!C112="","",'Направление 5'!C112)</f>
        <v/>
      </c>
      <c r="F1000" s="133"/>
      <c r="G1000" s="131"/>
      <c r="H1000" s="130" t="str">
        <f>IF('Направление 5'!D112="","",'Направление 5'!D112)</f>
        <v>х</v>
      </c>
      <c r="I1000" s="131"/>
      <c r="J1000" s="61" t="str">
        <f>IF('Направление 5'!E112=0,"",'Направление 5'!E112)</f>
        <v/>
      </c>
    </row>
    <row r="1001" spans="1:10" ht="150" customHeight="1" x14ac:dyDescent="0.3">
      <c r="A1001" s="35">
        <v>28</v>
      </c>
      <c r="B1001" s="144" t="str">
        <f>IF('Направление 5'!B113="","",'Направление 5'!B113)</f>
        <v/>
      </c>
      <c r="C1001" s="133"/>
      <c r="D1001" s="131"/>
      <c r="E1001" s="130" t="str">
        <f>IF('Направление 5'!C113="","",'Направление 5'!C113)</f>
        <v/>
      </c>
      <c r="F1001" s="133"/>
      <c r="G1001" s="131"/>
      <c r="H1001" s="130" t="str">
        <f>IF('Направление 5'!D113="","",'Направление 5'!D113)</f>
        <v>х</v>
      </c>
      <c r="I1001" s="131"/>
      <c r="J1001" s="61" t="str">
        <f>IF('Направление 5'!E113=0,"",'Направление 5'!E113)</f>
        <v/>
      </c>
    </row>
    <row r="1002" spans="1:10" ht="150" customHeight="1" x14ac:dyDescent="0.3">
      <c r="A1002" s="35">
        <v>29</v>
      </c>
      <c r="B1002" s="144" t="str">
        <f>IF('Направление 5'!B114="","",'Направление 5'!B114)</f>
        <v/>
      </c>
      <c r="C1002" s="133"/>
      <c r="D1002" s="131"/>
      <c r="E1002" s="130" t="str">
        <f>IF('Направление 5'!C114="","",'Направление 5'!C114)</f>
        <v/>
      </c>
      <c r="F1002" s="133"/>
      <c r="G1002" s="131"/>
      <c r="H1002" s="130" t="str">
        <f>IF('Направление 5'!D114="","",'Направление 5'!D114)</f>
        <v>х</v>
      </c>
      <c r="I1002" s="131"/>
      <c r="J1002" s="61" t="str">
        <f>IF('Направление 5'!E114=0,"",'Направление 5'!E114)</f>
        <v/>
      </c>
    </row>
    <row r="1003" spans="1:10" ht="150" customHeight="1" x14ac:dyDescent="0.3">
      <c r="A1003" s="35">
        <v>30</v>
      </c>
      <c r="B1003" s="144" t="str">
        <f>IF('Направление 5'!B115="","",'Направление 5'!B115)</f>
        <v/>
      </c>
      <c r="C1003" s="133"/>
      <c r="D1003" s="131"/>
      <c r="E1003" s="130" t="str">
        <f>IF('Направление 5'!C115="","",'Направление 5'!C115)</f>
        <v/>
      </c>
      <c r="F1003" s="133"/>
      <c r="G1003" s="131"/>
      <c r="H1003" s="130" t="str">
        <f>IF('Направление 5'!D115="","",'Направление 5'!D115)</f>
        <v>х</v>
      </c>
      <c r="I1003" s="131"/>
      <c r="J1003" s="61" t="str">
        <f>IF('Направление 5'!E115=0,"",'Направление 5'!E115)</f>
        <v/>
      </c>
    </row>
    <row r="1004" spans="1:10" ht="150" customHeight="1" x14ac:dyDescent="0.3">
      <c r="A1004" s="35">
        <v>31</v>
      </c>
      <c r="B1004" s="144" t="str">
        <f>IF('Направление 5'!B116="","",'Направление 5'!B116)</f>
        <v/>
      </c>
      <c r="C1004" s="133"/>
      <c r="D1004" s="131"/>
      <c r="E1004" s="130" t="str">
        <f>IF('Направление 5'!C116="","",'Направление 5'!C116)</f>
        <v/>
      </c>
      <c r="F1004" s="133"/>
      <c r="G1004" s="131"/>
      <c r="H1004" s="130" t="str">
        <f>IF('Направление 5'!D116="","",'Направление 5'!D116)</f>
        <v>х</v>
      </c>
      <c r="I1004" s="131"/>
      <c r="J1004" s="61" t="str">
        <f>IF('Направление 5'!E116=0,"",'Направление 5'!E116)</f>
        <v/>
      </c>
    </row>
    <row r="1005" spans="1:10" ht="150" customHeight="1" x14ac:dyDescent="0.3">
      <c r="A1005" s="35">
        <v>32</v>
      </c>
      <c r="B1005" s="144" t="str">
        <f>IF('Направление 5'!B117="","",'Направление 5'!B117)</f>
        <v/>
      </c>
      <c r="C1005" s="133"/>
      <c r="D1005" s="131"/>
      <c r="E1005" s="130" t="str">
        <f>IF('Направление 5'!C117="","",'Направление 5'!C117)</f>
        <v/>
      </c>
      <c r="F1005" s="133"/>
      <c r="G1005" s="131"/>
      <c r="H1005" s="130" t="str">
        <f>IF('Направление 5'!D117="","",'Направление 5'!D117)</f>
        <v>х</v>
      </c>
      <c r="I1005" s="131"/>
      <c r="J1005" s="61" t="str">
        <f>IF('Направление 5'!E117=0,"",'Направление 5'!E117)</f>
        <v/>
      </c>
    </row>
    <row r="1006" spans="1:10" ht="150" customHeight="1" x14ac:dyDescent="0.3">
      <c r="A1006" s="35">
        <v>33</v>
      </c>
      <c r="B1006" s="144" t="str">
        <f>IF('Направление 5'!B118="","",'Направление 5'!B118)</f>
        <v/>
      </c>
      <c r="C1006" s="133"/>
      <c r="D1006" s="131"/>
      <c r="E1006" s="130" t="str">
        <f>IF('Направление 5'!C118="","",'Направление 5'!C118)</f>
        <v/>
      </c>
      <c r="F1006" s="133"/>
      <c r="G1006" s="131"/>
      <c r="H1006" s="130" t="str">
        <f>IF('Направление 5'!D118="","",'Направление 5'!D118)</f>
        <v>х</v>
      </c>
      <c r="I1006" s="131"/>
      <c r="J1006" s="61" t="str">
        <f>IF('Направление 5'!E118=0,"",'Направление 5'!E118)</f>
        <v/>
      </c>
    </row>
    <row r="1007" spans="1:10" ht="150" customHeight="1" x14ac:dyDescent="0.3">
      <c r="A1007" s="35">
        <v>34</v>
      </c>
      <c r="B1007" s="144" t="str">
        <f>IF('Направление 5'!B119="","",'Направление 5'!B119)</f>
        <v/>
      </c>
      <c r="C1007" s="133"/>
      <c r="D1007" s="131"/>
      <c r="E1007" s="130" t="str">
        <f>IF('Направление 5'!C119="","",'Направление 5'!C119)</f>
        <v/>
      </c>
      <c r="F1007" s="133"/>
      <c r="G1007" s="131"/>
      <c r="H1007" s="130" t="str">
        <f>IF('Направление 5'!D119="","",'Направление 5'!D119)</f>
        <v>х</v>
      </c>
      <c r="I1007" s="131"/>
      <c r="J1007" s="61" t="str">
        <f>IF('Направление 5'!E119=0,"",'Направление 5'!E119)</f>
        <v/>
      </c>
    </row>
    <row r="1008" spans="1:10" ht="150" customHeight="1" x14ac:dyDescent="0.3">
      <c r="A1008" s="35">
        <v>35</v>
      </c>
      <c r="B1008" s="144" t="str">
        <f>IF('Направление 5'!B120="","",'Направление 5'!B120)</f>
        <v/>
      </c>
      <c r="C1008" s="133"/>
      <c r="D1008" s="131"/>
      <c r="E1008" s="130" t="str">
        <f>IF('Направление 5'!C120="","",'Направление 5'!C120)</f>
        <v/>
      </c>
      <c r="F1008" s="133"/>
      <c r="G1008" s="131"/>
      <c r="H1008" s="130" t="str">
        <f>IF('Направление 5'!D120="","",'Направление 5'!D120)</f>
        <v>х</v>
      </c>
      <c r="I1008" s="131"/>
      <c r="J1008" s="61" t="str">
        <f>IF('Направление 5'!E120=0,"",'Направление 5'!E120)</f>
        <v/>
      </c>
    </row>
    <row r="1009" spans="1:10" ht="150" customHeight="1" x14ac:dyDescent="0.3">
      <c r="A1009" s="35">
        <v>36</v>
      </c>
      <c r="B1009" s="144" t="str">
        <f>IF('Направление 5'!B121="","",'Направление 5'!B121)</f>
        <v/>
      </c>
      <c r="C1009" s="133"/>
      <c r="D1009" s="131"/>
      <c r="E1009" s="130" t="str">
        <f>IF('Направление 5'!C121="","",'Направление 5'!C121)</f>
        <v/>
      </c>
      <c r="F1009" s="133"/>
      <c r="G1009" s="131"/>
      <c r="H1009" s="130" t="str">
        <f>IF('Направление 5'!D121="","",'Направление 5'!D121)</f>
        <v>х</v>
      </c>
      <c r="I1009" s="131"/>
      <c r="J1009" s="61" t="str">
        <f>IF('Направление 5'!E121=0,"",'Направление 5'!E121)</f>
        <v/>
      </c>
    </row>
    <row r="1010" spans="1:10" ht="150" customHeight="1" x14ac:dyDescent="0.3">
      <c r="A1010" s="35">
        <v>37</v>
      </c>
      <c r="B1010" s="144" t="str">
        <f>IF('Направление 5'!B122="","",'Направление 5'!B122)</f>
        <v/>
      </c>
      <c r="C1010" s="133"/>
      <c r="D1010" s="131"/>
      <c r="E1010" s="130" t="str">
        <f>IF('Направление 5'!C122="","",'Направление 5'!C122)</f>
        <v/>
      </c>
      <c r="F1010" s="133"/>
      <c r="G1010" s="131"/>
      <c r="H1010" s="130" t="str">
        <f>IF('Направление 5'!D122="","",'Направление 5'!D122)</f>
        <v>х</v>
      </c>
      <c r="I1010" s="131"/>
      <c r="J1010" s="61" t="str">
        <f>IF('Направление 5'!E122=0,"",'Направление 5'!E122)</f>
        <v/>
      </c>
    </row>
    <row r="1011" spans="1:10" ht="150" customHeight="1" x14ac:dyDescent="0.3">
      <c r="A1011" s="35">
        <v>38</v>
      </c>
      <c r="B1011" s="144" t="str">
        <f>IF('Направление 5'!B123="","",'Направление 5'!B123)</f>
        <v/>
      </c>
      <c r="C1011" s="133"/>
      <c r="D1011" s="131"/>
      <c r="E1011" s="130" t="str">
        <f>IF('Направление 5'!C123="","",'Направление 5'!C123)</f>
        <v/>
      </c>
      <c r="F1011" s="133"/>
      <c r="G1011" s="131"/>
      <c r="H1011" s="130" t="str">
        <f>IF('Направление 5'!D123="","",'Направление 5'!D123)</f>
        <v>х</v>
      </c>
      <c r="I1011" s="131"/>
      <c r="J1011" s="61" t="str">
        <f>IF('Направление 5'!E123=0,"",'Направление 5'!E123)</f>
        <v/>
      </c>
    </row>
    <row r="1012" spans="1:10" ht="150" customHeight="1" x14ac:dyDescent="0.3">
      <c r="A1012" s="35">
        <v>39</v>
      </c>
      <c r="B1012" s="144" t="str">
        <f>IF('Направление 5'!B124="","",'Направление 5'!B124)</f>
        <v/>
      </c>
      <c r="C1012" s="133"/>
      <c r="D1012" s="131"/>
      <c r="E1012" s="130" t="str">
        <f>IF('Направление 5'!C124="","",'Направление 5'!C124)</f>
        <v/>
      </c>
      <c r="F1012" s="133"/>
      <c r="G1012" s="131"/>
      <c r="H1012" s="130" t="str">
        <f>IF('Направление 5'!D124="","",'Направление 5'!D124)</f>
        <v>х</v>
      </c>
      <c r="I1012" s="131"/>
      <c r="J1012" s="61" t="str">
        <f>IF('Направление 5'!E124=0,"",'Направление 5'!E124)</f>
        <v/>
      </c>
    </row>
    <row r="1013" spans="1:10" ht="150" customHeight="1" thickBot="1" x14ac:dyDescent="0.35">
      <c r="A1013" s="35">
        <v>40</v>
      </c>
      <c r="B1013" s="144" t="str">
        <f>IF('Направление 5'!B125="","",'Направление 5'!B125)</f>
        <v/>
      </c>
      <c r="C1013" s="133"/>
      <c r="D1013" s="131"/>
      <c r="E1013" s="130" t="str">
        <f>IF('Направление 5'!C125="","",'Направление 5'!C125)</f>
        <v/>
      </c>
      <c r="F1013" s="133"/>
      <c r="G1013" s="131"/>
      <c r="H1013" s="130" t="str">
        <f>IF('Направление 5'!D125="","",'Направление 5'!D125)</f>
        <v>х</v>
      </c>
      <c r="I1013" s="131"/>
      <c r="J1013" s="61" t="str">
        <f>IF('Направление 5'!E125=0,"",'Направление 5'!E125)</f>
        <v/>
      </c>
    </row>
    <row r="1014" spans="1:10" ht="16.5" customHeight="1" thickBot="1" x14ac:dyDescent="0.35">
      <c r="A1014" s="37"/>
      <c r="B1014" s="151" t="s">
        <v>60</v>
      </c>
      <c r="C1014" s="135"/>
      <c r="D1014" s="135"/>
      <c r="E1014" s="135"/>
      <c r="F1014" s="135"/>
      <c r="G1014" s="135"/>
      <c r="H1014" s="135"/>
      <c r="I1014" s="135"/>
      <c r="J1014" s="136"/>
    </row>
    <row r="1015" spans="1:10" ht="35.700000000000003" customHeight="1" thickBot="1" x14ac:dyDescent="0.35">
      <c r="A1015" s="37"/>
      <c r="B1015" s="155" t="s">
        <v>61</v>
      </c>
      <c r="C1015" s="156"/>
      <c r="D1015" s="157"/>
      <c r="E1015" s="142" t="s">
        <v>62</v>
      </c>
      <c r="F1015" s="158"/>
      <c r="G1015" s="143"/>
      <c r="H1015" s="142"/>
      <c r="I1015" s="143"/>
      <c r="J1015" s="89" t="s">
        <v>56</v>
      </c>
    </row>
    <row r="1016" spans="1:10" ht="150" customHeight="1" x14ac:dyDescent="0.3">
      <c r="A1016" s="34">
        <v>1</v>
      </c>
      <c r="B1016" s="144" t="str">
        <f>IF('Направление 5'!B128="","",'Направление 5'!B128)</f>
        <v>Ученически чин 1</v>
      </c>
      <c r="C1016" s="133"/>
      <c r="D1016" s="131"/>
      <c r="E1016" s="130" t="str">
        <f>IF('Направление 5'!C128="","",'Направление 5'!C128)</f>
        <v xml:space="preserve">Модулна маса с трапецовидна форма. Дизайнът на масата позволява подредбата на няколко маси в различни конфигурации. Плот от ЛПДЧ 18 мм със заоблени ъгли, с ABS кантове с UV защита. Метална конструкция от прахово боядисана тръба с размери Ф20x1.5 мм. Размери: дължина 128.8 см, широчина 68 см, височина 54/60/64/ 68/72/76 см. </v>
      </c>
      <c r="F1016" s="133"/>
      <c r="G1016" s="131"/>
      <c r="H1016" s="130" t="str">
        <f>IF('Направление 5'!D128="","",'Направление 5'!D128)</f>
        <v>х</v>
      </c>
      <c r="I1016" s="131"/>
      <c r="J1016" s="61">
        <f>IF('Направление 5'!E128=0,"",'Направление 5'!E128)</f>
        <v>52</v>
      </c>
    </row>
    <row r="1017" spans="1:10" ht="150" customHeight="1" x14ac:dyDescent="0.3">
      <c r="A1017" s="35">
        <v>2</v>
      </c>
      <c r="B1017" s="144" t="str">
        <f>IF('Направление 5'!B129="","",'Направление 5'!B129)</f>
        <v>Ученически чин 2</v>
      </c>
      <c r="C1017" s="133"/>
      <c r="D1017" s="131"/>
      <c r="E1017" s="130" t="str">
        <f>IF('Направление 5'!C129="","",'Направление 5'!C129)</f>
        <v>Модулна маса Кръг. Плотът е изработена от ЛПДЧ 18 мм с ABS кантове с UV защита. Ламинираното покритие позволява лесно почистване и поддържане. Конструкцията е с четири прахово боядисани крака Роси, изработени от стоманена тръба Ф50х1.5 мм. Размери: диаметър 80 см, височина 54/60/64/68/70/72/76 см</v>
      </c>
      <c r="F1017" s="133"/>
      <c r="G1017" s="131"/>
      <c r="H1017" s="130" t="str">
        <f>IF('Направление 5'!D129="","",'Направление 5'!D129)</f>
        <v>х</v>
      </c>
      <c r="I1017" s="131"/>
      <c r="J1017" s="61">
        <f>IF('Направление 5'!E129=0,"",'Направление 5'!E129)</f>
        <v>4</v>
      </c>
    </row>
    <row r="1018" spans="1:10" ht="150" customHeight="1" x14ac:dyDescent="0.3">
      <c r="A1018" s="35">
        <v>3</v>
      </c>
      <c r="B1018" s="144" t="str">
        <f>IF('Направление 5'!B130="","",'Направление 5'!B130)</f>
        <v>Ученически стол 1</v>
      </c>
      <c r="C1018" s="133"/>
      <c r="D1018" s="131"/>
      <c r="E1018" s="130" t="str">
        <f>IF('Направление 5'!C130="","",'Направление 5'!C130)</f>
        <v>Ученически стол със заоблени ръбове, ергономична моноблок седалка и облегалка от пластмаса с височина 45 см.</v>
      </c>
      <c r="F1018" s="133"/>
      <c r="G1018" s="131"/>
      <c r="H1018" s="130" t="str">
        <f>IF('Направление 5'!D130="","",'Направление 5'!D130)</f>
        <v>х</v>
      </c>
      <c r="I1018" s="131"/>
      <c r="J1018" s="61">
        <f>IF('Направление 5'!E130=0,"",'Направление 5'!E130)</f>
        <v>34</v>
      </c>
    </row>
    <row r="1019" spans="1:10" ht="150" customHeight="1" x14ac:dyDescent="0.3">
      <c r="A1019" s="35">
        <v>4</v>
      </c>
      <c r="B1019" s="144" t="str">
        <f>IF('Направление 5'!B131="","",'Направление 5'!B131)</f>
        <v>Ученически стол 3</v>
      </c>
      <c r="C1019" s="133"/>
      <c r="D1019" s="131"/>
      <c r="E1019" s="130" t="str">
        <f>IF('Направление 5'!C131="","",'Направление 5'!C131)</f>
        <v>Ергономична моноблок седалка и облегалка от пластмаса. Облегалка с отвор за удобен захват и допълнителни две извивки за удобно окачване на раници. Височина 45 см.</v>
      </c>
      <c r="F1019" s="133"/>
      <c r="G1019" s="131"/>
      <c r="H1019" s="130" t="str">
        <f>IF('Направление 5'!D131="","",'Направление 5'!D131)</f>
        <v>х</v>
      </c>
      <c r="I1019" s="131"/>
      <c r="J1019" s="61">
        <f>IF('Направление 5'!E131=0,"",'Направление 5'!E131)</f>
        <v>34</v>
      </c>
    </row>
    <row r="1020" spans="1:10" ht="150" customHeight="1" x14ac:dyDescent="0.3">
      <c r="A1020" s="35">
        <v>5</v>
      </c>
      <c r="B1020" s="144" t="str">
        <f>IF('Направление 5'!B132="","",'Направление 5'!B132)</f>
        <v>Стол за висока маса</v>
      </c>
      <c r="C1020" s="133"/>
      <c r="D1020" s="131"/>
      <c r="E1020" s="130" t="str">
        <f>IF('Направление 5'!C132="","",'Направление 5'!C132)</f>
        <v xml:space="preserve">Седалищна част - въртяща се и с твърда основа. Облегална част - твърда основа. Конструкция - метален крак, регулиреума височина. Дамаска - еко кожа. </v>
      </c>
      <c r="F1020" s="133"/>
      <c r="G1020" s="131"/>
      <c r="H1020" s="130" t="str">
        <f>IF('Направление 5'!D132="","",'Направление 5'!D132)</f>
        <v>х</v>
      </c>
      <c r="I1020" s="131"/>
      <c r="J1020" s="61">
        <f>IF('Направление 5'!E132=0,"",'Направление 5'!E132)</f>
        <v>4</v>
      </c>
    </row>
    <row r="1021" spans="1:10" ht="150" customHeight="1" x14ac:dyDescent="0.3">
      <c r="A1021" s="35">
        <v>6</v>
      </c>
      <c r="B1021" s="144" t="str">
        <f>IF('Направление 5'!B133="","",'Направление 5'!B133)</f>
        <v>Учителско бюро с помощен шкаф</v>
      </c>
      <c r="C1021" s="133"/>
      <c r="D1021" s="131"/>
      <c r="E1021" s="130" t="str">
        <f>IF('Направление 5'!C133="","",'Направление 5'!C133)</f>
        <v xml:space="preserve">Бюрото с модерен дизайн. Помощният шкаф е с врата и 3 чекмеджета с централно заключване. Плотът е изработен от ЛПДЧ 18 мм с ABS кантове с UV защита. Конструкция: метал с Т-образен крак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120 см,  широчина 138.5 см, височина 75 см
</v>
      </c>
      <c r="F1021" s="133"/>
      <c r="G1021" s="131"/>
      <c r="H1021" s="130" t="str">
        <f>IF('Направление 5'!D133="","",'Направление 5'!D133)</f>
        <v>х</v>
      </c>
      <c r="I1021" s="131"/>
      <c r="J1021" s="61">
        <f>IF('Направление 5'!E133=0,"",'Направление 5'!E133)</f>
        <v>2</v>
      </c>
    </row>
    <row r="1022" spans="1:10" ht="150" customHeight="1" x14ac:dyDescent="0.3">
      <c r="A1022" s="35">
        <v>7</v>
      </c>
      <c r="B1022" s="144" t="str">
        <f>IF('Направление 5'!B134="","",'Направление 5'!B134)</f>
        <v>Учителски стол</v>
      </c>
      <c r="C1022" s="133"/>
      <c r="D1022" s="131"/>
      <c r="E1022" s="130" t="str">
        <f>IF('Направление 5'!C134="","",'Направление 5'!C134)</f>
        <v>Офис въртящ се стол с колелца и подлакътници</v>
      </c>
      <c r="F1022" s="133"/>
      <c r="G1022" s="131"/>
      <c r="H1022" s="130" t="str">
        <f>IF('Направление 5'!D134="","",'Направление 5'!D134)</f>
        <v>х</v>
      </c>
      <c r="I1022" s="131"/>
      <c r="J1022" s="61">
        <f>IF('Направление 5'!E134=0,"",'Направление 5'!E134)</f>
        <v>2</v>
      </c>
    </row>
    <row r="1023" spans="1:10" ht="150" customHeight="1" x14ac:dyDescent="0.3">
      <c r="A1023" s="35">
        <v>8</v>
      </c>
      <c r="B1023" s="144" t="str">
        <f>IF('Направление 5'!B135="","",'Направление 5'!B135)</f>
        <v>Демонстрационна маса /маса за роботи</v>
      </c>
      <c r="C1023" s="133"/>
      <c r="D1023" s="131"/>
      <c r="E1023" s="130" t="str">
        <f>IF('Направление 5'!C135="","",'Направление 5'!C135)</f>
        <v>Изработена от ЛПДЧ 18 мм с ABS кантове с UV защита. С четири прахово боядисани крака Роси, изработени от стоманена тръба Ф50х1.5 мм. Размери: дължина 150/200 см, широчина 90 см, височина 80 см</v>
      </c>
      <c r="F1023" s="133"/>
      <c r="G1023" s="131"/>
      <c r="H1023" s="130" t="str">
        <f>IF('Направление 5'!D135="","",'Направление 5'!D135)</f>
        <v>х</v>
      </c>
      <c r="I1023" s="131"/>
      <c r="J1023" s="61">
        <f>IF('Направление 5'!E135=0,"",'Направление 5'!E135)</f>
        <v>2</v>
      </c>
    </row>
    <row r="1024" spans="1:10" ht="150" customHeight="1" x14ac:dyDescent="0.3">
      <c r="A1024" s="35">
        <v>9</v>
      </c>
      <c r="B1024" s="144" t="str">
        <f>IF('Направление 5'!B136="","",'Направление 5'!B136)</f>
        <v xml:space="preserve">Висока маса Чичи </v>
      </c>
      <c r="C1024" s="133"/>
      <c r="D1024" s="131"/>
      <c r="E1024" s="130" t="str">
        <f>IF('Направление 5'!C136="","",'Направление 5'!C136)</f>
        <v>Висока маса Чичи 169Х40 Н=100см</v>
      </c>
      <c r="F1024" s="133"/>
      <c r="G1024" s="131"/>
      <c r="H1024" s="130" t="str">
        <f>IF('Направление 5'!D136="","",'Направление 5'!D136)</f>
        <v>х</v>
      </c>
      <c r="I1024" s="131"/>
      <c r="J1024" s="61">
        <f>IF('Направление 5'!E136=0,"",'Направление 5'!E136)</f>
        <v>2</v>
      </c>
    </row>
    <row r="1025" spans="1:10" ht="150" customHeight="1" x14ac:dyDescent="0.3">
      <c r="A1025" s="35">
        <v>10</v>
      </c>
      <c r="B1025" s="144" t="str">
        <f>IF('Направление 5'!B137="","",'Направление 5'!B137)</f>
        <v>Г-образна маса</v>
      </c>
      <c r="C1025" s="133"/>
      <c r="D1025" s="131"/>
      <c r="E1025" s="130" t="str">
        <f>IF('Направление 5'!C137="","",'Направление 5'!C137)</f>
        <v>Съчетание от здрава метална конструкция и ламинирани плоскости. Плотът и подплотната са изработени от ЛПДЧ 18 мм с ABS кантове с UV защита.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боядисана стоманена тръба Ф38х1.5 мм, с основа от тръба 50х30х1.5 мм. Декоративен елемент от перфорирана ламарина. PVC регулируеми стъпки. Размери: дължина 140 см, широчина 130 см, височина 75 см</v>
      </c>
      <c r="F1025" s="133"/>
      <c r="G1025" s="131"/>
      <c r="H1025" s="130" t="str">
        <f>IF('Направление 5'!D137="","",'Направление 5'!D137)</f>
        <v>х</v>
      </c>
      <c r="I1025" s="131"/>
      <c r="J1025" s="61">
        <f>IF('Направление 5'!E137=0,"",'Направление 5'!E137)</f>
        <v>1</v>
      </c>
    </row>
    <row r="1026" spans="1:10" ht="150" customHeight="1" x14ac:dyDescent="0.3">
      <c r="A1026" s="35">
        <v>11</v>
      </c>
      <c r="B1026" s="144" t="str">
        <f>IF('Направление 5'!B138="","",'Направление 5'!B138)</f>
        <v>Работна маса</v>
      </c>
      <c r="C1026" s="133"/>
      <c r="D1026" s="131"/>
      <c r="E1026" s="130" t="str">
        <f>IF('Направление 5'!C138="","",'Направление 5'!C138)</f>
        <v>Изчистен дизайн. Масивният плот от ЛПДЧ 25 мм с ABS кантове с UV защита я прави изключително здрава и устойчива. Конструкцията е с два Т-образни крака от прахово боядисана стоманена тръба Ф38х1.5 мм, с основа от тръба 50х30х1.5 мм. Декоративен елемент от перфорирана ламарина. PVC регулируеми стъпки. Размери: дължина 180 см, широчина 70 см, височина 76 см</v>
      </c>
      <c r="F1026" s="133"/>
      <c r="G1026" s="131"/>
      <c r="H1026" s="130" t="str">
        <f>IF('Направление 5'!D138="","",'Направление 5'!D138)</f>
        <v>х</v>
      </c>
      <c r="I1026" s="131"/>
      <c r="J1026" s="61">
        <f>IF('Направление 5'!E138=0,"",'Направление 5'!E138)</f>
        <v>1</v>
      </c>
    </row>
    <row r="1027" spans="1:10" ht="150" customHeight="1" x14ac:dyDescent="0.3">
      <c r="A1027" s="35">
        <v>12</v>
      </c>
      <c r="B1027" s="144" t="str">
        <f>IF('Направление 5'!B139="","",'Направление 5'!B139)</f>
        <v>Модулна маса Полукръг</v>
      </c>
      <c r="C1027" s="133"/>
      <c r="D1027" s="131"/>
      <c r="E1027" s="130" t="str">
        <f>IF('Направление 5'!C139="","",'Направление 5'!C139)</f>
        <v>Изчистен дизайн. Масивният плот от ЛПДЧ 25 мм с ABS кантове с UV защита я прави изключително здрава и устойчива. Конструкцията е с четири прахово боядисани крака Роси, изработени от стоманена тръба Ф50х1.5 мм. Размери: диаметър 140 см, широчина 70 см, височина 76 см</v>
      </c>
      <c r="F1027" s="133"/>
      <c r="G1027" s="131"/>
      <c r="H1027" s="130" t="str">
        <f>IF('Направление 5'!D139="","",'Направление 5'!D139)</f>
        <v>х</v>
      </c>
      <c r="I1027" s="131"/>
      <c r="J1027" s="61">
        <f>IF('Направление 5'!E139=0,"",'Направление 5'!E139)</f>
        <v>2</v>
      </c>
    </row>
    <row r="1028" spans="1:10" ht="150" customHeight="1" x14ac:dyDescent="0.3">
      <c r="A1028" s="35">
        <v>13</v>
      </c>
      <c r="B1028" s="144" t="str">
        <f>IF('Направление 5'!B140="","",'Направление 5'!B140)</f>
        <v>Модулна маса Алис</v>
      </c>
      <c r="C1028" s="133"/>
      <c r="D1028" s="131"/>
      <c r="E1028" s="130" t="str">
        <f>IF('Направление 5'!C140="","",'Направление 5'!C140)</f>
        <v xml:space="preserve">Модулна маса изработена от ЛПДЧ 18 мм със заоблени ъгли, с ABS кантове с UV защита, с три прахово боядисани крака Роси, изработени от стоманена тръба Ф50х1.5 мм. Дизайнът ѝ позволява и подреждане в композиция (образува окръжност, като подредбата и се осъществява само от леви или само от десни масички). Размери: дължина 68 см, широчина 74 см, височина 54/60/64/ 68/72/76 см
</v>
      </c>
      <c r="F1028" s="133"/>
      <c r="G1028" s="131"/>
      <c r="H1028" s="130" t="str">
        <f>IF('Направление 5'!D140="","",'Направление 5'!D140)</f>
        <v>х</v>
      </c>
      <c r="I1028" s="131"/>
      <c r="J1028" s="61">
        <f>IF('Направление 5'!E140=0,"",'Направление 5'!E140)</f>
        <v>6</v>
      </c>
    </row>
    <row r="1029" spans="1:10" ht="150" customHeight="1" x14ac:dyDescent="0.3">
      <c r="A1029" s="35">
        <v>14</v>
      </c>
      <c r="B1029" s="144" t="str">
        <f>IF('Направление 5'!B141="","",'Направление 5'!B141)</f>
        <v>Табуретка (квадрат)</v>
      </c>
      <c r="C1029" s="133"/>
      <c r="D1029" s="131"/>
      <c r="E1029" s="130" t="str">
        <f>IF('Направление 5'!C141="","",'Направление 5'!C141)</f>
        <v>Табуретка Квадрат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дълочина 40 см, височина 43 см</v>
      </c>
      <c r="F1029" s="133"/>
      <c r="G1029" s="131"/>
      <c r="H1029" s="130" t="str">
        <f>IF('Направление 5'!D141="","",'Направление 5'!D141)</f>
        <v>х</v>
      </c>
      <c r="I1029" s="131"/>
      <c r="J1029" s="61">
        <f>IF('Направление 5'!E141=0,"",'Направление 5'!E141)</f>
        <v>10</v>
      </c>
    </row>
    <row r="1030" spans="1:10" ht="150" customHeight="1" x14ac:dyDescent="0.3">
      <c r="A1030" s="35">
        <v>15</v>
      </c>
      <c r="B1030" s="144" t="str">
        <f>IF('Направление 5'!B142="","",'Направление 5'!B142)</f>
        <v>Табуретка (кръг)</v>
      </c>
      <c r="C1030" s="133"/>
      <c r="D1030" s="131"/>
      <c r="E1030" s="130" t="str">
        <f>IF('Направление 5'!C142="","",'Направление 5'!C142)</f>
        <v>Табуретка Кръг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диаметър 40 см, височина 43 см</v>
      </c>
      <c r="F1030" s="133"/>
      <c r="G1030" s="131"/>
      <c r="H1030" s="130" t="str">
        <f>IF('Направление 5'!D142="","",'Направление 5'!D142)</f>
        <v>х</v>
      </c>
      <c r="I1030" s="131"/>
      <c r="J1030" s="61">
        <f>IF('Направление 5'!E142=0,"",'Направление 5'!E142)</f>
        <v>10</v>
      </c>
    </row>
    <row r="1031" spans="1:10" ht="150" customHeight="1" x14ac:dyDescent="0.3">
      <c r="A1031" s="35">
        <v>16</v>
      </c>
      <c r="B1031" s="144" t="str">
        <f>IF('Направление 5'!B143="","",'Направление 5'!B143)</f>
        <v>Табуретка (триъгълник)</v>
      </c>
      <c r="C1031" s="133"/>
      <c r="D1031" s="131"/>
      <c r="E1031" s="130" t="str">
        <f>IF('Направление 5'!C143="","",'Направление 5'!C143)</f>
        <v>Табуретка Триъгълник е удобна и комфортна, със здрава конструкция от масивна дървесина и ЛПДЧ, отличаваща се с устойчивост при дълъг период на употреба. Лесна за почистване и поддържане. Размери: широчина 40 см, дълбочина 40 см, височина 43 см</v>
      </c>
      <c r="F1031" s="133"/>
      <c r="G1031" s="131"/>
      <c r="H1031" s="130" t="str">
        <f>IF('Направление 5'!D143="","",'Направление 5'!D143)</f>
        <v>х</v>
      </c>
      <c r="I1031" s="131"/>
      <c r="J1031" s="61">
        <f>IF('Направление 5'!E143=0,"",'Направление 5'!E143)</f>
        <v>10</v>
      </c>
    </row>
    <row r="1032" spans="1:10" ht="150" customHeight="1" x14ac:dyDescent="0.3">
      <c r="A1032" s="35">
        <v>17</v>
      </c>
      <c r="B1032" s="144" t="str">
        <f>IF('Направление 5'!B144="","",'Направление 5'!B144)</f>
        <v>Пуф тип "Круша"</v>
      </c>
      <c r="C1032" s="133"/>
      <c r="D1032" s="131"/>
      <c r="E1032" s="130" t="str">
        <f>IF('Направление 5'!C144="","",'Направление 5'!C144)</f>
        <v>Меки и удобни круши, пълни с гранули, приспособяващи формата към седящия човек. Покрит с издръжлива PVC тъкан без фталати, която е лесна за почистване. Размери: ширина 40 см, височина 60 см</v>
      </c>
      <c r="F1032" s="133"/>
      <c r="G1032" s="131"/>
      <c r="H1032" s="130" t="str">
        <f>IF('Направление 5'!D144="","",'Направление 5'!D144)</f>
        <v>х</v>
      </c>
      <c r="I1032" s="131"/>
      <c r="J1032" s="61">
        <f>IF('Направление 5'!E144=0,"",'Направление 5'!E144)</f>
        <v>6</v>
      </c>
    </row>
    <row r="1033" spans="1:10" ht="150" customHeight="1" x14ac:dyDescent="0.3">
      <c r="A1033" s="35">
        <v>18</v>
      </c>
      <c r="B1033" s="144" t="str">
        <f>IF('Направление 5'!B145="","",'Направление 5'!B145)</f>
        <v>Диван тип "Чакалня"</v>
      </c>
      <c r="C1033" s="133"/>
      <c r="D1033" s="131"/>
      <c r="E1033" s="130" t="str">
        <f>IF('Направление 5'!C145="","",'Направление 5'!C145)</f>
        <v>Диван със здрава конструкция от метал, отличаваща се с устойчивост при дълъг период на употреба. Подходящ за обществени помещения. Размери: широчина 180 см,  дълбочина 60 см,  височина 70 см</v>
      </c>
      <c r="F1033" s="133"/>
      <c r="G1033" s="131"/>
      <c r="H1033" s="130" t="str">
        <f>IF('Направление 5'!D145="","",'Направление 5'!D145)</f>
        <v>х</v>
      </c>
      <c r="I1033" s="131"/>
      <c r="J1033" s="61">
        <f>IF('Направление 5'!E145=0,"",'Направление 5'!E145)</f>
        <v>4</v>
      </c>
    </row>
    <row r="1034" spans="1:10" ht="150" customHeight="1" x14ac:dyDescent="0.3">
      <c r="A1034" s="35">
        <v>19</v>
      </c>
      <c r="B1034" s="144" t="str">
        <f>IF('Направление 5'!B146="","",'Направление 5'!B146)</f>
        <v xml:space="preserve">Подиум на вълни </v>
      </c>
      <c r="C1034" s="133"/>
      <c r="D1034" s="131"/>
      <c r="E1034" s="130" t="str">
        <f>IF('Направление 5'!C146="","",'Направление 5'!C146)</f>
        <v>Подиум на вълни 280Х200 Н=40СМ - две нива</v>
      </c>
      <c r="F1034" s="133"/>
      <c r="G1034" s="131"/>
      <c r="H1034" s="130" t="str">
        <f>IF('Направление 5'!D146="","",'Направление 5'!D146)</f>
        <v>х</v>
      </c>
      <c r="I1034" s="131"/>
      <c r="J1034" s="61">
        <f>IF('Направление 5'!E146=0,"",'Направление 5'!E146)</f>
        <v>1</v>
      </c>
    </row>
    <row r="1035" spans="1:10" ht="150" customHeight="1" thickBot="1" x14ac:dyDescent="0.35">
      <c r="A1035" s="35">
        <v>20</v>
      </c>
      <c r="B1035" s="144" t="str">
        <f>IF('Направление 5'!B147="","",'Направление 5'!B147)</f>
        <v>Диван Кръг</v>
      </c>
      <c r="C1035" s="133"/>
      <c r="D1035" s="131"/>
      <c r="E1035" s="130" t="str">
        <f>IF('Направление 5'!C147="","",'Направление 5'!C147)</f>
        <v xml:space="preserve">Удобен и комфортен, със здрава конструкция от метал, отличаваща се с устойчивост при дълъг период на употреба. При повече диванчета може да се образува вълнообразна композиция. Размери: диаметър 150 см, дълбочина 55 см, височина 42 см
</v>
      </c>
      <c r="F1035" s="133"/>
      <c r="G1035" s="131"/>
      <c r="H1035" s="130" t="str">
        <f>IF('Направление 5'!D147="","",'Направление 5'!D147)</f>
        <v>х</v>
      </c>
      <c r="I1035" s="131"/>
      <c r="J1035" s="61">
        <f>IF('Направление 5'!E147=0,"",'Направление 5'!E147)</f>
        <v>2</v>
      </c>
    </row>
    <row r="1036" spans="1:10" ht="150" customHeight="1" x14ac:dyDescent="0.3">
      <c r="A1036" s="34">
        <v>21</v>
      </c>
      <c r="B1036" s="144" t="str">
        <f>IF('Направление 5'!B148="","",'Направление 5'!B148)</f>
        <v>Табуретка Вълна голяма</v>
      </c>
      <c r="C1036" s="133"/>
      <c r="D1036" s="131"/>
      <c r="E1036" s="130" t="str">
        <f>IF('Направление 5'!C148="","",'Направление 5'!C148)</f>
        <v>Размери:  160Х60 Н=42см. Табуретка вълна + етажерка вълна може да се подреждат в различни комбинации</v>
      </c>
      <c r="F1036" s="133"/>
      <c r="G1036" s="131"/>
      <c r="H1036" s="130" t="str">
        <f>IF('Направление 5'!D148="","",'Направление 5'!D148)</f>
        <v>х</v>
      </c>
      <c r="I1036" s="131"/>
      <c r="J1036" s="61">
        <f>IF('Направление 5'!E148=0,"",'Направление 5'!E148)</f>
        <v>8</v>
      </c>
    </row>
    <row r="1037" spans="1:10" ht="150" customHeight="1" x14ac:dyDescent="0.3">
      <c r="A1037" s="35">
        <v>22</v>
      </c>
      <c r="B1037" s="144" t="str">
        <f>IF('Направление 5'!B149="","",'Направление 5'!B149)</f>
        <v>Открита етажерка Вълна</v>
      </c>
      <c r="C1037" s="133"/>
      <c r="D1037" s="131"/>
      <c r="E1037" s="130" t="str">
        <f>IF('Направление 5'!C149="","",'Направление 5'!C149)</f>
        <v>Размери: 110Х40/25 Н=100 см. Табуретка вълна + етажерка вълна може да се подреждат в различни комбинации</v>
      </c>
      <c r="F1037" s="133"/>
      <c r="G1037" s="131"/>
      <c r="H1037" s="130" t="str">
        <f>IF('Направление 5'!D149="","",'Направление 5'!D149)</f>
        <v>х</v>
      </c>
      <c r="I1037" s="131"/>
      <c r="J1037" s="61">
        <f>IF('Направление 5'!E149=0,"",'Направление 5'!E149)</f>
        <v>8</v>
      </c>
    </row>
    <row r="1038" spans="1:10" ht="150" customHeight="1" x14ac:dyDescent="0.3">
      <c r="A1038" s="35">
        <v>23</v>
      </c>
      <c r="B1038" s="144" t="str">
        <f>IF('Направление 5'!B150="","",'Направление 5'!B150)</f>
        <v>Нисък шкаф с термоплот</v>
      </c>
      <c r="C1038" s="133"/>
      <c r="D1038" s="131"/>
      <c r="E1038" s="130" t="str">
        <f>IF('Направление 5'!C150="","",'Направление 5'!C150)</f>
        <v>Шкаф с термоплот, две врати и открити рафтове. Изработен от ЛПДЧ 18 мм със заоблени ъгли, с ABS кантове с UV защита и с кантиран термоплот 38 мм. Размери: широчина 170 см, дълбочина 60 см, височина 80 см</v>
      </c>
      <c r="F1038" s="133"/>
      <c r="G1038" s="131"/>
      <c r="H1038" s="130" t="str">
        <f>IF('Направление 5'!D150="","",'Направление 5'!D150)</f>
        <v>х</v>
      </c>
      <c r="I1038" s="131"/>
      <c r="J1038" s="61">
        <f>IF('Направление 5'!E150=0,"",'Направление 5'!E150)</f>
        <v>1</v>
      </c>
    </row>
    <row r="1039" spans="1:10" ht="150" customHeight="1" x14ac:dyDescent="0.3">
      <c r="A1039" s="35">
        <v>24</v>
      </c>
      <c r="B1039" s="144" t="str">
        <f>IF('Направление 5'!B151="","",'Направление 5'!B151)</f>
        <v>Етажерка с дистанционери</v>
      </c>
      <c r="C1039" s="133"/>
      <c r="D1039" s="131"/>
      <c r="E1039" s="130" t="str">
        <f>IF('Направление 5'!C151="","",'Направление 5'!C151)</f>
        <v>Етажерката с дистанционери е с модерен и елегантен дизайн. Изработена от ЛПДЧ 18 мм с ABS кантове с UV защита. Размери: широчина 70 см,  дълбочина 25 см,  височина 105 см</v>
      </c>
      <c r="F1039" s="133"/>
      <c r="G1039" s="131"/>
      <c r="H1039" s="130" t="str">
        <f>IF('Направление 5'!D151="","",'Направление 5'!D151)</f>
        <v>х</v>
      </c>
      <c r="I1039" s="131"/>
      <c r="J1039" s="61">
        <f>IF('Направление 5'!E151=0,"",'Направление 5'!E151)</f>
        <v>6</v>
      </c>
    </row>
    <row r="1040" spans="1:10" ht="150" customHeight="1" x14ac:dyDescent="0.3">
      <c r="A1040" s="35">
        <v>25</v>
      </c>
      <c r="B1040" s="144" t="str">
        <f>IF('Направление 5'!B152="","",'Направление 5'!B152)</f>
        <v>Етажерка Дърво</v>
      </c>
      <c r="C1040" s="133"/>
      <c r="D1040" s="131"/>
      <c r="E1040" s="130" t="str">
        <f>IF('Направление 5'!C152="","",'Направление 5'!C152)</f>
        <v>Етажерка Дърво е с модерен и забавен дизайн, изработена от ЛПДЧ 18 мм с ABS кантове с UV защита.  Размери: широчина 150 см,  дълбочина 22 см,  височина 200 см</v>
      </c>
      <c r="F1040" s="133"/>
      <c r="G1040" s="131"/>
      <c r="H1040" s="130" t="str">
        <f>IF('Направление 5'!D152="","",'Направление 5'!D152)</f>
        <v>х</v>
      </c>
      <c r="I1040" s="131"/>
      <c r="J1040" s="61">
        <f>IF('Направление 5'!E152=0,"",'Направление 5'!E152)</f>
        <v>1</v>
      </c>
    </row>
    <row r="1041" spans="1:10" ht="150" customHeight="1" x14ac:dyDescent="0.3">
      <c r="A1041" s="35">
        <v>26</v>
      </c>
      <c r="B1041" s="144" t="str">
        <f>IF('Направление 5'!B153="","",'Направление 5'!B153)</f>
        <v>Етажерка кутия в кутия</v>
      </c>
      <c r="C1041" s="133"/>
      <c r="D1041" s="131"/>
      <c r="E1041" s="130" t="str">
        <f>IF('Направление 5'!C153="","",'Направление 5'!C153)</f>
        <v>Етажерката е с две дълбочини. Разполага с 11 отворени ниши, подходящи за поставяне на книги, учебни помагала и други. Изработена е от ЛПДЧ 18 мм с ABS кантове с UV защита. Размери: широчина 170 см, дълбочина 30/40 см, височина 183 см</v>
      </c>
      <c r="F1041" s="133"/>
      <c r="G1041" s="131"/>
      <c r="H1041" s="130" t="str">
        <f>IF('Направление 5'!D153="","",'Направление 5'!D153)</f>
        <v>х</v>
      </c>
      <c r="I1041" s="131"/>
      <c r="J1041" s="61">
        <f>IF('Направление 5'!E153=0,"",'Направление 5'!E153)</f>
        <v>2</v>
      </c>
    </row>
    <row r="1042" spans="1:10" ht="150" customHeight="1" x14ac:dyDescent="0.3">
      <c r="A1042" s="35">
        <v>27</v>
      </c>
      <c r="B1042" s="144" t="str">
        <f>IF('Направление 5'!B154="","",'Направление 5'!B154)</f>
        <v>Въртящ се шкаф на колелца</v>
      </c>
      <c r="C1042" s="133"/>
      <c r="D1042" s="131"/>
      <c r="E1042" s="130" t="str">
        <f>IF('Направление 5'!C154="","",'Направление 5'!C154)</f>
        <v xml:space="preserve">Шкафът на колелца е с модерен дизайн. Изработен изцяло от ЛПДЧ 18 мм с ABS кантове с UV защита. Размери: широчина 50 см,  дълбочина 50 см,  височина 170 см
</v>
      </c>
      <c r="F1042" s="133"/>
      <c r="G1042" s="131"/>
      <c r="H1042" s="130" t="str">
        <f>IF('Направление 5'!D154="","",'Направление 5'!D154)</f>
        <v>х</v>
      </c>
      <c r="I1042" s="131"/>
      <c r="J1042" s="61">
        <f>IF('Направление 5'!E154=0,"",'Направление 5'!E154)</f>
        <v>2</v>
      </c>
    </row>
    <row r="1043" spans="1:10" ht="150" customHeight="1" x14ac:dyDescent="0.3">
      <c r="A1043" s="35">
        <v>28</v>
      </c>
      <c r="B1043" s="144" t="str">
        <f>IF('Направление 5'!B155="","",'Направление 5'!B155)</f>
        <v>Шкаф с шест вратички</v>
      </c>
      <c r="C1043" s="133"/>
      <c r="D1043" s="131"/>
      <c r="E1043" s="130" t="str">
        <f>IF('Направление 5'!C155="","",'Направление 5'!C155)</f>
        <v xml:space="preserve">Шкаф с шест заоблени вратички със заключване за съхранение на лични вещи и учебни помагала. Изработен изцяло от ЛПДЧ 18 мм с ABS кантове с UV защита. Ламинираното покритие позволява лесно почистване и поддържане. Размери: широчина 80 см, дълбочина 40 см, височина 133 см
</v>
      </c>
      <c r="F1043" s="133"/>
      <c r="G1043" s="131"/>
      <c r="H1043" s="130" t="str">
        <f>IF('Направление 5'!D155="","",'Направление 5'!D155)</f>
        <v>х</v>
      </c>
      <c r="I1043" s="131"/>
      <c r="J1043" s="61">
        <f>IF('Направление 5'!E155=0,"",'Направление 5'!E155)</f>
        <v>3</v>
      </c>
    </row>
    <row r="1044" spans="1:10" ht="150" customHeight="1" x14ac:dyDescent="0.3">
      <c r="A1044" s="35">
        <v>29</v>
      </c>
      <c r="B1044" s="144" t="str">
        <f>IF('Направление 5'!B156="","",'Направление 5'!B156)</f>
        <v>Секция Пчелна пита</v>
      </c>
      <c r="C1044" s="133"/>
      <c r="D1044" s="131"/>
      <c r="E1044" s="130" t="str">
        <f>IF('Направление 5'!C156="","",'Направление 5'!C156)</f>
        <v>Секция Пчелна пита е изработена изцяло от ЛПДЧ 18 мм с ABS кантове с UV защита. Разполага с отворени и затворени модули и ниши във формата на шестоъгълник, имитиращи пчелна пита. Високите крайни шкафове са със заключване. С място за прибиране на табуретки Шестоъгълник, които се поръчват допълнително.  Размери: широчина 675 см,  дълбочина 45 см,  височина 215 см</v>
      </c>
      <c r="F1044" s="133"/>
      <c r="G1044" s="131"/>
      <c r="H1044" s="130" t="str">
        <f>IF('Направление 5'!D156="","",'Направление 5'!D156)</f>
        <v>х</v>
      </c>
      <c r="I1044" s="131"/>
      <c r="J1044" s="61">
        <f>IF('Направление 5'!E156=0,"",'Направление 5'!E156)</f>
        <v>1</v>
      </c>
    </row>
    <row r="1045" spans="1:10" ht="150" customHeight="1" x14ac:dyDescent="0.3">
      <c r="A1045" s="35">
        <v>30</v>
      </c>
      <c r="B1045" s="144" t="str">
        <f>IF('Направление 5'!B157="","",'Направление 5'!B157)</f>
        <v/>
      </c>
      <c r="C1045" s="133"/>
      <c r="D1045" s="131"/>
      <c r="E1045" s="130" t="str">
        <f>IF('Направление 5'!C157="","",'Направление 5'!C157)</f>
        <v/>
      </c>
      <c r="F1045" s="133"/>
      <c r="G1045" s="131"/>
      <c r="H1045" s="130" t="str">
        <f>IF('Направление 5'!D157="","",'Направление 5'!D157)</f>
        <v>х</v>
      </c>
      <c r="I1045" s="131"/>
      <c r="J1045" s="61" t="str">
        <f>IF('Направление 5'!E157=0,"",'Направление 5'!E157)</f>
        <v/>
      </c>
    </row>
    <row r="1046" spans="1:10" ht="150" customHeight="1" x14ac:dyDescent="0.3">
      <c r="A1046" s="35">
        <v>31</v>
      </c>
      <c r="B1046" s="144" t="str">
        <f>IF('Направление 5'!B158="","",'Направление 5'!B158)</f>
        <v/>
      </c>
      <c r="C1046" s="133"/>
      <c r="D1046" s="131"/>
      <c r="E1046" s="130" t="str">
        <f>IF('Направление 5'!C158="","",'Направление 5'!C158)</f>
        <v/>
      </c>
      <c r="F1046" s="133"/>
      <c r="G1046" s="131"/>
      <c r="H1046" s="130" t="str">
        <f>IF('Направление 5'!D158="","",'Направление 5'!D158)</f>
        <v>х</v>
      </c>
      <c r="I1046" s="131"/>
      <c r="J1046" s="61" t="str">
        <f>IF('Направление 5'!E158=0,"",'Направление 5'!E158)</f>
        <v/>
      </c>
    </row>
    <row r="1047" spans="1:10" ht="150" customHeight="1" x14ac:dyDescent="0.3">
      <c r="A1047" s="35">
        <v>32</v>
      </c>
      <c r="B1047" s="144" t="str">
        <f>IF('Направление 5'!B159="","",'Направление 5'!B159)</f>
        <v/>
      </c>
      <c r="C1047" s="133"/>
      <c r="D1047" s="131"/>
      <c r="E1047" s="130" t="str">
        <f>IF('Направление 5'!C159="","",'Направление 5'!C159)</f>
        <v/>
      </c>
      <c r="F1047" s="133"/>
      <c r="G1047" s="131"/>
      <c r="H1047" s="130" t="str">
        <f>IF('Направление 5'!D159="","",'Направление 5'!D159)</f>
        <v>х</v>
      </c>
      <c r="I1047" s="131"/>
      <c r="J1047" s="61" t="str">
        <f>IF('Направление 5'!E159=0,"",'Направление 5'!E159)</f>
        <v/>
      </c>
    </row>
    <row r="1048" spans="1:10" ht="150" customHeight="1" x14ac:dyDescent="0.3">
      <c r="A1048" s="35">
        <v>33</v>
      </c>
      <c r="B1048" s="144" t="str">
        <f>IF('Направление 5'!B160="","",'Направление 5'!B160)</f>
        <v/>
      </c>
      <c r="C1048" s="133"/>
      <c r="D1048" s="131"/>
      <c r="E1048" s="130" t="str">
        <f>IF('Направление 5'!C160="","",'Направление 5'!C160)</f>
        <v/>
      </c>
      <c r="F1048" s="133"/>
      <c r="G1048" s="131"/>
      <c r="H1048" s="130" t="str">
        <f>IF('Направление 5'!D160="","",'Направление 5'!D160)</f>
        <v>х</v>
      </c>
      <c r="I1048" s="131"/>
      <c r="J1048" s="61" t="str">
        <f>IF('Направление 5'!E160=0,"",'Направление 5'!E160)</f>
        <v/>
      </c>
    </row>
    <row r="1049" spans="1:10" ht="150" customHeight="1" x14ac:dyDescent="0.3">
      <c r="A1049" s="35">
        <v>34</v>
      </c>
      <c r="B1049" s="144" t="str">
        <f>IF('Направление 5'!B161="","",'Направление 5'!B161)</f>
        <v/>
      </c>
      <c r="C1049" s="133"/>
      <c r="D1049" s="131"/>
      <c r="E1049" s="130" t="str">
        <f>IF('Направление 5'!C161="","",'Направление 5'!C161)</f>
        <v/>
      </c>
      <c r="F1049" s="133"/>
      <c r="G1049" s="131"/>
      <c r="H1049" s="130" t="str">
        <f>IF('Направление 5'!D161="","",'Направление 5'!D161)</f>
        <v>х</v>
      </c>
      <c r="I1049" s="131"/>
      <c r="J1049" s="61" t="str">
        <f>IF('Направление 5'!E161=0,"",'Направление 5'!E161)</f>
        <v/>
      </c>
    </row>
    <row r="1050" spans="1:10" ht="150" customHeight="1" x14ac:dyDescent="0.3">
      <c r="A1050" s="35">
        <v>35</v>
      </c>
      <c r="B1050" s="144" t="str">
        <f>IF('Направление 5'!B162="","",'Направление 5'!B162)</f>
        <v/>
      </c>
      <c r="C1050" s="133"/>
      <c r="D1050" s="131"/>
      <c r="E1050" s="130" t="str">
        <f>IF('Направление 5'!C162="","",'Направление 5'!C162)</f>
        <v/>
      </c>
      <c r="F1050" s="133"/>
      <c r="G1050" s="131"/>
      <c r="H1050" s="130" t="str">
        <f>IF('Направление 5'!D162="","",'Направление 5'!D162)</f>
        <v>х</v>
      </c>
      <c r="I1050" s="131"/>
      <c r="J1050" s="61" t="str">
        <f>IF('Направление 5'!E162=0,"",'Направление 5'!E162)</f>
        <v/>
      </c>
    </row>
    <row r="1051" spans="1:10" ht="150" customHeight="1" x14ac:dyDescent="0.3">
      <c r="A1051" s="35">
        <v>36</v>
      </c>
      <c r="B1051" s="144" t="str">
        <f>IF('Направление 5'!B163="","",'Направление 5'!B163)</f>
        <v/>
      </c>
      <c r="C1051" s="133"/>
      <c r="D1051" s="131"/>
      <c r="E1051" s="130" t="str">
        <f>IF('Направление 5'!C163="","",'Направление 5'!C163)</f>
        <v/>
      </c>
      <c r="F1051" s="133"/>
      <c r="G1051" s="131"/>
      <c r="H1051" s="130" t="str">
        <f>IF('Направление 5'!D163="","",'Направление 5'!D163)</f>
        <v>х</v>
      </c>
      <c r="I1051" s="131"/>
      <c r="J1051" s="61" t="str">
        <f>IF('Направление 5'!E163=0,"",'Направление 5'!E163)</f>
        <v/>
      </c>
    </row>
    <row r="1052" spans="1:10" ht="150" customHeight="1" x14ac:dyDescent="0.3">
      <c r="A1052" s="35">
        <v>37</v>
      </c>
      <c r="B1052" s="144" t="str">
        <f>IF('Направление 5'!B164="","",'Направление 5'!B164)</f>
        <v/>
      </c>
      <c r="C1052" s="133"/>
      <c r="D1052" s="131"/>
      <c r="E1052" s="130" t="str">
        <f>IF('Направление 5'!C164="","",'Направление 5'!C164)</f>
        <v/>
      </c>
      <c r="F1052" s="133"/>
      <c r="G1052" s="131"/>
      <c r="H1052" s="130" t="str">
        <f>IF('Направление 5'!D164="","",'Направление 5'!D164)</f>
        <v>х</v>
      </c>
      <c r="I1052" s="131"/>
      <c r="J1052" s="61" t="str">
        <f>IF('Направление 5'!E164=0,"",'Направление 5'!E164)</f>
        <v/>
      </c>
    </row>
    <row r="1053" spans="1:10" ht="150" customHeight="1" x14ac:dyDescent="0.3">
      <c r="A1053" s="35">
        <v>38</v>
      </c>
      <c r="B1053" s="144" t="str">
        <f>IF('Направление 5'!B165="","",'Направление 5'!B165)</f>
        <v/>
      </c>
      <c r="C1053" s="133"/>
      <c r="D1053" s="131"/>
      <c r="E1053" s="130" t="str">
        <f>IF('Направление 5'!C165="","",'Направление 5'!C165)</f>
        <v/>
      </c>
      <c r="F1053" s="133"/>
      <c r="G1053" s="131"/>
      <c r="H1053" s="130" t="str">
        <f>IF('Направление 5'!D165="","",'Направление 5'!D165)</f>
        <v>х</v>
      </c>
      <c r="I1053" s="131"/>
      <c r="J1053" s="61" t="str">
        <f>IF('Направление 5'!E165=0,"",'Направление 5'!E165)</f>
        <v/>
      </c>
    </row>
    <row r="1054" spans="1:10" ht="150" customHeight="1" x14ac:dyDescent="0.3">
      <c r="A1054" s="35">
        <v>39</v>
      </c>
      <c r="B1054" s="144" t="str">
        <f>IF('Направление 5'!B166="","",'Направление 5'!B166)</f>
        <v/>
      </c>
      <c r="C1054" s="133"/>
      <c r="D1054" s="131"/>
      <c r="E1054" s="130" t="str">
        <f>IF('Направление 5'!C166="","",'Направление 5'!C166)</f>
        <v/>
      </c>
      <c r="F1054" s="133"/>
      <c r="G1054" s="131"/>
      <c r="H1054" s="130" t="str">
        <f>IF('Направление 5'!D166="","",'Направление 5'!D166)</f>
        <v>х</v>
      </c>
      <c r="I1054" s="131"/>
      <c r="J1054" s="61" t="str">
        <f>IF('Направление 5'!E166=0,"",'Направление 5'!E166)</f>
        <v/>
      </c>
    </row>
    <row r="1055" spans="1:10" ht="150" customHeight="1" x14ac:dyDescent="0.3">
      <c r="A1055" s="35">
        <v>40</v>
      </c>
      <c r="B1055" s="144" t="str">
        <f>IF('Направление 5'!B167="","",'Направление 5'!B167)</f>
        <v/>
      </c>
      <c r="C1055" s="133"/>
      <c r="D1055" s="131"/>
      <c r="E1055" s="130" t="str">
        <f>IF('Направление 5'!C167="","",'Направление 5'!C167)</f>
        <v/>
      </c>
      <c r="F1055" s="133"/>
      <c r="G1055" s="131"/>
      <c r="H1055" s="130" t="str">
        <f>IF('Направление 5'!D167="","",'Направление 5'!D167)</f>
        <v>х</v>
      </c>
      <c r="I1055" s="131"/>
      <c r="J1055" s="61" t="str">
        <f>IF('Направление 5'!E167=0,"",'Направление 5'!E167)</f>
        <v/>
      </c>
    </row>
    <row r="1056" spans="1:10" ht="150" customHeight="1" x14ac:dyDescent="0.3">
      <c r="A1056" s="35">
        <v>41</v>
      </c>
      <c r="B1056" s="144" t="str">
        <f>IF('Направление 5'!B168="","",'Направление 5'!B168)</f>
        <v/>
      </c>
      <c r="C1056" s="133"/>
      <c r="D1056" s="131"/>
      <c r="E1056" s="130" t="str">
        <f>IF('Направление 5'!C168="","",'Направление 5'!C168)</f>
        <v/>
      </c>
      <c r="F1056" s="133"/>
      <c r="G1056" s="131"/>
      <c r="H1056" s="130" t="str">
        <f>IF('Направление 5'!D168="","",'Направление 5'!D168)</f>
        <v>х</v>
      </c>
      <c r="I1056" s="131"/>
      <c r="J1056" s="61" t="str">
        <f>IF('Направление 5'!E168=0,"",'Направление 5'!E168)</f>
        <v/>
      </c>
    </row>
    <row r="1057" spans="1:10" ht="150" customHeight="1" x14ac:dyDescent="0.3">
      <c r="A1057" s="35">
        <v>42</v>
      </c>
      <c r="B1057" s="144" t="str">
        <f>IF('Направление 5'!B169="","",'Направление 5'!B169)</f>
        <v/>
      </c>
      <c r="C1057" s="133"/>
      <c r="D1057" s="131"/>
      <c r="E1057" s="130" t="str">
        <f>IF('Направление 5'!C169="","",'Направление 5'!C169)</f>
        <v/>
      </c>
      <c r="F1057" s="133"/>
      <c r="G1057" s="131"/>
      <c r="H1057" s="130" t="str">
        <f>IF('Направление 5'!D169="","",'Направление 5'!D169)</f>
        <v>х</v>
      </c>
      <c r="I1057" s="131"/>
      <c r="J1057" s="61" t="str">
        <f>IF('Направление 5'!E169=0,"",'Направление 5'!E169)</f>
        <v/>
      </c>
    </row>
    <row r="1058" spans="1:10" ht="150" customHeight="1" x14ac:dyDescent="0.3">
      <c r="A1058" s="35">
        <v>43</v>
      </c>
      <c r="B1058" s="144" t="str">
        <f>IF('Направление 5'!B170="","",'Направление 5'!B170)</f>
        <v/>
      </c>
      <c r="C1058" s="133"/>
      <c r="D1058" s="131"/>
      <c r="E1058" s="130" t="str">
        <f>IF('Направление 5'!C170="","",'Направление 5'!C170)</f>
        <v/>
      </c>
      <c r="F1058" s="133"/>
      <c r="G1058" s="131"/>
      <c r="H1058" s="130" t="str">
        <f>IF('Направление 5'!D170="","",'Направление 5'!D170)</f>
        <v>х</v>
      </c>
      <c r="I1058" s="131"/>
      <c r="J1058" s="61" t="str">
        <f>IF('Направление 5'!E170=0,"",'Направление 5'!E170)</f>
        <v/>
      </c>
    </row>
    <row r="1059" spans="1:10" ht="150" customHeight="1" x14ac:dyDescent="0.3">
      <c r="A1059" s="35">
        <v>44</v>
      </c>
      <c r="B1059" s="144" t="str">
        <f>IF('Направление 5'!B171="","",'Направление 5'!B171)</f>
        <v/>
      </c>
      <c r="C1059" s="133"/>
      <c r="D1059" s="131"/>
      <c r="E1059" s="130" t="str">
        <f>IF('Направление 5'!C171="","",'Направление 5'!C171)</f>
        <v/>
      </c>
      <c r="F1059" s="133"/>
      <c r="G1059" s="131"/>
      <c r="H1059" s="130" t="str">
        <f>IF('Направление 5'!D171="","",'Направление 5'!D171)</f>
        <v>х</v>
      </c>
      <c r="I1059" s="131"/>
      <c r="J1059" s="61" t="str">
        <f>IF('Направление 5'!E171=0,"",'Направление 5'!E171)</f>
        <v/>
      </c>
    </row>
    <row r="1060" spans="1:10" ht="150" customHeight="1" x14ac:dyDescent="0.3">
      <c r="A1060" s="35">
        <v>45</v>
      </c>
      <c r="B1060" s="144" t="str">
        <f>IF('Направление 5'!B172="","",'Направление 5'!B172)</f>
        <v/>
      </c>
      <c r="C1060" s="133"/>
      <c r="D1060" s="131"/>
      <c r="E1060" s="130" t="str">
        <f>IF('Направление 5'!C172="","",'Направление 5'!C172)</f>
        <v/>
      </c>
      <c r="F1060" s="133"/>
      <c r="G1060" s="131"/>
      <c r="H1060" s="130" t="str">
        <f>IF('Направление 5'!D172="","",'Направление 5'!D172)</f>
        <v>х</v>
      </c>
      <c r="I1060" s="131"/>
      <c r="J1060" s="61" t="str">
        <f>IF('Направление 5'!E172=0,"",'Направление 5'!E172)</f>
        <v/>
      </c>
    </row>
    <row r="1061" spans="1:10" ht="150" customHeight="1" x14ac:dyDescent="0.3">
      <c r="A1061" s="35">
        <v>46</v>
      </c>
      <c r="B1061" s="144" t="str">
        <f>IF('Направление 5'!B173="","",'Направление 5'!B173)</f>
        <v/>
      </c>
      <c r="C1061" s="133"/>
      <c r="D1061" s="131"/>
      <c r="E1061" s="130" t="str">
        <f>IF('Направление 5'!C173="","",'Направление 5'!C173)</f>
        <v/>
      </c>
      <c r="F1061" s="133"/>
      <c r="G1061" s="131"/>
      <c r="H1061" s="130" t="str">
        <f>IF('Направление 5'!D173="","",'Направление 5'!D173)</f>
        <v>х</v>
      </c>
      <c r="I1061" s="131"/>
      <c r="J1061" s="61" t="str">
        <f>IF('Направление 5'!E173=0,"",'Направление 5'!E173)</f>
        <v/>
      </c>
    </row>
    <row r="1062" spans="1:10" ht="150" customHeight="1" x14ac:dyDescent="0.3">
      <c r="A1062" s="35">
        <v>47</v>
      </c>
      <c r="B1062" s="144" t="str">
        <f>IF('Направление 5'!B174="","",'Направление 5'!B174)</f>
        <v/>
      </c>
      <c r="C1062" s="133"/>
      <c r="D1062" s="131"/>
      <c r="E1062" s="130" t="str">
        <f>IF('Направление 5'!C174="","",'Направление 5'!C174)</f>
        <v/>
      </c>
      <c r="F1062" s="133"/>
      <c r="G1062" s="131"/>
      <c r="H1062" s="130" t="str">
        <f>IF('Направление 5'!D174="","",'Направление 5'!D174)</f>
        <v>х</v>
      </c>
      <c r="I1062" s="131"/>
      <c r="J1062" s="61" t="str">
        <f>IF('Направление 5'!E174=0,"",'Направление 5'!E174)</f>
        <v/>
      </c>
    </row>
    <row r="1063" spans="1:10" ht="150" customHeight="1" x14ac:dyDescent="0.3">
      <c r="A1063" s="35">
        <v>48</v>
      </c>
      <c r="B1063" s="144" t="str">
        <f>IF('Направление 5'!B175="","",'Направление 5'!B175)</f>
        <v/>
      </c>
      <c r="C1063" s="133"/>
      <c r="D1063" s="131"/>
      <c r="E1063" s="130" t="str">
        <f>IF('Направление 5'!C175="","",'Направление 5'!C175)</f>
        <v/>
      </c>
      <c r="F1063" s="133"/>
      <c r="G1063" s="131"/>
      <c r="H1063" s="130" t="str">
        <f>IF('Направление 5'!D175="","",'Направление 5'!D175)</f>
        <v>х</v>
      </c>
      <c r="I1063" s="131"/>
      <c r="J1063" s="61" t="str">
        <f>IF('Направление 5'!E175=0,"",'Направление 5'!E175)</f>
        <v/>
      </c>
    </row>
    <row r="1064" spans="1:10" ht="150" customHeight="1" x14ac:dyDescent="0.3">
      <c r="A1064" s="35">
        <v>49</v>
      </c>
      <c r="B1064" s="144" t="str">
        <f>IF('Направление 5'!B176="","",'Направление 5'!B176)</f>
        <v/>
      </c>
      <c r="C1064" s="133"/>
      <c r="D1064" s="131"/>
      <c r="E1064" s="130" t="str">
        <f>IF('Направление 5'!C176="","",'Направление 5'!C176)</f>
        <v/>
      </c>
      <c r="F1064" s="133"/>
      <c r="G1064" s="131"/>
      <c r="H1064" s="130" t="str">
        <f>IF('Направление 5'!D176="","",'Направление 5'!D176)</f>
        <v>х</v>
      </c>
      <c r="I1064" s="131"/>
      <c r="J1064" s="61" t="str">
        <f>IF('Направление 5'!E176=0,"",'Направление 5'!E176)</f>
        <v/>
      </c>
    </row>
    <row r="1065" spans="1:10" ht="150" customHeight="1" x14ac:dyDescent="0.3">
      <c r="A1065" s="35">
        <v>50</v>
      </c>
      <c r="B1065" s="144" t="str">
        <f>IF('Направление 5'!B177="","",'Направление 5'!B177)</f>
        <v/>
      </c>
      <c r="C1065" s="133"/>
      <c r="D1065" s="131"/>
      <c r="E1065" s="130" t="str">
        <f>IF('Направление 5'!C177="","",'Направление 5'!C177)</f>
        <v/>
      </c>
      <c r="F1065" s="133"/>
      <c r="G1065" s="131"/>
      <c r="H1065" s="130" t="str">
        <f>IF('Направление 5'!D177="","",'Направление 5'!D177)</f>
        <v>х</v>
      </c>
      <c r="I1065" s="131"/>
      <c r="J1065" s="61" t="str">
        <f>IF('Направление 5'!E177=0,"",'Направление 5'!E177)</f>
        <v/>
      </c>
    </row>
    <row r="1066" spans="1:10" ht="150" customHeight="1" x14ac:dyDescent="0.3">
      <c r="A1066" s="35">
        <v>51</v>
      </c>
      <c r="B1066" s="144" t="str">
        <f>IF('Направление 5'!B178="","",'Направление 5'!B178)</f>
        <v/>
      </c>
      <c r="C1066" s="133"/>
      <c r="D1066" s="131"/>
      <c r="E1066" s="130" t="str">
        <f>IF('Направление 5'!C178="","",'Направление 5'!C178)</f>
        <v/>
      </c>
      <c r="F1066" s="133"/>
      <c r="G1066" s="131"/>
      <c r="H1066" s="130" t="str">
        <f>IF('Направление 5'!D178="","",'Направление 5'!D178)</f>
        <v>х</v>
      </c>
      <c r="I1066" s="131"/>
      <c r="J1066" s="61" t="str">
        <f>IF('Направление 5'!E178=0,"",'Направление 5'!E178)</f>
        <v/>
      </c>
    </row>
    <row r="1067" spans="1:10" ht="150" customHeight="1" x14ac:dyDescent="0.3">
      <c r="A1067" s="35">
        <v>52</v>
      </c>
      <c r="B1067" s="144" t="str">
        <f>IF('Направление 5'!B179="","",'Направление 5'!B179)</f>
        <v/>
      </c>
      <c r="C1067" s="133"/>
      <c r="D1067" s="131"/>
      <c r="E1067" s="130" t="str">
        <f>IF('Направление 5'!C179="","",'Направление 5'!C179)</f>
        <v/>
      </c>
      <c r="F1067" s="133"/>
      <c r="G1067" s="131"/>
      <c r="H1067" s="130" t="str">
        <f>IF('Направление 5'!D179="","",'Направление 5'!D179)</f>
        <v>х</v>
      </c>
      <c r="I1067" s="131"/>
      <c r="J1067" s="61" t="str">
        <f>IF('Направление 5'!E179=0,"",'Направление 5'!E179)</f>
        <v/>
      </c>
    </row>
    <row r="1068" spans="1:10" ht="150" customHeight="1" x14ac:dyDescent="0.3">
      <c r="A1068" s="35">
        <v>53</v>
      </c>
      <c r="B1068" s="144" t="str">
        <f>IF('Направление 5'!B180="","",'Направление 5'!B180)</f>
        <v/>
      </c>
      <c r="C1068" s="133"/>
      <c r="D1068" s="131"/>
      <c r="E1068" s="130" t="str">
        <f>IF('Направление 5'!C180="","",'Направление 5'!C180)</f>
        <v/>
      </c>
      <c r="F1068" s="133"/>
      <c r="G1068" s="131"/>
      <c r="H1068" s="130" t="str">
        <f>IF('Направление 5'!D180="","",'Направление 5'!D180)</f>
        <v>х</v>
      </c>
      <c r="I1068" s="131"/>
      <c r="J1068" s="61" t="str">
        <f>IF('Направление 5'!E180=0,"",'Направление 5'!E180)</f>
        <v/>
      </c>
    </row>
    <row r="1069" spans="1:10" ht="150" customHeight="1" x14ac:dyDescent="0.3">
      <c r="A1069" s="35">
        <v>54</v>
      </c>
      <c r="B1069" s="144" t="str">
        <f>IF('Направление 5'!B181="","",'Направление 5'!B181)</f>
        <v/>
      </c>
      <c r="C1069" s="133"/>
      <c r="D1069" s="131"/>
      <c r="E1069" s="130" t="str">
        <f>IF('Направление 5'!C181="","",'Направление 5'!C181)</f>
        <v/>
      </c>
      <c r="F1069" s="133"/>
      <c r="G1069" s="131"/>
      <c r="H1069" s="130" t="str">
        <f>IF('Направление 5'!D181="","",'Направление 5'!D181)</f>
        <v>х</v>
      </c>
      <c r="I1069" s="131"/>
      <c r="J1069" s="61" t="str">
        <f>IF('Направление 5'!E181=0,"",'Направление 5'!E181)</f>
        <v/>
      </c>
    </row>
    <row r="1070" spans="1:10" ht="150" customHeight="1" x14ac:dyDescent="0.3">
      <c r="A1070" s="35">
        <v>55</v>
      </c>
      <c r="B1070" s="144" t="str">
        <f>IF('Направление 5'!B182="","",'Направление 5'!B182)</f>
        <v/>
      </c>
      <c r="C1070" s="133"/>
      <c r="D1070" s="131"/>
      <c r="E1070" s="130" t="str">
        <f>IF('Направление 5'!C182="","",'Направление 5'!C182)</f>
        <v/>
      </c>
      <c r="F1070" s="133"/>
      <c r="G1070" s="131"/>
      <c r="H1070" s="130" t="str">
        <f>IF('Направление 5'!D182="","",'Направление 5'!D182)</f>
        <v>х</v>
      </c>
      <c r="I1070" s="131"/>
      <c r="J1070" s="61" t="str">
        <f>IF('Направление 5'!E182=0,"",'Направление 5'!E182)</f>
        <v/>
      </c>
    </row>
    <row r="1071" spans="1:10" ht="150" customHeight="1" x14ac:dyDescent="0.3">
      <c r="A1071" s="35">
        <v>56</v>
      </c>
      <c r="B1071" s="144" t="str">
        <f>IF('Направление 5'!B183="","",'Направление 5'!B183)</f>
        <v/>
      </c>
      <c r="C1071" s="133"/>
      <c r="D1071" s="131"/>
      <c r="E1071" s="130" t="str">
        <f>IF('Направление 5'!C183="","",'Направление 5'!C183)</f>
        <v/>
      </c>
      <c r="F1071" s="133"/>
      <c r="G1071" s="131"/>
      <c r="H1071" s="130" t="str">
        <f>IF('Направление 5'!D183="","",'Направление 5'!D183)</f>
        <v>х</v>
      </c>
      <c r="I1071" s="131"/>
      <c r="J1071" s="61" t="str">
        <f>IF('Направление 5'!E183=0,"",'Направление 5'!E183)</f>
        <v/>
      </c>
    </row>
    <row r="1072" spans="1:10" ht="150" customHeight="1" x14ac:dyDescent="0.3">
      <c r="A1072" s="35">
        <v>57</v>
      </c>
      <c r="B1072" s="144" t="str">
        <f>IF('Направление 5'!B184="","",'Направление 5'!B184)</f>
        <v/>
      </c>
      <c r="C1072" s="133"/>
      <c r="D1072" s="131"/>
      <c r="E1072" s="130" t="str">
        <f>IF('Направление 5'!C184="","",'Направление 5'!C184)</f>
        <v/>
      </c>
      <c r="F1072" s="133"/>
      <c r="G1072" s="131"/>
      <c r="H1072" s="130" t="str">
        <f>IF('Направление 5'!D184="","",'Направление 5'!D184)</f>
        <v>х</v>
      </c>
      <c r="I1072" s="131"/>
      <c r="J1072" s="61" t="str">
        <f>IF('Направление 5'!E184=0,"",'Направление 5'!E184)</f>
        <v/>
      </c>
    </row>
    <row r="1073" spans="1:10" ht="150" customHeight="1" x14ac:dyDescent="0.3">
      <c r="A1073" s="35">
        <v>58</v>
      </c>
      <c r="B1073" s="144" t="str">
        <f>IF('Направление 5'!B185="","",'Направление 5'!B185)</f>
        <v/>
      </c>
      <c r="C1073" s="133"/>
      <c r="D1073" s="131"/>
      <c r="E1073" s="130" t="str">
        <f>IF('Направление 5'!C185="","",'Направление 5'!C185)</f>
        <v/>
      </c>
      <c r="F1073" s="133"/>
      <c r="G1073" s="131"/>
      <c r="H1073" s="130" t="str">
        <f>IF('Направление 5'!D185="","",'Направление 5'!D185)</f>
        <v>х</v>
      </c>
      <c r="I1073" s="131"/>
      <c r="J1073" s="61" t="str">
        <f>IF('Направление 5'!E185=0,"",'Направление 5'!E185)</f>
        <v/>
      </c>
    </row>
    <row r="1074" spans="1:10" ht="150" customHeight="1" x14ac:dyDescent="0.3">
      <c r="A1074" s="35">
        <v>59</v>
      </c>
      <c r="B1074" s="144" t="str">
        <f>IF('Направление 5'!B186="","",'Направление 5'!B186)</f>
        <v/>
      </c>
      <c r="C1074" s="133"/>
      <c r="D1074" s="131"/>
      <c r="E1074" s="130" t="str">
        <f>IF('Направление 5'!C186="","",'Направление 5'!C186)</f>
        <v/>
      </c>
      <c r="F1074" s="133"/>
      <c r="G1074" s="131"/>
      <c r="H1074" s="130" t="str">
        <f>IF('Направление 5'!D186="","",'Направление 5'!D186)</f>
        <v>х</v>
      </c>
      <c r="I1074" s="131"/>
      <c r="J1074" s="61" t="str">
        <f>IF('Направление 5'!E186=0,"",'Направление 5'!E186)</f>
        <v/>
      </c>
    </row>
    <row r="1075" spans="1:10" ht="150" customHeight="1" x14ac:dyDescent="0.3">
      <c r="A1075" s="35">
        <v>60</v>
      </c>
      <c r="B1075" s="144" t="str">
        <f>IF('Направление 5'!B187="","",'Направление 5'!B187)</f>
        <v/>
      </c>
      <c r="C1075" s="133"/>
      <c r="D1075" s="131"/>
      <c r="E1075" s="130" t="str">
        <f>IF('Направление 5'!C187="","",'Направление 5'!C187)</f>
        <v/>
      </c>
      <c r="F1075" s="133"/>
      <c r="G1075" s="131"/>
      <c r="H1075" s="130" t="str">
        <f>IF('Направление 5'!D187="","",'Направление 5'!D187)</f>
        <v>х</v>
      </c>
      <c r="I1075" s="131"/>
      <c r="J1075" s="61" t="str">
        <f>IF('Направление 5'!E187=0,"",'Направление 5'!E187)</f>
        <v/>
      </c>
    </row>
    <row r="1076" spans="1:10" ht="150" customHeight="1" x14ac:dyDescent="0.3">
      <c r="A1076" s="35">
        <v>61</v>
      </c>
      <c r="B1076" s="144" t="str">
        <f>IF('Направление 5'!B188="","",'Направление 5'!B188)</f>
        <v/>
      </c>
      <c r="C1076" s="133"/>
      <c r="D1076" s="131"/>
      <c r="E1076" s="130" t="str">
        <f>IF('Направление 5'!C188="","",'Направление 5'!C188)</f>
        <v/>
      </c>
      <c r="F1076" s="133"/>
      <c r="G1076" s="131"/>
      <c r="H1076" s="130" t="str">
        <f>IF('Направление 5'!D188="","",'Направление 5'!D188)</f>
        <v>х</v>
      </c>
      <c r="I1076" s="131"/>
      <c r="J1076" s="61" t="str">
        <f>IF('Направление 5'!E188=0,"",'Направление 5'!E188)</f>
        <v/>
      </c>
    </row>
    <row r="1077" spans="1:10" ht="150" customHeight="1" x14ac:dyDescent="0.3">
      <c r="A1077" s="35">
        <v>62</v>
      </c>
      <c r="B1077" s="144" t="str">
        <f>IF('Направление 5'!B189="","",'Направление 5'!B189)</f>
        <v/>
      </c>
      <c r="C1077" s="133"/>
      <c r="D1077" s="131"/>
      <c r="E1077" s="130" t="str">
        <f>IF('Направление 5'!C189="","",'Направление 5'!C189)</f>
        <v/>
      </c>
      <c r="F1077" s="133"/>
      <c r="G1077" s="131"/>
      <c r="H1077" s="130" t="str">
        <f>IF('Направление 5'!D189="","",'Направление 5'!D189)</f>
        <v>х</v>
      </c>
      <c r="I1077" s="131"/>
      <c r="J1077" s="61" t="str">
        <f>IF('Направление 5'!E189=0,"",'Направление 5'!E189)</f>
        <v/>
      </c>
    </row>
    <row r="1078" spans="1:10" ht="150" customHeight="1" x14ac:dyDescent="0.3">
      <c r="A1078" s="35">
        <v>63</v>
      </c>
      <c r="B1078" s="144" t="str">
        <f>IF('Направление 5'!B190="","",'Направление 5'!B190)</f>
        <v/>
      </c>
      <c r="C1078" s="133"/>
      <c r="D1078" s="131"/>
      <c r="E1078" s="130" t="str">
        <f>IF('Направление 5'!C190="","",'Направление 5'!C190)</f>
        <v/>
      </c>
      <c r="F1078" s="133"/>
      <c r="G1078" s="131"/>
      <c r="H1078" s="130" t="str">
        <f>IF('Направление 5'!D190="","",'Направление 5'!D190)</f>
        <v>х</v>
      </c>
      <c r="I1078" s="131"/>
      <c r="J1078" s="61" t="str">
        <f>IF('Направление 5'!E190=0,"",'Направление 5'!E190)</f>
        <v/>
      </c>
    </row>
    <row r="1079" spans="1:10" ht="150" customHeight="1" x14ac:dyDescent="0.3">
      <c r="A1079" s="35">
        <v>64</v>
      </c>
      <c r="B1079" s="144" t="str">
        <f>IF('Направление 5'!B191="","",'Направление 5'!B191)</f>
        <v/>
      </c>
      <c r="C1079" s="133"/>
      <c r="D1079" s="131"/>
      <c r="E1079" s="130" t="str">
        <f>IF('Направление 5'!C191="","",'Направление 5'!C191)</f>
        <v/>
      </c>
      <c r="F1079" s="133"/>
      <c r="G1079" s="131"/>
      <c r="H1079" s="130" t="str">
        <f>IF('Направление 5'!D191="","",'Направление 5'!D191)</f>
        <v>х</v>
      </c>
      <c r="I1079" s="131"/>
      <c r="J1079" s="61" t="str">
        <f>IF('Направление 5'!E191=0,"",'Направление 5'!E191)</f>
        <v/>
      </c>
    </row>
    <row r="1080" spans="1:10" ht="150" customHeight="1" x14ac:dyDescent="0.3">
      <c r="A1080" s="35">
        <v>65</v>
      </c>
      <c r="B1080" s="144" t="str">
        <f>IF('Направление 5'!B192="","",'Направление 5'!B192)</f>
        <v/>
      </c>
      <c r="C1080" s="133"/>
      <c r="D1080" s="131"/>
      <c r="E1080" s="130" t="str">
        <f>IF('Направление 5'!C192="","",'Направление 5'!C192)</f>
        <v/>
      </c>
      <c r="F1080" s="133"/>
      <c r="G1080" s="131"/>
      <c r="H1080" s="130" t="str">
        <f>IF('Направление 5'!D192="","",'Направление 5'!D192)</f>
        <v>х</v>
      </c>
      <c r="I1080" s="131"/>
      <c r="J1080" s="61" t="str">
        <f>IF('Направление 5'!E192=0,"",'Направление 5'!E192)</f>
        <v/>
      </c>
    </row>
    <row r="1081" spans="1:10" ht="150" customHeight="1" x14ac:dyDescent="0.3">
      <c r="A1081" s="35">
        <v>66</v>
      </c>
      <c r="B1081" s="144" t="str">
        <f>IF('Направление 5'!B193="","",'Направление 5'!B193)</f>
        <v/>
      </c>
      <c r="C1081" s="133"/>
      <c r="D1081" s="131"/>
      <c r="E1081" s="130" t="str">
        <f>IF('Направление 5'!C193="","",'Направление 5'!C193)</f>
        <v/>
      </c>
      <c r="F1081" s="133"/>
      <c r="G1081" s="131"/>
      <c r="H1081" s="130" t="str">
        <f>IF('Направление 5'!D193="","",'Направление 5'!D193)</f>
        <v>х</v>
      </c>
      <c r="I1081" s="131"/>
      <c r="J1081" s="61" t="str">
        <f>IF('Направление 5'!E193=0,"",'Направление 5'!E193)</f>
        <v/>
      </c>
    </row>
    <row r="1082" spans="1:10" ht="150" customHeight="1" x14ac:dyDescent="0.3">
      <c r="A1082" s="35">
        <v>67</v>
      </c>
      <c r="B1082" s="144" t="str">
        <f>IF('Направление 5'!B194="","",'Направление 5'!B194)</f>
        <v/>
      </c>
      <c r="C1082" s="133"/>
      <c r="D1082" s="131"/>
      <c r="E1082" s="130" t="str">
        <f>IF('Направление 5'!C194="","",'Направление 5'!C194)</f>
        <v/>
      </c>
      <c r="F1082" s="133"/>
      <c r="G1082" s="131"/>
      <c r="H1082" s="130" t="str">
        <f>IF('Направление 5'!D194="","",'Направление 5'!D194)</f>
        <v>х</v>
      </c>
      <c r="I1082" s="131"/>
      <c r="J1082" s="61" t="str">
        <f>IF('Направление 5'!E194=0,"",'Направление 5'!E194)</f>
        <v/>
      </c>
    </row>
    <row r="1083" spans="1:10" ht="150" customHeight="1" x14ac:dyDescent="0.3">
      <c r="A1083" s="35">
        <v>68</v>
      </c>
      <c r="B1083" s="144" t="str">
        <f>IF('Направление 5'!B195="","",'Направление 5'!B195)</f>
        <v/>
      </c>
      <c r="C1083" s="133"/>
      <c r="D1083" s="131"/>
      <c r="E1083" s="130" t="str">
        <f>IF('Направление 5'!C195="","",'Направление 5'!C195)</f>
        <v/>
      </c>
      <c r="F1083" s="133"/>
      <c r="G1083" s="131"/>
      <c r="H1083" s="130" t="str">
        <f>IF('Направление 5'!D195="","",'Направление 5'!D195)</f>
        <v>х</v>
      </c>
      <c r="I1083" s="131"/>
      <c r="J1083" s="61" t="str">
        <f>IF('Направление 5'!E195=0,"",'Направление 5'!E195)</f>
        <v/>
      </c>
    </row>
    <row r="1084" spans="1:10" ht="150" customHeight="1" x14ac:dyDescent="0.3">
      <c r="A1084" s="35">
        <v>69</v>
      </c>
      <c r="B1084" s="144" t="str">
        <f>IF('Направление 5'!B196="","",'Направление 5'!B196)</f>
        <v/>
      </c>
      <c r="C1084" s="133"/>
      <c r="D1084" s="131"/>
      <c r="E1084" s="130" t="str">
        <f>IF('Направление 5'!C196="","",'Направление 5'!C196)</f>
        <v/>
      </c>
      <c r="F1084" s="133"/>
      <c r="G1084" s="131"/>
      <c r="H1084" s="130" t="str">
        <f>IF('Направление 5'!D196="","",'Направление 5'!D196)</f>
        <v>х</v>
      </c>
      <c r="I1084" s="131"/>
      <c r="J1084" s="61" t="str">
        <f>IF('Направление 5'!E196=0,"",'Направление 5'!E196)</f>
        <v/>
      </c>
    </row>
    <row r="1085" spans="1:10" ht="150" customHeight="1" x14ac:dyDescent="0.3">
      <c r="A1085" s="35">
        <v>70</v>
      </c>
      <c r="B1085" s="144" t="str">
        <f>IF('Направление 5'!B197="","",'Направление 5'!B197)</f>
        <v/>
      </c>
      <c r="C1085" s="133"/>
      <c r="D1085" s="131"/>
      <c r="E1085" s="130" t="str">
        <f>IF('Направление 5'!C197="","",'Направление 5'!C197)</f>
        <v/>
      </c>
      <c r="F1085" s="133"/>
      <c r="G1085" s="131"/>
      <c r="H1085" s="130" t="str">
        <f>IF('Направление 5'!D197="","",'Направление 5'!D197)</f>
        <v>х</v>
      </c>
      <c r="I1085" s="131"/>
      <c r="J1085" s="61" t="str">
        <f>IF('Направление 5'!E197=0,"",'Направление 5'!E197)</f>
        <v/>
      </c>
    </row>
    <row r="1086" spans="1:10" ht="150" customHeight="1" x14ac:dyDescent="0.3">
      <c r="A1086" s="35">
        <v>71</v>
      </c>
      <c r="B1086" s="144" t="str">
        <f>IF('Направление 5'!B198="","",'Направление 5'!B198)</f>
        <v/>
      </c>
      <c r="C1086" s="133"/>
      <c r="D1086" s="131"/>
      <c r="E1086" s="130" t="str">
        <f>IF('Направление 5'!C198="","",'Направление 5'!C198)</f>
        <v/>
      </c>
      <c r="F1086" s="133"/>
      <c r="G1086" s="131"/>
      <c r="H1086" s="130" t="str">
        <f>IF('Направление 5'!D198="","",'Направление 5'!D198)</f>
        <v>х</v>
      </c>
      <c r="I1086" s="131"/>
      <c r="J1086" s="61" t="str">
        <f>IF('Направление 5'!E198=0,"",'Направление 5'!E198)</f>
        <v/>
      </c>
    </row>
    <row r="1087" spans="1:10" ht="150" customHeight="1" x14ac:dyDescent="0.3">
      <c r="A1087" s="35">
        <v>72</v>
      </c>
      <c r="B1087" s="144" t="str">
        <f>IF('Направление 5'!B199="","",'Направление 5'!B199)</f>
        <v/>
      </c>
      <c r="C1087" s="133"/>
      <c r="D1087" s="131"/>
      <c r="E1087" s="130" t="str">
        <f>IF('Направление 5'!C199="","",'Направление 5'!C199)</f>
        <v/>
      </c>
      <c r="F1087" s="133"/>
      <c r="G1087" s="131"/>
      <c r="H1087" s="130" t="str">
        <f>IF('Направление 5'!D199="","",'Направление 5'!D199)</f>
        <v>х</v>
      </c>
      <c r="I1087" s="131"/>
      <c r="J1087" s="61" t="str">
        <f>IF('Направление 5'!E199=0,"",'Направление 5'!E199)</f>
        <v/>
      </c>
    </row>
    <row r="1088" spans="1:10" ht="150" customHeight="1" x14ac:dyDescent="0.3">
      <c r="A1088" s="35">
        <v>73</v>
      </c>
      <c r="B1088" s="144" t="str">
        <f>IF('Направление 5'!B200="","",'Направление 5'!B200)</f>
        <v/>
      </c>
      <c r="C1088" s="133"/>
      <c r="D1088" s="131"/>
      <c r="E1088" s="130" t="str">
        <f>IF('Направление 5'!C200="","",'Направление 5'!C200)</f>
        <v/>
      </c>
      <c r="F1088" s="133"/>
      <c r="G1088" s="131"/>
      <c r="H1088" s="130" t="str">
        <f>IF('Направление 5'!D200="","",'Направление 5'!D200)</f>
        <v>х</v>
      </c>
      <c r="I1088" s="131"/>
      <c r="J1088" s="61" t="str">
        <f>IF('Направление 5'!E200=0,"",'Направление 5'!E200)</f>
        <v/>
      </c>
    </row>
    <row r="1089" spans="1:10" ht="150" customHeight="1" x14ac:dyDescent="0.3">
      <c r="A1089" s="35">
        <v>74</v>
      </c>
      <c r="B1089" s="144" t="str">
        <f>IF('Направление 5'!B201="","",'Направление 5'!B201)</f>
        <v/>
      </c>
      <c r="C1089" s="133"/>
      <c r="D1089" s="131"/>
      <c r="E1089" s="130" t="str">
        <f>IF('Направление 5'!C201="","",'Направление 5'!C201)</f>
        <v/>
      </c>
      <c r="F1089" s="133"/>
      <c r="G1089" s="131"/>
      <c r="H1089" s="130" t="str">
        <f>IF('Направление 5'!D201="","",'Направление 5'!D201)</f>
        <v>х</v>
      </c>
      <c r="I1089" s="131"/>
      <c r="J1089" s="61" t="str">
        <f>IF('Направление 5'!E201=0,"",'Направление 5'!E201)</f>
        <v/>
      </c>
    </row>
    <row r="1090" spans="1:10" ht="150" customHeight="1" x14ac:dyDescent="0.3">
      <c r="A1090" s="35">
        <v>75</v>
      </c>
      <c r="B1090" s="144" t="str">
        <f>IF('Направление 5'!B202="","",'Направление 5'!B202)</f>
        <v/>
      </c>
      <c r="C1090" s="133"/>
      <c r="D1090" s="131"/>
      <c r="E1090" s="130" t="str">
        <f>IF('Направление 5'!C202="","",'Направление 5'!C202)</f>
        <v/>
      </c>
      <c r="F1090" s="133"/>
      <c r="G1090" s="131"/>
      <c r="H1090" s="130" t="str">
        <f>IF('Направление 5'!D202="","",'Направление 5'!D202)</f>
        <v>х</v>
      </c>
      <c r="I1090" s="131"/>
      <c r="J1090" s="61" t="str">
        <f>IF('Направление 5'!E202=0,"",'Направление 5'!E202)</f>
        <v/>
      </c>
    </row>
    <row r="1091" spans="1:10" ht="150" customHeight="1" x14ac:dyDescent="0.3">
      <c r="A1091" s="35">
        <v>76</v>
      </c>
      <c r="B1091" s="144" t="str">
        <f>IF('Направление 5'!B203="","",'Направление 5'!B203)</f>
        <v/>
      </c>
      <c r="C1091" s="133"/>
      <c r="D1091" s="131"/>
      <c r="E1091" s="130" t="str">
        <f>IF('Направление 5'!C203="","",'Направление 5'!C203)</f>
        <v/>
      </c>
      <c r="F1091" s="133"/>
      <c r="G1091" s="131"/>
      <c r="H1091" s="130" t="str">
        <f>IF('Направление 5'!D203="","",'Направление 5'!D203)</f>
        <v>х</v>
      </c>
      <c r="I1091" s="131"/>
      <c r="J1091" s="61" t="str">
        <f>IF('Направление 5'!E203=0,"",'Направление 5'!E203)</f>
        <v/>
      </c>
    </row>
    <row r="1092" spans="1:10" ht="150" customHeight="1" x14ac:dyDescent="0.3">
      <c r="A1092" s="35">
        <v>77</v>
      </c>
      <c r="B1092" s="144" t="str">
        <f>IF('Направление 5'!B204="","",'Направление 5'!B204)</f>
        <v/>
      </c>
      <c r="C1092" s="133"/>
      <c r="D1092" s="131"/>
      <c r="E1092" s="130" t="str">
        <f>IF('Направление 5'!C204="","",'Направление 5'!C204)</f>
        <v/>
      </c>
      <c r="F1092" s="133"/>
      <c r="G1092" s="131"/>
      <c r="H1092" s="130" t="str">
        <f>IF('Направление 5'!D204="","",'Направление 5'!D204)</f>
        <v>х</v>
      </c>
      <c r="I1092" s="131"/>
      <c r="J1092" s="61" t="str">
        <f>IF('Направление 5'!E204=0,"",'Направление 5'!E204)</f>
        <v/>
      </c>
    </row>
    <row r="1093" spans="1:10" ht="150" customHeight="1" x14ac:dyDescent="0.3">
      <c r="A1093" s="35">
        <v>78</v>
      </c>
      <c r="B1093" s="144" t="str">
        <f>IF('Направление 5'!B205="","",'Направление 5'!B205)</f>
        <v/>
      </c>
      <c r="C1093" s="133"/>
      <c r="D1093" s="131"/>
      <c r="E1093" s="130" t="str">
        <f>IF('Направление 5'!C205="","",'Направление 5'!C205)</f>
        <v/>
      </c>
      <c r="F1093" s="133"/>
      <c r="G1093" s="131"/>
      <c r="H1093" s="130" t="str">
        <f>IF('Направление 5'!D205="","",'Направление 5'!D205)</f>
        <v>х</v>
      </c>
      <c r="I1093" s="131"/>
      <c r="J1093" s="61" t="str">
        <f>IF('Направление 5'!E205=0,"",'Направление 5'!E205)</f>
        <v/>
      </c>
    </row>
    <row r="1094" spans="1:10" ht="150" customHeight="1" x14ac:dyDescent="0.3">
      <c r="A1094" s="35">
        <v>79</v>
      </c>
      <c r="B1094" s="144" t="str">
        <f>IF('Направление 5'!B206="","",'Направление 5'!B206)</f>
        <v/>
      </c>
      <c r="C1094" s="133"/>
      <c r="D1094" s="131"/>
      <c r="E1094" s="130" t="str">
        <f>IF('Направление 5'!C206="","",'Направление 5'!C206)</f>
        <v/>
      </c>
      <c r="F1094" s="133"/>
      <c r="G1094" s="131"/>
      <c r="H1094" s="130" t="str">
        <f>IF('Направление 5'!D206="","",'Направление 5'!D206)</f>
        <v>х</v>
      </c>
      <c r="I1094" s="131"/>
      <c r="J1094" s="61" t="str">
        <f>IF('Направление 5'!E206=0,"",'Направление 5'!E206)</f>
        <v/>
      </c>
    </row>
    <row r="1095" spans="1:10" ht="150" customHeight="1" thickBot="1" x14ac:dyDescent="0.35">
      <c r="A1095" s="35">
        <v>80</v>
      </c>
      <c r="B1095" s="144" t="str">
        <f>IF('Направление 5'!B207="","",'Направление 5'!B207)</f>
        <v/>
      </c>
      <c r="C1095" s="133"/>
      <c r="D1095" s="131"/>
      <c r="E1095" s="130" t="str">
        <f>IF('Направление 5'!C207="","",'Направление 5'!C207)</f>
        <v/>
      </c>
      <c r="F1095" s="133"/>
      <c r="G1095" s="131"/>
      <c r="H1095" s="130" t="str">
        <f>IF('Направление 5'!D207="","",'Направление 5'!D207)</f>
        <v>х</v>
      </c>
      <c r="I1095" s="131"/>
      <c r="J1095" s="61" t="str">
        <f>IF('Направление 5'!E207=0,"",'Направление 5'!E207)</f>
        <v/>
      </c>
    </row>
    <row r="1096" spans="1:10" ht="16.5" customHeight="1" thickBot="1" x14ac:dyDescent="0.35">
      <c r="A1096" s="20">
        <v>7.6</v>
      </c>
      <c r="B1096" s="258" t="s">
        <v>67</v>
      </c>
      <c r="C1096" s="153"/>
      <c r="D1096" s="153"/>
      <c r="E1096" s="153"/>
      <c r="F1096" s="153"/>
      <c r="G1096" s="153"/>
      <c r="H1096" s="153"/>
      <c r="I1096" s="153"/>
      <c r="J1096" s="154"/>
    </row>
    <row r="1097" spans="1:10" x14ac:dyDescent="0.3">
      <c r="A1097" s="26"/>
      <c r="B1097" s="137" t="s">
        <v>52</v>
      </c>
      <c r="C1097" s="138"/>
      <c r="D1097" s="138"/>
      <c r="E1097" s="138"/>
      <c r="F1097" s="138"/>
      <c r="G1097" s="138"/>
      <c r="H1097" s="138"/>
      <c r="I1097" s="138"/>
      <c r="J1097" s="139"/>
    </row>
    <row r="1098" spans="1:10" ht="36" customHeight="1" thickBot="1" x14ac:dyDescent="0.35">
      <c r="A1098" s="26"/>
      <c r="B1098" s="141" t="s">
        <v>53</v>
      </c>
      <c r="C1098" s="133"/>
      <c r="D1098" s="131"/>
      <c r="E1098" s="140" t="s">
        <v>54</v>
      </c>
      <c r="F1098" s="133"/>
      <c r="G1098" s="131"/>
      <c r="H1098" s="140" t="s">
        <v>55</v>
      </c>
      <c r="I1098" s="131"/>
      <c r="J1098" s="50" t="s">
        <v>56</v>
      </c>
    </row>
    <row r="1099" spans="1:10" ht="150" customHeight="1" x14ac:dyDescent="0.3">
      <c r="A1099" s="22">
        <v>1</v>
      </c>
      <c r="B1099" s="132" t="str">
        <f>IF(ВОСКС!B4="","",ВОСКС!B4)</f>
        <v>Интерактивен дисплей с широкоъгълна камера и микрофон</v>
      </c>
      <c r="C1099" s="133"/>
      <c r="D1099" s="131"/>
      <c r="E1099" s="130" t="str">
        <f>IF(ВОСКС!C4="","",ВОСКС!C4)</f>
        <v>65-инчов 4K интерактивен плосък панел с камера и микрофон,  с OPS/OPS-C устройства, реализирайки плавно превключване между вградените системи.</v>
      </c>
      <c r="F1099" s="133"/>
      <c r="G1099" s="131"/>
      <c r="H1099" s="130" t="str">
        <f>IF(ВОСКС!D4="","",ВОСКС!D4)</f>
        <v>интерактивен дисплей с вграден компютърен OPS модул и вградена точка за достъп с интегрирана широкоъгълна камера и микрофон</v>
      </c>
      <c r="I1099" s="131"/>
      <c r="J1099" s="61">
        <f>IF(ВОСКС!E4=0,"",ВОСКС!E4)</f>
        <v>6</v>
      </c>
    </row>
    <row r="1100" spans="1:10" ht="150" customHeight="1" x14ac:dyDescent="0.3">
      <c r="A1100" s="23">
        <v>2</v>
      </c>
      <c r="B1100" s="132" t="str">
        <f>IF(ВОСКС!B5="","",ВОСКС!B5)</f>
        <v>преносим компютър</v>
      </c>
      <c r="C1100" s="133"/>
      <c r="D1100" s="131"/>
      <c r="E1100" s="130" t="str">
        <f>IF(ВОСКС!C5="","",ВОСКС!C5)</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1100" s="133"/>
      <c r="G1100" s="131"/>
      <c r="H1100" s="130" t="str">
        <f>IF(ВОСКС!D5="","",ВОСКС!D5)</f>
        <v>преносим компютър</v>
      </c>
      <c r="I1100" s="131"/>
      <c r="J1100" s="61">
        <f>IF(ВОСКС!E5=0,"",ВОСКС!E5)</f>
        <v>6</v>
      </c>
    </row>
    <row r="1101" spans="1:10" ht="150" customHeight="1" x14ac:dyDescent="0.3">
      <c r="A1101" s="23">
        <v>3</v>
      </c>
      <c r="B1101" s="132" t="str">
        <f>IF(ВОСКС!B6="","",ВОСКС!B6)</f>
        <v/>
      </c>
      <c r="C1101" s="133"/>
      <c r="D1101" s="131"/>
      <c r="E1101" s="130" t="str">
        <f>IF(ВОСКС!C6="","",ВОСКС!C6)</f>
        <v/>
      </c>
      <c r="F1101" s="133"/>
      <c r="G1101" s="131"/>
      <c r="H1101" s="130" t="str">
        <f>IF(ВОСКС!D6="","",ВОСКС!D6)</f>
        <v/>
      </c>
      <c r="I1101" s="131"/>
      <c r="J1101" s="61" t="str">
        <f>IF(ВОСКС!E6=0,"",ВОСКС!E6)</f>
        <v/>
      </c>
    </row>
    <row r="1102" spans="1:10" ht="150" customHeight="1" x14ac:dyDescent="0.3">
      <c r="A1102" s="23">
        <v>4</v>
      </c>
      <c r="B1102" s="132" t="str">
        <f>IF(ВОСКС!B7="","",ВОСКС!B7)</f>
        <v/>
      </c>
      <c r="C1102" s="133"/>
      <c r="D1102" s="131"/>
      <c r="E1102" s="130" t="str">
        <f>IF(ВОСКС!C7="","",ВОСКС!C7)</f>
        <v/>
      </c>
      <c r="F1102" s="133"/>
      <c r="G1102" s="131"/>
      <c r="H1102" s="130" t="str">
        <f>IF(ВОСКС!D7="","",ВОСКС!D7)</f>
        <v/>
      </c>
      <c r="I1102" s="131"/>
      <c r="J1102" s="61" t="str">
        <f>IF(ВОСКС!E7=0,"",ВОСКС!E7)</f>
        <v/>
      </c>
    </row>
    <row r="1103" spans="1:10" ht="150" customHeight="1" x14ac:dyDescent="0.3">
      <c r="A1103" s="23">
        <v>5</v>
      </c>
      <c r="B1103" s="132" t="str">
        <f>IF(ВОСКС!B8="","",ВОСКС!B8)</f>
        <v/>
      </c>
      <c r="C1103" s="133"/>
      <c r="D1103" s="131"/>
      <c r="E1103" s="130" t="str">
        <f>IF(ВОСКС!C8="","",ВОСКС!C8)</f>
        <v/>
      </c>
      <c r="F1103" s="133"/>
      <c r="G1103" s="131"/>
      <c r="H1103" s="130" t="str">
        <f>IF(ВОСКС!D8="","",ВОСКС!D8)</f>
        <v/>
      </c>
      <c r="I1103" s="131"/>
      <c r="J1103" s="61" t="str">
        <f>IF(ВОСКС!E8=0,"",ВОСКС!E8)</f>
        <v/>
      </c>
    </row>
    <row r="1104" spans="1:10" ht="150" customHeight="1" x14ac:dyDescent="0.3">
      <c r="A1104" s="23">
        <v>6</v>
      </c>
      <c r="B1104" s="132" t="str">
        <f>IF(ВОСКС!B9="","",ВОСКС!B9)</f>
        <v/>
      </c>
      <c r="C1104" s="133"/>
      <c r="D1104" s="131"/>
      <c r="E1104" s="130" t="str">
        <f>IF(ВОСКС!C9="","",ВОСКС!C9)</f>
        <v/>
      </c>
      <c r="F1104" s="133"/>
      <c r="G1104" s="131"/>
      <c r="H1104" s="130" t="str">
        <f>IF(ВОСКС!D9="","",ВОСКС!D9)</f>
        <v/>
      </c>
      <c r="I1104" s="131"/>
      <c r="J1104" s="61" t="str">
        <f>IF(ВОСКС!E9=0,"",ВОСКС!E9)</f>
        <v/>
      </c>
    </row>
    <row r="1105" spans="1:10" ht="150" customHeight="1" x14ac:dyDescent="0.3">
      <c r="A1105" s="23">
        <v>7</v>
      </c>
      <c r="B1105" s="132" t="str">
        <f>IF(ВОСКС!B10="","",ВОСКС!B10)</f>
        <v/>
      </c>
      <c r="C1105" s="133"/>
      <c r="D1105" s="131"/>
      <c r="E1105" s="130" t="str">
        <f>IF(ВОСКС!C10="","",ВОСКС!C10)</f>
        <v/>
      </c>
      <c r="F1105" s="133"/>
      <c r="G1105" s="131"/>
      <c r="H1105" s="130" t="str">
        <f>IF(ВОСКС!D10="","",ВОСКС!D10)</f>
        <v/>
      </c>
      <c r="I1105" s="131"/>
      <c r="J1105" s="61" t="str">
        <f>IF(ВОСКС!E10=0,"",ВОСКС!E10)</f>
        <v/>
      </c>
    </row>
    <row r="1106" spans="1:10" ht="150" customHeight="1" x14ac:dyDescent="0.3">
      <c r="A1106" s="23">
        <v>8</v>
      </c>
      <c r="B1106" s="132" t="str">
        <f>IF(ВОСКС!B11="","",ВОСКС!B11)</f>
        <v/>
      </c>
      <c r="C1106" s="133"/>
      <c r="D1106" s="131"/>
      <c r="E1106" s="130" t="str">
        <f>IF(ВОСКС!C11="","",ВОСКС!C11)</f>
        <v/>
      </c>
      <c r="F1106" s="133"/>
      <c r="G1106" s="131"/>
      <c r="H1106" s="130" t="str">
        <f>IF(ВОСКС!D11="","",ВОСКС!D11)</f>
        <v/>
      </c>
      <c r="I1106" s="131"/>
      <c r="J1106" s="61" t="str">
        <f>IF(ВОСКС!E11=0,"",ВОСКС!E11)</f>
        <v/>
      </c>
    </row>
    <row r="1107" spans="1:10" ht="150" customHeight="1" x14ac:dyDescent="0.3">
      <c r="A1107" s="23">
        <v>9</v>
      </c>
      <c r="B1107" s="132" t="str">
        <f>IF(ВОСКС!B12="","",ВОСКС!B12)</f>
        <v/>
      </c>
      <c r="C1107" s="133"/>
      <c r="D1107" s="131"/>
      <c r="E1107" s="130" t="str">
        <f>IF(ВОСКС!C12="","",ВОСКС!C12)</f>
        <v/>
      </c>
      <c r="F1107" s="133"/>
      <c r="G1107" s="131"/>
      <c r="H1107" s="130" t="str">
        <f>IF(ВОСКС!D12="","",ВОСКС!D12)</f>
        <v/>
      </c>
      <c r="I1107" s="131"/>
      <c r="J1107" s="61" t="str">
        <f>IF(ВОСКС!E12=0,"",ВОСКС!E12)</f>
        <v/>
      </c>
    </row>
    <row r="1108" spans="1:10" ht="150" customHeight="1" x14ac:dyDescent="0.3">
      <c r="A1108" s="23">
        <v>10</v>
      </c>
      <c r="B1108" s="132" t="str">
        <f>IF(ВОСКС!B13="","",ВОСКС!B13)</f>
        <v/>
      </c>
      <c r="C1108" s="133"/>
      <c r="D1108" s="131"/>
      <c r="E1108" s="130" t="str">
        <f>IF(ВОСКС!C13="","",ВОСКС!C13)</f>
        <v/>
      </c>
      <c r="F1108" s="133"/>
      <c r="G1108" s="131"/>
      <c r="H1108" s="130" t="str">
        <f>IF(ВОСКС!D13="","",ВОСКС!D13)</f>
        <v/>
      </c>
      <c r="I1108" s="131"/>
      <c r="J1108" s="61" t="str">
        <f>IF(ВОСКС!E13=0,"",ВОСКС!E13)</f>
        <v/>
      </c>
    </row>
    <row r="1109" spans="1:10" ht="150" customHeight="1" x14ac:dyDescent="0.3">
      <c r="A1109" s="23">
        <v>11</v>
      </c>
      <c r="B1109" s="132" t="str">
        <f>IF(ВОСКС!B14="","",ВОСКС!B14)</f>
        <v/>
      </c>
      <c r="C1109" s="133"/>
      <c r="D1109" s="131"/>
      <c r="E1109" s="130" t="str">
        <f>IF(ВОСКС!C14="","",ВОСКС!C14)</f>
        <v/>
      </c>
      <c r="F1109" s="133"/>
      <c r="G1109" s="131"/>
      <c r="H1109" s="130" t="str">
        <f>IF(ВОСКС!D14="","",ВОСКС!D14)</f>
        <v/>
      </c>
      <c r="I1109" s="131"/>
      <c r="J1109" s="61" t="str">
        <f>IF(ВОСКС!E14=0,"",ВОСКС!E14)</f>
        <v/>
      </c>
    </row>
    <row r="1110" spans="1:10" ht="150" customHeight="1" x14ac:dyDescent="0.3">
      <c r="A1110" s="23">
        <v>12</v>
      </c>
      <c r="B1110" s="132" t="str">
        <f>IF(ВОСКС!B15="","",ВОСКС!B15)</f>
        <v/>
      </c>
      <c r="C1110" s="133"/>
      <c r="D1110" s="131"/>
      <c r="E1110" s="130" t="str">
        <f>IF(ВОСКС!C15="","",ВОСКС!C15)</f>
        <v/>
      </c>
      <c r="F1110" s="133"/>
      <c r="G1110" s="131"/>
      <c r="H1110" s="130" t="str">
        <f>IF(ВОСКС!D15="","",ВОСКС!D15)</f>
        <v/>
      </c>
      <c r="I1110" s="131"/>
      <c r="J1110" s="61" t="str">
        <f>IF(ВОСКС!E15=0,"",ВОСКС!E15)</f>
        <v/>
      </c>
    </row>
    <row r="1111" spans="1:10" ht="150" customHeight="1" x14ac:dyDescent="0.3">
      <c r="A1111" s="23">
        <v>13</v>
      </c>
      <c r="B1111" s="132" t="str">
        <f>IF(ВОСКС!B16="","",ВОСКС!B16)</f>
        <v/>
      </c>
      <c r="C1111" s="133"/>
      <c r="D1111" s="131"/>
      <c r="E1111" s="130" t="str">
        <f>IF(ВОСКС!C16="","",ВОСКС!C16)</f>
        <v/>
      </c>
      <c r="F1111" s="133"/>
      <c r="G1111" s="131"/>
      <c r="H1111" s="130" t="str">
        <f>IF(ВОСКС!D16="","",ВОСКС!D16)</f>
        <v/>
      </c>
      <c r="I1111" s="131"/>
      <c r="J1111" s="61" t="str">
        <f>IF(ВОСКС!E16=0,"",ВОСКС!E16)</f>
        <v/>
      </c>
    </row>
    <row r="1112" spans="1:10" ht="150" customHeight="1" x14ac:dyDescent="0.3">
      <c r="A1112" s="23">
        <v>14</v>
      </c>
      <c r="B1112" s="132" t="str">
        <f>IF(ВОСКС!B17="","",ВОСКС!B17)</f>
        <v/>
      </c>
      <c r="C1112" s="133"/>
      <c r="D1112" s="131"/>
      <c r="E1112" s="130" t="str">
        <f>IF(ВОСКС!C17="","",ВОСКС!C17)</f>
        <v/>
      </c>
      <c r="F1112" s="133"/>
      <c r="G1112" s="131"/>
      <c r="H1112" s="130" t="str">
        <f>IF(ВОСКС!D17="","",ВОСКС!D17)</f>
        <v/>
      </c>
      <c r="I1112" s="131"/>
      <c r="J1112" s="61" t="str">
        <f>IF(ВОСКС!E17=0,"",ВОСКС!E17)</f>
        <v/>
      </c>
    </row>
    <row r="1113" spans="1:10" ht="150" customHeight="1" x14ac:dyDescent="0.3">
      <c r="A1113" s="23">
        <v>15</v>
      </c>
      <c r="B1113" s="132" t="str">
        <f>IF(ВОСКС!B18="","",ВОСКС!B18)</f>
        <v/>
      </c>
      <c r="C1113" s="133"/>
      <c r="D1113" s="131"/>
      <c r="E1113" s="130" t="str">
        <f>IF(ВОСКС!C18="","",ВОСКС!C18)</f>
        <v/>
      </c>
      <c r="F1113" s="133"/>
      <c r="G1113" s="131"/>
      <c r="H1113" s="130" t="str">
        <f>IF(ВОСКС!D18="","",ВОСКС!D18)</f>
        <v/>
      </c>
      <c r="I1113" s="131"/>
      <c r="J1113" s="61" t="str">
        <f>IF(ВОСКС!E18=0,"",ВОСКС!E18)</f>
        <v/>
      </c>
    </row>
    <row r="1114" spans="1:10" ht="150" customHeight="1" x14ac:dyDescent="0.3">
      <c r="A1114" s="23">
        <v>16</v>
      </c>
      <c r="B1114" s="132" t="str">
        <f>IF(ВОСКС!B19="","",ВОСКС!B19)</f>
        <v/>
      </c>
      <c r="C1114" s="133"/>
      <c r="D1114" s="131"/>
      <c r="E1114" s="130" t="str">
        <f>IF(ВОСКС!C19="","",ВОСКС!C19)</f>
        <v/>
      </c>
      <c r="F1114" s="133"/>
      <c r="G1114" s="131"/>
      <c r="H1114" s="130" t="str">
        <f>IF(ВОСКС!D19="","",ВОСКС!D19)</f>
        <v/>
      </c>
      <c r="I1114" s="131"/>
      <c r="J1114" s="61" t="str">
        <f>IF(ВОСКС!E19=0,"",ВОСКС!E19)</f>
        <v/>
      </c>
    </row>
    <row r="1115" spans="1:10" ht="150" customHeight="1" x14ac:dyDescent="0.3">
      <c r="A1115" s="23">
        <v>17</v>
      </c>
      <c r="B1115" s="132" t="str">
        <f>IF(ВОСКС!B20="","",ВОСКС!B20)</f>
        <v/>
      </c>
      <c r="C1115" s="133"/>
      <c r="D1115" s="131"/>
      <c r="E1115" s="130" t="str">
        <f>IF(ВОСКС!C20="","",ВОСКС!C20)</f>
        <v/>
      </c>
      <c r="F1115" s="133"/>
      <c r="G1115" s="131"/>
      <c r="H1115" s="130" t="str">
        <f>IF(ВОСКС!D20="","",ВОСКС!D20)</f>
        <v/>
      </c>
      <c r="I1115" s="131"/>
      <c r="J1115" s="61" t="str">
        <f>IF(ВОСКС!E20=0,"",ВОСКС!E20)</f>
        <v/>
      </c>
    </row>
    <row r="1116" spans="1:10" ht="150" customHeight="1" x14ac:dyDescent="0.3">
      <c r="A1116" s="23">
        <v>18</v>
      </c>
      <c r="B1116" s="132" t="str">
        <f>IF(ВОСКС!B21="","",ВОСКС!B21)</f>
        <v/>
      </c>
      <c r="C1116" s="133"/>
      <c r="D1116" s="131"/>
      <c r="E1116" s="130" t="str">
        <f>IF(ВОСКС!C21="","",ВОСКС!C21)</f>
        <v/>
      </c>
      <c r="F1116" s="133"/>
      <c r="G1116" s="131"/>
      <c r="H1116" s="130" t="str">
        <f>IF(ВОСКС!D21="","",ВОСКС!D21)</f>
        <v/>
      </c>
      <c r="I1116" s="131"/>
      <c r="J1116" s="61" t="str">
        <f>IF(ВОСКС!E21=0,"",ВОСКС!E21)</f>
        <v/>
      </c>
    </row>
    <row r="1117" spans="1:10" ht="150" customHeight="1" x14ac:dyDescent="0.3">
      <c r="A1117" s="23">
        <v>19</v>
      </c>
      <c r="B1117" s="132" t="str">
        <f>IF(ВОСКС!B22="","",ВОСКС!B22)</f>
        <v/>
      </c>
      <c r="C1117" s="133"/>
      <c r="D1117" s="131"/>
      <c r="E1117" s="130" t="str">
        <f>IF(ВОСКС!C22="","",ВОСКС!C22)</f>
        <v/>
      </c>
      <c r="F1117" s="133"/>
      <c r="G1117" s="131"/>
      <c r="H1117" s="130" t="str">
        <f>IF(ВОСКС!D22="","",ВОСКС!D22)</f>
        <v/>
      </c>
      <c r="I1117" s="131"/>
      <c r="J1117" s="61" t="str">
        <f>IF(ВОСКС!E22=0,"",ВОСКС!E22)</f>
        <v/>
      </c>
    </row>
    <row r="1118" spans="1:10" ht="150" customHeight="1" thickBot="1" x14ac:dyDescent="0.35">
      <c r="A1118" s="24">
        <v>20</v>
      </c>
      <c r="B1118" s="132" t="str">
        <f>IF(ВОСКС!B23="","",ВОСКС!B23)</f>
        <v/>
      </c>
      <c r="C1118" s="133"/>
      <c r="D1118" s="131"/>
      <c r="E1118" s="130" t="str">
        <f>IF(ВОСКС!C23="","",ВОСКС!C23)</f>
        <v/>
      </c>
      <c r="F1118" s="133"/>
      <c r="G1118" s="131"/>
      <c r="H1118" s="130" t="str">
        <f>IF(ВОСКС!D23="","",ВОСКС!D23)</f>
        <v/>
      </c>
      <c r="I1118" s="131"/>
      <c r="J1118" s="61" t="str">
        <f>IF(ВОСКС!E23=0,"",ВОСКС!E23)</f>
        <v/>
      </c>
    </row>
    <row r="1119" spans="1:10" ht="150" customHeight="1" x14ac:dyDescent="0.3">
      <c r="A1119" s="22">
        <v>21</v>
      </c>
      <c r="B1119" s="132" t="str">
        <f>IF(ВОСКС!B24="","",ВОСКС!B24)</f>
        <v/>
      </c>
      <c r="C1119" s="133"/>
      <c r="D1119" s="131"/>
      <c r="E1119" s="130" t="str">
        <f>IF(ВОСКС!C24="","",ВОСКС!C24)</f>
        <v/>
      </c>
      <c r="F1119" s="133"/>
      <c r="G1119" s="131"/>
      <c r="H1119" s="130" t="str">
        <f>IF(ВОСКС!D24="","",ВОСКС!D24)</f>
        <v/>
      </c>
      <c r="I1119" s="131"/>
      <c r="J1119" s="61" t="str">
        <f>IF(ВОСКС!E24=0,"",ВОСКС!E24)</f>
        <v/>
      </c>
    </row>
    <row r="1120" spans="1:10" ht="150" customHeight="1" x14ac:dyDescent="0.3">
      <c r="A1120" s="23">
        <v>22</v>
      </c>
      <c r="B1120" s="132" t="str">
        <f>IF(ВОСКС!B25="","",ВОСКС!B25)</f>
        <v/>
      </c>
      <c r="C1120" s="133"/>
      <c r="D1120" s="131"/>
      <c r="E1120" s="130" t="str">
        <f>IF(ВОСКС!C25="","",ВОСКС!C25)</f>
        <v/>
      </c>
      <c r="F1120" s="133"/>
      <c r="G1120" s="131"/>
      <c r="H1120" s="130" t="str">
        <f>IF(ВОСКС!D25="","",ВОСКС!D25)</f>
        <v/>
      </c>
      <c r="I1120" s="131"/>
      <c r="J1120" s="61" t="str">
        <f>IF(ВОСКС!E25=0,"",ВОСКС!E25)</f>
        <v/>
      </c>
    </row>
    <row r="1121" spans="1:10" ht="150" customHeight="1" x14ac:dyDescent="0.3">
      <c r="A1121" s="23">
        <v>23</v>
      </c>
      <c r="B1121" s="132" t="str">
        <f>IF(ВОСКС!B26="","",ВОСКС!B26)</f>
        <v/>
      </c>
      <c r="C1121" s="133"/>
      <c r="D1121" s="131"/>
      <c r="E1121" s="130" t="str">
        <f>IF(ВОСКС!C26="","",ВОСКС!C26)</f>
        <v/>
      </c>
      <c r="F1121" s="133"/>
      <c r="G1121" s="131"/>
      <c r="H1121" s="130" t="str">
        <f>IF(ВОСКС!D26="","",ВОСКС!D26)</f>
        <v/>
      </c>
      <c r="I1121" s="131"/>
      <c r="J1121" s="61" t="str">
        <f>IF(ВОСКС!E26=0,"",ВОСКС!E26)</f>
        <v/>
      </c>
    </row>
    <row r="1122" spans="1:10" ht="150" customHeight="1" x14ac:dyDescent="0.3">
      <c r="A1122" s="23">
        <v>24</v>
      </c>
      <c r="B1122" s="132" t="str">
        <f>IF(ВОСКС!B27="","",ВОСКС!B27)</f>
        <v/>
      </c>
      <c r="C1122" s="133"/>
      <c r="D1122" s="131"/>
      <c r="E1122" s="130" t="str">
        <f>IF(ВОСКС!C27="","",ВОСКС!C27)</f>
        <v/>
      </c>
      <c r="F1122" s="133"/>
      <c r="G1122" s="131"/>
      <c r="H1122" s="130" t="str">
        <f>IF(ВОСКС!D27="","",ВОСКС!D27)</f>
        <v/>
      </c>
      <c r="I1122" s="131"/>
      <c r="J1122" s="61" t="str">
        <f>IF(ВОСКС!E27=0,"",ВОСКС!E27)</f>
        <v/>
      </c>
    </row>
    <row r="1123" spans="1:10" ht="150" customHeight="1" x14ac:dyDescent="0.3">
      <c r="A1123" s="23">
        <v>25</v>
      </c>
      <c r="B1123" s="132" t="str">
        <f>IF(ВОСКС!B28="","",ВОСКС!B28)</f>
        <v/>
      </c>
      <c r="C1123" s="133"/>
      <c r="D1123" s="131"/>
      <c r="E1123" s="130" t="str">
        <f>IF(ВОСКС!C28="","",ВОСКС!C28)</f>
        <v/>
      </c>
      <c r="F1123" s="133"/>
      <c r="G1123" s="131"/>
      <c r="H1123" s="130" t="str">
        <f>IF(ВОСКС!D28="","",ВОСКС!D28)</f>
        <v/>
      </c>
      <c r="I1123" s="131"/>
      <c r="J1123" s="61" t="str">
        <f>IF(ВОСКС!E28=0,"",ВОСКС!E28)</f>
        <v/>
      </c>
    </row>
    <row r="1124" spans="1:10" ht="150" customHeight="1" x14ac:dyDescent="0.3">
      <c r="A1124" s="23">
        <v>26</v>
      </c>
      <c r="B1124" s="132" t="str">
        <f>IF(ВОСКС!B29="","",ВОСКС!B29)</f>
        <v/>
      </c>
      <c r="C1124" s="133"/>
      <c r="D1124" s="131"/>
      <c r="E1124" s="130" t="str">
        <f>IF(ВОСКС!C29="","",ВОСКС!C29)</f>
        <v/>
      </c>
      <c r="F1124" s="133"/>
      <c r="G1124" s="131"/>
      <c r="H1124" s="130" t="str">
        <f>IF(ВОСКС!D29="","",ВОСКС!D29)</f>
        <v/>
      </c>
      <c r="I1124" s="131"/>
      <c r="J1124" s="61" t="str">
        <f>IF(ВОСКС!E29=0,"",ВОСКС!E29)</f>
        <v/>
      </c>
    </row>
    <row r="1125" spans="1:10" ht="150" customHeight="1" x14ac:dyDescent="0.3">
      <c r="A1125" s="23">
        <v>27</v>
      </c>
      <c r="B1125" s="132" t="str">
        <f>IF(ВОСКС!B30="","",ВОСКС!B30)</f>
        <v/>
      </c>
      <c r="C1125" s="133"/>
      <c r="D1125" s="131"/>
      <c r="E1125" s="130" t="str">
        <f>IF(ВОСКС!C30="","",ВОСКС!C30)</f>
        <v/>
      </c>
      <c r="F1125" s="133"/>
      <c r="G1125" s="131"/>
      <c r="H1125" s="130" t="str">
        <f>IF(ВОСКС!D30="","",ВОСКС!D30)</f>
        <v/>
      </c>
      <c r="I1125" s="131"/>
      <c r="J1125" s="61" t="str">
        <f>IF(ВОСКС!E30=0,"",ВОСКС!E30)</f>
        <v/>
      </c>
    </row>
    <row r="1126" spans="1:10" ht="150" customHeight="1" x14ac:dyDescent="0.3">
      <c r="A1126" s="23">
        <v>28</v>
      </c>
      <c r="B1126" s="132" t="str">
        <f>IF(ВОСКС!B31="","",ВОСКС!B31)</f>
        <v/>
      </c>
      <c r="C1126" s="133"/>
      <c r="D1126" s="131"/>
      <c r="E1126" s="130" t="str">
        <f>IF(ВОСКС!C31="","",ВОСКС!C31)</f>
        <v/>
      </c>
      <c r="F1126" s="133"/>
      <c r="G1126" s="131"/>
      <c r="H1126" s="130" t="str">
        <f>IF(ВОСКС!D31="","",ВОСКС!D31)</f>
        <v/>
      </c>
      <c r="I1126" s="131"/>
      <c r="J1126" s="61" t="str">
        <f>IF(ВОСКС!E31=0,"",ВОСКС!E31)</f>
        <v/>
      </c>
    </row>
    <row r="1127" spans="1:10" ht="150" customHeight="1" x14ac:dyDescent="0.3">
      <c r="A1127" s="23">
        <v>29</v>
      </c>
      <c r="B1127" s="132" t="str">
        <f>IF(ВОСКС!B32="","",ВОСКС!B32)</f>
        <v/>
      </c>
      <c r="C1127" s="133"/>
      <c r="D1127" s="131"/>
      <c r="E1127" s="130" t="str">
        <f>IF(ВОСКС!C32="","",ВОСКС!C32)</f>
        <v/>
      </c>
      <c r="F1127" s="133"/>
      <c r="G1127" s="131"/>
      <c r="H1127" s="130" t="str">
        <f>IF(ВОСКС!D32="","",ВОСКС!D32)</f>
        <v/>
      </c>
      <c r="I1127" s="131"/>
      <c r="J1127" s="61" t="str">
        <f>IF(ВОСКС!E32=0,"",ВОСКС!E32)</f>
        <v/>
      </c>
    </row>
    <row r="1128" spans="1:10" ht="150" customHeight="1" x14ac:dyDescent="0.3">
      <c r="A1128" s="23">
        <v>30</v>
      </c>
      <c r="B1128" s="132" t="str">
        <f>IF(ВОСКС!B33="","",ВОСКС!B33)</f>
        <v/>
      </c>
      <c r="C1128" s="133"/>
      <c r="D1128" s="131"/>
      <c r="E1128" s="130" t="str">
        <f>IF(ВОСКС!C33="","",ВОСКС!C33)</f>
        <v/>
      </c>
      <c r="F1128" s="133"/>
      <c r="G1128" s="131"/>
      <c r="H1128" s="130" t="str">
        <f>IF(ВОСКС!D33="","",ВОСКС!D33)</f>
        <v/>
      </c>
      <c r="I1128" s="131"/>
      <c r="J1128" s="61" t="str">
        <f>IF(ВОСКС!E33=0,"",ВОСКС!E33)</f>
        <v/>
      </c>
    </row>
    <row r="1129" spans="1:10" ht="150" customHeight="1" x14ac:dyDescent="0.3">
      <c r="A1129" s="23">
        <v>31</v>
      </c>
      <c r="B1129" s="132" t="str">
        <f>IF(ВОСКС!B34="","",ВОСКС!B34)</f>
        <v/>
      </c>
      <c r="C1129" s="133"/>
      <c r="D1129" s="131"/>
      <c r="E1129" s="130" t="str">
        <f>IF(ВОСКС!C34="","",ВОСКС!C34)</f>
        <v/>
      </c>
      <c r="F1129" s="133"/>
      <c r="G1129" s="131"/>
      <c r="H1129" s="130" t="str">
        <f>IF(ВОСКС!D34="","",ВОСКС!D34)</f>
        <v/>
      </c>
      <c r="I1129" s="131"/>
      <c r="J1129" s="61" t="str">
        <f>IF(ВОСКС!E34=0,"",ВОСКС!E34)</f>
        <v/>
      </c>
    </row>
    <row r="1130" spans="1:10" ht="150" customHeight="1" x14ac:dyDescent="0.3">
      <c r="A1130" s="23">
        <v>32</v>
      </c>
      <c r="B1130" s="132" t="str">
        <f>IF(ВОСКС!B35="","",ВОСКС!B35)</f>
        <v/>
      </c>
      <c r="C1130" s="133"/>
      <c r="D1130" s="131"/>
      <c r="E1130" s="130" t="str">
        <f>IF(ВОСКС!C35="","",ВОСКС!C35)</f>
        <v/>
      </c>
      <c r="F1130" s="133"/>
      <c r="G1130" s="131"/>
      <c r="H1130" s="130" t="str">
        <f>IF(ВОСКС!D35="","",ВОСКС!D35)</f>
        <v/>
      </c>
      <c r="I1130" s="131"/>
      <c r="J1130" s="61" t="str">
        <f>IF(ВОСКС!E35=0,"",ВОСКС!E35)</f>
        <v/>
      </c>
    </row>
    <row r="1131" spans="1:10" ht="150" customHeight="1" x14ac:dyDescent="0.3">
      <c r="A1131" s="23">
        <v>33</v>
      </c>
      <c r="B1131" s="132" t="str">
        <f>IF(ВОСКС!B36="","",ВОСКС!B36)</f>
        <v/>
      </c>
      <c r="C1131" s="133"/>
      <c r="D1131" s="131"/>
      <c r="E1131" s="130" t="str">
        <f>IF(ВОСКС!C36="","",ВОСКС!C36)</f>
        <v/>
      </c>
      <c r="F1131" s="133"/>
      <c r="G1131" s="131"/>
      <c r="H1131" s="130" t="str">
        <f>IF(ВОСКС!D36="","",ВОСКС!D36)</f>
        <v/>
      </c>
      <c r="I1131" s="131"/>
      <c r="J1131" s="61" t="str">
        <f>IF(ВОСКС!E36=0,"",ВОСКС!E36)</f>
        <v/>
      </c>
    </row>
    <row r="1132" spans="1:10" ht="150" customHeight="1" x14ac:dyDescent="0.3">
      <c r="A1132" s="23">
        <v>34</v>
      </c>
      <c r="B1132" s="132" t="str">
        <f>IF(ВОСКС!B37="","",ВОСКС!B37)</f>
        <v/>
      </c>
      <c r="C1132" s="133"/>
      <c r="D1132" s="131"/>
      <c r="E1132" s="130" t="str">
        <f>IF(ВОСКС!C37="","",ВОСКС!C37)</f>
        <v/>
      </c>
      <c r="F1132" s="133"/>
      <c r="G1132" s="131"/>
      <c r="H1132" s="130" t="str">
        <f>IF(ВОСКС!D37="","",ВОСКС!D37)</f>
        <v/>
      </c>
      <c r="I1132" s="131"/>
      <c r="J1132" s="61" t="str">
        <f>IF(ВОСКС!E37=0,"",ВОСКС!E37)</f>
        <v/>
      </c>
    </row>
    <row r="1133" spans="1:10" ht="150" customHeight="1" x14ac:dyDescent="0.3">
      <c r="A1133" s="23">
        <v>35</v>
      </c>
      <c r="B1133" s="132" t="str">
        <f>IF(ВОСКС!B38="","",ВОСКС!B38)</f>
        <v/>
      </c>
      <c r="C1133" s="133"/>
      <c r="D1133" s="131"/>
      <c r="E1133" s="130" t="str">
        <f>IF(ВОСКС!C38="","",ВОСКС!C38)</f>
        <v/>
      </c>
      <c r="F1133" s="133"/>
      <c r="G1133" s="131"/>
      <c r="H1133" s="130" t="str">
        <f>IF(ВОСКС!D38="","",ВОСКС!D38)</f>
        <v/>
      </c>
      <c r="I1133" s="131"/>
      <c r="J1133" s="61" t="str">
        <f>IF(ВОСКС!E38=0,"",ВОСКС!E38)</f>
        <v/>
      </c>
    </row>
    <row r="1134" spans="1:10" ht="150" customHeight="1" x14ac:dyDescent="0.3">
      <c r="A1134" s="23">
        <v>36</v>
      </c>
      <c r="B1134" s="132" t="str">
        <f>IF(ВОСКС!B39="","",ВОСКС!B39)</f>
        <v/>
      </c>
      <c r="C1134" s="133"/>
      <c r="D1134" s="131"/>
      <c r="E1134" s="130" t="str">
        <f>IF(ВОСКС!C39="","",ВОСКС!C39)</f>
        <v/>
      </c>
      <c r="F1134" s="133"/>
      <c r="G1134" s="131"/>
      <c r="H1134" s="130" t="str">
        <f>IF(ВОСКС!D39="","",ВОСКС!D39)</f>
        <v/>
      </c>
      <c r="I1134" s="131"/>
      <c r="J1134" s="61" t="str">
        <f>IF(ВОСКС!E39=0,"",ВОСКС!E39)</f>
        <v/>
      </c>
    </row>
    <row r="1135" spans="1:10" ht="150" customHeight="1" x14ac:dyDescent="0.3">
      <c r="A1135" s="23">
        <v>37</v>
      </c>
      <c r="B1135" s="132" t="str">
        <f>IF(ВОСКС!B40="","",ВОСКС!B40)</f>
        <v/>
      </c>
      <c r="C1135" s="133"/>
      <c r="D1135" s="131"/>
      <c r="E1135" s="130" t="str">
        <f>IF(ВОСКС!C40="","",ВОСКС!C40)</f>
        <v/>
      </c>
      <c r="F1135" s="133"/>
      <c r="G1135" s="131"/>
      <c r="H1135" s="130" t="str">
        <f>IF(ВОСКС!D40="","",ВОСКС!D40)</f>
        <v/>
      </c>
      <c r="I1135" s="131"/>
      <c r="J1135" s="61" t="str">
        <f>IF(ВОСКС!E40=0,"",ВОСКС!E40)</f>
        <v/>
      </c>
    </row>
    <row r="1136" spans="1:10" ht="150" customHeight="1" x14ac:dyDescent="0.3">
      <c r="A1136" s="23">
        <v>38</v>
      </c>
      <c r="B1136" s="132" t="str">
        <f>IF(ВОСКС!B41="","",ВОСКС!B41)</f>
        <v/>
      </c>
      <c r="C1136" s="133"/>
      <c r="D1136" s="131"/>
      <c r="E1136" s="130" t="str">
        <f>IF(ВОСКС!C41="","",ВОСКС!C41)</f>
        <v/>
      </c>
      <c r="F1136" s="133"/>
      <c r="G1136" s="131"/>
      <c r="H1136" s="130" t="str">
        <f>IF(ВОСКС!D41="","",ВОСКС!D41)</f>
        <v/>
      </c>
      <c r="I1136" s="131"/>
      <c r="J1136" s="61" t="str">
        <f>IF(ВОСКС!E41=0,"",ВОСКС!E41)</f>
        <v/>
      </c>
    </row>
    <row r="1137" spans="1:10" ht="150" customHeight="1" x14ac:dyDescent="0.3">
      <c r="A1137" s="23">
        <v>39</v>
      </c>
      <c r="B1137" s="132" t="str">
        <f>IF(ВОСКС!B42="","",ВОСКС!B42)</f>
        <v/>
      </c>
      <c r="C1137" s="133"/>
      <c r="D1137" s="131"/>
      <c r="E1137" s="130" t="str">
        <f>IF(ВОСКС!C42="","",ВОСКС!C42)</f>
        <v/>
      </c>
      <c r="F1137" s="133"/>
      <c r="G1137" s="131"/>
      <c r="H1137" s="130" t="str">
        <f>IF(ВОСКС!D42="","",ВОСКС!D42)</f>
        <v/>
      </c>
      <c r="I1137" s="131"/>
      <c r="J1137" s="61" t="str">
        <f>IF(ВОСКС!E42=0,"",ВОСКС!E42)</f>
        <v/>
      </c>
    </row>
    <row r="1138" spans="1:10" ht="150" customHeight="1" thickBot="1" x14ac:dyDescent="0.35">
      <c r="A1138" s="24">
        <v>40</v>
      </c>
      <c r="B1138" s="132" t="str">
        <f>IF(ВОСКС!B43="","",ВОСКС!B43)</f>
        <v/>
      </c>
      <c r="C1138" s="133"/>
      <c r="D1138" s="131"/>
      <c r="E1138" s="130" t="str">
        <f>IF(ВОСКС!C43="","",ВОСКС!C43)</f>
        <v/>
      </c>
      <c r="F1138" s="133"/>
      <c r="G1138" s="131"/>
      <c r="H1138" s="130" t="str">
        <f>IF(ВОСКС!D43="","",ВОСКС!D43)</f>
        <v/>
      </c>
      <c r="I1138" s="131"/>
      <c r="J1138" s="61" t="str">
        <f>IF(ВОСКС!E43=0,"",ВОСКС!E43)</f>
        <v/>
      </c>
    </row>
    <row r="1139" spans="1:10" ht="150" customHeight="1" thickBot="1" x14ac:dyDescent="0.35">
      <c r="A1139" s="24">
        <v>41</v>
      </c>
      <c r="B1139" s="132" t="str">
        <f>IF(ВОСКС!B44="","",ВОСКС!B44)</f>
        <v/>
      </c>
      <c r="C1139" s="133"/>
      <c r="D1139" s="131"/>
      <c r="E1139" s="130" t="str">
        <f>IF(ВОСКС!C44="","",ВОСКС!C44)</f>
        <v/>
      </c>
      <c r="F1139" s="133"/>
      <c r="G1139" s="131"/>
      <c r="H1139" s="130" t="str">
        <f>IF(ВОСКС!D44="","",ВОСКС!D44)</f>
        <v/>
      </c>
      <c r="I1139" s="131"/>
      <c r="J1139" s="61" t="str">
        <f>IF(ВОСКС!E44=0,"",ВОСКС!E44)</f>
        <v/>
      </c>
    </row>
    <row r="1140" spans="1:10" ht="150" customHeight="1" thickBot="1" x14ac:dyDescent="0.35">
      <c r="A1140" s="24">
        <v>42</v>
      </c>
      <c r="B1140" s="132" t="str">
        <f>IF(ВОСКС!B45="","",ВОСКС!B45)</f>
        <v/>
      </c>
      <c r="C1140" s="133"/>
      <c r="D1140" s="131"/>
      <c r="E1140" s="130" t="str">
        <f>IF(ВОСКС!C45="","",ВОСКС!C45)</f>
        <v/>
      </c>
      <c r="F1140" s="133"/>
      <c r="G1140" s="131"/>
      <c r="H1140" s="130" t="str">
        <f>IF(ВОСКС!D45="","",ВОСКС!D45)</f>
        <v/>
      </c>
      <c r="I1140" s="131"/>
      <c r="J1140" s="61" t="str">
        <f>IF(ВОСКС!E45=0,"",ВОСКС!E45)</f>
        <v/>
      </c>
    </row>
    <row r="1141" spans="1:10" ht="150" customHeight="1" thickBot="1" x14ac:dyDescent="0.35">
      <c r="A1141" s="24">
        <v>43</v>
      </c>
      <c r="B1141" s="132" t="str">
        <f>IF(ВОСКС!B46="","",ВОСКС!B46)</f>
        <v/>
      </c>
      <c r="C1141" s="133"/>
      <c r="D1141" s="131"/>
      <c r="E1141" s="130" t="str">
        <f>IF(ВОСКС!C46="","",ВОСКС!C46)</f>
        <v/>
      </c>
      <c r="F1141" s="133"/>
      <c r="G1141" s="131"/>
      <c r="H1141" s="130" t="str">
        <f>IF(ВОСКС!D46="","",ВОСКС!D46)</f>
        <v/>
      </c>
      <c r="I1141" s="131"/>
      <c r="J1141" s="61" t="str">
        <f>IF(ВОСКС!E46=0,"",ВОСКС!E46)</f>
        <v/>
      </c>
    </row>
    <row r="1142" spans="1:10" ht="150" customHeight="1" thickBot="1" x14ac:dyDescent="0.35">
      <c r="A1142" s="24">
        <v>44</v>
      </c>
      <c r="B1142" s="132" t="str">
        <f>IF(ВОСКС!B47="","",ВОСКС!B47)</f>
        <v/>
      </c>
      <c r="C1142" s="133"/>
      <c r="D1142" s="131"/>
      <c r="E1142" s="130" t="str">
        <f>IF(ВОСКС!C47="","",ВОСКС!C47)</f>
        <v/>
      </c>
      <c r="F1142" s="133"/>
      <c r="G1142" s="131"/>
      <c r="H1142" s="130" t="str">
        <f>IF(ВОСКС!D47="","",ВОСКС!D47)</f>
        <v/>
      </c>
      <c r="I1142" s="131"/>
      <c r="J1142" s="61" t="str">
        <f>IF(ВОСКС!E47=0,"",ВОСКС!E47)</f>
        <v/>
      </c>
    </row>
    <row r="1143" spans="1:10" ht="150" customHeight="1" thickBot="1" x14ac:dyDescent="0.35">
      <c r="A1143" s="24">
        <v>45</v>
      </c>
      <c r="B1143" s="132" t="str">
        <f>IF(ВОСКС!B48="","",ВОСКС!B48)</f>
        <v/>
      </c>
      <c r="C1143" s="133"/>
      <c r="D1143" s="131"/>
      <c r="E1143" s="130" t="str">
        <f>IF(ВОСКС!C48="","",ВОСКС!C48)</f>
        <v/>
      </c>
      <c r="F1143" s="133"/>
      <c r="G1143" s="131"/>
      <c r="H1143" s="130" t="str">
        <f>IF(ВОСКС!D48="","",ВОСКС!D48)</f>
        <v/>
      </c>
      <c r="I1143" s="131"/>
      <c r="J1143" s="61" t="str">
        <f>IF(ВОСКС!E48=0,"",ВОСКС!E48)</f>
        <v/>
      </c>
    </row>
    <row r="1144" spans="1:10" ht="150" customHeight="1" thickBot="1" x14ac:dyDescent="0.35">
      <c r="A1144" s="24">
        <v>46</v>
      </c>
      <c r="B1144" s="132" t="str">
        <f>IF(ВОСКС!B49="","",ВОСКС!B49)</f>
        <v/>
      </c>
      <c r="C1144" s="133"/>
      <c r="D1144" s="131"/>
      <c r="E1144" s="130" t="str">
        <f>IF(ВОСКС!C49="","",ВОСКС!C49)</f>
        <v/>
      </c>
      <c r="F1144" s="133"/>
      <c r="G1144" s="131"/>
      <c r="H1144" s="130" t="str">
        <f>IF(ВОСКС!D49="","",ВОСКС!D49)</f>
        <v/>
      </c>
      <c r="I1144" s="131"/>
      <c r="J1144" s="61" t="str">
        <f>IF(ВОСКС!E49=0,"",ВОСКС!E49)</f>
        <v/>
      </c>
    </row>
    <row r="1145" spans="1:10" ht="150" customHeight="1" thickBot="1" x14ac:dyDescent="0.35">
      <c r="A1145" s="24">
        <v>47</v>
      </c>
      <c r="B1145" s="132" t="str">
        <f>IF(ВОСКС!B50="","",ВОСКС!B50)</f>
        <v/>
      </c>
      <c r="C1145" s="133"/>
      <c r="D1145" s="131"/>
      <c r="E1145" s="130" t="str">
        <f>IF(ВОСКС!C50="","",ВОСКС!C50)</f>
        <v/>
      </c>
      <c r="F1145" s="133"/>
      <c r="G1145" s="131"/>
      <c r="H1145" s="130" t="str">
        <f>IF(ВОСКС!D50="","",ВОСКС!D50)</f>
        <v/>
      </c>
      <c r="I1145" s="131"/>
      <c r="J1145" s="61" t="str">
        <f>IF(ВОСКС!E50=0,"",ВОСКС!E50)</f>
        <v/>
      </c>
    </row>
    <row r="1146" spans="1:10" ht="150" customHeight="1" thickBot="1" x14ac:dyDescent="0.35">
      <c r="A1146" s="24">
        <v>48</v>
      </c>
      <c r="B1146" s="132" t="str">
        <f>IF(ВОСКС!B51="","",ВОСКС!B51)</f>
        <v/>
      </c>
      <c r="C1146" s="133"/>
      <c r="D1146" s="131"/>
      <c r="E1146" s="130" t="str">
        <f>IF(ВОСКС!C51="","",ВОСКС!C51)</f>
        <v/>
      </c>
      <c r="F1146" s="133"/>
      <c r="G1146" s="131"/>
      <c r="H1146" s="130" t="str">
        <f>IF(ВОСКС!D51="","",ВОСКС!D51)</f>
        <v/>
      </c>
      <c r="I1146" s="131"/>
      <c r="J1146" s="61" t="str">
        <f>IF(ВОСКС!E51=0,"",ВОСКС!E51)</f>
        <v/>
      </c>
    </row>
    <row r="1147" spans="1:10" ht="150" customHeight="1" thickBot="1" x14ac:dyDescent="0.35">
      <c r="A1147" s="24">
        <v>49</v>
      </c>
      <c r="B1147" s="132" t="str">
        <f>IF(ВОСКС!B52="","",ВОСКС!B52)</f>
        <v/>
      </c>
      <c r="C1147" s="133"/>
      <c r="D1147" s="131"/>
      <c r="E1147" s="130" t="str">
        <f>IF(ВОСКС!C52="","",ВОСКС!C52)</f>
        <v/>
      </c>
      <c r="F1147" s="133"/>
      <c r="G1147" s="131"/>
      <c r="H1147" s="130" t="str">
        <f>IF(ВОСКС!D52="","",ВОСКС!D52)</f>
        <v/>
      </c>
      <c r="I1147" s="131"/>
      <c r="J1147" s="61" t="str">
        <f>IF(ВОСКС!E52=0,"",ВОСКС!E52)</f>
        <v/>
      </c>
    </row>
    <row r="1148" spans="1:10" ht="150" customHeight="1" thickBot="1" x14ac:dyDescent="0.35">
      <c r="A1148" s="24">
        <v>50</v>
      </c>
      <c r="B1148" s="132" t="str">
        <f>IF(ВОСКС!B53="","",ВОСКС!B53)</f>
        <v/>
      </c>
      <c r="C1148" s="133"/>
      <c r="D1148" s="131"/>
      <c r="E1148" s="130" t="str">
        <f>IF(ВОСКС!C53="","",ВОСКС!C53)</f>
        <v/>
      </c>
      <c r="F1148" s="133"/>
      <c r="G1148" s="131"/>
      <c r="H1148" s="130" t="str">
        <f>IF(ВОСКС!D53="","",ВОСКС!D53)</f>
        <v/>
      </c>
      <c r="I1148" s="131"/>
      <c r="J1148" s="61" t="str">
        <f>IF(ВОСКС!E53=0,"",ВОСКС!E53)</f>
        <v/>
      </c>
    </row>
    <row r="1149" spans="1:10" ht="150" customHeight="1" thickBot="1" x14ac:dyDescent="0.35">
      <c r="A1149" s="24">
        <v>51</v>
      </c>
      <c r="B1149" s="132" t="str">
        <f>IF(ВОСКС!B54="","",ВОСКС!B54)</f>
        <v/>
      </c>
      <c r="C1149" s="133"/>
      <c r="D1149" s="131"/>
      <c r="E1149" s="130" t="str">
        <f>IF(ВОСКС!C54="","",ВОСКС!C54)</f>
        <v/>
      </c>
      <c r="F1149" s="133"/>
      <c r="G1149" s="131"/>
      <c r="H1149" s="130" t="str">
        <f>IF(ВОСКС!D54="","",ВОСКС!D54)</f>
        <v/>
      </c>
      <c r="I1149" s="131"/>
      <c r="J1149" s="61" t="str">
        <f>IF(ВОСКС!E54=0,"",ВОСКС!E54)</f>
        <v/>
      </c>
    </row>
    <row r="1150" spans="1:10" ht="150" customHeight="1" thickBot="1" x14ac:dyDescent="0.35">
      <c r="A1150" s="24">
        <v>52</v>
      </c>
      <c r="B1150" s="132" t="str">
        <f>IF(ВОСКС!B55="","",ВОСКС!B55)</f>
        <v/>
      </c>
      <c r="C1150" s="133"/>
      <c r="D1150" s="131"/>
      <c r="E1150" s="130" t="str">
        <f>IF(ВОСКС!C55="","",ВОСКС!C55)</f>
        <v/>
      </c>
      <c r="F1150" s="133"/>
      <c r="G1150" s="131"/>
      <c r="H1150" s="130" t="str">
        <f>IF(ВОСКС!D55="","",ВОСКС!D55)</f>
        <v/>
      </c>
      <c r="I1150" s="131"/>
      <c r="J1150" s="61" t="str">
        <f>IF(ВОСКС!E55=0,"",ВОСКС!E55)</f>
        <v/>
      </c>
    </row>
    <row r="1151" spans="1:10" ht="150" customHeight="1" thickBot="1" x14ac:dyDescent="0.35">
      <c r="A1151" s="24">
        <v>53</v>
      </c>
      <c r="B1151" s="132" t="str">
        <f>IF(ВОСКС!B56="","",ВОСКС!B56)</f>
        <v/>
      </c>
      <c r="C1151" s="133"/>
      <c r="D1151" s="131"/>
      <c r="E1151" s="130" t="str">
        <f>IF(ВОСКС!C56="","",ВОСКС!C56)</f>
        <v/>
      </c>
      <c r="F1151" s="133"/>
      <c r="G1151" s="131"/>
      <c r="H1151" s="130" t="str">
        <f>IF(ВОСКС!D56="","",ВОСКС!D56)</f>
        <v/>
      </c>
      <c r="I1151" s="131"/>
      <c r="J1151" s="61" t="str">
        <f>IF(ВОСКС!E56=0,"",ВОСКС!E56)</f>
        <v/>
      </c>
    </row>
    <row r="1152" spans="1:10" ht="150" customHeight="1" thickBot="1" x14ac:dyDescent="0.35">
      <c r="A1152" s="24">
        <v>54</v>
      </c>
      <c r="B1152" s="132" t="str">
        <f>IF(ВОСКС!B57="","",ВОСКС!B57)</f>
        <v/>
      </c>
      <c r="C1152" s="133"/>
      <c r="D1152" s="131"/>
      <c r="E1152" s="130" t="str">
        <f>IF(ВОСКС!C57="","",ВОСКС!C57)</f>
        <v/>
      </c>
      <c r="F1152" s="133"/>
      <c r="G1152" s="131"/>
      <c r="H1152" s="130" t="str">
        <f>IF(ВОСКС!D57="","",ВОСКС!D57)</f>
        <v/>
      </c>
      <c r="I1152" s="131"/>
      <c r="J1152" s="61" t="str">
        <f>IF(ВОСКС!E57=0,"",ВОСКС!E57)</f>
        <v/>
      </c>
    </row>
    <row r="1153" spans="1:10" ht="150" customHeight="1" thickBot="1" x14ac:dyDescent="0.35">
      <c r="A1153" s="24">
        <v>55</v>
      </c>
      <c r="B1153" s="132" t="str">
        <f>IF(ВОСКС!B58="","",ВОСКС!B58)</f>
        <v/>
      </c>
      <c r="C1153" s="133"/>
      <c r="D1153" s="131"/>
      <c r="E1153" s="130" t="str">
        <f>IF(ВОСКС!C58="","",ВОСКС!C58)</f>
        <v/>
      </c>
      <c r="F1153" s="133"/>
      <c r="G1153" s="131"/>
      <c r="H1153" s="130" t="str">
        <f>IF(ВОСКС!D58="","",ВОСКС!D58)</f>
        <v/>
      </c>
      <c r="I1153" s="131"/>
      <c r="J1153" s="61" t="str">
        <f>IF(ВОСКС!E58=0,"",ВОСКС!E58)</f>
        <v/>
      </c>
    </row>
    <row r="1154" spans="1:10" ht="150" customHeight="1" thickBot="1" x14ac:dyDescent="0.35">
      <c r="A1154" s="24">
        <v>56</v>
      </c>
      <c r="B1154" s="132" t="str">
        <f>IF(ВОСКС!B59="","",ВОСКС!B59)</f>
        <v/>
      </c>
      <c r="C1154" s="133"/>
      <c r="D1154" s="131"/>
      <c r="E1154" s="130" t="str">
        <f>IF(ВОСКС!C59="","",ВОСКС!C59)</f>
        <v/>
      </c>
      <c r="F1154" s="133"/>
      <c r="G1154" s="131"/>
      <c r="H1154" s="130" t="str">
        <f>IF(ВОСКС!D59="","",ВОСКС!D59)</f>
        <v/>
      </c>
      <c r="I1154" s="131"/>
      <c r="J1154" s="61" t="str">
        <f>IF(ВОСКС!E59=0,"",ВОСКС!E59)</f>
        <v/>
      </c>
    </row>
    <row r="1155" spans="1:10" ht="150" customHeight="1" thickBot="1" x14ac:dyDescent="0.35">
      <c r="A1155" s="24">
        <v>57</v>
      </c>
      <c r="B1155" s="132" t="str">
        <f>IF(ВОСКС!B60="","",ВОСКС!B60)</f>
        <v/>
      </c>
      <c r="C1155" s="133"/>
      <c r="D1155" s="131"/>
      <c r="E1155" s="130" t="str">
        <f>IF(ВОСКС!C60="","",ВОСКС!C60)</f>
        <v/>
      </c>
      <c r="F1155" s="133"/>
      <c r="G1155" s="131"/>
      <c r="H1155" s="130" t="str">
        <f>IF(ВОСКС!D60="","",ВОСКС!D60)</f>
        <v/>
      </c>
      <c r="I1155" s="131"/>
      <c r="J1155" s="61" t="str">
        <f>IF(ВОСКС!E60=0,"",ВОСКС!E60)</f>
        <v/>
      </c>
    </row>
    <row r="1156" spans="1:10" ht="150" customHeight="1" thickBot="1" x14ac:dyDescent="0.35">
      <c r="A1156" s="24">
        <v>58</v>
      </c>
      <c r="B1156" s="132" t="str">
        <f>IF(ВОСКС!B61="","",ВОСКС!B61)</f>
        <v/>
      </c>
      <c r="C1156" s="133"/>
      <c r="D1156" s="131"/>
      <c r="E1156" s="130" t="str">
        <f>IF(ВОСКС!C61="","",ВОСКС!C61)</f>
        <v/>
      </c>
      <c r="F1156" s="133"/>
      <c r="G1156" s="131"/>
      <c r="H1156" s="130" t="str">
        <f>IF(ВОСКС!D61="","",ВОСКС!D61)</f>
        <v/>
      </c>
      <c r="I1156" s="131"/>
      <c r="J1156" s="61" t="str">
        <f>IF(ВОСКС!E61=0,"",ВОСКС!E61)</f>
        <v/>
      </c>
    </row>
    <row r="1157" spans="1:10" ht="150" customHeight="1" thickBot="1" x14ac:dyDescent="0.35">
      <c r="A1157" s="24">
        <v>59</v>
      </c>
      <c r="B1157" s="132" t="str">
        <f>IF(ВОСКС!B62="","",ВОСКС!B62)</f>
        <v/>
      </c>
      <c r="C1157" s="133"/>
      <c r="D1157" s="131"/>
      <c r="E1157" s="130" t="str">
        <f>IF(ВОСКС!C62="","",ВОСКС!C62)</f>
        <v/>
      </c>
      <c r="F1157" s="133"/>
      <c r="G1157" s="131"/>
      <c r="H1157" s="130" t="str">
        <f>IF(ВОСКС!D62="","",ВОСКС!D62)</f>
        <v/>
      </c>
      <c r="I1157" s="131"/>
      <c r="J1157" s="61" t="str">
        <f>IF(ВОСКС!E62=0,"",ВОСКС!E62)</f>
        <v/>
      </c>
    </row>
    <row r="1158" spans="1:10" ht="150" customHeight="1" thickBot="1" x14ac:dyDescent="0.35">
      <c r="A1158" s="24">
        <v>60</v>
      </c>
      <c r="B1158" s="132" t="str">
        <f>IF(ВОСКС!B63="","",ВОСКС!B63)</f>
        <v/>
      </c>
      <c r="C1158" s="133"/>
      <c r="D1158" s="131"/>
      <c r="E1158" s="130" t="str">
        <f>IF(ВОСКС!C63="","",ВОСКС!C63)</f>
        <v/>
      </c>
      <c r="F1158" s="133"/>
      <c r="G1158" s="131"/>
      <c r="H1158" s="130" t="str">
        <f>IF(ВОСКС!D63="","",ВОСКС!D63)</f>
        <v/>
      </c>
      <c r="I1158" s="131"/>
      <c r="J1158" s="61" t="str">
        <f>IF(ВОСКС!E63=0,"",ВОСКС!E63)</f>
        <v/>
      </c>
    </row>
    <row r="1159" spans="1:10" ht="150" customHeight="1" thickBot="1" x14ac:dyDescent="0.35">
      <c r="A1159" s="24">
        <v>61</v>
      </c>
      <c r="B1159" s="132" t="str">
        <f>IF(ВОСКС!B64="","",ВОСКС!B64)</f>
        <v/>
      </c>
      <c r="C1159" s="133"/>
      <c r="D1159" s="131"/>
      <c r="E1159" s="130" t="str">
        <f>IF(ВОСКС!C64="","",ВОСКС!C64)</f>
        <v/>
      </c>
      <c r="F1159" s="133"/>
      <c r="G1159" s="131"/>
      <c r="H1159" s="130" t="str">
        <f>IF(ВОСКС!D64="","",ВОСКС!D64)</f>
        <v/>
      </c>
      <c r="I1159" s="131"/>
      <c r="J1159" s="61" t="str">
        <f>IF(ВОСКС!E64=0,"",ВОСКС!E64)</f>
        <v/>
      </c>
    </row>
    <row r="1160" spans="1:10" ht="150" customHeight="1" thickBot="1" x14ac:dyDescent="0.35">
      <c r="A1160" s="24">
        <v>62</v>
      </c>
      <c r="B1160" s="132" t="str">
        <f>IF(ВОСКС!B65="","",ВОСКС!B65)</f>
        <v/>
      </c>
      <c r="C1160" s="133"/>
      <c r="D1160" s="131"/>
      <c r="E1160" s="130" t="str">
        <f>IF(ВОСКС!C65="","",ВОСКС!C65)</f>
        <v/>
      </c>
      <c r="F1160" s="133"/>
      <c r="G1160" s="131"/>
      <c r="H1160" s="130" t="str">
        <f>IF(ВОСКС!D65="","",ВОСКС!D65)</f>
        <v/>
      </c>
      <c r="I1160" s="131"/>
      <c r="J1160" s="61" t="str">
        <f>IF(ВОСКС!E65=0,"",ВОСКС!E65)</f>
        <v/>
      </c>
    </row>
    <row r="1161" spans="1:10" ht="150" customHeight="1" thickBot="1" x14ac:dyDescent="0.35">
      <c r="A1161" s="24">
        <v>63</v>
      </c>
      <c r="B1161" s="132" t="str">
        <f>IF(ВОСКС!B66="","",ВОСКС!B66)</f>
        <v/>
      </c>
      <c r="C1161" s="133"/>
      <c r="D1161" s="131"/>
      <c r="E1161" s="130" t="str">
        <f>IF(ВОСКС!C66="","",ВОСКС!C66)</f>
        <v/>
      </c>
      <c r="F1161" s="133"/>
      <c r="G1161" s="131"/>
      <c r="H1161" s="130" t="str">
        <f>IF(ВОСКС!D66="","",ВОСКС!D66)</f>
        <v/>
      </c>
      <c r="I1161" s="131"/>
      <c r="J1161" s="61" t="str">
        <f>IF(ВОСКС!E66=0,"",ВОСКС!E66)</f>
        <v/>
      </c>
    </row>
    <row r="1162" spans="1:10" ht="150" customHeight="1" thickBot="1" x14ac:dyDescent="0.35">
      <c r="A1162" s="24">
        <v>64</v>
      </c>
      <c r="B1162" s="132" t="str">
        <f>IF(ВОСКС!B67="","",ВОСКС!B67)</f>
        <v/>
      </c>
      <c r="C1162" s="133"/>
      <c r="D1162" s="131"/>
      <c r="E1162" s="130" t="str">
        <f>IF(ВОСКС!C67="","",ВОСКС!C67)</f>
        <v/>
      </c>
      <c r="F1162" s="133"/>
      <c r="G1162" s="131"/>
      <c r="H1162" s="130" t="str">
        <f>IF(ВОСКС!D67="","",ВОСКС!D67)</f>
        <v/>
      </c>
      <c r="I1162" s="131"/>
      <c r="J1162" s="61" t="str">
        <f>IF(ВОСКС!E67=0,"",ВОСКС!E67)</f>
        <v/>
      </c>
    </row>
    <row r="1163" spans="1:10" ht="150" customHeight="1" thickBot="1" x14ac:dyDescent="0.35">
      <c r="A1163" s="24">
        <v>65</v>
      </c>
      <c r="B1163" s="132" t="str">
        <f>IF(ВОСКС!B68="","",ВОСКС!B68)</f>
        <v/>
      </c>
      <c r="C1163" s="133"/>
      <c r="D1163" s="131"/>
      <c r="E1163" s="130" t="str">
        <f>IF(ВОСКС!C68="","",ВОСКС!C68)</f>
        <v/>
      </c>
      <c r="F1163" s="133"/>
      <c r="G1163" s="131"/>
      <c r="H1163" s="130" t="str">
        <f>IF(ВОСКС!D68="","",ВОСКС!D68)</f>
        <v/>
      </c>
      <c r="I1163" s="131"/>
      <c r="J1163" s="61" t="str">
        <f>IF(ВОСКС!E68=0,"",ВОСКС!E68)</f>
        <v/>
      </c>
    </row>
    <row r="1164" spans="1:10" ht="150" customHeight="1" thickBot="1" x14ac:dyDescent="0.35">
      <c r="A1164" s="24">
        <v>66</v>
      </c>
      <c r="B1164" s="132" t="str">
        <f>IF(ВОСКС!B69="","",ВОСКС!B69)</f>
        <v/>
      </c>
      <c r="C1164" s="133"/>
      <c r="D1164" s="131"/>
      <c r="E1164" s="130" t="str">
        <f>IF(ВОСКС!C69="","",ВОСКС!C69)</f>
        <v/>
      </c>
      <c r="F1164" s="133"/>
      <c r="G1164" s="131"/>
      <c r="H1164" s="130" t="str">
        <f>IF(ВОСКС!D69="","",ВОСКС!D69)</f>
        <v/>
      </c>
      <c r="I1164" s="131"/>
      <c r="J1164" s="61" t="str">
        <f>IF(ВОСКС!E69=0,"",ВОСКС!E69)</f>
        <v/>
      </c>
    </row>
    <row r="1165" spans="1:10" ht="150" customHeight="1" thickBot="1" x14ac:dyDescent="0.35">
      <c r="A1165" s="24">
        <v>67</v>
      </c>
      <c r="B1165" s="132" t="str">
        <f>IF(ВОСКС!B70="","",ВОСКС!B70)</f>
        <v/>
      </c>
      <c r="C1165" s="133"/>
      <c r="D1165" s="131"/>
      <c r="E1165" s="130" t="str">
        <f>IF(ВОСКС!C70="","",ВОСКС!C70)</f>
        <v/>
      </c>
      <c r="F1165" s="133"/>
      <c r="G1165" s="131"/>
      <c r="H1165" s="130" t="str">
        <f>IF(ВОСКС!D70="","",ВОСКС!D70)</f>
        <v/>
      </c>
      <c r="I1165" s="131"/>
      <c r="J1165" s="61" t="str">
        <f>IF(ВОСКС!E70=0,"",ВОСКС!E70)</f>
        <v/>
      </c>
    </row>
    <row r="1166" spans="1:10" ht="150" customHeight="1" thickBot="1" x14ac:dyDescent="0.35">
      <c r="A1166" s="24">
        <v>68</v>
      </c>
      <c r="B1166" s="132" t="str">
        <f>IF(ВОСКС!B71="","",ВОСКС!B71)</f>
        <v/>
      </c>
      <c r="C1166" s="133"/>
      <c r="D1166" s="131"/>
      <c r="E1166" s="130" t="str">
        <f>IF(ВОСКС!C71="","",ВОСКС!C71)</f>
        <v/>
      </c>
      <c r="F1166" s="133"/>
      <c r="G1166" s="131"/>
      <c r="H1166" s="130" t="str">
        <f>IF(ВОСКС!D71="","",ВОСКС!D71)</f>
        <v/>
      </c>
      <c r="I1166" s="131"/>
      <c r="J1166" s="61" t="str">
        <f>IF(ВОСКС!E71=0,"",ВОСКС!E71)</f>
        <v/>
      </c>
    </row>
    <row r="1167" spans="1:10" ht="150" customHeight="1" thickBot="1" x14ac:dyDescent="0.35">
      <c r="A1167" s="24">
        <v>69</v>
      </c>
      <c r="B1167" s="132" t="str">
        <f>IF(ВОСКС!B72="","",ВОСКС!B72)</f>
        <v/>
      </c>
      <c r="C1167" s="133"/>
      <c r="D1167" s="131"/>
      <c r="E1167" s="130" t="str">
        <f>IF(ВОСКС!C72="","",ВОСКС!C72)</f>
        <v/>
      </c>
      <c r="F1167" s="133"/>
      <c r="G1167" s="131"/>
      <c r="H1167" s="130" t="str">
        <f>IF(ВОСКС!D72="","",ВОСКС!D72)</f>
        <v/>
      </c>
      <c r="I1167" s="131"/>
      <c r="J1167" s="61" t="str">
        <f>IF(ВОСКС!E72=0,"",ВОСКС!E72)</f>
        <v/>
      </c>
    </row>
    <row r="1168" spans="1:10" ht="150" customHeight="1" thickBot="1" x14ac:dyDescent="0.35">
      <c r="A1168" s="24">
        <v>70</v>
      </c>
      <c r="B1168" s="132" t="str">
        <f>IF(ВОСКС!B73="","",ВОСКС!B73)</f>
        <v/>
      </c>
      <c r="C1168" s="133"/>
      <c r="D1168" s="131"/>
      <c r="E1168" s="130" t="str">
        <f>IF(ВОСКС!C73="","",ВОСКС!C73)</f>
        <v/>
      </c>
      <c r="F1168" s="133"/>
      <c r="G1168" s="131"/>
      <c r="H1168" s="130" t="str">
        <f>IF(ВОСКС!D73="","",ВОСКС!D73)</f>
        <v/>
      </c>
      <c r="I1168" s="131"/>
      <c r="J1168" s="61" t="str">
        <f>IF(ВОСКС!E73=0,"",ВОСКС!E73)</f>
        <v/>
      </c>
    </row>
    <row r="1169" spans="1:10" ht="150" customHeight="1" thickBot="1" x14ac:dyDescent="0.35">
      <c r="A1169" s="24">
        <v>71</v>
      </c>
      <c r="B1169" s="132" t="str">
        <f>IF(ВОСКС!B74="","",ВОСКС!B74)</f>
        <v/>
      </c>
      <c r="C1169" s="133"/>
      <c r="D1169" s="131"/>
      <c r="E1169" s="130" t="str">
        <f>IF(ВОСКС!C74="","",ВОСКС!C74)</f>
        <v/>
      </c>
      <c r="F1169" s="133"/>
      <c r="G1169" s="131"/>
      <c r="H1169" s="130" t="str">
        <f>IF(ВОСКС!D74="","",ВОСКС!D74)</f>
        <v/>
      </c>
      <c r="I1169" s="131"/>
      <c r="J1169" s="61" t="str">
        <f>IF(ВОСКС!E74=0,"",ВОСКС!E74)</f>
        <v/>
      </c>
    </row>
    <row r="1170" spans="1:10" ht="150" customHeight="1" thickBot="1" x14ac:dyDescent="0.35">
      <c r="A1170" s="24">
        <v>72</v>
      </c>
      <c r="B1170" s="132" t="str">
        <f>IF(ВОСКС!B75="","",ВОСКС!B75)</f>
        <v/>
      </c>
      <c r="C1170" s="133"/>
      <c r="D1170" s="131"/>
      <c r="E1170" s="130" t="str">
        <f>IF(ВОСКС!C75="","",ВОСКС!C75)</f>
        <v/>
      </c>
      <c r="F1170" s="133"/>
      <c r="G1170" s="131"/>
      <c r="H1170" s="130" t="str">
        <f>IF(ВОСКС!D75="","",ВОСКС!D75)</f>
        <v/>
      </c>
      <c r="I1170" s="131"/>
      <c r="J1170" s="61" t="str">
        <f>IF(ВОСКС!E75=0,"",ВОСКС!E75)</f>
        <v/>
      </c>
    </row>
    <row r="1171" spans="1:10" ht="150" customHeight="1" thickBot="1" x14ac:dyDescent="0.35">
      <c r="A1171" s="24">
        <v>73</v>
      </c>
      <c r="B1171" s="132" t="str">
        <f>IF(ВОСКС!B76="","",ВОСКС!B76)</f>
        <v/>
      </c>
      <c r="C1171" s="133"/>
      <c r="D1171" s="131"/>
      <c r="E1171" s="130" t="str">
        <f>IF(ВОСКС!C76="","",ВОСКС!C76)</f>
        <v/>
      </c>
      <c r="F1171" s="133"/>
      <c r="G1171" s="131"/>
      <c r="H1171" s="130" t="str">
        <f>IF(ВОСКС!D76="","",ВОСКС!D76)</f>
        <v/>
      </c>
      <c r="I1171" s="131"/>
      <c r="J1171" s="61" t="str">
        <f>IF(ВОСКС!E76=0,"",ВОСКС!E76)</f>
        <v/>
      </c>
    </row>
    <row r="1172" spans="1:10" ht="150" customHeight="1" thickBot="1" x14ac:dyDescent="0.35">
      <c r="A1172" s="24">
        <v>74</v>
      </c>
      <c r="B1172" s="132" t="str">
        <f>IF(ВОСКС!B77="","",ВОСКС!B77)</f>
        <v/>
      </c>
      <c r="C1172" s="133"/>
      <c r="D1172" s="131"/>
      <c r="E1172" s="130" t="str">
        <f>IF(ВОСКС!C77="","",ВОСКС!C77)</f>
        <v/>
      </c>
      <c r="F1172" s="133"/>
      <c r="G1172" s="131"/>
      <c r="H1172" s="130" t="str">
        <f>IF(ВОСКС!D77="","",ВОСКС!D77)</f>
        <v/>
      </c>
      <c r="I1172" s="131"/>
      <c r="J1172" s="61" t="str">
        <f>IF(ВОСКС!E77=0,"",ВОСКС!E77)</f>
        <v/>
      </c>
    </row>
    <row r="1173" spans="1:10" ht="150" customHeight="1" thickBot="1" x14ac:dyDescent="0.35">
      <c r="A1173" s="24">
        <v>75</v>
      </c>
      <c r="B1173" s="132" t="str">
        <f>IF(ВОСКС!B78="","",ВОСКС!B78)</f>
        <v/>
      </c>
      <c r="C1173" s="133"/>
      <c r="D1173" s="131"/>
      <c r="E1173" s="130" t="str">
        <f>IF(ВОСКС!C78="","",ВОСКС!C78)</f>
        <v/>
      </c>
      <c r="F1173" s="133"/>
      <c r="G1173" s="131"/>
      <c r="H1173" s="130" t="str">
        <f>IF(ВОСКС!D78="","",ВОСКС!D78)</f>
        <v/>
      </c>
      <c r="I1173" s="131"/>
      <c r="J1173" s="61" t="str">
        <f>IF(ВОСКС!E78=0,"",ВОСКС!E78)</f>
        <v/>
      </c>
    </row>
    <row r="1174" spans="1:10" ht="150" customHeight="1" thickBot="1" x14ac:dyDescent="0.35">
      <c r="A1174" s="24">
        <v>76</v>
      </c>
      <c r="B1174" s="132" t="str">
        <f>IF(ВОСКС!B79="","",ВОСКС!B79)</f>
        <v/>
      </c>
      <c r="C1174" s="133"/>
      <c r="D1174" s="131"/>
      <c r="E1174" s="130" t="str">
        <f>IF(ВОСКС!C79="","",ВОСКС!C79)</f>
        <v/>
      </c>
      <c r="F1174" s="133"/>
      <c r="G1174" s="131"/>
      <c r="H1174" s="130" t="str">
        <f>IF(ВОСКС!D79="","",ВОСКС!D79)</f>
        <v/>
      </c>
      <c r="I1174" s="131"/>
      <c r="J1174" s="61" t="str">
        <f>IF(ВОСКС!E79=0,"",ВОСКС!E79)</f>
        <v/>
      </c>
    </row>
    <row r="1175" spans="1:10" ht="150" customHeight="1" thickBot="1" x14ac:dyDescent="0.35">
      <c r="A1175" s="24">
        <v>77</v>
      </c>
      <c r="B1175" s="132" t="str">
        <f>IF(ВОСКС!B80="","",ВОСКС!B80)</f>
        <v/>
      </c>
      <c r="C1175" s="133"/>
      <c r="D1175" s="131"/>
      <c r="E1175" s="130" t="str">
        <f>IF(ВОСКС!C80="","",ВОСКС!C80)</f>
        <v/>
      </c>
      <c r="F1175" s="133"/>
      <c r="G1175" s="131"/>
      <c r="H1175" s="130" t="str">
        <f>IF(ВОСКС!D80="","",ВОСКС!D80)</f>
        <v/>
      </c>
      <c r="I1175" s="131"/>
      <c r="J1175" s="61" t="str">
        <f>IF(ВОСКС!E80=0,"",ВОСКС!E80)</f>
        <v/>
      </c>
    </row>
    <row r="1176" spans="1:10" ht="150" customHeight="1" thickBot="1" x14ac:dyDescent="0.35">
      <c r="A1176" s="24">
        <v>78</v>
      </c>
      <c r="B1176" s="132" t="str">
        <f>IF(ВОСКС!B81="","",ВОСКС!B81)</f>
        <v/>
      </c>
      <c r="C1176" s="133"/>
      <c r="D1176" s="131"/>
      <c r="E1176" s="130" t="str">
        <f>IF(ВОСКС!C81="","",ВОСКС!C81)</f>
        <v/>
      </c>
      <c r="F1176" s="133"/>
      <c r="G1176" s="131"/>
      <c r="H1176" s="130" t="str">
        <f>IF(ВОСКС!D81="","",ВОСКС!D81)</f>
        <v/>
      </c>
      <c r="I1176" s="131"/>
      <c r="J1176" s="61" t="str">
        <f>IF(ВОСКС!E81=0,"",ВОСКС!E81)</f>
        <v/>
      </c>
    </row>
    <row r="1177" spans="1:10" ht="150" customHeight="1" thickBot="1" x14ac:dyDescent="0.35">
      <c r="A1177" s="24">
        <v>79</v>
      </c>
      <c r="B1177" s="132" t="str">
        <f>IF(ВОСКС!B82="","",ВОСКС!B82)</f>
        <v/>
      </c>
      <c r="C1177" s="133"/>
      <c r="D1177" s="131"/>
      <c r="E1177" s="130" t="str">
        <f>IF(ВОСКС!C82="","",ВОСКС!C82)</f>
        <v/>
      </c>
      <c r="F1177" s="133"/>
      <c r="G1177" s="131"/>
      <c r="H1177" s="130" t="str">
        <f>IF(ВОСКС!D82="","",ВОСКС!D82)</f>
        <v/>
      </c>
      <c r="I1177" s="131"/>
      <c r="J1177" s="61" t="str">
        <f>IF(ВОСКС!E82=0,"",ВОСКС!E82)</f>
        <v/>
      </c>
    </row>
    <row r="1178" spans="1:10" ht="150" customHeight="1" thickBot="1" x14ac:dyDescent="0.35">
      <c r="A1178" s="24">
        <v>80</v>
      </c>
      <c r="B1178" s="132" t="str">
        <f>IF(ВОСКС!B83="","",ВОСКС!B83)</f>
        <v/>
      </c>
      <c r="C1178" s="133"/>
      <c r="D1178" s="131"/>
      <c r="E1178" s="130" t="str">
        <f>IF(ВОСКС!C83="","",ВОСКС!C83)</f>
        <v/>
      </c>
      <c r="F1178" s="133"/>
      <c r="G1178" s="131"/>
      <c r="H1178" s="130" t="str">
        <f>IF(ВОСКС!D83="","",ВОСКС!D83)</f>
        <v/>
      </c>
      <c r="I1178" s="131"/>
      <c r="J1178" s="61" t="str">
        <f>IF(ВОСКС!E83=0,"",ВОСКС!E83)</f>
        <v/>
      </c>
    </row>
    <row r="1179" spans="1:10" ht="16.5" customHeight="1" thickBot="1" x14ac:dyDescent="0.35">
      <c r="A1179" s="27"/>
      <c r="B1179" s="151" t="s">
        <v>57</v>
      </c>
      <c r="C1179" s="135"/>
      <c r="D1179" s="135"/>
      <c r="E1179" s="135"/>
      <c r="F1179" s="135"/>
      <c r="G1179" s="135"/>
      <c r="H1179" s="135"/>
      <c r="I1179" s="135"/>
      <c r="J1179" s="136"/>
    </row>
    <row r="1180" spans="1:10" ht="37.950000000000003" customHeight="1" thickBot="1" x14ac:dyDescent="0.35">
      <c r="A1180" s="27"/>
      <c r="B1180" s="155" t="s">
        <v>58</v>
      </c>
      <c r="C1180" s="156"/>
      <c r="D1180" s="157"/>
      <c r="E1180" s="142" t="s">
        <v>59</v>
      </c>
      <c r="F1180" s="158"/>
      <c r="G1180" s="143"/>
      <c r="H1180" s="142"/>
      <c r="I1180" s="143"/>
      <c r="J1180" s="89" t="s">
        <v>56</v>
      </c>
    </row>
    <row r="1181" spans="1:10" ht="150" customHeight="1" x14ac:dyDescent="0.3">
      <c r="A1181" s="22">
        <v>1</v>
      </c>
      <c r="B1181" s="132" t="str">
        <f>IF(ВОСКС!B86="","",ВОСКС!B86)</f>
        <v>софтуер за управление на дигитално съдържание</v>
      </c>
      <c r="C1181" s="133"/>
      <c r="D1181" s="131"/>
      <c r="E1181" s="130" t="str">
        <f>IF(ВОСКС!C86="","",ВОСКС!C86)</f>
        <v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v>
      </c>
      <c r="F1181" s="133"/>
      <c r="G1181" s="131"/>
      <c r="H1181" s="130" t="str">
        <f>IF(ВОСКС!D86="","",ВОСКС!D86)</f>
        <v>х</v>
      </c>
      <c r="I1181" s="131"/>
      <c r="J1181" s="61">
        <f>IF(ВОСКС!E86=0,"",ВОСКС!E86)</f>
        <v>6</v>
      </c>
    </row>
    <row r="1182" spans="1:10" ht="150" customHeight="1" x14ac:dyDescent="0.3">
      <c r="A1182" s="23">
        <v>2</v>
      </c>
      <c r="B1182" s="132" t="str">
        <f>IF(ВОСКС!B87="","",ВОСКС!B87)</f>
        <v/>
      </c>
      <c r="C1182" s="133"/>
      <c r="D1182" s="131"/>
      <c r="E1182" s="130" t="str">
        <f>IF(ВОСКС!C87="","",ВОСКС!C87)</f>
        <v/>
      </c>
      <c r="F1182" s="133"/>
      <c r="G1182" s="131"/>
      <c r="H1182" s="130" t="str">
        <f>IF(ВОСКС!D87="","",ВОСКС!D87)</f>
        <v>х</v>
      </c>
      <c r="I1182" s="131"/>
      <c r="J1182" s="61" t="str">
        <f>IF(ВОСКС!E87=0,"",ВОСКС!E87)</f>
        <v/>
      </c>
    </row>
    <row r="1183" spans="1:10" ht="150" customHeight="1" x14ac:dyDescent="0.3">
      <c r="A1183" s="23">
        <v>3</v>
      </c>
      <c r="B1183" s="132" t="str">
        <f>IF(ВОСКС!B88="","",ВОСКС!B88)</f>
        <v/>
      </c>
      <c r="C1183" s="133"/>
      <c r="D1183" s="131"/>
      <c r="E1183" s="130" t="str">
        <f>IF(ВОСКС!C88="","",ВОСКС!C88)</f>
        <v/>
      </c>
      <c r="F1183" s="133"/>
      <c r="G1183" s="131"/>
      <c r="H1183" s="130" t="str">
        <f>IF(ВОСКС!D88="","",ВОСКС!D88)</f>
        <v>х</v>
      </c>
      <c r="I1183" s="131"/>
      <c r="J1183" s="61" t="str">
        <f>IF(ВОСКС!E88=0,"",ВОСКС!E88)</f>
        <v/>
      </c>
    </row>
    <row r="1184" spans="1:10" ht="150" customHeight="1" x14ac:dyDescent="0.3">
      <c r="A1184" s="23">
        <v>4</v>
      </c>
      <c r="B1184" s="132" t="str">
        <f>IF(ВОСКС!B89="","",ВОСКС!B89)</f>
        <v/>
      </c>
      <c r="C1184" s="133"/>
      <c r="D1184" s="131"/>
      <c r="E1184" s="130" t="str">
        <f>IF(ВОСКС!C89="","",ВОСКС!C89)</f>
        <v/>
      </c>
      <c r="F1184" s="133"/>
      <c r="G1184" s="131"/>
      <c r="H1184" s="130" t="str">
        <f>IF(ВОСКС!D89="","",ВОСКС!D89)</f>
        <v>х</v>
      </c>
      <c r="I1184" s="131"/>
      <c r="J1184" s="61" t="str">
        <f>IF(ВОСКС!E89=0,"",ВОСКС!E89)</f>
        <v/>
      </c>
    </row>
    <row r="1185" spans="1:10" ht="150" customHeight="1" x14ac:dyDescent="0.3">
      <c r="A1185" s="23">
        <v>5</v>
      </c>
      <c r="B1185" s="132" t="str">
        <f>IF(ВОСКС!B90="","",ВОСКС!B90)</f>
        <v/>
      </c>
      <c r="C1185" s="133"/>
      <c r="D1185" s="131"/>
      <c r="E1185" s="130" t="str">
        <f>IF(ВОСКС!C90="","",ВОСКС!C90)</f>
        <v/>
      </c>
      <c r="F1185" s="133"/>
      <c r="G1185" s="131"/>
      <c r="H1185" s="130" t="str">
        <f>IF(ВОСКС!D90="","",ВОСКС!D90)</f>
        <v>х</v>
      </c>
      <c r="I1185" s="131"/>
      <c r="J1185" s="61" t="str">
        <f>IF(ВОСКС!E90=0,"",ВОСКС!E90)</f>
        <v/>
      </c>
    </row>
    <row r="1186" spans="1:10" ht="150" customHeight="1" x14ac:dyDescent="0.3">
      <c r="A1186" s="23">
        <v>6</v>
      </c>
      <c r="B1186" s="132" t="str">
        <f>IF(ВОСКС!B91="","",ВОСКС!B91)</f>
        <v/>
      </c>
      <c r="C1186" s="133"/>
      <c r="D1186" s="131"/>
      <c r="E1186" s="130" t="str">
        <f>IF(ВОСКС!C91="","",ВОСКС!C91)</f>
        <v/>
      </c>
      <c r="F1186" s="133"/>
      <c r="G1186" s="131"/>
      <c r="H1186" s="130" t="str">
        <f>IF(ВОСКС!D91="","",ВОСКС!D91)</f>
        <v>х</v>
      </c>
      <c r="I1186" s="131"/>
      <c r="J1186" s="61" t="str">
        <f>IF(ВОСКС!E91=0,"",ВОСКС!E91)</f>
        <v/>
      </c>
    </row>
    <row r="1187" spans="1:10" ht="150" customHeight="1" x14ac:dyDescent="0.3">
      <c r="A1187" s="23">
        <v>7</v>
      </c>
      <c r="B1187" s="132" t="str">
        <f>IF(ВОСКС!B92="","",ВОСКС!B92)</f>
        <v/>
      </c>
      <c r="C1187" s="133"/>
      <c r="D1187" s="131"/>
      <c r="E1187" s="130" t="str">
        <f>IF(ВОСКС!C92="","",ВОСКС!C92)</f>
        <v/>
      </c>
      <c r="F1187" s="133"/>
      <c r="G1187" s="131"/>
      <c r="H1187" s="130" t="str">
        <f>IF(ВОСКС!D92="","",ВОСКС!D92)</f>
        <v>х</v>
      </c>
      <c r="I1187" s="131"/>
      <c r="J1187" s="61" t="str">
        <f>IF(ВОСКС!E92=0,"",ВОСКС!E92)</f>
        <v/>
      </c>
    </row>
    <row r="1188" spans="1:10" ht="150" customHeight="1" x14ac:dyDescent="0.3">
      <c r="A1188" s="23">
        <v>8</v>
      </c>
      <c r="B1188" s="132" t="str">
        <f>IF(ВОСКС!B93="","",ВОСКС!B93)</f>
        <v/>
      </c>
      <c r="C1188" s="133"/>
      <c r="D1188" s="131"/>
      <c r="E1188" s="130" t="str">
        <f>IF(ВОСКС!C93="","",ВОСКС!C93)</f>
        <v/>
      </c>
      <c r="F1188" s="133"/>
      <c r="G1188" s="131"/>
      <c r="H1188" s="130" t="str">
        <f>IF(ВОСКС!D93="","",ВОСКС!D93)</f>
        <v>х</v>
      </c>
      <c r="I1188" s="131"/>
      <c r="J1188" s="61" t="str">
        <f>IF(ВОСКС!E93=0,"",ВОСКС!E93)</f>
        <v/>
      </c>
    </row>
    <row r="1189" spans="1:10" ht="150" customHeight="1" x14ac:dyDescent="0.3">
      <c r="A1189" s="23">
        <v>9</v>
      </c>
      <c r="B1189" s="132" t="str">
        <f>IF(ВОСКС!B94="","",ВОСКС!B94)</f>
        <v/>
      </c>
      <c r="C1189" s="133"/>
      <c r="D1189" s="131"/>
      <c r="E1189" s="130" t="str">
        <f>IF(ВОСКС!C94="","",ВОСКС!C94)</f>
        <v/>
      </c>
      <c r="F1189" s="133"/>
      <c r="G1189" s="131"/>
      <c r="H1189" s="130" t="str">
        <f>IF(ВОСКС!D94="","",ВОСКС!D94)</f>
        <v>х</v>
      </c>
      <c r="I1189" s="131"/>
      <c r="J1189" s="61" t="str">
        <f>IF(ВОСКС!E94=0,"",ВОСКС!E94)</f>
        <v/>
      </c>
    </row>
    <row r="1190" spans="1:10" ht="150" customHeight="1" x14ac:dyDescent="0.3">
      <c r="A1190" s="23">
        <v>10</v>
      </c>
      <c r="B1190" s="132" t="str">
        <f>IF(ВОСКС!B95="","",ВОСКС!B95)</f>
        <v/>
      </c>
      <c r="C1190" s="133"/>
      <c r="D1190" s="131"/>
      <c r="E1190" s="130" t="str">
        <f>IF(ВОСКС!C95="","",ВОСКС!C95)</f>
        <v/>
      </c>
      <c r="F1190" s="133"/>
      <c r="G1190" s="131"/>
      <c r="H1190" s="130" t="str">
        <f>IF(ВОСКС!D95="","",ВОСКС!D95)</f>
        <v>х</v>
      </c>
      <c r="I1190" s="131"/>
      <c r="J1190" s="61" t="str">
        <f>IF(ВОСКС!E95=0,"",ВОСКС!E95)</f>
        <v/>
      </c>
    </row>
    <row r="1191" spans="1:10" ht="150" customHeight="1" x14ac:dyDescent="0.3">
      <c r="A1191" s="23">
        <v>11</v>
      </c>
      <c r="B1191" s="132" t="str">
        <f>IF(ВОСКС!B96="","",ВОСКС!B96)</f>
        <v/>
      </c>
      <c r="C1191" s="133"/>
      <c r="D1191" s="131"/>
      <c r="E1191" s="130" t="str">
        <f>IF(ВОСКС!C96="","",ВОСКС!C96)</f>
        <v/>
      </c>
      <c r="F1191" s="133"/>
      <c r="G1191" s="131"/>
      <c r="H1191" s="130" t="str">
        <f>IF(ВОСКС!D96="","",ВОСКС!D96)</f>
        <v>х</v>
      </c>
      <c r="I1191" s="131"/>
      <c r="J1191" s="61" t="str">
        <f>IF(ВОСКС!E96=0,"",ВОСКС!E96)</f>
        <v/>
      </c>
    </row>
    <row r="1192" spans="1:10" ht="150" customHeight="1" x14ac:dyDescent="0.3">
      <c r="A1192" s="23">
        <v>12</v>
      </c>
      <c r="B1192" s="132" t="str">
        <f>IF(ВОСКС!B97="","",ВОСКС!B97)</f>
        <v/>
      </c>
      <c r="C1192" s="133"/>
      <c r="D1192" s="131"/>
      <c r="E1192" s="130" t="str">
        <f>IF(ВОСКС!C97="","",ВОСКС!C97)</f>
        <v/>
      </c>
      <c r="F1192" s="133"/>
      <c r="G1192" s="131"/>
      <c r="H1192" s="130" t="str">
        <f>IF(ВОСКС!D97="","",ВОСКС!D97)</f>
        <v>х</v>
      </c>
      <c r="I1192" s="131"/>
      <c r="J1192" s="61" t="str">
        <f>IF(ВОСКС!E97=0,"",ВОСКС!E97)</f>
        <v/>
      </c>
    </row>
    <row r="1193" spans="1:10" ht="150" customHeight="1" x14ac:dyDescent="0.3">
      <c r="A1193" s="23">
        <v>13</v>
      </c>
      <c r="B1193" s="132" t="str">
        <f>IF(ВОСКС!B98="","",ВОСКС!B98)</f>
        <v/>
      </c>
      <c r="C1193" s="133"/>
      <c r="D1193" s="131"/>
      <c r="E1193" s="130" t="str">
        <f>IF(ВОСКС!C98="","",ВОСКС!C98)</f>
        <v/>
      </c>
      <c r="F1193" s="133"/>
      <c r="G1193" s="131"/>
      <c r="H1193" s="130" t="str">
        <f>IF(ВОСКС!D98="","",ВОСКС!D98)</f>
        <v>х</v>
      </c>
      <c r="I1193" s="131"/>
      <c r="J1193" s="61" t="str">
        <f>IF(ВОСКС!E98=0,"",ВОСКС!E98)</f>
        <v/>
      </c>
    </row>
    <row r="1194" spans="1:10" ht="150" customHeight="1" x14ac:dyDescent="0.3">
      <c r="A1194" s="23">
        <v>14</v>
      </c>
      <c r="B1194" s="132" t="str">
        <f>IF(ВОСКС!B99="","",ВОСКС!B99)</f>
        <v/>
      </c>
      <c r="C1194" s="133"/>
      <c r="D1194" s="131"/>
      <c r="E1194" s="130" t="str">
        <f>IF(ВОСКС!C99="","",ВОСКС!C99)</f>
        <v/>
      </c>
      <c r="F1194" s="133"/>
      <c r="G1194" s="131"/>
      <c r="H1194" s="130" t="str">
        <f>IF(ВОСКС!D99="","",ВОСКС!D99)</f>
        <v>х</v>
      </c>
      <c r="I1194" s="131"/>
      <c r="J1194" s="61" t="str">
        <f>IF(ВОСКС!E99=0,"",ВОСКС!E99)</f>
        <v/>
      </c>
    </row>
    <row r="1195" spans="1:10" ht="150" customHeight="1" x14ac:dyDescent="0.3">
      <c r="A1195" s="23">
        <v>15</v>
      </c>
      <c r="B1195" s="132" t="str">
        <f>IF(ВОСКС!B100="","",ВОСКС!B100)</f>
        <v/>
      </c>
      <c r="C1195" s="133"/>
      <c r="D1195" s="131"/>
      <c r="E1195" s="130" t="str">
        <f>IF(ВОСКС!C100="","",ВОСКС!C100)</f>
        <v/>
      </c>
      <c r="F1195" s="133"/>
      <c r="G1195" s="131"/>
      <c r="H1195" s="130" t="str">
        <f>IF(ВОСКС!D100="","",ВОСКС!D100)</f>
        <v>х</v>
      </c>
      <c r="I1195" s="131"/>
      <c r="J1195" s="61" t="str">
        <f>IF(ВОСКС!E100=0,"",ВОСКС!E100)</f>
        <v/>
      </c>
    </row>
    <row r="1196" spans="1:10" ht="150" customHeight="1" x14ac:dyDescent="0.3">
      <c r="A1196" s="23">
        <v>16</v>
      </c>
      <c r="B1196" s="132" t="str">
        <f>IF(ВОСКС!B101="","",ВОСКС!B101)</f>
        <v/>
      </c>
      <c r="C1196" s="133"/>
      <c r="D1196" s="131"/>
      <c r="E1196" s="130" t="str">
        <f>IF(ВОСКС!C101="","",ВОСКС!C101)</f>
        <v/>
      </c>
      <c r="F1196" s="133"/>
      <c r="G1196" s="131"/>
      <c r="H1196" s="130" t="str">
        <f>IF(ВОСКС!D101="","",ВОСКС!D101)</f>
        <v>х</v>
      </c>
      <c r="I1196" s="131"/>
      <c r="J1196" s="61" t="str">
        <f>IF(ВОСКС!E101=0,"",ВОСКС!E101)</f>
        <v/>
      </c>
    </row>
    <row r="1197" spans="1:10" ht="150" customHeight="1" x14ac:dyDescent="0.3">
      <c r="A1197" s="23">
        <v>17</v>
      </c>
      <c r="B1197" s="132" t="str">
        <f>IF(ВОСКС!B102="","",ВОСКС!B102)</f>
        <v/>
      </c>
      <c r="C1197" s="133"/>
      <c r="D1197" s="131"/>
      <c r="E1197" s="130" t="str">
        <f>IF(ВОСКС!C102="","",ВОСКС!C102)</f>
        <v/>
      </c>
      <c r="F1197" s="133"/>
      <c r="G1197" s="131"/>
      <c r="H1197" s="130" t="str">
        <f>IF(ВОСКС!D102="","",ВОСКС!D102)</f>
        <v>х</v>
      </c>
      <c r="I1197" s="131"/>
      <c r="J1197" s="61" t="str">
        <f>IF(ВОСКС!E102=0,"",ВОСКС!E102)</f>
        <v/>
      </c>
    </row>
    <row r="1198" spans="1:10" ht="150" customHeight="1" x14ac:dyDescent="0.3">
      <c r="A1198" s="23">
        <v>18</v>
      </c>
      <c r="B1198" s="132" t="str">
        <f>IF(ВОСКС!B103="","",ВОСКС!B103)</f>
        <v/>
      </c>
      <c r="C1198" s="133"/>
      <c r="D1198" s="131"/>
      <c r="E1198" s="130" t="str">
        <f>IF(ВОСКС!C103="","",ВОСКС!C103)</f>
        <v/>
      </c>
      <c r="F1198" s="133"/>
      <c r="G1198" s="131"/>
      <c r="H1198" s="130" t="str">
        <f>IF(ВОСКС!D103="","",ВОСКС!D103)</f>
        <v>х</v>
      </c>
      <c r="I1198" s="131"/>
      <c r="J1198" s="61" t="str">
        <f>IF(ВОСКС!E103=0,"",ВОСКС!E103)</f>
        <v/>
      </c>
    </row>
    <row r="1199" spans="1:10" ht="150" customHeight="1" x14ac:dyDescent="0.3">
      <c r="A1199" s="23">
        <v>19</v>
      </c>
      <c r="B1199" s="132" t="str">
        <f>IF(ВОСКС!B104="","",ВОСКС!B104)</f>
        <v/>
      </c>
      <c r="C1199" s="133"/>
      <c r="D1199" s="131"/>
      <c r="E1199" s="130" t="str">
        <f>IF(ВОСКС!C104="","",ВОСКС!C104)</f>
        <v/>
      </c>
      <c r="F1199" s="133"/>
      <c r="G1199" s="131"/>
      <c r="H1199" s="130" t="str">
        <f>IF(ВОСКС!D104="","",ВОСКС!D104)</f>
        <v>х</v>
      </c>
      <c r="I1199" s="131"/>
      <c r="J1199" s="61" t="str">
        <f>IF(ВОСКС!E104=0,"",ВОСКС!E104)</f>
        <v/>
      </c>
    </row>
    <row r="1200" spans="1:10" ht="150" customHeight="1" thickBot="1" x14ac:dyDescent="0.35">
      <c r="A1200" s="24">
        <v>20</v>
      </c>
      <c r="B1200" s="132" t="str">
        <f>IF(ВОСКС!B105="","",ВОСКС!B105)</f>
        <v/>
      </c>
      <c r="C1200" s="133"/>
      <c r="D1200" s="131"/>
      <c r="E1200" s="130" t="str">
        <f>IF(ВОСКС!C105="","",ВОСКС!C105)</f>
        <v/>
      </c>
      <c r="F1200" s="133"/>
      <c r="G1200" s="131"/>
      <c r="H1200" s="130" t="str">
        <f>IF(ВОСКС!D105="","",ВОСКС!D105)</f>
        <v>х</v>
      </c>
      <c r="I1200" s="131"/>
      <c r="J1200" s="61" t="str">
        <f>IF(ВОСКС!E105=0,"",ВОСКС!E105)</f>
        <v/>
      </c>
    </row>
    <row r="1201" spans="1:10" ht="150" customHeight="1" thickBot="1" x14ac:dyDescent="0.35">
      <c r="A1201" s="24">
        <v>21</v>
      </c>
      <c r="B1201" s="132" t="str">
        <f>IF(ВОСКС!B106="","",ВОСКС!B106)</f>
        <v/>
      </c>
      <c r="C1201" s="133"/>
      <c r="D1201" s="131"/>
      <c r="E1201" s="130" t="str">
        <f>IF(ВОСКС!C106="","",ВОСКС!C106)</f>
        <v/>
      </c>
      <c r="F1201" s="133"/>
      <c r="G1201" s="131"/>
      <c r="H1201" s="130" t="str">
        <f>IF(ВОСКС!D106="","",ВОСКС!D106)</f>
        <v>х</v>
      </c>
      <c r="I1201" s="131"/>
      <c r="J1201" s="61" t="str">
        <f>IF(ВОСКС!E106=0,"",ВОСКС!E106)</f>
        <v/>
      </c>
    </row>
    <row r="1202" spans="1:10" ht="150" customHeight="1" thickBot="1" x14ac:dyDescent="0.35">
      <c r="A1202" s="24">
        <v>22</v>
      </c>
      <c r="B1202" s="132" t="str">
        <f>IF(ВОСКС!B107="","",ВОСКС!B107)</f>
        <v/>
      </c>
      <c r="C1202" s="133"/>
      <c r="D1202" s="131"/>
      <c r="E1202" s="130" t="str">
        <f>IF(ВОСКС!C107="","",ВОСКС!C107)</f>
        <v/>
      </c>
      <c r="F1202" s="133"/>
      <c r="G1202" s="131"/>
      <c r="H1202" s="130" t="str">
        <f>IF(ВОСКС!D107="","",ВОСКС!D107)</f>
        <v>х</v>
      </c>
      <c r="I1202" s="131"/>
      <c r="J1202" s="61" t="str">
        <f>IF(ВОСКС!E107=0,"",ВОСКС!E107)</f>
        <v/>
      </c>
    </row>
    <row r="1203" spans="1:10" ht="150" customHeight="1" thickBot="1" x14ac:dyDescent="0.35">
      <c r="A1203" s="24">
        <v>23</v>
      </c>
      <c r="B1203" s="132" t="str">
        <f>IF(ВОСКС!B108="","",ВОСКС!B108)</f>
        <v/>
      </c>
      <c r="C1203" s="133"/>
      <c r="D1203" s="131"/>
      <c r="E1203" s="130" t="str">
        <f>IF(ВОСКС!C108="","",ВОСКС!C108)</f>
        <v/>
      </c>
      <c r="F1203" s="133"/>
      <c r="G1203" s="131"/>
      <c r="H1203" s="130" t="str">
        <f>IF(ВОСКС!D108="","",ВОСКС!D108)</f>
        <v>х</v>
      </c>
      <c r="I1203" s="131"/>
      <c r="J1203" s="61" t="str">
        <f>IF(ВОСКС!E108=0,"",ВОСКС!E108)</f>
        <v/>
      </c>
    </row>
    <row r="1204" spans="1:10" ht="150" customHeight="1" thickBot="1" x14ac:dyDescent="0.35">
      <c r="A1204" s="24">
        <v>24</v>
      </c>
      <c r="B1204" s="132" t="str">
        <f>IF(ВОСКС!B109="","",ВОСКС!B109)</f>
        <v/>
      </c>
      <c r="C1204" s="133"/>
      <c r="D1204" s="131"/>
      <c r="E1204" s="130" t="str">
        <f>IF(ВОСКС!C109="","",ВОСКС!C109)</f>
        <v/>
      </c>
      <c r="F1204" s="133"/>
      <c r="G1204" s="131"/>
      <c r="H1204" s="130" t="str">
        <f>IF(ВОСКС!D109="","",ВОСКС!D109)</f>
        <v>х</v>
      </c>
      <c r="I1204" s="131"/>
      <c r="J1204" s="61" t="str">
        <f>IF(ВОСКС!E109=0,"",ВОСКС!E109)</f>
        <v/>
      </c>
    </row>
    <row r="1205" spans="1:10" ht="150" customHeight="1" thickBot="1" x14ac:dyDescent="0.35">
      <c r="A1205" s="24">
        <v>25</v>
      </c>
      <c r="B1205" s="132" t="str">
        <f>IF(ВОСКС!B110="","",ВОСКС!B110)</f>
        <v/>
      </c>
      <c r="C1205" s="133"/>
      <c r="D1205" s="131"/>
      <c r="E1205" s="130" t="str">
        <f>IF(ВОСКС!C110="","",ВОСКС!C110)</f>
        <v/>
      </c>
      <c r="F1205" s="133"/>
      <c r="G1205" s="131"/>
      <c r="H1205" s="130" t="str">
        <f>IF(ВОСКС!D110="","",ВОСКС!D110)</f>
        <v>х</v>
      </c>
      <c r="I1205" s="131"/>
      <c r="J1205" s="61" t="str">
        <f>IF(ВОСКС!E110=0,"",ВОСКС!E110)</f>
        <v/>
      </c>
    </row>
    <row r="1206" spans="1:10" ht="150" customHeight="1" thickBot="1" x14ac:dyDescent="0.35">
      <c r="A1206" s="24">
        <v>26</v>
      </c>
      <c r="B1206" s="132" t="str">
        <f>IF(ВОСКС!B111="","",ВОСКС!B111)</f>
        <v/>
      </c>
      <c r="C1206" s="133"/>
      <c r="D1206" s="131"/>
      <c r="E1206" s="130" t="str">
        <f>IF(ВОСКС!C111="","",ВОСКС!C111)</f>
        <v/>
      </c>
      <c r="F1206" s="133"/>
      <c r="G1206" s="131"/>
      <c r="H1206" s="130" t="str">
        <f>IF(ВОСКС!D111="","",ВОСКС!D111)</f>
        <v>х</v>
      </c>
      <c r="I1206" s="131"/>
      <c r="J1206" s="61" t="str">
        <f>IF(ВОСКС!E111=0,"",ВОСКС!E111)</f>
        <v/>
      </c>
    </row>
    <row r="1207" spans="1:10" ht="150" customHeight="1" thickBot="1" x14ac:dyDescent="0.35">
      <c r="A1207" s="24">
        <v>27</v>
      </c>
      <c r="B1207" s="132" t="str">
        <f>IF(ВОСКС!B112="","",ВОСКС!B112)</f>
        <v/>
      </c>
      <c r="C1207" s="133"/>
      <c r="D1207" s="131"/>
      <c r="E1207" s="130" t="str">
        <f>IF(ВОСКС!C112="","",ВОСКС!C112)</f>
        <v/>
      </c>
      <c r="F1207" s="133"/>
      <c r="G1207" s="131"/>
      <c r="H1207" s="130" t="str">
        <f>IF(ВОСКС!D112="","",ВОСКС!D112)</f>
        <v>х</v>
      </c>
      <c r="I1207" s="131"/>
      <c r="J1207" s="61" t="str">
        <f>IF(ВОСКС!E112=0,"",ВОСКС!E112)</f>
        <v/>
      </c>
    </row>
    <row r="1208" spans="1:10" ht="150" customHeight="1" thickBot="1" x14ac:dyDescent="0.35">
      <c r="A1208" s="24">
        <v>28</v>
      </c>
      <c r="B1208" s="132" t="str">
        <f>IF(ВОСКС!B113="","",ВОСКС!B113)</f>
        <v/>
      </c>
      <c r="C1208" s="133"/>
      <c r="D1208" s="131"/>
      <c r="E1208" s="130" t="str">
        <f>IF(ВОСКС!C113="","",ВОСКС!C113)</f>
        <v/>
      </c>
      <c r="F1208" s="133"/>
      <c r="G1208" s="131"/>
      <c r="H1208" s="130" t="str">
        <f>IF(ВОСКС!D113="","",ВОСКС!D113)</f>
        <v>х</v>
      </c>
      <c r="I1208" s="131"/>
      <c r="J1208" s="61" t="str">
        <f>IF(ВОСКС!E113=0,"",ВОСКС!E113)</f>
        <v/>
      </c>
    </row>
    <row r="1209" spans="1:10" ht="150" customHeight="1" thickBot="1" x14ac:dyDescent="0.35">
      <c r="A1209" s="24">
        <v>29</v>
      </c>
      <c r="B1209" s="132" t="str">
        <f>IF(ВОСКС!B114="","",ВОСКС!B114)</f>
        <v/>
      </c>
      <c r="C1209" s="133"/>
      <c r="D1209" s="131"/>
      <c r="E1209" s="130" t="str">
        <f>IF(ВОСКС!C114="","",ВОСКС!C114)</f>
        <v/>
      </c>
      <c r="F1209" s="133"/>
      <c r="G1209" s="131"/>
      <c r="H1209" s="130" t="str">
        <f>IF(ВОСКС!D114="","",ВОСКС!D114)</f>
        <v>х</v>
      </c>
      <c r="I1209" s="131"/>
      <c r="J1209" s="61" t="str">
        <f>IF(ВОСКС!E114=0,"",ВОСКС!E114)</f>
        <v/>
      </c>
    </row>
    <row r="1210" spans="1:10" ht="150" customHeight="1" thickBot="1" x14ac:dyDescent="0.35">
      <c r="A1210" s="24">
        <v>30</v>
      </c>
      <c r="B1210" s="132" t="str">
        <f>IF(ВОСКС!B115="","",ВОСКС!B115)</f>
        <v/>
      </c>
      <c r="C1210" s="133"/>
      <c r="D1210" s="131"/>
      <c r="E1210" s="130" t="str">
        <f>IF(ВОСКС!C115="","",ВОСКС!C115)</f>
        <v/>
      </c>
      <c r="F1210" s="133"/>
      <c r="G1210" s="131"/>
      <c r="H1210" s="130" t="str">
        <f>IF(ВОСКС!D115="","",ВОСКС!D115)</f>
        <v>х</v>
      </c>
      <c r="I1210" s="131"/>
      <c r="J1210" s="61" t="str">
        <f>IF(ВОСКС!E115=0,"",ВОСКС!E115)</f>
        <v/>
      </c>
    </row>
    <row r="1211" spans="1:10" ht="150" customHeight="1" thickBot="1" x14ac:dyDescent="0.35">
      <c r="A1211" s="24">
        <v>31</v>
      </c>
      <c r="B1211" s="132" t="str">
        <f>IF(ВОСКС!B116="","",ВОСКС!B116)</f>
        <v/>
      </c>
      <c r="C1211" s="133"/>
      <c r="D1211" s="131"/>
      <c r="E1211" s="130" t="str">
        <f>IF(ВОСКС!C116="","",ВОСКС!C116)</f>
        <v/>
      </c>
      <c r="F1211" s="133"/>
      <c r="G1211" s="131"/>
      <c r="H1211" s="130" t="str">
        <f>IF(ВОСКС!D116="","",ВОСКС!D116)</f>
        <v>х</v>
      </c>
      <c r="I1211" s="131"/>
      <c r="J1211" s="61" t="str">
        <f>IF(ВОСКС!E116=0,"",ВОСКС!E116)</f>
        <v/>
      </c>
    </row>
    <row r="1212" spans="1:10" ht="150" customHeight="1" thickBot="1" x14ac:dyDescent="0.35">
      <c r="A1212" s="24">
        <v>32</v>
      </c>
      <c r="B1212" s="132" t="str">
        <f>IF(ВОСКС!B117="","",ВОСКС!B117)</f>
        <v/>
      </c>
      <c r="C1212" s="133"/>
      <c r="D1212" s="131"/>
      <c r="E1212" s="130" t="str">
        <f>IF(ВОСКС!C117="","",ВОСКС!C117)</f>
        <v/>
      </c>
      <c r="F1212" s="133"/>
      <c r="G1212" s="131"/>
      <c r="H1212" s="130" t="str">
        <f>IF(ВОСКС!D117="","",ВОСКС!D117)</f>
        <v>х</v>
      </c>
      <c r="I1212" s="131"/>
      <c r="J1212" s="61" t="str">
        <f>IF(ВОСКС!E117=0,"",ВОСКС!E117)</f>
        <v/>
      </c>
    </row>
    <row r="1213" spans="1:10" ht="150" customHeight="1" thickBot="1" x14ac:dyDescent="0.35">
      <c r="A1213" s="24">
        <v>33</v>
      </c>
      <c r="B1213" s="132" t="str">
        <f>IF(ВОСКС!B118="","",ВОСКС!B118)</f>
        <v/>
      </c>
      <c r="C1213" s="133"/>
      <c r="D1213" s="131"/>
      <c r="E1213" s="130" t="str">
        <f>IF(ВОСКС!C118="","",ВОСКС!C118)</f>
        <v/>
      </c>
      <c r="F1213" s="133"/>
      <c r="G1213" s="131"/>
      <c r="H1213" s="130" t="str">
        <f>IF(ВОСКС!D118="","",ВОСКС!D118)</f>
        <v>х</v>
      </c>
      <c r="I1213" s="131"/>
      <c r="J1213" s="61" t="str">
        <f>IF(ВОСКС!E118=0,"",ВОСКС!E118)</f>
        <v/>
      </c>
    </row>
    <row r="1214" spans="1:10" ht="150" customHeight="1" thickBot="1" x14ac:dyDescent="0.35">
      <c r="A1214" s="24">
        <v>34</v>
      </c>
      <c r="B1214" s="132" t="str">
        <f>IF(ВОСКС!B119="","",ВОСКС!B119)</f>
        <v/>
      </c>
      <c r="C1214" s="133"/>
      <c r="D1214" s="131"/>
      <c r="E1214" s="130" t="str">
        <f>IF(ВОСКС!C119="","",ВОСКС!C119)</f>
        <v/>
      </c>
      <c r="F1214" s="133"/>
      <c r="G1214" s="131"/>
      <c r="H1214" s="130" t="str">
        <f>IF(ВОСКС!D119="","",ВОСКС!D119)</f>
        <v>х</v>
      </c>
      <c r="I1214" s="131"/>
      <c r="J1214" s="61" t="str">
        <f>IF(ВОСКС!E119=0,"",ВОСКС!E119)</f>
        <v/>
      </c>
    </row>
    <row r="1215" spans="1:10" ht="150" customHeight="1" thickBot="1" x14ac:dyDescent="0.35">
      <c r="A1215" s="24">
        <v>35</v>
      </c>
      <c r="B1215" s="132" t="str">
        <f>IF(ВОСКС!B120="","",ВОСКС!B120)</f>
        <v/>
      </c>
      <c r="C1215" s="133"/>
      <c r="D1215" s="131"/>
      <c r="E1215" s="130" t="str">
        <f>IF(ВОСКС!C120="","",ВОСКС!C120)</f>
        <v/>
      </c>
      <c r="F1215" s="133"/>
      <c r="G1215" s="131"/>
      <c r="H1215" s="130" t="str">
        <f>IF(ВОСКС!D120="","",ВОСКС!D120)</f>
        <v>х</v>
      </c>
      <c r="I1215" s="131"/>
      <c r="J1215" s="61" t="str">
        <f>IF(ВОСКС!E120=0,"",ВОСКС!E120)</f>
        <v/>
      </c>
    </row>
    <row r="1216" spans="1:10" ht="150" customHeight="1" thickBot="1" x14ac:dyDescent="0.35">
      <c r="A1216" s="24">
        <v>36</v>
      </c>
      <c r="B1216" s="132" t="str">
        <f>IF(ВОСКС!B121="","",ВОСКС!B121)</f>
        <v/>
      </c>
      <c r="C1216" s="133"/>
      <c r="D1216" s="131"/>
      <c r="E1216" s="130" t="str">
        <f>IF(ВОСКС!C121="","",ВОСКС!C121)</f>
        <v/>
      </c>
      <c r="F1216" s="133"/>
      <c r="G1216" s="131"/>
      <c r="H1216" s="130" t="str">
        <f>IF(ВОСКС!D121="","",ВОСКС!D121)</f>
        <v>х</v>
      </c>
      <c r="I1216" s="131"/>
      <c r="J1216" s="61" t="str">
        <f>IF(ВОСКС!E121=0,"",ВОСКС!E121)</f>
        <v/>
      </c>
    </row>
    <row r="1217" spans="1:10" ht="150" customHeight="1" thickBot="1" x14ac:dyDescent="0.35">
      <c r="A1217" s="24">
        <v>37</v>
      </c>
      <c r="B1217" s="132" t="str">
        <f>IF(ВОСКС!B122="","",ВОСКС!B122)</f>
        <v/>
      </c>
      <c r="C1217" s="133"/>
      <c r="D1217" s="131"/>
      <c r="E1217" s="130" t="str">
        <f>IF(ВОСКС!C122="","",ВОСКС!C122)</f>
        <v/>
      </c>
      <c r="F1217" s="133"/>
      <c r="G1217" s="131"/>
      <c r="H1217" s="130" t="str">
        <f>IF(ВОСКС!D122="","",ВОСКС!D122)</f>
        <v>х</v>
      </c>
      <c r="I1217" s="131"/>
      <c r="J1217" s="61" t="str">
        <f>IF(ВОСКС!E122=0,"",ВОСКС!E122)</f>
        <v/>
      </c>
    </row>
    <row r="1218" spans="1:10" ht="150" customHeight="1" thickBot="1" x14ac:dyDescent="0.35">
      <c r="A1218" s="24">
        <v>38</v>
      </c>
      <c r="B1218" s="132" t="str">
        <f>IF(ВОСКС!B123="","",ВОСКС!B123)</f>
        <v/>
      </c>
      <c r="C1218" s="133"/>
      <c r="D1218" s="131"/>
      <c r="E1218" s="130" t="str">
        <f>IF(ВОСКС!C123="","",ВОСКС!C123)</f>
        <v/>
      </c>
      <c r="F1218" s="133"/>
      <c r="G1218" s="131"/>
      <c r="H1218" s="130" t="str">
        <f>IF(ВОСКС!D123="","",ВОСКС!D123)</f>
        <v>х</v>
      </c>
      <c r="I1218" s="131"/>
      <c r="J1218" s="61" t="str">
        <f>IF(ВОСКС!E123=0,"",ВОСКС!E123)</f>
        <v/>
      </c>
    </row>
    <row r="1219" spans="1:10" ht="150" customHeight="1" thickBot="1" x14ac:dyDescent="0.35">
      <c r="A1219" s="24">
        <v>39</v>
      </c>
      <c r="B1219" s="132" t="str">
        <f>IF(ВОСКС!B124="","",ВОСКС!B124)</f>
        <v/>
      </c>
      <c r="C1219" s="133"/>
      <c r="D1219" s="131"/>
      <c r="E1219" s="130" t="str">
        <f>IF(ВОСКС!C124="","",ВОСКС!C124)</f>
        <v/>
      </c>
      <c r="F1219" s="133"/>
      <c r="G1219" s="131"/>
      <c r="H1219" s="130" t="str">
        <f>IF(ВОСКС!D124="","",ВОСКС!D124)</f>
        <v>х</v>
      </c>
      <c r="I1219" s="131"/>
      <c r="J1219" s="61" t="str">
        <f>IF(ВОСКС!E124=0,"",ВОСКС!E124)</f>
        <v/>
      </c>
    </row>
    <row r="1220" spans="1:10" ht="150" customHeight="1" thickBot="1" x14ac:dyDescent="0.35">
      <c r="A1220" s="24">
        <v>40</v>
      </c>
      <c r="B1220" s="132" t="str">
        <f>IF(ВОСКС!B125="","",ВОСКС!B125)</f>
        <v/>
      </c>
      <c r="C1220" s="133"/>
      <c r="D1220" s="131"/>
      <c r="E1220" s="130" t="str">
        <f>IF(ВОСКС!C125="","",ВОСКС!C125)</f>
        <v/>
      </c>
      <c r="F1220" s="133"/>
      <c r="G1220" s="131"/>
      <c r="H1220" s="130" t="str">
        <f>IF(ВОСКС!D125="","",ВОСКС!D125)</f>
        <v>х</v>
      </c>
      <c r="I1220" s="131"/>
      <c r="J1220" s="61" t="str">
        <f>IF(ВОСКС!E125=0,"",ВОСКС!E125)</f>
        <v/>
      </c>
    </row>
    <row r="1221" spans="1:10" ht="16.5" customHeight="1" thickBot="1" x14ac:dyDescent="0.35">
      <c r="A1221" s="28">
        <v>3.9</v>
      </c>
      <c r="B1221" s="134" t="s">
        <v>68</v>
      </c>
      <c r="C1221" s="135"/>
      <c r="D1221" s="135"/>
      <c r="E1221" s="135"/>
      <c r="F1221" s="135"/>
      <c r="G1221" s="135"/>
      <c r="H1221" s="135"/>
      <c r="I1221" s="135"/>
      <c r="J1221" s="136"/>
    </row>
    <row r="1222" spans="1:10" ht="16.5" customHeight="1" thickBot="1" x14ac:dyDescent="0.35">
      <c r="A1222" s="27"/>
      <c r="B1222" s="137" t="s">
        <v>69</v>
      </c>
      <c r="C1222" s="138"/>
      <c r="D1222" s="138"/>
      <c r="E1222" s="138"/>
      <c r="F1222" s="138"/>
      <c r="G1222" s="138"/>
      <c r="H1222" s="138"/>
      <c r="I1222" s="138"/>
      <c r="J1222" s="139"/>
    </row>
    <row r="1223" spans="1:10" ht="35.700000000000003" customHeight="1" thickBot="1" x14ac:dyDescent="0.35">
      <c r="A1223" s="27"/>
      <c r="B1223" s="141" t="s">
        <v>53</v>
      </c>
      <c r="C1223" s="133"/>
      <c r="D1223" s="131"/>
      <c r="E1223" s="140" t="s">
        <v>54</v>
      </c>
      <c r="F1223" s="133"/>
      <c r="G1223" s="131"/>
      <c r="H1223" s="140"/>
      <c r="I1223" s="131"/>
      <c r="J1223" s="50" t="s">
        <v>56</v>
      </c>
    </row>
    <row r="1224" spans="1:10" ht="150" customHeight="1" x14ac:dyDescent="0.3">
      <c r="A1224" s="22">
        <v>1</v>
      </c>
      <c r="B1224" s="132" t="str">
        <f>IF('Направление 5'!B19="","",'Направление 5'!B19)</f>
        <v>програмируем робот</v>
      </c>
      <c r="C1224" s="133"/>
      <c r="D1224" s="131"/>
      <c r="E1224" s="130" t="str">
        <f>IF('Направление 5'!C19="","",'Направление 5'!C19)</f>
        <v xml:space="preserve"> Робот играчка
Дистанционно С дистанционно устройство
Батерия Литиево-йонна
Зареждане USB
Тип сглобяване Сглобен
Тип придвижване -Колелца.Програмируемият робот  може да се движи се по линия, реагира на звуци и светлина.
Зарежда се посредством microUSB кабел. Управление чрез Bluetooth таблет/смартфон;
Поддържани програмни езици:
USB за връзка  с компютър;
</v>
      </c>
      <c r="F1224" s="133"/>
      <c r="G1224" s="131"/>
      <c r="H1224" s="130" t="str">
        <f>IF('Специализирано оборудване'!D4="","",'Специализирано оборудване'!D4)</f>
        <v/>
      </c>
      <c r="I1224" s="131"/>
      <c r="J1224" s="61" t="str">
        <f>IF('Специализирано оборудване'!E4=0,"",'Специализирано оборудване'!E4)</f>
        <v/>
      </c>
    </row>
    <row r="1225" spans="1:10" ht="150" customHeight="1" x14ac:dyDescent="0.3">
      <c r="A1225" s="23">
        <v>2</v>
      </c>
      <c r="B1225" s="132" t="str">
        <f>IF('Направление 5'!B20="","",'Направление 5'!B20)</f>
        <v>мултифункционално устройство</v>
      </c>
      <c r="C1225" s="133"/>
      <c r="D1225" s="131"/>
      <c r="E1225" s="130" t="str">
        <f>IF('Направление 5'!C20="","",'Направление 5'!C20)</f>
        <v>Поддържан формат на хартията до SRA3
   Стандартна памет от 8 GB RAM
   25 ppm, за да бъдете в крак с нарастващото натоварване
   Капацитет на зареждане с хартията до 6 650 листа 
   Скорост при цветно сканиране до 200 ipmПълна интеграция със система за управление на печата</v>
      </c>
      <c r="F1225" s="133"/>
      <c r="G1225" s="131"/>
      <c r="H1225" s="130" t="str">
        <f>IF('Специализирано оборудване'!D5="","",'Специализирано оборудване'!D5)</f>
        <v/>
      </c>
      <c r="I1225" s="131"/>
      <c r="J1225" s="61" t="str">
        <f>IF('Специализирано оборудване'!E5=0,"",'Специализирано оборудване'!E5)</f>
        <v/>
      </c>
    </row>
    <row r="1226" spans="1:10" ht="150" customHeight="1" x14ac:dyDescent="0.3">
      <c r="A1226" s="23">
        <v>3</v>
      </c>
      <c r="B1226" s="132" t="str">
        <f>IF('Специализирано оборудване'!B6="","",'Специализирано оборудване'!B6)</f>
        <v/>
      </c>
      <c r="C1226" s="133"/>
      <c r="D1226" s="131"/>
      <c r="E1226" s="130" t="str">
        <f>IF('Специализирано оборудване'!C6="","",'Специализирано оборудване'!C6)</f>
        <v/>
      </c>
      <c r="F1226" s="133"/>
      <c r="G1226" s="131"/>
      <c r="H1226" s="130" t="str">
        <f>IF('Специализирано оборудване'!D6="","",'Специализирано оборудване'!D6)</f>
        <v/>
      </c>
      <c r="I1226" s="131"/>
      <c r="J1226" s="61" t="str">
        <f>IF('Специализирано оборудване'!E6=0,"",'Специализирано оборудване'!E6)</f>
        <v/>
      </c>
    </row>
    <row r="1227" spans="1:10" ht="150" customHeight="1" x14ac:dyDescent="0.3">
      <c r="A1227" s="23">
        <v>4</v>
      </c>
      <c r="B1227" s="132" t="str">
        <f>IF('Специализирано оборудване'!B7="","",'Специализирано оборудване'!B7)</f>
        <v/>
      </c>
      <c r="C1227" s="133"/>
      <c r="D1227" s="131"/>
      <c r="E1227" s="130" t="str">
        <f>IF('Специализирано оборудване'!C7="","",'Специализирано оборудване'!C7)</f>
        <v/>
      </c>
      <c r="F1227" s="133"/>
      <c r="G1227" s="131"/>
      <c r="H1227" s="130" t="str">
        <f>IF('Специализирано оборудване'!D7="","",'Специализирано оборудване'!D7)</f>
        <v/>
      </c>
      <c r="I1227" s="131"/>
      <c r="J1227" s="61" t="str">
        <f>IF('Специализирано оборудване'!E7=0,"",'Специализирано оборудване'!E7)</f>
        <v/>
      </c>
    </row>
    <row r="1228" spans="1:10" ht="150" customHeight="1" x14ac:dyDescent="0.3">
      <c r="A1228" s="23">
        <v>5</v>
      </c>
      <c r="B1228" s="132" t="str">
        <f>IF('Специализирано оборудване'!B8="","",'Специализирано оборудване'!B8)</f>
        <v/>
      </c>
      <c r="C1228" s="133"/>
      <c r="D1228" s="131"/>
      <c r="E1228" s="130" t="str">
        <f>IF('Специализирано оборудване'!C8="","",'Специализирано оборудване'!C8)</f>
        <v/>
      </c>
      <c r="F1228" s="133"/>
      <c r="G1228" s="131"/>
      <c r="H1228" s="130" t="str">
        <f>IF('Специализирано оборудване'!D8="","",'Специализирано оборудване'!D8)</f>
        <v/>
      </c>
      <c r="I1228" s="131"/>
      <c r="J1228" s="61" t="str">
        <f>IF('Специализирано оборудване'!E8=0,"",'Специализирано оборудване'!E8)</f>
        <v/>
      </c>
    </row>
    <row r="1229" spans="1:10" ht="150" customHeight="1" x14ac:dyDescent="0.3">
      <c r="A1229" s="23">
        <v>6</v>
      </c>
      <c r="B1229" s="132" t="str">
        <f>IF('Специализирано оборудване'!B9="","",'Специализирано оборудване'!B9)</f>
        <v/>
      </c>
      <c r="C1229" s="133"/>
      <c r="D1229" s="131"/>
      <c r="E1229" s="130" t="str">
        <f>IF('Специализирано оборудване'!C9="","",'Специализирано оборудване'!C9)</f>
        <v/>
      </c>
      <c r="F1229" s="133"/>
      <c r="G1229" s="131"/>
      <c r="H1229" s="130" t="str">
        <f>IF('Специализирано оборудване'!D9="","",'Специализирано оборудване'!D9)</f>
        <v/>
      </c>
      <c r="I1229" s="131"/>
      <c r="J1229" s="61" t="str">
        <f>IF('Специализирано оборудване'!E9=0,"",'Специализирано оборудване'!E9)</f>
        <v/>
      </c>
    </row>
    <row r="1230" spans="1:10" ht="150" customHeight="1" x14ac:dyDescent="0.3">
      <c r="A1230" s="23">
        <v>7</v>
      </c>
      <c r="B1230" s="132" t="str">
        <f>IF('Специализирано оборудване'!B10="","",'Специализирано оборудване'!B10)</f>
        <v/>
      </c>
      <c r="C1230" s="133"/>
      <c r="D1230" s="131"/>
      <c r="E1230" s="130" t="str">
        <f>IF('Специализирано оборудване'!C10="","",'Специализирано оборудване'!C10)</f>
        <v/>
      </c>
      <c r="F1230" s="133"/>
      <c r="G1230" s="131"/>
      <c r="H1230" s="130" t="str">
        <f>IF('Специализирано оборудване'!D10="","",'Специализирано оборудване'!D10)</f>
        <v/>
      </c>
      <c r="I1230" s="131"/>
      <c r="J1230" s="61" t="str">
        <f>IF('Специализирано оборудване'!E10=0,"",'Специализирано оборудване'!E10)</f>
        <v/>
      </c>
    </row>
    <row r="1231" spans="1:10" ht="150" customHeight="1" x14ac:dyDescent="0.3">
      <c r="A1231" s="23">
        <v>8</v>
      </c>
      <c r="B1231" s="132" t="str">
        <f>IF('Специализирано оборудване'!B11="","",'Специализирано оборудване'!B11)</f>
        <v/>
      </c>
      <c r="C1231" s="133"/>
      <c r="D1231" s="131"/>
      <c r="E1231" s="130" t="str">
        <f>IF('Специализирано оборудване'!C11="","",'Специализирано оборудване'!C11)</f>
        <v/>
      </c>
      <c r="F1231" s="133"/>
      <c r="G1231" s="131"/>
      <c r="H1231" s="130" t="str">
        <f>IF('Специализирано оборудване'!D11="","",'Специализирано оборудване'!D11)</f>
        <v/>
      </c>
      <c r="I1231" s="131"/>
      <c r="J1231" s="61" t="str">
        <f>IF('Специализирано оборудване'!E11=0,"",'Специализирано оборудване'!E11)</f>
        <v/>
      </c>
    </row>
    <row r="1232" spans="1:10" ht="150" customHeight="1" x14ac:dyDescent="0.3">
      <c r="A1232" s="23">
        <v>9</v>
      </c>
      <c r="B1232" s="132" t="str">
        <f>IF('Специализирано оборудване'!B12="","",'Специализирано оборудване'!B12)</f>
        <v/>
      </c>
      <c r="C1232" s="133"/>
      <c r="D1232" s="131"/>
      <c r="E1232" s="130" t="str">
        <f>IF('Специализирано оборудване'!C12="","",'Специализирано оборудване'!C12)</f>
        <v/>
      </c>
      <c r="F1232" s="133"/>
      <c r="G1232" s="131"/>
      <c r="H1232" s="130" t="str">
        <f>IF('Специализирано оборудване'!D12="","",'Специализирано оборудване'!D12)</f>
        <v/>
      </c>
      <c r="I1232" s="131"/>
      <c r="J1232" s="61" t="str">
        <f>IF('Специализирано оборудване'!E12=0,"",'Специализирано оборудване'!E12)</f>
        <v/>
      </c>
    </row>
    <row r="1233" spans="1:10" ht="150" customHeight="1" x14ac:dyDescent="0.3">
      <c r="A1233" s="23">
        <v>10</v>
      </c>
      <c r="B1233" s="132" t="str">
        <f>IF('Специализирано оборудване'!B13="","",'Специализирано оборудване'!B13)</f>
        <v/>
      </c>
      <c r="C1233" s="133"/>
      <c r="D1233" s="131"/>
      <c r="E1233" s="130" t="str">
        <f>IF('Специализирано оборудване'!C13="","",'Специализирано оборудване'!C13)</f>
        <v/>
      </c>
      <c r="F1233" s="133"/>
      <c r="G1233" s="131"/>
      <c r="H1233" s="130" t="str">
        <f>IF('Специализирано оборудване'!D13="","",'Специализирано оборудване'!D13)</f>
        <v/>
      </c>
      <c r="I1233" s="131"/>
      <c r="J1233" s="61" t="str">
        <f>IF('Специализирано оборудване'!E13=0,"",'Специализирано оборудване'!E13)</f>
        <v/>
      </c>
    </row>
    <row r="1234" spans="1:10" ht="150" customHeight="1" x14ac:dyDescent="0.3">
      <c r="A1234" s="23">
        <v>11</v>
      </c>
      <c r="B1234" s="132" t="str">
        <f>IF('Специализирано оборудване'!B14="","",'Специализирано оборудване'!B14)</f>
        <v/>
      </c>
      <c r="C1234" s="133"/>
      <c r="D1234" s="131"/>
      <c r="E1234" s="130" t="str">
        <f>IF('Специализирано оборудване'!C14="","",'Специализирано оборудване'!C14)</f>
        <v/>
      </c>
      <c r="F1234" s="133"/>
      <c r="G1234" s="131"/>
      <c r="H1234" s="130" t="str">
        <f>IF('Специализирано оборудване'!D14="","",'Специализирано оборудване'!D14)</f>
        <v/>
      </c>
      <c r="I1234" s="131"/>
      <c r="J1234" s="61" t="str">
        <f>IF('Специализирано оборудване'!E14=0,"",'Специализирано оборудване'!E14)</f>
        <v/>
      </c>
    </row>
    <row r="1235" spans="1:10" ht="150" customHeight="1" x14ac:dyDescent="0.3">
      <c r="A1235" s="23">
        <v>12</v>
      </c>
      <c r="B1235" s="132" t="str">
        <f>IF('Специализирано оборудване'!B15="","",'Специализирано оборудване'!B15)</f>
        <v/>
      </c>
      <c r="C1235" s="133"/>
      <c r="D1235" s="131"/>
      <c r="E1235" s="130" t="str">
        <f>IF('Специализирано оборудване'!C15="","",'Специализирано оборудване'!C15)</f>
        <v/>
      </c>
      <c r="F1235" s="133"/>
      <c r="G1235" s="131"/>
      <c r="H1235" s="130" t="str">
        <f>IF('Специализирано оборудване'!D15="","",'Специализирано оборудване'!D15)</f>
        <v/>
      </c>
      <c r="I1235" s="131"/>
      <c r="J1235" s="61" t="str">
        <f>IF('Специализирано оборудване'!E15=0,"",'Специализирано оборудване'!E15)</f>
        <v/>
      </c>
    </row>
    <row r="1236" spans="1:10" ht="150" customHeight="1" x14ac:dyDescent="0.3">
      <c r="A1236" s="23">
        <v>13</v>
      </c>
      <c r="B1236" s="132" t="str">
        <f>IF('Специализирано оборудване'!B16="","",'Специализирано оборудване'!B16)</f>
        <v/>
      </c>
      <c r="C1236" s="133"/>
      <c r="D1236" s="131"/>
      <c r="E1236" s="130" t="str">
        <f>IF('Специализирано оборудване'!C16="","",'Специализирано оборудване'!C16)</f>
        <v/>
      </c>
      <c r="F1236" s="133"/>
      <c r="G1236" s="131"/>
      <c r="H1236" s="130" t="str">
        <f>IF('Специализирано оборудване'!D16="","",'Специализирано оборудване'!D16)</f>
        <v/>
      </c>
      <c r="I1236" s="131"/>
      <c r="J1236" s="61" t="str">
        <f>IF('Специализирано оборудване'!E16=0,"",'Специализирано оборудване'!E16)</f>
        <v/>
      </c>
    </row>
    <row r="1237" spans="1:10" ht="150" customHeight="1" x14ac:dyDescent="0.3">
      <c r="A1237" s="23">
        <v>14</v>
      </c>
      <c r="B1237" s="132" t="str">
        <f>IF('Специализирано оборудване'!B17="","",'Специализирано оборудване'!B17)</f>
        <v/>
      </c>
      <c r="C1237" s="133"/>
      <c r="D1237" s="131"/>
      <c r="E1237" s="130" t="str">
        <f>IF('Специализирано оборудване'!C17="","",'Специализирано оборудване'!C17)</f>
        <v/>
      </c>
      <c r="F1237" s="133"/>
      <c r="G1237" s="131"/>
      <c r="H1237" s="130" t="str">
        <f>IF('Специализирано оборудване'!D17="","",'Специализирано оборудване'!D17)</f>
        <v/>
      </c>
      <c r="I1237" s="131"/>
      <c r="J1237" s="61" t="str">
        <f>IF('Специализирано оборудване'!E17=0,"",'Специализирано оборудване'!E17)</f>
        <v/>
      </c>
    </row>
    <row r="1238" spans="1:10" ht="150" customHeight="1" x14ac:dyDescent="0.3">
      <c r="A1238" s="23">
        <v>15</v>
      </c>
      <c r="B1238" s="132" t="str">
        <f>IF('Специализирано оборудване'!B18="","",'Специализирано оборудване'!B18)</f>
        <v/>
      </c>
      <c r="C1238" s="133"/>
      <c r="D1238" s="131"/>
      <c r="E1238" s="130" t="str">
        <f>IF('Специализирано оборудване'!C18="","",'Специализирано оборудване'!C18)</f>
        <v/>
      </c>
      <c r="F1238" s="133"/>
      <c r="G1238" s="131"/>
      <c r="H1238" s="130" t="str">
        <f>IF('Специализирано оборудване'!D18="","",'Специализирано оборудване'!D18)</f>
        <v/>
      </c>
      <c r="I1238" s="131"/>
      <c r="J1238" s="61" t="str">
        <f>IF('Специализирано оборудване'!E18=0,"",'Специализирано оборудване'!E18)</f>
        <v/>
      </c>
    </row>
    <row r="1239" spans="1:10" ht="150" customHeight="1" x14ac:dyDescent="0.3">
      <c r="A1239" s="23">
        <v>16</v>
      </c>
      <c r="B1239" s="132" t="str">
        <f>IF('Специализирано оборудване'!B19="","",'Специализирано оборудване'!B19)</f>
        <v/>
      </c>
      <c r="C1239" s="133"/>
      <c r="D1239" s="131"/>
      <c r="E1239" s="130" t="str">
        <f>IF('Специализирано оборудване'!C19="","",'Специализирано оборудване'!C19)</f>
        <v/>
      </c>
      <c r="F1239" s="133"/>
      <c r="G1239" s="131"/>
      <c r="H1239" s="130" t="str">
        <f>IF('Специализирано оборудване'!D19="","",'Специализирано оборудване'!D19)</f>
        <v/>
      </c>
      <c r="I1239" s="131"/>
      <c r="J1239" s="61" t="str">
        <f>IF('Специализирано оборудване'!E19=0,"",'Специализирано оборудване'!E19)</f>
        <v/>
      </c>
    </row>
    <row r="1240" spans="1:10" ht="150" customHeight="1" x14ac:dyDescent="0.3">
      <c r="A1240" s="23">
        <v>17</v>
      </c>
      <c r="B1240" s="132" t="str">
        <f>IF('Специализирано оборудване'!B20="","",'Специализирано оборудване'!B20)</f>
        <v/>
      </c>
      <c r="C1240" s="133"/>
      <c r="D1240" s="131"/>
      <c r="E1240" s="130" t="str">
        <f>IF('Специализирано оборудване'!C20="","",'Специализирано оборудване'!C20)</f>
        <v/>
      </c>
      <c r="F1240" s="133"/>
      <c r="G1240" s="131"/>
      <c r="H1240" s="130" t="str">
        <f>IF('Специализирано оборудване'!D20="","",'Специализирано оборудване'!D20)</f>
        <v/>
      </c>
      <c r="I1240" s="131"/>
      <c r="J1240" s="61" t="str">
        <f>IF('Специализирано оборудване'!E20=0,"",'Специализирано оборудване'!E20)</f>
        <v/>
      </c>
    </row>
    <row r="1241" spans="1:10" ht="150" customHeight="1" x14ac:dyDescent="0.3">
      <c r="A1241" s="23">
        <v>18</v>
      </c>
      <c r="B1241" s="132" t="str">
        <f>IF('Специализирано оборудване'!B21="","",'Специализирано оборудване'!B21)</f>
        <v/>
      </c>
      <c r="C1241" s="133"/>
      <c r="D1241" s="131"/>
      <c r="E1241" s="130" t="str">
        <f>IF('Специализирано оборудване'!C21="","",'Специализирано оборудване'!C21)</f>
        <v/>
      </c>
      <c r="F1241" s="133"/>
      <c r="G1241" s="131"/>
      <c r="H1241" s="130" t="str">
        <f>IF('Специализирано оборудване'!D21="","",'Специализирано оборудване'!D21)</f>
        <v/>
      </c>
      <c r="I1241" s="131"/>
      <c r="J1241" s="61" t="str">
        <f>IF('Специализирано оборудване'!E21=0,"",'Специализирано оборудване'!E21)</f>
        <v/>
      </c>
    </row>
    <row r="1242" spans="1:10" ht="150" customHeight="1" x14ac:dyDescent="0.3">
      <c r="A1242" s="23">
        <v>19</v>
      </c>
      <c r="B1242" s="132" t="str">
        <f>IF('Специализирано оборудване'!B22="","",'Специализирано оборудване'!B22)</f>
        <v/>
      </c>
      <c r="C1242" s="133"/>
      <c r="D1242" s="131"/>
      <c r="E1242" s="130" t="str">
        <f>IF('Специализирано оборудване'!C22="","",'Специализирано оборудване'!C22)</f>
        <v/>
      </c>
      <c r="F1242" s="133"/>
      <c r="G1242" s="131"/>
      <c r="H1242" s="130" t="str">
        <f>IF('Специализирано оборудване'!D22="","",'Специализирано оборудване'!D22)</f>
        <v/>
      </c>
      <c r="I1242" s="131"/>
      <c r="J1242" s="61" t="str">
        <f>IF('Специализирано оборудване'!E22=0,"",'Специализирано оборудване'!E22)</f>
        <v/>
      </c>
    </row>
    <row r="1243" spans="1:10" ht="150" customHeight="1" thickBot="1" x14ac:dyDescent="0.35">
      <c r="A1243" s="24">
        <v>20</v>
      </c>
      <c r="B1243" s="132" t="str">
        <f>IF('Специализирано оборудване'!B23="","",'Специализирано оборудване'!B23)</f>
        <v/>
      </c>
      <c r="C1243" s="133"/>
      <c r="D1243" s="131"/>
      <c r="E1243" s="130" t="str">
        <f>IF('Специализирано оборудване'!C23="","",'Специализирано оборудване'!C23)</f>
        <v/>
      </c>
      <c r="F1243" s="133"/>
      <c r="G1243" s="131"/>
      <c r="H1243" s="130" t="str">
        <f>IF('Специализирано оборудване'!D23="","",'Специализирано оборудване'!D23)</f>
        <v/>
      </c>
      <c r="I1243" s="131"/>
      <c r="J1243" s="61" t="str">
        <f>IF('Специализирано оборудване'!E23=0,"",'Специализирано оборудване'!E23)</f>
        <v/>
      </c>
    </row>
    <row r="1244" spans="1:10" ht="150" customHeight="1" x14ac:dyDescent="0.3">
      <c r="A1244" s="22">
        <v>21</v>
      </c>
      <c r="B1244" s="132" t="str">
        <f>IF('Специализирано оборудване'!B24="","",'Специализирано оборудване'!B24)</f>
        <v/>
      </c>
      <c r="C1244" s="133"/>
      <c r="D1244" s="131"/>
      <c r="E1244" s="130" t="str">
        <f>IF('Специализирано оборудване'!C24="","",'Специализирано оборудване'!C24)</f>
        <v/>
      </c>
      <c r="F1244" s="133"/>
      <c r="G1244" s="131"/>
      <c r="H1244" s="130" t="str">
        <f>IF('Специализирано оборудване'!D24="","",'Специализирано оборудване'!D24)</f>
        <v/>
      </c>
      <c r="I1244" s="131"/>
      <c r="J1244" s="61" t="str">
        <f>IF('Специализирано оборудване'!E24=0,"",'Специализирано оборудване'!E24)</f>
        <v/>
      </c>
    </row>
    <row r="1245" spans="1:10" ht="150" customHeight="1" x14ac:dyDescent="0.3">
      <c r="A1245" s="23">
        <v>22</v>
      </c>
      <c r="B1245" s="132" t="str">
        <f>IF('Специализирано оборудване'!B25="","",'Специализирано оборудване'!B25)</f>
        <v/>
      </c>
      <c r="C1245" s="133"/>
      <c r="D1245" s="131"/>
      <c r="E1245" s="130" t="str">
        <f>IF('Специализирано оборудване'!C25="","",'Специализирано оборудване'!C25)</f>
        <v/>
      </c>
      <c r="F1245" s="133"/>
      <c r="G1245" s="131"/>
      <c r="H1245" s="130" t="str">
        <f>IF('Специализирано оборудване'!D25="","",'Специализирано оборудване'!D25)</f>
        <v/>
      </c>
      <c r="I1245" s="131"/>
      <c r="J1245" s="61" t="str">
        <f>IF('Специализирано оборудване'!E25=0,"",'Специализирано оборудване'!E25)</f>
        <v/>
      </c>
    </row>
    <row r="1246" spans="1:10" ht="150" customHeight="1" x14ac:dyDescent="0.3">
      <c r="A1246" s="23">
        <v>23</v>
      </c>
      <c r="B1246" s="132" t="str">
        <f>IF('Специализирано оборудване'!B26="","",'Специализирано оборудване'!B26)</f>
        <v/>
      </c>
      <c r="C1246" s="133"/>
      <c r="D1246" s="131"/>
      <c r="E1246" s="130" t="str">
        <f>IF('Специализирано оборудване'!C26="","",'Специализирано оборудване'!C26)</f>
        <v/>
      </c>
      <c r="F1246" s="133"/>
      <c r="G1246" s="131"/>
      <c r="H1246" s="130" t="str">
        <f>IF('Специализирано оборудване'!D26="","",'Специализирано оборудване'!D26)</f>
        <v/>
      </c>
      <c r="I1246" s="131"/>
      <c r="J1246" s="61" t="str">
        <f>IF('Специализирано оборудване'!E26=0,"",'Специализирано оборудване'!E26)</f>
        <v/>
      </c>
    </row>
    <row r="1247" spans="1:10" ht="150" customHeight="1" x14ac:dyDescent="0.3">
      <c r="A1247" s="23">
        <v>24</v>
      </c>
      <c r="B1247" s="132" t="str">
        <f>IF('Специализирано оборудване'!B27="","",'Специализирано оборудване'!B27)</f>
        <v/>
      </c>
      <c r="C1247" s="133"/>
      <c r="D1247" s="131"/>
      <c r="E1247" s="130" t="str">
        <f>IF('Специализирано оборудване'!C27="","",'Специализирано оборудване'!C27)</f>
        <v/>
      </c>
      <c r="F1247" s="133"/>
      <c r="G1247" s="131"/>
      <c r="H1247" s="130" t="str">
        <f>IF('Специализирано оборудване'!D27="","",'Специализирано оборудване'!D27)</f>
        <v/>
      </c>
      <c r="I1247" s="131"/>
      <c r="J1247" s="61" t="str">
        <f>IF('Специализирано оборудване'!E27=0,"",'Специализирано оборудване'!E27)</f>
        <v/>
      </c>
    </row>
    <row r="1248" spans="1:10" ht="150" customHeight="1" x14ac:dyDescent="0.3">
      <c r="A1248" s="23">
        <v>25</v>
      </c>
      <c r="B1248" s="132" t="str">
        <f>IF('Специализирано оборудване'!B28="","",'Специализирано оборудване'!B28)</f>
        <v/>
      </c>
      <c r="C1248" s="133"/>
      <c r="D1248" s="131"/>
      <c r="E1248" s="130" t="str">
        <f>IF('Специализирано оборудване'!C28="","",'Специализирано оборудване'!C28)</f>
        <v/>
      </c>
      <c r="F1248" s="133"/>
      <c r="G1248" s="131"/>
      <c r="H1248" s="130" t="str">
        <f>IF('Специализирано оборудване'!D28="","",'Специализирано оборудване'!D28)</f>
        <v/>
      </c>
      <c r="I1248" s="131"/>
      <c r="J1248" s="61" t="str">
        <f>IF('Специализирано оборудване'!E28=0,"",'Специализирано оборудване'!E28)</f>
        <v/>
      </c>
    </row>
    <row r="1249" spans="1:10" ht="150" customHeight="1" x14ac:dyDescent="0.3">
      <c r="A1249" s="23">
        <v>26</v>
      </c>
      <c r="B1249" s="132" t="str">
        <f>IF('Специализирано оборудване'!B29="","",'Специализирано оборудване'!B29)</f>
        <v/>
      </c>
      <c r="C1249" s="133"/>
      <c r="D1249" s="131"/>
      <c r="E1249" s="130" t="str">
        <f>IF('Специализирано оборудване'!C29="","",'Специализирано оборудване'!C29)</f>
        <v/>
      </c>
      <c r="F1249" s="133"/>
      <c r="G1249" s="131"/>
      <c r="H1249" s="130" t="str">
        <f>IF('Специализирано оборудване'!D29="","",'Специализирано оборудване'!D29)</f>
        <v/>
      </c>
      <c r="I1249" s="131"/>
      <c r="J1249" s="61" t="str">
        <f>IF('Специализирано оборудване'!E29=0,"",'Специализирано оборудване'!E29)</f>
        <v/>
      </c>
    </row>
    <row r="1250" spans="1:10" ht="150" customHeight="1" x14ac:dyDescent="0.3">
      <c r="A1250" s="23">
        <v>27</v>
      </c>
      <c r="B1250" s="132" t="str">
        <f>IF('Специализирано оборудване'!B30="","",'Специализирано оборудване'!B30)</f>
        <v/>
      </c>
      <c r="C1250" s="133"/>
      <c r="D1250" s="131"/>
      <c r="E1250" s="130" t="str">
        <f>IF('Специализирано оборудване'!C30="","",'Специализирано оборудване'!C30)</f>
        <v/>
      </c>
      <c r="F1250" s="133"/>
      <c r="G1250" s="131"/>
      <c r="H1250" s="130" t="str">
        <f>IF('Специализирано оборудване'!D30="","",'Специализирано оборудване'!D30)</f>
        <v/>
      </c>
      <c r="I1250" s="131"/>
      <c r="J1250" s="61" t="str">
        <f>IF('Специализирано оборудване'!E30=0,"",'Специализирано оборудване'!E30)</f>
        <v/>
      </c>
    </row>
    <row r="1251" spans="1:10" ht="150" customHeight="1" x14ac:dyDescent="0.3">
      <c r="A1251" s="23">
        <v>28</v>
      </c>
      <c r="B1251" s="132" t="str">
        <f>IF('Специализирано оборудване'!B31="","",'Специализирано оборудване'!B31)</f>
        <v/>
      </c>
      <c r="C1251" s="133"/>
      <c r="D1251" s="131"/>
      <c r="E1251" s="130" t="str">
        <f>IF('Специализирано оборудване'!C31="","",'Специализирано оборудване'!C31)</f>
        <v/>
      </c>
      <c r="F1251" s="133"/>
      <c r="G1251" s="131"/>
      <c r="H1251" s="130" t="str">
        <f>IF('Специализирано оборудване'!D31="","",'Специализирано оборудване'!D31)</f>
        <v/>
      </c>
      <c r="I1251" s="131"/>
      <c r="J1251" s="61" t="str">
        <f>IF('Специализирано оборудване'!E31=0,"",'Специализирано оборудване'!E31)</f>
        <v/>
      </c>
    </row>
    <row r="1252" spans="1:10" ht="150" customHeight="1" x14ac:dyDescent="0.3">
      <c r="A1252" s="23">
        <v>29</v>
      </c>
      <c r="B1252" s="132" t="str">
        <f>IF('Специализирано оборудване'!B32="","",'Специализирано оборудване'!B32)</f>
        <v/>
      </c>
      <c r="C1252" s="133"/>
      <c r="D1252" s="131"/>
      <c r="E1252" s="130" t="str">
        <f>IF('Специализирано оборудване'!C32="","",'Специализирано оборудване'!C32)</f>
        <v/>
      </c>
      <c r="F1252" s="133"/>
      <c r="G1252" s="131"/>
      <c r="H1252" s="130" t="str">
        <f>IF('Специализирано оборудване'!D32="","",'Специализирано оборудване'!D32)</f>
        <v/>
      </c>
      <c r="I1252" s="131"/>
      <c r="J1252" s="61" t="str">
        <f>IF('Специализирано оборудване'!E32=0,"",'Специализирано оборудване'!E32)</f>
        <v/>
      </c>
    </row>
    <row r="1253" spans="1:10" ht="150" customHeight="1" x14ac:dyDescent="0.3">
      <c r="A1253" s="23">
        <v>30</v>
      </c>
      <c r="B1253" s="132" t="str">
        <f>IF('Специализирано оборудване'!B33="","",'Специализирано оборудване'!B33)</f>
        <v/>
      </c>
      <c r="C1253" s="133"/>
      <c r="D1253" s="131"/>
      <c r="E1253" s="130" t="str">
        <f>IF('Специализирано оборудване'!C33="","",'Специализирано оборудване'!C33)</f>
        <v/>
      </c>
      <c r="F1253" s="133"/>
      <c r="G1253" s="131"/>
      <c r="H1253" s="130" t="str">
        <f>IF('Специализирано оборудване'!D33="","",'Специализирано оборудване'!D33)</f>
        <v/>
      </c>
      <c r="I1253" s="131"/>
      <c r="J1253" s="61" t="str">
        <f>IF('Специализирано оборудване'!E33=0,"",'Специализирано оборудване'!E33)</f>
        <v/>
      </c>
    </row>
    <row r="1254" spans="1:10" ht="150" customHeight="1" x14ac:dyDescent="0.3">
      <c r="A1254" s="23">
        <v>31</v>
      </c>
      <c r="B1254" s="132" t="str">
        <f>IF('Специализирано оборудване'!B34="","",'Специализирано оборудване'!B34)</f>
        <v/>
      </c>
      <c r="C1254" s="133"/>
      <c r="D1254" s="131"/>
      <c r="E1254" s="130" t="str">
        <f>IF('Специализирано оборудване'!C34="","",'Специализирано оборудване'!C34)</f>
        <v/>
      </c>
      <c r="F1254" s="133"/>
      <c r="G1254" s="131"/>
      <c r="H1254" s="130" t="str">
        <f>IF('Специализирано оборудване'!D34="","",'Специализирано оборудване'!D34)</f>
        <v/>
      </c>
      <c r="I1254" s="131"/>
      <c r="J1254" s="61" t="str">
        <f>IF('Специализирано оборудване'!E34=0,"",'Специализирано оборудване'!E34)</f>
        <v/>
      </c>
    </row>
    <row r="1255" spans="1:10" ht="150" customHeight="1" x14ac:dyDescent="0.3">
      <c r="A1255" s="23">
        <v>32</v>
      </c>
      <c r="B1255" s="132" t="str">
        <f>IF('Специализирано оборудване'!B35="","",'Специализирано оборудване'!B35)</f>
        <v/>
      </c>
      <c r="C1255" s="133"/>
      <c r="D1255" s="131"/>
      <c r="E1255" s="130" t="str">
        <f>IF('Специализирано оборудване'!C35="","",'Специализирано оборудване'!C35)</f>
        <v/>
      </c>
      <c r="F1255" s="133"/>
      <c r="G1255" s="131"/>
      <c r="H1255" s="130" t="str">
        <f>IF('Специализирано оборудване'!D35="","",'Специализирано оборудване'!D35)</f>
        <v/>
      </c>
      <c r="I1255" s="131"/>
      <c r="J1255" s="61" t="str">
        <f>IF('Специализирано оборудване'!E35=0,"",'Специализирано оборудване'!E35)</f>
        <v/>
      </c>
    </row>
    <row r="1256" spans="1:10" ht="150" customHeight="1" x14ac:dyDescent="0.3">
      <c r="A1256" s="23">
        <v>33</v>
      </c>
      <c r="B1256" s="132" t="str">
        <f>IF('Специализирано оборудване'!B36="","",'Специализирано оборудване'!B36)</f>
        <v/>
      </c>
      <c r="C1256" s="133"/>
      <c r="D1256" s="131"/>
      <c r="E1256" s="130" t="str">
        <f>IF('Специализирано оборудване'!C36="","",'Специализирано оборудване'!C36)</f>
        <v/>
      </c>
      <c r="F1256" s="133"/>
      <c r="G1256" s="131"/>
      <c r="H1256" s="130" t="str">
        <f>IF('Специализирано оборудване'!D36="","",'Специализирано оборудване'!D36)</f>
        <v/>
      </c>
      <c r="I1256" s="131"/>
      <c r="J1256" s="61" t="str">
        <f>IF('Специализирано оборудване'!E36=0,"",'Специализирано оборудване'!E36)</f>
        <v/>
      </c>
    </row>
    <row r="1257" spans="1:10" ht="150" customHeight="1" x14ac:dyDescent="0.3">
      <c r="A1257" s="23">
        <v>34</v>
      </c>
      <c r="B1257" s="132" t="str">
        <f>IF('Специализирано оборудване'!B37="","",'Специализирано оборудване'!B37)</f>
        <v/>
      </c>
      <c r="C1257" s="133"/>
      <c r="D1257" s="131"/>
      <c r="E1257" s="130" t="str">
        <f>IF('Специализирано оборудване'!C37="","",'Специализирано оборудване'!C37)</f>
        <v/>
      </c>
      <c r="F1257" s="133"/>
      <c r="G1257" s="131"/>
      <c r="H1257" s="130" t="str">
        <f>IF('Специализирано оборудване'!D37="","",'Специализирано оборудване'!D37)</f>
        <v/>
      </c>
      <c r="I1257" s="131"/>
      <c r="J1257" s="61" t="str">
        <f>IF('Специализирано оборудване'!E37=0,"",'Специализирано оборудване'!E37)</f>
        <v/>
      </c>
    </row>
    <row r="1258" spans="1:10" ht="150" customHeight="1" x14ac:dyDescent="0.3">
      <c r="A1258" s="23">
        <v>35</v>
      </c>
      <c r="B1258" s="132" t="str">
        <f>IF('Специализирано оборудване'!B38="","",'Специализирано оборудване'!B38)</f>
        <v/>
      </c>
      <c r="C1258" s="133"/>
      <c r="D1258" s="131"/>
      <c r="E1258" s="130" t="str">
        <f>IF('Специализирано оборудване'!C38="","",'Специализирано оборудване'!C38)</f>
        <v/>
      </c>
      <c r="F1258" s="133"/>
      <c r="G1258" s="131"/>
      <c r="H1258" s="130" t="str">
        <f>IF('Специализирано оборудване'!D38="","",'Специализирано оборудване'!D38)</f>
        <v/>
      </c>
      <c r="I1258" s="131"/>
      <c r="J1258" s="61" t="str">
        <f>IF('Специализирано оборудване'!E38=0,"",'Специализирано оборудване'!E38)</f>
        <v/>
      </c>
    </row>
    <row r="1259" spans="1:10" ht="150" customHeight="1" x14ac:dyDescent="0.3">
      <c r="A1259" s="23">
        <v>36</v>
      </c>
      <c r="B1259" s="132" t="str">
        <f>IF('Специализирано оборудване'!B39="","",'Специализирано оборудване'!B39)</f>
        <v/>
      </c>
      <c r="C1259" s="133"/>
      <c r="D1259" s="131"/>
      <c r="E1259" s="130" t="str">
        <f>IF('Специализирано оборудване'!C39="","",'Специализирано оборудване'!C39)</f>
        <v/>
      </c>
      <c r="F1259" s="133"/>
      <c r="G1259" s="131"/>
      <c r="H1259" s="130" t="str">
        <f>IF('Специализирано оборудване'!D39="","",'Специализирано оборудване'!D39)</f>
        <v/>
      </c>
      <c r="I1259" s="131"/>
      <c r="J1259" s="61" t="str">
        <f>IF('Специализирано оборудване'!E39=0,"",'Специализирано оборудване'!E39)</f>
        <v/>
      </c>
    </row>
    <row r="1260" spans="1:10" ht="150" customHeight="1" x14ac:dyDescent="0.3">
      <c r="A1260" s="23">
        <v>37</v>
      </c>
      <c r="B1260" s="132" t="str">
        <f>IF('Специализирано оборудване'!B40="","",'Специализирано оборудване'!B40)</f>
        <v/>
      </c>
      <c r="C1260" s="133"/>
      <c r="D1260" s="131"/>
      <c r="E1260" s="130" t="str">
        <f>IF('Специализирано оборудване'!C40="","",'Специализирано оборудване'!C40)</f>
        <v/>
      </c>
      <c r="F1260" s="133"/>
      <c r="G1260" s="131"/>
      <c r="H1260" s="130" t="str">
        <f>IF('Специализирано оборудване'!D40="","",'Специализирано оборудване'!D40)</f>
        <v/>
      </c>
      <c r="I1260" s="131"/>
      <c r="J1260" s="61" t="str">
        <f>IF('Специализирано оборудване'!E40=0,"",'Специализирано оборудване'!E40)</f>
        <v/>
      </c>
    </row>
    <row r="1261" spans="1:10" ht="150" customHeight="1" x14ac:dyDescent="0.3">
      <c r="A1261" s="23">
        <v>38</v>
      </c>
      <c r="B1261" s="132" t="str">
        <f>IF('Специализирано оборудване'!B41="","",'Специализирано оборудване'!B41)</f>
        <v/>
      </c>
      <c r="C1261" s="133"/>
      <c r="D1261" s="131"/>
      <c r="E1261" s="130" t="str">
        <f>IF('Специализирано оборудване'!C41="","",'Специализирано оборудване'!C41)</f>
        <v/>
      </c>
      <c r="F1261" s="133"/>
      <c r="G1261" s="131"/>
      <c r="H1261" s="130" t="str">
        <f>IF('Специализирано оборудване'!D41="","",'Специализирано оборудване'!D41)</f>
        <v/>
      </c>
      <c r="I1261" s="131"/>
      <c r="J1261" s="61" t="str">
        <f>IF('Специализирано оборудване'!E41=0,"",'Специализирано оборудване'!E41)</f>
        <v/>
      </c>
    </row>
    <row r="1262" spans="1:10" ht="150" customHeight="1" x14ac:dyDescent="0.3">
      <c r="A1262" s="23">
        <v>39</v>
      </c>
      <c r="B1262" s="132" t="str">
        <f>IF('Специализирано оборудване'!B42="","",'Специализирано оборудване'!B42)</f>
        <v/>
      </c>
      <c r="C1262" s="133"/>
      <c r="D1262" s="131"/>
      <c r="E1262" s="130" t="str">
        <f>IF('Специализирано оборудване'!C42="","",'Специализирано оборудване'!C42)</f>
        <v/>
      </c>
      <c r="F1262" s="133"/>
      <c r="G1262" s="131"/>
      <c r="H1262" s="130" t="str">
        <f>IF('Специализирано оборудване'!D42="","",'Специализирано оборудване'!D42)</f>
        <v/>
      </c>
      <c r="I1262" s="131"/>
      <c r="J1262" s="61" t="str">
        <f>IF('Специализирано оборудване'!E42=0,"",'Специализирано оборудване'!E42)</f>
        <v/>
      </c>
    </row>
    <row r="1263" spans="1:10" ht="150" customHeight="1" thickBot="1" x14ac:dyDescent="0.35">
      <c r="A1263" s="24">
        <v>40</v>
      </c>
      <c r="B1263" s="132" t="str">
        <f>IF('Специализирано оборудване'!B43="","",'Специализирано оборудване'!B43)</f>
        <v/>
      </c>
      <c r="C1263" s="133"/>
      <c r="D1263" s="131"/>
      <c r="E1263" s="130" t="str">
        <f>IF('Специализирано оборудване'!C43="","",'Специализирано оборудване'!C43)</f>
        <v/>
      </c>
      <c r="F1263" s="133"/>
      <c r="G1263" s="131"/>
      <c r="H1263" s="130" t="str">
        <f>IF('Специализирано оборудване'!D43="","",'Специализирано оборудване'!D43)</f>
        <v/>
      </c>
      <c r="I1263" s="131"/>
      <c r="J1263" s="61" t="str">
        <f>IF('Специализирано оборудване'!E43=0,"",'Специализирано оборудване'!E43)</f>
        <v/>
      </c>
    </row>
    <row r="1264" spans="1:10" ht="150" customHeight="1" thickBot="1" x14ac:dyDescent="0.35">
      <c r="A1264" s="27">
        <v>41</v>
      </c>
      <c r="B1264" s="132" t="str">
        <f>IF('Специализирано оборудване'!B44="","",'Специализирано оборудване'!B44)</f>
        <v/>
      </c>
      <c r="C1264" s="133"/>
      <c r="D1264" s="131"/>
      <c r="E1264" s="130" t="str">
        <f>IF('Специализирано оборудване'!C44="","",'Специализирано оборудване'!C44)</f>
        <v/>
      </c>
      <c r="F1264" s="133"/>
      <c r="G1264" s="131"/>
      <c r="H1264" s="130" t="str">
        <f>IF('Специализирано оборудване'!D44="","",'Специализирано оборудване'!D44)</f>
        <v/>
      </c>
      <c r="I1264" s="131"/>
      <c r="J1264" s="61" t="str">
        <f>IF('Специализирано оборудване'!E44=0,"",'Специализирано оборудване'!E44)</f>
        <v/>
      </c>
    </row>
    <row r="1265" spans="1:10" ht="150" customHeight="1" thickBot="1" x14ac:dyDescent="0.35">
      <c r="A1265" s="27">
        <v>42</v>
      </c>
      <c r="B1265" s="132" t="str">
        <f>IF('Специализирано оборудване'!B45="","",'Специализирано оборудване'!B45)</f>
        <v/>
      </c>
      <c r="C1265" s="133"/>
      <c r="D1265" s="131"/>
      <c r="E1265" s="130" t="str">
        <f>IF('Специализирано оборудване'!C45="","",'Специализирано оборудване'!C45)</f>
        <v/>
      </c>
      <c r="F1265" s="133"/>
      <c r="G1265" s="131"/>
      <c r="H1265" s="130" t="str">
        <f>IF('Специализирано оборудване'!D45="","",'Специализирано оборудване'!D45)</f>
        <v/>
      </c>
      <c r="I1265" s="131"/>
      <c r="J1265" s="61" t="str">
        <f>IF('Специализирано оборудване'!E45=0,"",'Специализирано оборудване'!E45)</f>
        <v/>
      </c>
    </row>
    <row r="1266" spans="1:10" ht="150" customHeight="1" thickBot="1" x14ac:dyDescent="0.35">
      <c r="A1266" s="27">
        <v>43</v>
      </c>
      <c r="B1266" s="132" t="str">
        <f>IF('Специализирано оборудване'!B46="","",'Специализирано оборудване'!B46)</f>
        <v/>
      </c>
      <c r="C1266" s="133"/>
      <c r="D1266" s="131"/>
      <c r="E1266" s="130" t="str">
        <f>IF('Специализирано оборудване'!C46="","",'Специализирано оборудване'!C46)</f>
        <v/>
      </c>
      <c r="F1266" s="133"/>
      <c r="G1266" s="131"/>
      <c r="H1266" s="130" t="str">
        <f>IF('Специализирано оборудване'!D46="","",'Специализирано оборудване'!D46)</f>
        <v/>
      </c>
      <c r="I1266" s="131"/>
      <c r="J1266" s="61" t="str">
        <f>IF('Специализирано оборудване'!E46=0,"",'Специализирано оборудване'!E46)</f>
        <v/>
      </c>
    </row>
    <row r="1267" spans="1:10" ht="150" customHeight="1" thickBot="1" x14ac:dyDescent="0.35">
      <c r="A1267" s="27">
        <v>44</v>
      </c>
      <c r="B1267" s="132" t="str">
        <f>IF('Специализирано оборудване'!B47="","",'Специализирано оборудване'!B47)</f>
        <v/>
      </c>
      <c r="C1267" s="133"/>
      <c r="D1267" s="131"/>
      <c r="E1267" s="130" t="str">
        <f>IF('Специализирано оборудване'!C47="","",'Специализирано оборудване'!C47)</f>
        <v/>
      </c>
      <c r="F1267" s="133"/>
      <c r="G1267" s="131"/>
      <c r="H1267" s="130" t="str">
        <f>IF('Специализирано оборудване'!D47="","",'Специализирано оборудване'!D47)</f>
        <v/>
      </c>
      <c r="I1267" s="131"/>
      <c r="J1267" s="61" t="str">
        <f>IF('Специализирано оборудване'!E47=0,"",'Специализирано оборудване'!E47)</f>
        <v/>
      </c>
    </row>
    <row r="1268" spans="1:10" ht="150" customHeight="1" thickBot="1" x14ac:dyDescent="0.35">
      <c r="A1268" s="27">
        <v>45</v>
      </c>
      <c r="B1268" s="132" t="str">
        <f>IF('Специализирано оборудване'!B48="","",'Специализирано оборудване'!B48)</f>
        <v/>
      </c>
      <c r="C1268" s="133"/>
      <c r="D1268" s="131"/>
      <c r="E1268" s="130" t="str">
        <f>IF('Специализирано оборудване'!C48="","",'Специализирано оборудване'!C48)</f>
        <v/>
      </c>
      <c r="F1268" s="133"/>
      <c r="G1268" s="131"/>
      <c r="H1268" s="130" t="str">
        <f>IF('Специализирано оборудване'!D48="","",'Специализирано оборудване'!D48)</f>
        <v/>
      </c>
      <c r="I1268" s="131"/>
      <c r="J1268" s="61" t="str">
        <f>IF('Специализирано оборудване'!E48=0,"",'Специализирано оборудване'!E48)</f>
        <v/>
      </c>
    </row>
    <row r="1269" spans="1:10" ht="150" customHeight="1" thickBot="1" x14ac:dyDescent="0.35">
      <c r="A1269" s="27">
        <v>46</v>
      </c>
      <c r="B1269" s="132" t="str">
        <f>IF('Специализирано оборудване'!B49="","",'Специализирано оборудване'!B49)</f>
        <v/>
      </c>
      <c r="C1269" s="133"/>
      <c r="D1269" s="131"/>
      <c r="E1269" s="130" t="str">
        <f>IF('Специализирано оборудване'!C49="","",'Специализирано оборудване'!C49)</f>
        <v/>
      </c>
      <c r="F1269" s="133"/>
      <c r="G1269" s="131"/>
      <c r="H1269" s="130" t="str">
        <f>IF('Специализирано оборудване'!D49="","",'Специализирано оборудване'!D49)</f>
        <v/>
      </c>
      <c r="I1269" s="131"/>
      <c r="J1269" s="61" t="str">
        <f>IF('Специализирано оборудване'!E49=0,"",'Специализирано оборудване'!E49)</f>
        <v/>
      </c>
    </row>
    <row r="1270" spans="1:10" ht="150" customHeight="1" thickBot="1" x14ac:dyDescent="0.35">
      <c r="A1270" s="27">
        <v>47</v>
      </c>
      <c r="B1270" s="132" t="str">
        <f>IF('Специализирано оборудване'!B50="","",'Специализирано оборудване'!B50)</f>
        <v/>
      </c>
      <c r="C1270" s="133"/>
      <c r="D1270" s="131"/>
      <c r="E1270" s="130" t="str">
        <f>IF('Специализирано оборудване'!C50="","",'Специализирано оборудване'!C50)</f>
        <v/>
      </c>
      <c r="F1270" s="133"/>
      <c r="G1270" s="131"/>
      <c r="H1270" s="130" t="str">
        <f>IF('Специализирано оборудване'!D50="","",'Специализирано оборудване'!D50)</f>
        <v/>
      </c>
      <c r="I1270" s="131"/>
      <c r="J1270" s="61" t="str">
        <f>IF('Специализирано оборудване'!E50=0,"",'Специализирано оборудване'!E50)</f>
        <v/>
      </c>
    </row>
    <row r="1271" spans="1:10" ht="150" customHeight="1" thickBot="1" x14ac:dyDescent="0.35">
      <c r="A1271" s="27">
        <v>48</v>
      </c>
      <c r="B1271" s="132" t="str">
        <f>IF('Специализирано оборудване'!B51="","",'Специализирано оборудване'!B51)</f>
        <v/>
      </c>
      <c r="C1271" s="133"/>
      <c r="D1271" s="131"/>
      <c r="E1271" s="130" t="str">
        <f>IF('Специализирано оборудване'!C51="","",'Специализирано оборудване'!C51)</f>
        <v/>
      </c>
      <c r="F1271" s="133"/>
      <c r="G1271" s="131"/>
      <c r="H1271" s="130" t="str">
        <f>IF('Специализирано оборудване'!D51="","",'Специализирано оборудване'!D51)</f>
        <v/>
      </c>
      <c r="I1271" s="131"/>
      <c r="J1271" s="61" t="str">
        <f>IF('Специализирано оборудване'!E51=0,"",'Специализирано оборудване'!E51)</f>
        <v/>
      </c>
    </row>
    <row r="1272" spans="1:10" ht="150" customHeight="1" thickBot="1" x14ac:dyDescent="0.35">
      <c r="A1272" s="27">
        <v>49</v>
      </c>
      <c r="B1272" s="132" t="str">
        <f>IF('Специализирано оборудване'!B52="","",'Специализирано оборудване'!B52)</f>
        <v/>
      </c>
      <c r="C1272" s="133"/>
      <c r="D1272" s="131"/>
      <c r="E1272" s="130" t="str">
        <f>IF('Специализирано оборудване'!C52="","",'Специализирано оборудване'!C52)</f>
        <v/>
      </c>
      <c r="F1272" s="133"/>
      <c r="G1272" s="131"/>
      <c r="H1272" s="130" t="str">
        <f>IF('Специализирано оборудване'!D52="","",'Специализирано оборудване'!D52)</f>
        <v/>
      </c>
      <c r="I1272" s="131"/>
      <c r="J1272" s="61" t="str">
        <f>IF('Специализирано оборудване'!E52=0,"",'Специализирано оборудване'!E52)</f>
        <v/>
      </c>
    </row>
    <row r="1273" spans="1:10" ht="150" customHeight="1" thickBot="1" x14ac:dyDescent="0.35">
      <c r="A1273" s="27">
        <v>50</v>
      </c>
      <c r="B1273" s="132" t="str">
        <f>IF('Специализирано оборудване'!B53="","",'Специализирано оборудване'!B53)</f>
        <v/>
      </c>
      <c r="C1273" s="133"/>
      <c r="D1273" s="131"/>
      <c r="E1273" s="130" t="str">
        <f>IF('Специализирано оборудване'!C53="","",'Специализирано оборудване'!C53)</f>
        <v/>
      </c>
      <c r="F1273" s="133"/>
      <c r="G1273" s="131"/>
      <c r="H1273" s="130" t="str">
        <f>IF('Специализирано оборудване'!D53="","",'Специализирано оборудване'!D53)</f>
        <v/>
      </c>
      <c r="I1273" s="131"/>
      <c r="J1273" s="61" t="str">
        <f>IF('Специализирано оборудване'!E53=0,"",'Специализирано оборудване'!E53)</f>
        <v/>
      </c>
    </row>
    <row r="1274" spans="1:10" ht="150" customHeight="1" thickBot="1" x14ac:dyDescent="0.35">
      <c r="A1274" s="27">
        <v>51</v>
      </c>
      <c r="B1274" s="132" t="str">
        <f>IF('Специализирано оборудване'!B54="","",'Специализирано оборудване'!B54)</f>
        <v/>
      </c>
      <c r="C1274" s="133"/>
      <c r="D1274" s="131"/>
      <c r="E1274" s="130" t="str">
        <f>IF('Специализирано оборудване'!C54="","",'Специализирано оборудване'!C54)</f>
        <v/>
      </c>
      <c r="F1274" s="133"/>
      <c r="G1274" s="131"/>
      <c r="H1274" s="130" t="str">
        <f>IF('Специализирано оборудване'!D54="","",'Специализирано оборудване'!D54)</f>
        <v/>
      </c>
      <c r="I1274" s="131"/>
      <c r="J1274" s="61" t="str">
        <f>IF('Специализирано оборудване'!E54=0,"",'Специализирано оборудване'!E54)</f>
        <v/>
      </c>
    </row>
    <row r="1275" spans="1:10" ht="150" customHeight="1" thickBot="1" x14ac:dyDescent="0.35">
      <c r="A1275" s="27">
        <v>52</v>
      </c>
      <c r="B1275" s="132" t="str">
        <f>IF('Специализирано оборудване'!B55="","",'Специализирано оборудване'!B55)</f>
        <v/>
      </c>
      <c r="C1275" s="133"/>
      <c r="D1275" s="131"/>
      <c r="E1275" s="130" t="str">
        <f>IF('Специализирано оборудване'!C55="","",'Специализирано оборудване'!C55)</f>
        <v/>
      </c>
      <c r="F1275" s="133"/>
      <c r="G1275" s="131"/>
      <c r="H1275" s="130" t="str">
        <f>IF('Специализирано оборудване'!D55="","",'Специализирано оборудване'!D55)</f>
        <v/>
      </c>
      <c r="I1275" s="131"/>
      <c r="J1275" s="61" t="str">
        <f>IF('Специализирано оборудване'!E55=0,"",'Специализирано оборудване'!E55)</f>
        <v/>
      </c>
    </row>
    <row r="1276" spans="1:10" ht="150" customHeight="1" thickBot="1" x14ac:dyDescent="0.35">
      <c r="A1276" s="27">
        <v>53</v>
      </c>
      <c r="B1276" s="132" t="str">
        <f>IF('Специализирано оборудване'!B56="","",'Специализирано оборудване'!B56)</f>
        <v/>
      </c>
      <c r="C1276" s="133"/>
      <c r="D1276" s="131"/>
      <c r="E1276" s="130" t="str">
        <f>IF('Специализирано оборудване'!C56="","",'Специализирано оборудване'!C56)</f>
        <v/>
      </c>
      <c r="F1276" s="133"/>
      <c r="G1276" s="131"/>
      <c r="H1276" s="130" t="str">
        <f>IF('Специализирано оборудване'!D56="","",'Специализирано оборудване'!D56)</f>
        <v/>
      </c>
      <c r="I1276" s="131"/>
      <c r="J1276" s="61" t="str">
        <f>IF('Специализирано оборудване'!E56=0,"",'Специализирано оборудване'!E56)</f>
        <v/>
      </c>
    </row>
    <row r="1277" spans="1:10" ht="150" customHeight="1" thickBot="1" x14ac:dyDescent="0.35">
      <c r="A1277" s="27">
        <v>54</v>
      </c>
      <c r="B1277" s="132" t="str">
        <f>IF('Специализирано оборудване'!B57="","",'Специализирано оборудване'!B57)</f>
        <v/>
      </c>
      <c r="C1277" s="133"/>
      <c r="D1277" s="131"/>
      <c r="E1277" s="130" t="str">
        <f>IF('Специализирано оборудване'!C57="","",'Специализирано оборудване'!C57)</f>
        <v/>
      </c>
      <c r="F1277" s="133"/>
      <c r="G1277" s="131"/>
      <c r="H1277" s="130" t="str">
        <f>IF('Специализирано оборудване'!D57="","",'Специализирано оборудване'!D57)</f>
        <v/>
      </c>
      <c r="I1277" s="131"/>
      <c r="J1277" s="61" t="str">
        <f>IF('Специализирано оборудване'!E57=0,"",'Специализирано оборудване'!E57)</f>
        <v/>
      </c>
    </row>
    <row r="1278" spans="1:10" ht="150" customHeight="1" thickBot="1" x14ac:dyDescent="0.35">
      <c r="A1278" s="27">
        <v>55</v>
      </c>
      <c r="B1278" s="132" t="str">
        <f>IF('Специализирано оборудване'!B58="","",'Специализирано оборудване'!B58)</f>
        <v/>
      </c>
      <c r="C1278" s="133"/>
      <c r="D1278" s="131"/>
      <c r="E1278" s="130" t="str">
        <f>IF('Специализирано оборудване'!C58="","",'Специализирано оборудване'!C58)</f>
        <v/>
      </c>
      <c r="F1278" s="133"/>
      <c r="G1278" s="131"/>
      <c r="H1278" s="130" t="str">
        <f>IF('Специализирано оборудване'!D58="","",'Специализирано оборудване'!D58)</f>
        <v/>
      </c>
      <c r="I1278" s="131"/>
      <c r="J1278" s="61" t="str">
        <f>IF('Специализирано оборудване'!E58=0,"",'Специализирано оборудване'!E58)</f>
        <v/>
      </c>
    </row>
    <row r="1279" spans="1:10" ht="150" customHeight="1" thickBot="1" x14ac:dyDescent="0.35">
      <c r="A1279" s="27">
        <v>56</v>
      </c>
      <c r="B1279" s="132" t="str">
        <f>IF('Специализирано оборудване'!B59="","",'Специализирано оборудване'!B59)</f>
        <v/>
      </c>
      <c r="C1279" s="133"/>
      <c r="D1279" s="131"/>
      <c r="E1279" s="130" t="str">
        <f>IF('Специализирано оборудване'!C59="","",'Специализирано оборудване'!C59)</f>
        <v/>
      </c>
      <c r="F1279" s="133"/>
      <c r="G1279" s="131"/>
      <c r="H1279" s="130" t="str">
        <f>IF('Специализирано оборудване'!D59="","",'Специализирано оборудване'!D59)</f>
        <v/>
      </c>
      <c r="I1279" s="131"/>
      <c r="J1279" s="61" t="str">
        <f>IF('Специализирано оборудване'!E59=0,"",'Специализирано оборудване'!E59)</f>
        <v/>
      </c>
    </row>
    <row r="1280" spans="1:10" ht="150" customHeight="1" thickBot="1" x14ac:dyDescent="0.35">
      <c r="A1280" s="27">
        <v>57</v>
      </c>
      <c r="B1280" s="132" t="str">
        <f>IF('Специализирано оборудване'!B60="","",'Специализирано оборудване'!B60)</f>
        <v/>
      </c>
      <c r="C1280" s="133"/>
      <c r="D1280" s="131"/>
      <c r="E1280" s="130" t="str">
        <f>IF('Специализирано оборудване'!C60="","",'Специализирано оборудване'!C60)</f>
        <v/>
      </c>
      <c r="F1280" s="133"/>
      <c r="G1280" s="131"/>
      <c r="H1280" s="130" t="str">
        <f>IF('Специализирано оборудване'!D60="","",'Специализирано оборудване'!D60)</f>
        <v/>
      </c>
      <c r="I1280" s="131"/>
      <c r="J1280" s="61" t="str">
        <f>IF('Специализирано оборудване'!E60=0,"",'Специализирано оборудване'!E60)</f>
        <v/>
      </c>
    </row>
    <row r="1281" spans="1:10" ht="150" customHeight="1" thickBot="1" x14ac:dyDescent="0.35">
      <c r="A1281" s="27">
        <v>58</v>
      </c>
      <c r="B1281" s="132" t="str">
        <f>IF('Специализирано оборудване'!B61="","",'Специализирано оборудване'!B61)</f>
        <v/>
      </c>
      <c r="C1281" s="133"/>
      <c r="D1281" s="131"/>
      <c r="E1281" s="130" t="str">
        <f>IF('Специализирано оборудване'!C61="","",'Специализирано оборудване'!C61)</f>
        <v/>
      </c>
      <c r="F1281" s="133"/>
      <c r="G1281" s="131"/>
      <c r="H1281" s="130" t="str">
        <f>IF('Специализирано оборудване'!D61="","",'Специализирано оборудване'!D61)</f>
        <v/>
      </c>
      <c r="I1281" s="131"/>
      <c r="J1281" s="61" t="str">
        <f>IF('Специализирано оборудване'!E61=0,"",'Специализирано оборудване'!E61)</f>
        <v/>
      </c>
    </row>
    <row r="1282" spans="1:10" ht="150" customHeight="1" thickBot="1" x14ac:dyDescent="0.35">
      <c r="A1282" s="27">
        <v>59</v>
      </c>
      <c r="B1282" s="132" t="str">
        <f>IF('Специализирано оборудване'!B62="","",'Специализирано оборудване'!B62)</f>
        <v/>
      </c>
      <c r="C1282" s="133"/>
      <c r="D1282" s="131"/>
      <c r="E1282" s="130" t="str">
        <f>IF('Специализирано оборудване'!C62="","",'Специализирано оборудване'!C62)</f>
        <v/>
      </c>
      <c r="F1282" s="133"/>
      <c r="G1282" s="131"/>
      <c r="H1282" s="130" t="str">
        <f>IF('Специализирано оборудване'!D62="","",'Специализирано оборудване'!D62)</f>
        <v/>
      </c>
      <c r="I1282" s="131"/>
      <c r="J1282" s="61" t="str">
        <f>IF('Специализирано оборудване'!E62=0,"",'Специализирано оборудване'!E62)</f>
        <v/>
      </c>
    </row>
    <row r="1283" spans="1:10" ht="150" customHeight="1" thickBot="1" x14ac:dyDescent="0.35">
      <c r="A1283" s="27">
        <v>60</v>
      </c>
      <c r="B1283" s="132" t="str">
        <f>IF('Специализирано оборудване'!B63="","",'Специализирано оборудване'!B63)</f>
        <v/>
      </c>
      <c r="C1283" s="133"/>
      <c r="D1283" s="131"/>
      <c r="E1283" s="130" t="str">
        <f>IF('Специализирано оборудване'!C63="","",'Специализирано оборудване'!C63)</f>
        <v/>
      </c>
      <c r="F1283" s="133"/>
      <c r="G1283" s="131"/>
      <c r="H1283" s="130" t="str">
        <f>IF('Специализирано оборудване'!D63="","",'Специализирано оборудване'!D63)</f>
        <v/>
      </c>
      <c r="I1283" s="131"/>
      <c r="J1283" s="61" t="str">
        <f>IF('Специализирано оборудване'!E63=0,"",'Специализирано оборудване'!E63)</f>
        <v/>
      </c>
    </row>
    <row r="1284" spans="1:10" ht="150" customHeight="1" thickBot="1" x14ac:dyDescent="0.35">
      <c r="A1284" s="27">
        <v>61</v>
      </c>
      <c r="B1284" s="132" t="str">
        <f>IF('Специализирано оборудване'!B64="","",'Специализирано оборудване'!B64)</f>
        <v/>
      </c>
      <c r="C1284" s="133"/>
      <c r="D1284" s="131"/>
      <c r="E1284" s="130" t="str">
        <f>IF('Специализирано оборудване'!C64="","",'Специализирано оборудване'!C64)</f>
        <v/>
      </c>
      <c r="F1284" s="133"/>
      <c r="G1284" s="131"/>
      <c r="H1284" s="130" t="str">
        <f>IF('Специализирано оборудване'!D64="","",'Специализирано оборудване'!D64)</f>
        <v/>
      </c>
      <c r="I1284" s="131"/>
      <c r="J1284" s="61" t="str">
        <f>IF('Специализирано оборудване'!E64=0,"",'Специализирано оборудване'!E64)</f>
        <v/>
      </c>
    </row>
    <row r="1285" spans="1:10" ht="150" customHeight="1" thickBot="1" x14ac:dyDescent="0.35">
      <c r="A1285" s="27">
        <v>62</v>
      </c>
      <c r="B1285" s="132" t="str">
        <f>IF('Специализирано оборудване'!B65="","",'Специализирано оборудване'!B65)</f>
        <v/>
      </c>
      <c r="C1285" s="133"/>
      <c r="D1285" s="131"/>
      <c r="E1285" s="130" t="str">
        <f>IF('Специализирано оборудване'!C65="","",'Специализирано оборудване'!C65)</f>
        <v/>
      </c>
      <c r="F1285" s="133"/>
      <c r="G1285" s="131"/>
      <c r="H1285" s="130" t="str">
        <f>IF('Специализирано оборудване'!D65="","",'Специализирано оборудване'!D65)</f>
        <v/>
      </c>
      <c r="I1285" s="131"/>
      <c r="J1285" s="61" t="str">
        <f>IF('Специализирано оборудване'!E65=0,"",'Специализирано оборудване'!E65)</f>
        <v/>
      </c>
    </row>
    <row r="1286" spans="1:10" ht="150" customHeight="1" thickBot="1" x14ac:dyDescent="0.35">
      <c r="A1286" s="27">
        <v>63</v>
      </c>
      <c r="B1286" s="132" t="str">
        <f>IF('Специализирано оборудване'!B66="","",'Специализирано оборудване'!B66)</f>
        <v/>
      </c>
      <c r="C1286" s="133"/>
      <c r="D1286" s="131"/>
      <c r="E1286" s="130" t="str">
        <f>IF('Специализирано оборудване'!C66="","",'Специализирано оборудване'!C66)</f>
        <v/>
      </c>
      <c r="F1286" s="133"/>
      <c r="G1286" s="131"/>
      <c r="H1286" s="130" t="str">
        <f>IF('Специализирано оборудване'!D66="","",'Специализирано оборудване'!D66)</f>
        <v/>
      </c>
      <c r="I1286" s="131"/>
      <c r="J1286" s="61" t="str">
        <f>IF('Специализирано оборудване'!E66=0,"",'Специализирано оборудване'!E66)</f>
        <v/>
      </c>
    </row>
    <row r="1287" spans="1:10" ht="150" customHeight="1" thickBot="1" x14ac:dyDescent="0.35">
      <c r="A1287" s="27">
        <v>64</v>
      </c>
      <c r="B1287" s="132" t="str">
        <f>IF('Специализирано оборудване'!B67="","",'Специализирано оборудване'!B67)</f>
        <v/>
      </c>
      <c r="C1287" s="133"/>
      <c r="D1287" s="131"/>
      <c r="E1287" s="130" t="str">
        <f>IF('Специализирано оборудване'!C67="","",'Специализирано оборудване'!C67)</f>
        <v/>
      </c>
      <c r="F1287" s="133"/>
      <c r="G1287" s="131"/>
      <c r="H1287" s="130" t="str">
        <f>IF('Специализирано оборудване'!D67="","",'Специализирано оборудване'!D67)</f>
        <v/>
      </c>
      <c r="I1287" s="131"/>
      <c r="J1287" s="61" t="str">
        <f>IF('Специализирано оборудване'!E67=0,"",'Специализирано оборудване'!E67)</f>
        <v/>
      </c>
    </row>
    <row r="1288" spans="1:10" ht="150" customHeight="1" thickBot="1" x14ac:dyDescent="0.35">
      <c r="A1288" s="27">
        <v>65</v>
      </c>
      <c r="B1288" s="132" t="str">
        <f>IF('Специализирано оборудване'!B68="","",'Специализирано оборудване'!B68)</f>
        <v/>
      </c>
      <c r="C1288" s="133"/>
      <c r="D1288" s="131"/>
      <c r="E1288" s="130" t="str">
        <f>IF('Специализирано оборудване'!C68="","",'Специализирано оборудване'!C68)</f>
        <v/>
      </c>
      <c r="F1288" s="133"/>
      <c r="G1288" s="131"/>
      <c r="H1288" s="130" t="str">
        <f>IF('Специализирано оборудване'!D68="","",'Специализирано оборудване'!D68)</f>
        <v/>
      </c>
      <c r="I1288" s="131"/>
      <c r="J1288" s="61" t="str">
        <f>IF('Специализирано оборудване'!E68=0,"",'Специализирано оборудване'!E68)</f>
        <v/>
      </c>
    </row>
    <row r="1289" spans="1:10" ht="150" customHeight="1" thickBot="1" x14ac:dyDescent="0.35">
      <c r="A1289" s="27">
        <v>66</v>
      </c>
      <c r="B1289" s="132" t="str">
        <f>IF('Специализирано оборудване'!B69="","",'Специализирано оборудване'!B69)</f>
        <v/>
      </c>
      <c r="C1289" s="133"/>
      <c r="D1289" s="131"/>
      <c r="E1289" s="130" t="str">
        <f>IF('Специализирано оборудване'!C69="","",'Специализирано оборудване'!C69)</f>
        <v/>
      </c>
      <c r="F1289" s="133"/>
      <c r="G1289" s="131"/>
      <c r="H1289" s="130" t="str">
        <f>IF('Специализирано оборудване'!D69="","",'Специализирано оборудване'!D69)</f>
        <v/>
      </c>
      <c r="I1289" s="131"/>
      <c r="J1289" s="61" t="str">
        <f>IF('Специализирано оборудване'!E69=0,"",'Специализирано оборудване'!E69)</f>
        <v/>
      </c>
    </row>
    <row r="1290" spans="1:10" ht="150" customHeight="1" thickBot="1" x14ac:dyDescent="0.35">
      <c r="A1290" s="27">
        <v>67</v>
      </c>
      <c r="B1290" s="132" t="str">
        <f>IF('Специализирано оборудване'!B70="","",'Специализирано оборудване'!B70)</f>
        <v/>
      </c>
      <c r="C1290" s="133"/>
      <c r="D1290" s="131"/>
      <c r="E1290" s="130" t="str">
        <f>IF('Специализирано оборудване'!C70="","",'Специализирано оборудване'!C70)</f>
        <v/>
      </c>
      <c r="F1290" s="133"/>
      <c r="G1290" s="131"/>
      <c r="H1290" s="130" t="str">
        <f>IF('Специализирано оборудване'!D70="","",'Специализирано оборудване'!D70)</f>
        <v/>
      </c>
      <c r="I1290" s="131"/>
      <c r="J1290" s="61" t="str">
        <f>IF('Специализирано оборудване'!E70=0,"",'Специализирано оборудване'!E70)</f>
        <v/>
      </c>
    </row>
    <row r="1291" spans="1:10" ht="150" customHeight="1" thickBot="1" x14ac:dyDescent="0.35">
      <c r="A1291" s="27">
        <v>68</v>
      </c>
      <c r="B1291" s="132" t="str">
        <f>IF('Специализирано оборудване'!B71="","",'Специализирано оборудване'!B71)</f>
        <v/>
      </c>
      <c r="C1291" s="133"/>
      <c r="D1291" s="131"/>
      <c r="E1291" s="130" t="str">
        <f>IF('Специализирано оборудване'!C71="","",'Специализирано оборудване'!C71)</f>
        <v/>
      </c>
      <c r="F1291" s="133"/>
      <c r="G1291" s="131"/>
      <c r="H1291" s="130" t="str">
        <f>IF('Специализирано оборудване'!D71="","",'Специализирано оборудване'!D71)</f>
        <v/>
      </c>
      <c r="I1291" s="131"/>
      <c r="J1291" s="61" t="str">
        <f>IF('Специализирано оборудване'!E71=0,"",'Специализирано оборудване'!E71)</f>
        <v/>
      </c>
    </row>
    <row r="1292" spans="1:10" ht="150" customHeight="1" thickBot="1" x14ac:dyDescent="0.35">
      <c r="A1292" s="27">
        <v>69</v>
      </c>
      <c r="B1292" s="132" t="str">
        <f>IF('Специализирано оборудване'!B72="","",'Специализирано оборудване'!B72)</f>
        <v/>
      </c>
      <c r="C1292" s="133"/>
      <c r="D1292" s="131"/>
      <c r="E1292" s="130" t="str">
        <f>IF('Специализирано оборудване'!C72="","",'Специализирано оборудване'!C72)</f>
        <v/>
      </c>
      <c r="F1292" s="133"/>
      <c r="G1292" s="131"/>
      <c r="H1292" s="130" t="str">
        <f>IF('Специализирано оборудване'!D72="","",'Специализирано оборудване'!D72)</f>
        <v/>
      </c>
      <c r="I1292" s="131"/>
      <c r="J1292" s="61" t="str">
        <f>IF('Специализирано оборудване'!E72=0,"",'Специализирано оборудване'!E72)</f>
        <v/>
      </c>
    </row>
    <row r="1293" spans="1:10" ht="150" customHeight="1" thickBot="1" x14ac:dyDescent="0.35">
      <c r="A1293" s="27">
        <v>70</v>
      </c>
      <c r="B1293" s="132" t="str">
        <f>IF('Специализирано оборудване'!B73="","",'Специализирано оборудване'!B73)</f>
        <v/>
      </c>
      <c r="C1293" s="133"/>
      <c r="D1293" s="131"/>
      <c r="E1293" s="130" t="str">
        <f>IF('Специализирано оборудване'!C73="","",'Специализирано оборудване'!C73)</f>
        <v/>
      </c>
      <c r="F1293" s="133"/>
      <c r="G1293" s="131"/>
      <c r="H1293" s="130" t="str">
        <f>IF('Специализирано оборудване'!D73="","",'Специализирано оборудване'!D73)</f>
        <v/>
      </c>
      <c r="I1293" s="131"/>
      <c r="J1293" s="61" t="str">
        <f>IF('Специализирано оборудване'!E73=0,"",'Специализирано оборудване'!E73)</f>
        <v/>
      </c>
    </row>
    <row r="1294" spans="1:10" ht="150" customHeight="1" thickBot="1" x14ac:dyDescent="0.35">
      <c r="A1294" s="27">
        <v>71</v>
      </c>
      <c r="B1294" s="132" t="str">
        <f>IF('Специализирано оборудване'!B74="","",'Специализирано оборудване'!B74)</f>
        <v/>
      </c>
      <c r="C1294" s="133"/>
      <c r="D1294" s="131"/>
      <c r="E1294" s="130" t="str">
        <f>IF('Специализирано оборудване'!C74="","",'Специализирано оборудване'!C74)</f>
        <v/>
      </c>
      <c r="F1294" s="133"/>
      <c r="G1294" s="131"/>
      <c r="H1294" s="130" t="str">
        <f>IF('Специализирано оборудване'!D74="","",'Специализирано оборудване'!D74)</f>
        <v/>
      </c>
      <c r="I1294" s="131"/>
      <c r="J1294" s="61" t="str">
        <f>IF('Специализирано оборудване'!E74=0,"",'Специализирано оборудване'!E74)</f>
        <v/>
      </c>
    </row>
    <row r="1295" spans="1:10" ht="150" customHeight="1" thickBot="1" x14ac:dyDescent="0.35">
      <c r="A1295" s="27">
        <v>72</v>
      </c>
      <c r="B1295" s="132" t="str">
        <f>IF('Специализирано оборудване'!B75="","",'Специализирано оборудване'!B75)</f>
        <v/>
      </c>
      <c r="C1295" s="133"/>
      <c r="D1295" s="131"/>
      <c r="E1295" s="130" t="str">
        <f>IF('Специализирано оборудване'!C75="","",'Специализирано оборудване'!C75)</f>
        <v/>
      </c>
      <c r="F1295" s="133"/>
      <c r="G1295" s="131"/>
      <c r="H1295" s="130" t="str">
        <f>IF('Специализирано оборудване'!D75="","",'Специализирано оборудване'!D75)</f>
        <v/>
      </c>
      <c r="I1295" s="131"/>
      <c r="J1295" s="61" t="str">
        <f>IF('Специализирано оборудване'!E75=0,"",'Специализирано оборудване'!E75)</f>
        <v/>
      </c>
    </row>
    <row r="1296" spans="1:10" ht="150" customHeight="1" thickBot="1" x14ac:dyDescent="0.35">
      <c r="A1296" s="27">
        <v>73</v>
      </c>
      <c r="B1296" s="132" t="str">
        <f>IF('Специализирано оборудване'!B76="","",'Специализирано оборудване'!B76)</f>
        <v/>
      </c>
      <c r="C1296" s="133"/>
      <c r="D1296" s="131"/>
      <c r="E1296" s="130" t="str">
        <f>IF('Специализирано оборудване'!C76="","",'Специализирано оборудване'!C76)</f>
        <v/>
      </c>
      <c r="F1296" s="133"/>
      <c r="G1296" s="131"/>
      <c r="H1296" s="130" t="str">
        <f>IF('Специализирано оборудване'!D76="","",'Специализирано оборудване'!D76)</f>
        <v/>
      </c>
      <c r="I1296" s="131"/>
      <c r="J1296" s="61" t="str">
        <f>IF('Специализирано оборудване'!E76=0,"",'Специализирано оборудване'!E76)</f>
        <v/>
      </c>
    </row>
    <row r="1297" spans="1:10" ht="150" customHeight="1" thickBot="1" x14ac:dyDescent="0.35">
      <c r="A1297" s="27">
        <v>74</v>
      </c>
      <c r="B1297" s="132" t="str">
        <f>IF('Специализирано оборудване'!B77="","",'Специализирано оборудване'!B77)</f>
        <v/>
      </c>
      <c r="C1297" s="133"/>
      <c r="D1297" s="131"/>
      <c r="E1297" s="130" t="str">
        <f>IF('Специализирано оборудване'!C77="","",'Специализирано оборудване'!C77)</f>
        <v/>
      </c>
      <c r="F1297" s="133"/>
      <c r="G1297" s="131"/>
      <c r="H1297" s="130" t="str">
        <f>IF('Специализирано оборудване'!D77="","",'Специализирано оборудване'!D77)</f>
        <v/>
      </c>
      <c r="I1297" s="131"/>
      <c r="J1297" s="61" t="str">
        <f>IF('Специализирано оборудване'!E77=0,"",'Специализирано оборудване'!E77)</f>
        <v/>
      </c>
    </row>
    <row r="1298" spans="1:10" ht="150" customHeight="1" thickBot="1" x14ac:dyDescent="0.35">
      <c r="A1298" s="27">
        <v>75</v>
      </c>
      <c r="B1298" s="132" t="str">
        <f>IF('Специализирано оборудване'!B78="","",'Специализирано оборудване'!B78)</f>
        <v/>
      </c>
      <c r="C1298" s="133"/>
      <c r="D1298" s="131"/>
      <c r="E1298" s="130" t="str">
        <f>IF('Специализирано оборудване'!C78="","",'Специализирано оборудване'!C78)</f>
        <v/>
      </c>
      <c r="F1298" s="133"/>
      <c r="G1298" s="131"/>
      <c r="H1298" s="130" t="str">
        <f>IF('Специализирано оборудване'!D78="","",'Специализирано оборудване'!D78)</f>
        <v/>
      </c>
      <c r="I1298" s="131"/>
      <c r="J1298" s="61" t="str">
        <f>IF('Специализирано оборудване'!E78=0,"",'Специализирано оборудване'!E78)</f>
        <v/>
      </c>
    </row>
    <row r="1299" spans="1:10" ht="150" customHeight="1" thickBot="1" x14ac:dyDescent="0.35">
      <c r="A1299" s="27">
        <v>76</v>
      </c>
      <c r="B1299" s="132" t="str">
        <f>IF('Специализирано оборудване'!B79="","",'Специализирано оборудване'!B79)</f>
        <v/>
      </c>
      <c r="C1299" s="133"/>
      <c r="D1299" s="131"/>
      <c r="E1299" s="130" t="str">
        <f>IF('Специализирано оборудване'!C79="","",'Специализирано оборудване'!C79)</f>
        <v/>
      </c>
      <c r="F1299" s="133"/>
      <c r="G1299" s="131"/>
      <c r="H1299" s="130" t="str">
        <f>IF('Специализирано оборудване'!D79="","",'Специализирано оборудване'!D79)</f>
        <v/>
      </c>
      <c r="I1299" s="131"/>
      <c r="J1299" s="61" t="str">
        <f>IF('Специализирано оборудване'!E79=0,"",'Специализирано оборудване'!E79)</f>
        <v/>
      </c>
    </row>
    <row r="1300" spans="1:10" ht="150" customHeight="1" thickBot="1" x14ac:dyDescent="0.35">
      <c r="A1300" s="27">
        <v>77</v>
      </c>
      <c r="B1300" s="132" t="str">
        <f>IF('Специализирано оборудване'!B80="","",'Специализирано оборудване'!B80)</f>
        <v/>
      </c>
      <c r="C1300" s="133"/>
      <c r="D1300" s="131"/>
      <c r="E1300" s="130" t="str">
        <f>IF('Специализирано оборудване'!C80="","",'Специализирано оборудване'!C80)</f>
        <v/>
      </c>
      <c r="F1300" s="133"/>
      <c r="G1300" s="131"/>
      <c r="H1300" s="130" t="str">
        <f>IF('Специализирано оборудване'!D80="","",'Специализирано оборудване'!D80)</f>
        <v/>
      </c>
      <c r="I1300" s="131"/>
      <c r="J1300" s="61" t="str">
        <f>IF('Специализирано оборудване'!E80=0,"",'Специализирано оборудване'!E80)</f>
        <v/>
      </c>
    </row>
    <row r="1301" spans="1:10" ht="150" customHeight="1" thickBot="1" x14ac:dyDescent="0.35">
      <c r="A1301" s="27">
        <v>78</v>
      </c>
      <c r="B1301" s="132" t="str">
        <f>IF('Специализирано оборудване'!B81="","",'Специализирано оборудване'!B81)</f>
        <v/>
      </c>
      <c r="C1301" s="133"/>
      <c r="D1301" s="131"/>
      <c r="E1301" s="130" t="str">
        <f>IF('Специализирано оборудване'!C81="","",'Специализирано оборудване'!C81)</f>
        <v/>
      </c>
      <c r="F1301" s="133"/>
      <c r="G1301" s="131"/>
      <c r="H1301" s="130" t="str">
        <f>IF('Специализирано оборудване'!D81="","",'Специализирано оборудване'!D81)</f>
        <v/>
      </c>
      <c r="I1301" s="131"/>
      <c r="J1301" s="61" t="str">
        <f>IF('Специализирано оборудване'!E81=0,"",'Специализирано оборудване'!E81)</f>
        <v/>
      </c>
    </row>
    <row r="1302" spans="1:10" ht="150" customHeight="1" thickBot="1" x14ac:dyDescent="0.35">
      <c r="A1302" s="27">
        <v>79</v>
      </c>
      <c r="B1302" s="132" t="str">
        <f>IF('Специализирано оборудване'!B82="","",'Специализирано оборудване'!B82)</f>
        <v/>
      </c>
      <c r="C1302" s="133"/>
      <c r="D1302" s="131"/>
      <c r="E1302" s="130" t="str">
        <f>IF('Специализирано оборудване'!C82="","",'Специализирано оборудване'!C82)</f>
        <v/>
      </c>
      <c r="F1302" s="133"/>
      <c r="G1302" s="131"/>
      <c r="H1302" s="130" t="str">
        <f>IF('Специализирано оборудване'!D82="","",'Специализирано оборудване'!D82)</f>
        <v/>
      </c>
      <c r="I1302" s="131"/>
      <c r="J1302" s="61" t="str">
        <f>IF('Специализирано оборудване'!E82=0,"",'Специализирано оборудване'!E82)</f>
        <v/>
      </c>
    </row>
    <row r="1303" spans="1:10" ht="150" customHeight="1" thickBot="1" x14ac:dyDescent="0.35">
      <c r="A1303" s="27">
        <v>80</v>
      </c>
      <c r="B1303" s="132" t="str">
        <f>IF('Специализирано оборудване'!B83="","",'Специализирано оборудване'!B83)</f>
        <v/>
      </c>
      <c r="C1303" s="133"/>
      <c r="D1303" s="131"/>
      <c r="E1303" s="130" t="str">
        <f>IF('Специализирано оборудване'!C83="","",'Специализирано оборудване'!C83)</f>
        <v/>
      </c>
      <c r="F1303" s="133"/>
      <c r="G1303" s="131"/>
      <c r="H1303" s="130" t="str">
        <f>IF('Специализирано оборудване'!D83="","",'Специализирано оборудване'!D83)</f>
        <v/>
      </c>
      <c r="I1303" s="131"/>
      <c r="J1303" s="61" t="str">
        <f>IF('Специализирано оборудване'!E83=0,"",'Специализирано оборудване'!E83)</f>
        <v/>
      </c>
    </row>
    <row r="1304" spans="1:10" ht="16.5" customHeight="1" thickBot="1" x14ac:dyDescent="0.35">
      <c r="A1304" s="27"/>
      <c r="B1304" s="151" t="s">
        <v>57</v>
      </c>
      <c r="C1304" s="135"/>
      <c r="D1304" s="135"/>
      <c r="E1304" s="135"/>
      <c r="F1304" s="135"/>
      <c r="G1304" s="135"/>
      <c r="H1304" s="135"/>
      <c r="I1304" s="135"/>
      <c r="J1304" s="136"/>
    </row>
    <row r="1305" spans="1:10" ht="38.700000000000003" customHeight="1" thickBot="1" x14ac:dyDescent="0.35">
      <c r="A1305" s="27"/>
      <c r="B1305" s="155" t="s">
        <v>58</v>
      </c>
      <c r="C1305" s="156"/>
      <c r="D1305" s="157"/>
      <c r="E1305" s="142" t="s">
        <v>59</v>
      </c>
      <c r="F1305" s="158"/>
      <c r="G1305" s="143"/>
      <c r="H1305" s="142"/>
      <c r="I1305" s="143"/>
      <c r="J1305" s="89" t="s">
        <v>56</v>
      </c>
    </row>
    <row r="1306" spans="1:10" ht="150" customHeight="1" x14ac:dyDescent="0.3">
      <c r="A1306" s="22">
        <v>1</v>
      </c>
      <c r="B1306" s="132" t="str">
        <f>IF('Направление 5'!B86="","",'Направление 5'!B86)</f>
        <v>Софтуер за редакция на изображения и графики</v>
      </c>
      <c r="C1306" s="133"/>
      <c r="D1306" s="131"/>
      <c r="E1306" s="130" t="str">
        <f>IF('Направление 5'!C86="","",'Направление 5'!C86)</f>
        <v>професионален графичен софтуер, предназначен за обработка на изображения.Предлага богат набор от инструменти и функции, включително редактор за корекции на цветове, създаване на слоеве, ретуш и множество филтри, които подпомагат при създаването, редактирането и подобряването на графични проекти.</v>
      </c>
      <c r="F1306" s="133"/>
      <c r="G1306" s="131"/>
      <c r="H1306" s="130" t="str">
        <f>IF('Специализирано оборудване'!D86="","",'Специализирано оборудване'!D86)</f>
        <v>х</v>
      </c>
      <c r="I1306" s="131"/>
      <c r="J1306" s="61" t="str">
        <f>IF('Специализирано оборудване'!E86=0,"",'Специализирано оборудване'!E86)</f>
        <v/>
      </c>
    </row>
    <row r="1307" spans="1:10" ht="150" customHeight="1" x14ac:dyDescent="0.3">
      <c r="A1307" s="23">
        <v>2</v>
      </c>
      <c r="B1307" s="132" t="str">
        <f>IF('Специализирано оборудване'!B87="","",'Специализирано оборудване'!B87)</f>
        <v/>
      </c>
      <c r="C1307" s="133"/>
      <c r="D1307" s="131"/>
      <c r="E1307" s="130" t="str">
        <f>IF('Специализирано оборудване'!C87="","",'Специализирано оборудване'!C87)</f>
        <v/>
      </c>
      <c r="F1307" s="133"/>
      <c r="G1307" s="131"/>
      <c r="H1307" s="130" t="str">
        <f>IF('Специализирано оборудване'!D87="","",'Специализирано оборудване'!D87)</f>
        <v>х</v>
      </c>
      <c r="I1307" s="131"/>
      <c r="J1307" s="61" t="str">
        <f>IF('Специализирано оборудване'!E87=0,"",'Специализирано оборудване'!E87)</f>
        <v/>
      </c>
    </row>
    <row r="1308" spans="1:10" ht="150" customHeight="1" x14ac:dyDescent="0.3">
      <c r="A1308" s="23">
        <v>3</v>
      </c>
      <c r="B1308" s="132" t="str">
        <f>IF('Специализирано оборудване'!B88="","",'Специализирано оборудване'!B88)</f>
        <v/>
      </c>
      <c r="C1308" s="133"/>
      <c r="D1308" s="131"/>
      <c r="E1308" s="130" t="str">
        <f>IF('Специализирано оборудване'!C88="","",'Специализирано оборудване'!C88)</f>
        <v/>
      </c>
      <c r="F1308" s="133"/>
      <c r="G1308" s="131"/>
      <c r="H1308" s="130" t="str">
        <f>IF('Специализирано оборудване'!D88="","",'Специализирано оборудване'!D88)</f>
        <v>х</v>
      </c>
      <c r="I1308" s="131"/>
      <c r="J1308" s="61" t="str">
        <f>IF('Специализирано оборудване'!E88=0,"",'Специализирано оборудване'!E88)</f>
        <v/>
      </c>
    </row>
    <row r="1309" spans="1:10" ht="150" customHeight="1" x14ac:dyDescent="0.3">
      <c r="A1309" s="23">
        <v>4</v>
      </c>
      <c r="B1309" s="132" t="str">
        <f>IF('Специализирано оборудване'!B89="","",'Специализирано оборудване'!B89)</f>
        <v/>
      </c>
      <c r="C1309" s="133"/>
      <c r="D1309" s="131"/>
      <c r="E1309" s="130" t="str">
        <f>IF('Специализирано оборудване'!C89="","",'Специализирано оборудване'!C89)</f>
        <v/>
      </c>
      <c r="F1309" s="133"/>
      <c r="G1309" s="131"/>
      <c r="H1309" s="130" t="str">
        <f>IF('Специализирано оборудване'!D89="","",'Специализирано оборудване'!D89)</f>
        <v>х</v>
      </c>
      <c r="I1309" s="131"/>
      <c r="J1309" s="61" t="str">
        <f>IF('Специализирано оборудване'!E89=0,"",'Специализирано оборудване'!E89)</f>
        <v/>
      </c>
    </row>
    <row r="1310" spans="1:10" ht="150" customHeight="1" x14ac:dyDescent="0.3">
      <c r="A1310" s="23">
        <v>5</v>
      </c>
      <c r="B1310" s="132" t="str">
        <f>IF('Специализирано оборудване'!B90="","",'Специализирано оборудване'!B90)</f>
        <v/>
      </c>
      <c r="C1310" s="133"/>
      <c r="D1310" s="131"/>
      <c r="E1310" s="130" t="str">
        <f>IF('Специализирано оборудване'!C90="","",'Специализирано оборудване'!C90)</f>
        <v/>
      </c>
      <c r="F1310" s="133"/>
      <c r="G1310" s="131"/>
      <c r="H1310" s="130" t="str">
        <f>IF('Специализирано оборудване'!D90="","",'Специализирано оборудване'!D90)</f>
        <v>х</v>
      </c>
      <c r="I1310" s="131"/>
      <c r="J1310" s="61" t="str">
        <f>IF('Специализирано оборудване'!E90=0,"",'Специализирано оборудване'!E90)</f>
        <v/>
      </c>
    </row>
    <row r="1311" spans="1:10" ht="150" customHeight="1" x14ac:dyDescent="0.3">
      <c r="A1311" s="23">
        <v>6</v>
      </c>
      <c r="B1311" s="132" t="str">
        <f>IF('Специализирано оборудване'!B91="","",'Специализирано оборудване'!B91)</f>
        <v/>
      </c>
      <c r="C1311" s="133"/>
      <c r="D1311" s="131"/>
      <c r="E1311" s="130" t="str">
        <f>IF('Специализирано оборудване'!C91="","",'Специализирано оборудване'!C91)</f>
        <v/>
      </c>
      <c r="F1311" s="133"/>
      <c r="G1311" s="131"/>
      <c r="H1311" s="130" t="str">
        <f>IF('Специализирано оборудване'!D91="","",'Специализирано оборудване'!D91)</f>
        <v>х</v>
      </c>
      <c r="I1311" s="131"/>
      <c r="J1311" s="61" t="str">
        <f>IF('Специализирано оборудване'!E91=0,"",'Специализирано оборудване'!E91)</f>
        <v/>
      </c>
    </row>
    <row r="1312" spans="1:10" ht="150" customHeight="1" x14ac:dyDescent="0.3">
      <c r="A1312" s="23">
        <v>7</v>
      </c>
      <c r="B1312" s="132" t="str">
        <f>IF('Специализирано оборудване'!B92="","",'Специализирано оборудване'!B92)</f>
        <v/>
      </c>
      <c r="C1312" s="133"/>
      <c r="D1312" s="131"/>
      <c r="E1312" s="130" t="str">
        <f>IF('Специализирано оборудване'!C92="","",'Специализирано оборудване'!C92)</f>
        <v/>
      </c>
      <c r="F1312" s="133"/>
      <c r="G1312" s="131"/>
      <c r="H1312" s="130" t="str">
        <f>IF('Специализирано оборудване'!D92="","",'Специализирано оборудване'!D92)</f>
        <v>х</v>
      </c>
      <c r="I1312" s="131"/>
      <c r="J1312" s="61" t="str">
        <f>IF('Специализирано оборудване'!E92=0,"",'Специализирано оборудване'!E92)</f>
        <v/>
      </c>
    </row>
    <row r="1313" spans="1:10" ht="150" customHeight="1" x14ac:dyDescent="0.3">
      <c r="A1313" s="23">
        <v>8</v>
      </c>
      <c r="B1313" s="132" t="str">
        <f>IF('Специализирано оборудване'!B93="","",'Специализирано оборудване'!B93)</f>
        <v/>
      </c>
      <c r="C1313" s="133"/>
      <c r="D1313" s="131"/>
      <c r="E1313" s="130" t="str">
        <f>IF('Специализирано оборудване'!C93="","",'Специализирано оборудване'!C93)</f>
        <v/>
      </c>
      <c r="F1313" s="133"/>
      <c r="G1313" s="131"/>
      <c r="H1313" s="130" t="str">
        <f>IF('Специализирано оборудване'!D93="","",'Специализирано оборудване'!D93)</f>
        <v>х</v>
      </c>
      <c r="I1313" s="131"/>
      <c r="J1313" s="61" t="str">
        <f>IF('Специализирано оборудване'!E93=0,"",'Специализирано оборудване'!E93)</f>
        <v/>
      </c>
    </row>
    <row r="1314" spans="1:10" ht="150" customHeight="1" x14ac:dyDescent="0.3">
      <c r="A1314" s="23">
        <v>9</v>
      </c>
      <c r="B1314" s="132" t="str">
        <f>IF('Специализирано оборудване'!B94="","",'Специализирано оборудване'!B94)</f>
        <v/>
      </c>
      <c r="C1314" s="133"/>
      <c r="D1314" s="131"/>
      <c r="E1314" s="130" t="str">
        <f>IF('Специализирано оборудване'!C94="","",'Специализирано оборудване'!C94)</f>
        <v/>
      </c>
      <c r="F1314" s="133"/>
      <c r="G1314" s="131"/>
      <c r="H1314" s="130" t="str">
        <f>IF('Специализирано оборудване'!D94="","",'Специализирано оборудване'!D94)</f>
        <v>х</v>
      </c>
      <c r="I1314" s="131"/>
      <c r="J1314" s="61" t="str">
        <f>IF('Специализирано оборудване'!E94=0,"",'Специализирано оборудване'!E94)</f>
        <v/>
      </c>
    </row>
    <row r="1315" spans="1:10" ht="150" customHeight="1" x14ac:dyDescent="0.3">
      <c r="A1315" s="23">
        <v>10</v>
      </c>
      <c r="B1315" s="132" t="str">
        <f>IF('Специализирано оборудване'!B95="","",'Специализирано оборудване'!B95)</f>
        <v/>
      </c>
      <c r="C1315" s="133"/>
      <c r="D1315" s="131"/>
      <c r="E1315" s="130" t="str">
        <f>IF('Специализирано оборудване'!C95="","",'Специализирано оборудване'!C95)</f>
        <v/>
      </c>
      <c r="F1315" s="133"/>
      <c r="G1315" s="131"/>
      <c r="H1315" s="130" t="str">
        <f>IF('Специализирано оборудване'!D95="","",'Специализирано оборудване'!D95)</f>
        <v>х</v>
      </c>
      <c r="I1315" s="131"/>
      <c r="J1315" s="61" t="str">
        <f>IF('Специализирано оборудване'!E95=0,"",'Специализирано оборудване'!E95)</f>
        <v/>
      </c>
    </row>
    <row r="1316" spans="1:10" ht="150" customHeight="1" x14ac:dyDescent="0.3">
      <c r="A1316" s="23">
        <v>11</v>
      </c>
      <c r="B1316" s="132" t="str">
        <f>IF('Специализирано оборудване'!B96="","",'Специализирано оборудване'!B96)</f>
        <v/>
      </c>
      <c r="C1316" s="133"/>
      <c r="D1316" s="131"/>
      <c r="E1316" s="130" t="str">
        <f>IF('Специализирано оборудване'!C96="","",'Специализирано оборудване'!C96)</f>
        <v/>
      </c>
      <c r="F1316" s="133"/>
      <c r="G1316" s="131"/>
      <c r="H1316" s="130" t="str">
        <f>IF('Специализирано оборудване'!D96="","",'Специализирано оборудване'!D96)</f>
        <v>х</v>
      </c>
      <c r="I1316" s="131"/>
      <c r="J1316" s="61" t="str">
        <f>IF('Специализирано оборудване'!E96=0,"",'Специализирано оборудване'!E96)</f>
        <v/>
      </c>
    </row>
    <row r="1317" spans="1:10" ht="150" customHeight="1" x14ac:dyDescent="0.3">
      <c r="A1317" s="23">
        <v>12</v>
      </c>
      <c r="B1317" s="132" t="str">
        <f>IF('Специализирано оборудване'!B97="","",'Специализирано оборудване'!B97)</f>
        <v/>
      </c>
      <c r="C1317" s="133"/>
      <c r="D1317" s="131"/>
      <c r="E1317" s="130" t="str">
        <f>IF('Специализирано оборудване'!C97="","",'Специализирано оборудване'!C97)</f>
        <v/>
      </c>
      <c r="F1317" s="133"/>
      <c r="G1317" s="131"/>
      <c r="H1317" s="130" t="str">
        <f>IF('Специализирано оборудване'!D97="","",'Специализирано оборудване'!D97)</f>
        <v>х</v>
      </c>
      <c r="I1317" s="131"/>
      <c r="J1317" s="61" t="str">
        <f>IF('Специализирано оборудване'!E97=0,"",'Специализирано оборудване'!E97)</f>
        <v/>
      </c>
    </row>
    <row r="1318" spans="1:10" ht="150" customHeight="1" x14ac:dyDescent="0.3">
      <c r="A1318" s="23">
        <v>13</v>
      </c>
      <c r="B1318" s="132" t="str">
        <f>IF('Специализирано оборудване'!B98="","",'Специализирано оборудване'!B98)</f>
        <v/>
      </c>
      <c r="C1318" s="133"/>
      <c r="D1318" s="131"/>
      <c r="E1318" s="130" t="str">
        <f>IF('Специализирано оборудване'!C98="","",'Специализирано оборудване'!C98)</f>
        <v/>
      </c>
      <c r="F1318" s="133"/>
      <c r="G1318" s="131"/>
      <c r="H1318" s="130" t="str">
        <f>IF('Специализирано оборудване'!D98="","",'Специализирано оборудване'!D98)</f>
        <v>х</v>
      </c>
      <c r="I1318" s="131"/>
      <c r="J1318" s="61" t="str">
        <f>IF('Специализирано оборудване'!E98=0,"",'Специализирано оборудване'!E98)</f>
        <v/>
      </c>
    </row>
    <row r="1319" spans="1:10" ht="150" customHeight="1" x14ac:dyDescent="0.3">
      <c r="A1319" s="23">
        <v>14</v>
      </c>
      <c r="B1319" s="132" t="str">
        <f>IF('Специализирано оборудване'!B99="","",'Специализирано оборудване'!B99)</f>
        <v/>
      </c>
      <c r="C1319" s="133"/>
      <c r="D1319" s="131"/>
      <c r="E1319" s="130" t="str">
        <f>IF('Специализирано оборудване'!C99="","",'Специализирано оборудване'!C99)</f>
        <v/>
      </c>
      <c r="F1319" s="133"/>
      <c r="G1319" s="131"/>
      <c r="H1319" s="130" t="str">
        <f>IF('Специализирано оборудване'!D99="","",'Специализирано оборудване'!D99)</f>
        <v>х</v>
      </c>
      <c r="I1319" s="131"/>
      <c r="J1319" s="61" t="str">
        <f>IF('Специализирано оборудване'!E99=0,"",'Специализирано оборудване'!E99)</f>
        <v/>
      </c>
    </row>
    <row r="1320" spans="1:10" ht="150" customHeight="1" x14ac:dyDescent="0.3">
      <c r="A1320" s="23">
        <v>15</v>
      </c>
      <c r="B1320" s="132" t="str">
        <f>IF('Специализирано оборудване'!B100="","",'Специализирано оборудване'!B100)</f>
        <v/>
      </c>
      <c r="C1320" s="133"/>
      <c r="D1320" s="131"/>
      <c r="E1320" s="130" t="str">
        <f>IF('Специализирано оборудване'!C100="","",'Специализирано оборудване'!C100)</f>
        <v/>
      </c>
      <c r="F1320" s="133"/>
      <c r="G1320" s="131"/>
      <c r="H1320" s="130" t="str">
        <f>IF('Специализирано оборудване'!D100="","",'Специализирано оборудване'!D100)</f>
        <v>х</v>
      </c>
      <c r="I1320" s="131"/>
      <c r="J1320" s="61" t="str">
        <f>IF('Специализирано оборудване'!E100=0,"",'Специализирано оборудване'!E100)</f>
        <v/>
      </c>
    </row>
    <row r="1321" spans="1:10" ht="150" customHeight="1" x14ac:dyDescent="0.3">
      <c r="A1321" s="23">
        <v>16</v>
      </c>
      <c r="B1321" s="132" t="str">
        <f>IF('Специализирано оборудване'!B101="","",'Специализирано оборудване'!B101)</f>
        <v/>
      </c>
      <c r="C1321" s="133"/>
      <c r="D1321" s="131"/>
      <c r="E1321" s="130" t="str">
        <f>IF('Специализирано оборудване'!C101="","",'Специализирано оборудване'!C101)</f>
        <v/>
      </c>
      <c r="F1321" s="133"/>
      <c r="G1321" s="131"/>
      <c r="H1321" s="130" t="str">
        <f>IF('Специализирано оборудване'!D101="","",'Специализирано оборудване'!D101)</f>
        <v>х</v>
      </c>
      <c r="I1321" s="131"/>
      <c r="J1321" s="61" t="str">
        <f>IF('Специализирано оборудване'!E101=0,"",'Специализирано оборудване'!E101)</f>
        <v/>
      </c>
    </row>
    <row r="1322" spans="1:10" ht="150" customHeight="1" x14ac:dyDescent="0.3">
      <c r="A1322" s="23">
        <v>17</v>
      </c>
      <c r="B1322" s="132" t="str">
        <f>IF('Специализирано оборудване'!B102="","",'Специализирано оборудване'!B102)</f>
        <v/>
      </c>
      <c r="C1322" s="133"/>
      <c r="D1322" s="131"/>
      <c r="E1322" s="130" t="str">
        <f>IF('Специализирано оборудване'!C102="","",'Специализирано оборудване'!C102)</f>
        <v/>
      </c>
      <c r="F1322" s="133"/>
      <c r="G1322" s="131"/>
      <c r="H1322" s="130" t="str">
        <f>IF('Специализирано оборудване'!D102="","",'Специализирано оборудване'!D102)</f>
        <v>х</v>
      </c>
      <c r="I1322" s="131"/>
      <c r="J1322" s="61" t="str">
        <f>IF('Специализирано оборудване'!E102=0,"",'Специализирано оборудване'!E102)</f>
        <v/>
      </c>
    </row>
    <row r="1323" spans="1:10" ht="150" customHeight="1" x14ac:dyDescent="0.3">
      <c r="A1323" s="23">
        <v>18</v>
      </c>
      <c r="B1323" s="132" t="str">
        <f>IF('Специализирано оборудване'!B103="","",'Специализирано оборудване'!B103)</f>
        <v/>
      </c>
      <c r="C1323" s="133"/>
      <c r="D1323" s="131"/>
      <c r="E1323" s="130" t="str">
        <f>IF('Специализирано оборудване'!C103="","",'Специализирано оборудване'!C103)</f>
        <v/>
      </c>
      <c r="F1323" s="133"/>
      <c r="G1323" s="131"/>
      <c r="H1323" s="130" t="str">
        <f>IF('Специализирано оборудване'!D103="","",'Специализирано оборудване'!D103)</f>
        <v>х</v>
      </c>
      <c r="I1323" s="131"/>
      <c r="J1323" s="61" t="str">
        <f>IF('Специализирано оборудване'!E103=0,"",'Специализирано оборудване'!E103)</f>
        <v/>
      </c>
    </row>
    <row r="1324" spans="1:10" ht="150" customHeight="1" x14ac:dyDescent="0.3">
      <c r="A1324" s="23">
        <v>19</v>
      </c>
      <c r="B1324" s="132" t="str">
        <f>IF('Специализирано оборудване'!B104="","",'Специализирано оборудване'!B104)</f>
        <v/>
      </c>
      <c r="C1324" s="133"/>
      <c r="D1324" s="131"/>
      <c r="E1324" s="130" t="str">
        <f>IF('Специализирано оборудване'!C104="","",'Специализирано оборудване'!C104)</f>
        <v/>
      </c>
      <c r="F1324" s="133"/>
      <c r="G1324" s="131"/>
      <c r="H1324" s="130" t="str">
        <f>IF('Специализирано оборудване'!D104="","",'Специализирано оборудване'!D104)</f>
        <v>х</v>
      </c>
      <c r="I1324" s="131"/>
      <c r="J1324" s="61" t="str">
        <f>IF('Специализирано оборудване'!E104=0,"",'Специализирано оборудване'!E104)</f>
        <v/>
      </c>
    </row>
    <row r="1325" spans="1:10" ht="150" customHeight="1" thickBot="1" x14ac:dyDescent="0.35">
      <c r="A1325" s="24">
        <v>20</v>
      </c>
      <c r="B1325" s="132" t="str">
        <f>IF('Специализирано оборудване'!B105="","",'Специализирано оборудване'!B105)</f>
        <v/>
      </c>
      <c r="C1325" s="133"/>
      <c r="D1325" s="131"/>
      <c r="E1325" s="130" t="str">
        <f>IF('Специализирано оборудване'!C105="","",'Специализирано оборудване'!C105)</f>
        <v/>
      </c>
      <c r="F1325" s="133"/>
      <c r="G1325" s="131"/>
      <c r="H1325" s="130" t="str">
        <f>IF('Специализирано оборудване'!D105="","",'Специализирано оборудване'!D105)</f>
        <v>х</v>
      </c>
      <c r="I1325" s="131"/>
      <c r="J1325" s="61" t="str">
        <f>IF('Специализирано оборудване'!E105=0,"",'Специализирано оборудване'!E105)</f>
        <v/>
      </c>
    </row>
    <row r="1326" spans="1:10" ht="150" customHeight="1" x14ac:dyDescent="0.3">
      <c r="A1326" s="22">
        <v>21</v>
      </c>
      <c r="B1326" s="132" t="str">
        <f>IF('Специализирано оборудване'!B106="","",'Специализирано оборудване'!B106)</f>
        <v/>
      </c>
      <c r="C1326" s="133"/>
      <c r="D1326" s="131"/>
      <c r="E1326" s="130" t="str">
        <f>IF('Специализирано оборудване'!C106="","",'Специализирано оборудване'!C106)</f>
        <v/>
      </c>
      <c r="F1326" s="133"/>
      <c r="G1326" s="131"/>
      <c r="H1326" s="130" t="str">
        <f>IF('Специализирано оборудване'!D106="","",'Специализирано оборудване'!D106)</f>
        <v>х</v>
      </c>
      <c r="I1326" s="131"/>
      <c r="J1326" s="61" t="str">
        <f>IF('Специализирано оборудване'!E106=0,"",'Специализирано оборудване'!E106)</f>
        <v/>
      </c>
    </row>
    <row r="1327" spans="1:10" ht="150" customHeight="1" x14ac:dyDescent="0.3">
      <c r="A1327" s="23">
        <v>22</v>
      </c>
      <c r="B1327" s="132" t="str">
        <f>IF('Специализирано оборудване'!B107="","",'Специализирано оборудване'!B107)</f>
        <v/>
      </c>
      <c r="C1327" s="133"/>
      <c r="D1327" s="131"/>
      <c r="E1327" s="130" t="str">
        <f>IF('Специализирано оборудване'!C107="","",'Специализирано оборудване'!C107)</f>
        <v/>
      </c>
      <c r="F1327" s="133"/>
      <c r="G1327" s="131"/>
      <c r="H1327" s="130" t="str">
        <f>IF('Специализирано оборудване'!D107="","",'Специализирано оборудване'!D107)</f>
        <v>х</v>
      </c>
      <c r="I1327" s="131"/>
      <c r="J1327" s="61" t="str">
        <f>IF('Специализирано оборудване'!E107=0,"",'Специализирано оборудване'!E107)</f>
        <v/>
      </c>
    </row>
    <row r="1328" spans="1:10" ht="150" customHeight="1" x14ac:dyDescent="0.3">
      <c r="A1328" s="23">
        <v>23</v>
      </c>
      <c r="B1328" s="132" t="str">
        <f>IF('Специализирано оборудване'!B108="","",'Специализирано оборудване'!B108)</f>
        <v/>
      </c>
      <c r="C1328" s="133"/>
      <c r="D1328" s="131"/>
      <c r="E1328" s="130" t="str">
        <f>IF('Специализирано оборудване'!C108="","",'Специализирано оборудване'!C108)</f>
        <v/>
      </c>
      <c r="F1328" s="133"/>
      <c r="G1328" s="131"/>
      <c r="H1328" s="130" t="str">
        <f>IF('Специализирано оборудване'!D108="","",'Специализирано оборудване'!D108)</f>
        <v>х</v>
      </c>
      <c r="I1328" s="131"/>
      <c r="J1328" s="61" t="str">
        <f>IF('Специализирано оборудване'!E108=0,"",'Специализирано оборудване'!E108)</f>
        <v/>
      </c>
    </row>
    <row r="1329" spans="1:10" ht="150" customHeight="1" x14ac:dyDescent="0.3">
      <c r="A1329" s="23">
        <v>24</v>
      </c>
      <c r="B1329" s="132" t="str">
        <f>IF('Специализирано оборудване'!B109="","",'Специализирано оборудване'!B109)</f>
        <v/>
      </c>
      <c r="C1329" s="133"/>
      <c r="D1329" s="131"/>
      <c r="E1329" s="130" t="str">
        <f>IF('Специализирано оборудване'!C109="","",'Специализирано оборудване'!C109)</f>
        <v/>
      </c>
      <c r="F1329" s="133"/>
      <c r="G1329" s="131"/>
      <c r="H1329" s="130" t="str">
        <f>IF('Специализирано оборудване'!D109="","",'Специализирано оборудване'!D109)</f>
        <v>х</v>
      </c>
      <c r="I1329" s="131"/>
      <c r="J1329" s="61" t="str">
        <f>IF('Специализирано оборудване'!E109=0,"",'Специализирано оборудване'!E109)</f>
        <v/>
      </c>
    </row>
    <row r="1330" spans="1:10" ht="150" customHeight="1" x14ac:dyDescent="0.3">
      <c r="A1330" s="23">
        <v>25</v>
      </c>
      <c r="B1330" s="132" t="str">
        <f>IF('Специализирано оборудване'!B110="","",'Специализирано оборудване'!B110)</f>
        <v/>
      </c>
      <c r="C1330" s="133"/>
      <c r="D1330" s="131"/>
      <c r="E1330" s="130" t="str">
        <f>IF('Специализирано оборудване'!C110="","",'Специализирано оборудване'!C110)</f>
        <v/>
      </c>
      <c r="F1330" s="133"/>
      <c r="G1330" s="131"/>
      <c r="H1330" s="130" t="str">
        <f>IF('Специализирано оборудване'!D110="","",'Специализирано оборудване'!D110)</f>
        <v>х</v>
      </c>
      <c r="I1330" s="131"/>
      <c r="J1330" s="61" t="str">
        <f>IF('Специализирано оборудване'!E110=0,"",'Специализирано оборудване'!E110)</f>
        <v/>
      </c>
    </row>
    <row r="1331" spans="1:10" ht="150" customHeight="1" x14ac:dyDescent="0.3">
      <c r="A1331" s="23">
        <v>26</v>
      </c>
      <c r="B1331" s="132" t="str">
        <f>IF('Специализирано оборудване'!B111="","",'Специализирано оборудване'!B111)</f>
        <v/>
      </c>
      <c r="C1331" s="133"/>
      <c r="D1331" s="131"/>
      <c r="E1331" s="130" t="str">
        <f>IF('Специализирано оборудване'!C111="","",'Специализирано оборудване'!C111)</f>
        <v/>
      </c>
      <c r="F1331" s="133"/>
      <c r="G1331" s="131"/>
      <c r="H1331" s="130" t="str">
        <f>IF('Специализирано оборудване'!D111="","",'Специализирано оборудване'!D111)</f>
        <v>х</v>
      </c>
      <c r="I1331" s="131"/>
      <c r="J1331" s="61" t="str">
        <f>IF('Специализирано оборудване'!E111=0,"",'Специализирано оборудване'!E111)</f>
        <v/>
      </c>
    </row>
    <row r="1332" spans="1:10" ht="150" customHeight="1" x14ac:dyDescent="0.3">
      <c r="A1332" s="23">
        <v>27</v>
      </c>
      <c r="B1332" s="132" t="str">
        <f>IF('Специализирано оборудване'!B112="","",'Специализирано оборудване'!B112)</f>
        <v/>
      </c>
      <c r="C1332" s="133"/>
      <c r="D1332" s="131"/>
      <c r="E1332" s="130" t="str">
        <f>IF('Специализирано оборудване'!C112="","",'Специализирано оборудване'!C112)</f>
        <v/>
      </c>
      <c r="F1332" s="133"/>
      <c r="G1332" s="131"/>
      <c r="H1332" s="130" t="str">
        <f>IF('Специализирано оборудване'!D112="","",'Специализирано оборудване'!D112)</f>
        <v>х</v>
      </c>
      <c r="I1332" s="131"/>
      <c r="J1332" s="61" t="str">
        <f>IF('Специализирано оборудване'!E112=0,"",'Специализирано оборудване'!E112)</f>
        <v/>
      </c>
    </row>
    <row r="1333" spans="1:10" ht="150" customHeight="1" x14ac:dyDescent="0.3">
      <c r="A1333" s="23">
        <v>28</v>
      </c>
      <c r="B1333" s="132" t="str">
        <f>IF('Специализирано оборудване'!B113="","",'Специализирано оборудване'!B113)</f>
        <v/>
      </c>
      <c r="C1333" s="133"/>
      <c r="D1333" s="131"/>
      <c r="E1333" s="130" t="str">
        <f>IF('Специализирано оборудване'!C113="","",'Специализирано оборудване'!C113)</f>
        <v/>
      </c>
      <c r="F1333" s="133"/>
      <c r="G1333" s="131"/>
      <c r="H1333" s="130" t="str">
        <f>IF('Специализирано оборудване'!D113="","",'Специализирано оборудване'!D113)</f>
        <v>х</v>
      </c>
      <c r="I1333" s="131"/>
      <c r="J1333" s="61" t="str">
        <f>IF('Специализирано оборудване'!E113=0,"",'Специализирано оборудване'!E113)</f>
        <v/>
      </c>
    </row>
    <row r="1334" spans="1:10" ht="150" customHeight="1" x14ac:dyDescent="0.3">
      <c r="A1334" s="23">
        <v>29</v>
      </c>
      <c r="B1334" s="132" t="str">
        <f>IF('Специализирано оборудване'!B114="","",'Специализирано оборудване'!B114)</f>
        <v/>
      </c>
      <c r="C1334" s="133"/>
      <c r="D1334" s="131"/>
      <c r="E1334" s="130" t="str">
        <f>IF('Специализирано оборудване'!C114="","",'Специализирано оборудване'!C114)</f>
        <v/>
      </c>
      <c r="F1334" s="133"/>
      <c r="G1334" s="131"/>
      <c r="H1334" s="130" t="str">
        <f>IF('Специализирано оборудване'!D114="","",'Специализирано оборудване'!D114)</f>
        <v>х</v>
      </c>
      <c r="I1334" s="131"/>
      <c r="J1334" s="61" t="str">
        <f>IF('Специализирано оборудване'!E114=0,"",'Специализирано оборудване'!E114)</f>
        <v/>
      </c>
    </row>
    <row r="1335" spans="1:10" ht="150" customHeight="1" x14ac:dyDescent="0.3">
      <c r="A1335" s="23">
        <v>30</v>
      </c>
      <c r="B1335" s="132" t="str">
        <f>IF('Специализирано оборудване'!B115="","",'Специализирано оборудване'!B115)</f>
        <v/>
      </c>
      <c r="C1335" s="133"/>
      <c r="D1335" s="131"/>
      <c r="E1335" s="130" t="str">
        <f>IF('Специализирано оборудване'!C115="","",'Специализирано оборудване'!C115)</f>
        <v/>
      </c>
      <c r="F1335" s="133"/>
      <c r="G1335" s="131"/>
      <c r="H1335" s="130" t="str">
        <f>IF('Специализирано оборудване'!D115="","",'Специализирано оборудване'!D115)</f>
        <v>х</v>
      </c>
      <c r="I1335" s="131"/>
      <c r="J1335" s="61" t="str">
        <f>IF('Специализирано оборудване'!E115=0,"",'Специализирано оборудване'!E115)</f>
        <v/>
      </c>
    </row>
    <row r="1336" spans="1:10" ht="150" customHeight="1" x14ac:dyDescent="0.3">
      <c r="A1336" s="23">
        <v>31</v>
      </c>
      <c r="B1336" s="132" t="str">
        <f>IF('Специализирано оборудване'!B116="","",'Специализирано оборудване'!B116)</f>
        <v/>
      </c>
      <c r="C1336" s="133"/>
      <c r="D1336" s="131"/>
      <c r="E1336" s="130" t="str">
        <f>IF('Специализирано оборудване'!C116="","",'Специализирано оборудване'!C116)</f>
        <v/>
      </c>
      <c r="F1336" s="133"/>
      <c r="G1336" s="131"/>
      <c r="H1336" s="130" t="str">
        <f>IF('Специализирано оборудване'!D116="","",'Специализирано оборудване'!D116)</f>
        <v>х</v>
      </c>
      <c r="I1336" s="131"/>
      <c r="J1336" s="61" t="str">
        <f>IF('Специализирано оборудване'!E116=0,"",'Специализирано оборудване'!E116)</f>
        <v/>
      </c>
    </row>
    <row r="1337" spans="1:10" ht="150" customHeight="1" x14ac:dyDescent="0.3">
      <c r="A1337" s="23">
        <v>32</v>
      </c>
      <c r="B1337" s="132" t="str">
        <f>IF('Специализирано оборудване'!B117="","",'Специализирано оборудване'!B117)</f>
        <v/>
      </c>
      <c r="C1337" s="133"/>
      <c r="D1337" s="131"/>
      <c r="E1337" s="130" t="str">
        <f>IF('Специализирано оборудване'!C117="","",'Специализирано оборудване'!C117)</f>
        <v/>
      </c>
      <c r="F1337" s="133"/>
      <c r="G1337" s="131"/>
      <c r="H1337" s="130" t="str">
        <f>IF('Специализирано оборудване'!D117="","",'Специализирано оборудване'!D117)</f>
        <v>х</v>
      </c>
      <c r="I1337" s="131"/>
      <c r="J1337" s="61" t="str">
        <f>IF('Специализирано оборудване'!E117=0,"",'Специализирано оборудване'!E117)</f>
        <v/>
      </c>
    </row>
    <row r="1338" spans="1:10" ht="150" customHeight="1" x14ac:dyDescent="0.3">
      <c r="A1338" s="23">
        <v>33</v>
      </c>
      <c r="B1338" s="132" t="str">
        <f>IF('Специализирано оборудване'!B118="","",'Специализирано оборудване'!B118)</f>
        <v/>
      </c>
      <c r="C1338" s="133"/>
      <c r="D1338" s="131"/>
      <c r="E1338" s="130" t="str">
        <f>IF('Специализирано оборудване'!C118="","",'Специализирано оборудване'!C118)</f>
        <v/>
      </c>
      <c r="F1338" s="133"/>
      <c r="G1338" s="131"/>
      <c r="H1338" s="130" t="str">
        <f>IF('Специализирано оборудване'!D118="","",'Специализирано оборудване'!D118)</f>
        <v>х</v>
      </c>
      <c r="I1338" s="131"/>
      <c r="J1338" s="61" t="str">
        <f>IF('Специализирано оборудване'!E118=0,"",'Специализирано оборудване'!E118)</f>
        <v/>
      </c>
    </row>
    <row r="1339" spans="1:10" ht="150" customHeight="1" x14ac:dyDescent="0.3">
      <c r="A1339" s="23">
        <v>34</v>
      </c>
      <c r="B1339" s="132" t="str">
        <f>IF('Специализирано оборудване'!B119="","",'Специализирано оборудване'!B119)</f>
        <v/>
      </c>
      <c r="C1339" s="133"/>
      <c r="D1339" s="131"/>
      <c r="E1339" s="130" t="str">
        <f>IF('Специализирано оборудване'!C119="","",'Специализирано оборудване'!C119)</f>
        <v/>
      </c>
      <c r="F1339" s="133"/>
      <c r="G1339" s="131"/>
      <c r="H1339" s="130" t="str">
        <f>IF('Специализирано оборудване'!D119="","",'Специализирано оборудване'!D119)</f>
        <v>х</v>
      </c>
      <c r="I1339" s="131"/>
      <c r="J1339" s="61" t="str">
        <f>IF('Специализирано оборудване'!E119=0,"",'Специализирано оборудване'!E119)</f>
        <v/>
      </c>
    </row>
    <row r="1340" spans="1:10" ht="150" customHeight="1" x14ac:dyDescent="0.3">
      <c r="A1340" s="23">
        <v>35</v>
      </c>
      <c r="B1340" s="132" t="str">
        <f>IF('Специализирано оборудване'!B120="","",'Специализирано оборудване'!B120)</f>
        <v/>
      </c>
      <c r="C1340" s="133"/>
      <c r="D1340" s="131"/>
      <c r="E1340" s="130" t="str">
        <f>IF('Специализирано оборудване'!C120="","",'Специализирано оборудване'!C120)</f>
        <v/>
      </c>
      <c r="F1340" s="133"/>
      <c r="G1340" s="131"/>
      <c r="H1340" s="130" t="str">
        <f>IF('Специализирано оборудване'!D120="","",'Специализирано оборудване'!D120)</f>
        <v>х</v>
      </c>
      <c r="I1340" s="131"/>
      <c r="J1340" s="61" t="str">
        <f>IF('Специализирано оборудване'!E120=0,"",'Специализирано оборудване'!E120)</f>
        <v/>
      </c>
    </row>
    <row r="1341" spans="1:10" ht="150" customHeight="1" x14ac:dyDescent="0.3">
      <c r="A1341" s="23">
        <v>36</v>
      </c>
      <c r="B1341" s="132" t="str">
        <f>IF('Специализирано оборудване'!B121="","",'Специализирано оборудване'!B121)</f>
        <v/>
      </c>
      <c r="C1341" s="133"/>
      <c r="D1341" s="131"/>
      <c r="E1341" s="130" t="str">
        <f>IF('Специализирано оборудване'!C121="","",'Специализирано оборудване'!C121)</f>
        <v/>
      </c>
      <c r="F1341" s="133"/>
      <c r="G1341" s="131"/>
      <c r="H1341" s="130" t="str">
        <f>IF('Специализирано оборудване'!D121="","",'Специализирано оборудване'!D121)</f>
        <v>х</v>
      </c>
      <c r="I1341" s="131"/>
      <c r="J1341" s="61" t="str">
        <f>IF('Специализирано оборудване'!E121=0,"",'Специализирано оборудване'!E121)</f>
        <v/>
      </c>
    </row>
    <row r="1342" spans="1:10" ht="150" customHeight="1" x14ac:dyDescent="0.3">
      <c r="A1342" s="23">
        <v>37</v>
      </c>
      <c r="B1342" s="132" t="str">
        <f>IF('Специализирано оборудване'!B122="","",'Специализирано оборудване'!B122)</f>
        <v/>
      </c>
      <c r="C1342" s="133"/>
      <c r="D1342" s="131"/>
      <c r="E1342" s="130" t="str">
        <f>IF('Специализирано оборудване'!C122="","",'Специализирано оборудване'!C122)</f>
        <v/>
      </c>
      <c r="F1342" s="133"/>
      <c r="G1342" s="131"/>
      <c r="H1342" s="130" t="str">
        <f>IF('Специализирано оборудване'!D122="","",'Специализирано оборудване'!D122)</f>
        <v>х</v>
      </c>
      <c r="I1342" s="131"/>
      <c r="J1342" s="61" t="str">
        <f>IF('Специализирано оборудване'!E122=0,"",'Специализирано оборудване'!E122)</f>
        <v/>
      </c>
    </row>
    <row r="1343" spans="1:10" ht="150" customHeight="1" x14ac:dyDescent="0.3">
      <c r="A1343" s="23">
        <v>38</v>
      </c>
      <c r="B1343" s="132" t="str">
        <f>IF('Специализирано оборудване'!B123="","",'Специализирано оборудване'!B123)</f>
        <v/>
      </c>
      <c r="C1343" s="133"/>
      <c r="D1343" s="131"/>
      <c r="E1343" s="130" t="str">
        <f>IF('Специализирано оборудване'!C123="","",'Специализирано оборудване'!C123)</f>
        <v/>
      </c>
      <c r="F1343" s="133"/>
      <c r="G1343" s="131"/>
      <c r="H1343" s="130" t="str">
        <f>IF('Специализирано оборудване'!D123="","",'Специализирано оборудване'!D123)</f>
        <v>х</v>
      </c>
      <c r="I1343" s="131"/>
      <c r="J1343" s="61" t="str">
        <f>IF('Специализирано оборудване'!E123=0,"",'Специализирано оборудване'!E123)</f>
        <v/>
      </c>
    </row>
    <row r="1344" spans="1:10" ht="150" customHeight="1" x14ac:dyDescent="0.3">
      <c r="A1344" s="23">
        <v>39</v>
      </c>
      <c r="B1344" s="132" t="str">
        <f>IF('Специализирано оборудване'!B124="","",'Специализирано оборудване'!B124)</f>
        <v/>
      </c>
      <c r="C1344" s="133"/>
      <c r="D1344" s="131"/>
      <c r="E1344" s="130" t="str">
        <f>IF('Специализирано оборудване'!C124="","",'Специализирано оборудване'!C124)</f>
        <v/>
      </c>
      <c r="F1344" s="133"/>
      <c r="G1344" s="131"/>
      <c r="H1344" s="130" t="str">
        <f>IF('Специализирано оборудване'!D124="","",'Специализирано оборудване'!D124)</f>
        <v>х</v>
      </c>
      <c r="I1344" s="131"/>
      <c r="J1344" s="61" t="str">
        <f>IF('Специализирано оборудване'!E124=0,"",'Специализирано оборудване'!E124)</f>
        <v/>
      </c>
    </row>
    <row r="1345" spans="1:10" ht="150" customHeight="1" thickBot="1" x14ac:dyDescent="0.35">
      <c r="A1345" s="24">
        <v>40</v>
      </c>
      <c r="B1345" s="132" t="str">
        <f>IF('Специализирано оборудване'!B125="","",'Специализирано оборудване'!B125)</f>
        <v/>
      </c>
      <c r="C1345" s="133"/>
      <c r="D1345" s="131"/>
      <c r="E1345" s="130" t="str">
        <f>IF('Специализирано оборудване'!C125="","",'Специализирано оборудване'!C125)</f>
        <v/>
      </c>
      <c r="F1345" s="133"/>
      <c r="G1345" s="131"/>
      <c r="H1345" s="130" t="str">
        <f>IF('Специализирано оборудване'!D125="","",'Специализирано оборудване'!D125)</f>
        <v>х</v>
      </c>
      <c r="I1345" s="131"/>
      <c r="J1345" s="61" t="str">
        <f>IF('Специализирано оборудване'!E125=0,"",'Специализирано оборудване'!E125)</f>
        <v/>
      </c>
    </row>
  </sheetData>
  <sheetProtection algorithmName="SHA-512" hashValue="RYJ4wfXBa+n6u+gX1KEGiNMn6I3qVgig9y8TZSGCrjRHWDL/3qr3I5UohRgCNmBILbDLXkWlOSJk1kS4iX89qw==" saltValue="zoJA0hg3UL2jYXmup1b2Vg==" spinCount="100000" sheet="1" selectLockedCells="1"/>
  <mergeCells count="3888">
    <mergeCell ref="B1336:D1336"/>
    <mergeCell ref="E1336:G1336"/>
    <mergeCell ref="H1336:I1336"/>
    <mergeCell ref="B1337:D1337"/>
    <mergeCell ref="E1337:G1337"/>
    <mergeCell ref="H1337:I1337"/>
    <mergeCell ref="B1344:D1344"/>
    <mergeCell ref="E1344:G1344"/>
    <mergeCell ref="H1344:I1344"/>
    <mergeCell ref="B1345:D1345"/>
    <mergeCell ref="E1345:G1345"/>
    <mergeCell ref="H1345:I1345"/>
    <mergeCell ref="B1338:D1338"/>
    <mergeCell ref="E1338:G1338"/>
    <mergeCell ref="H1338:I1338"/>
    <mergeCell ref="B1339:D1339"/>
    <mergeCell ref="E1339:G1339"/>
    <mergeCell ref="H1339:I1339"/>
    <mergeCell ref="B1340:D1340"/>
    <mergeCell ref="E1340:G1340"/>
    <mergeCell ref="H1340:I1340"/>
    <mergeCell ref="B1341:D1341"/>
    <mergeCell ref="E1341:G1341"/>
    <mergeCell ref="H1341:I1341"/>
    <mergeCell ref="B1342:D1342"/>
    <mergeCell ref="E1342:G1342"/>
    <mergeCell ref="H1342:I1342"/>
    <mergeCell ref="B1343:D1343"/>
    <mergeCell ref="E1343:G1343"/>
    <mergeCell ref="H1343:I1343"/>
    <mergeCell ref="B1312:D1312"/>
    <mergeCell ref="E1312:G1312"/>
    <mergeCell ref="B1331:D1331"/>
    <mergeCell ref="E1331:G1331"/>
    <mergeCell ref="H1331:I1331"/>
    <mergeCell ref="B1332:D1332"/>
    <mergeCell ref="E1332:G1332"/>
    <mergeCell ref="H1332:I1332"/>
    <mergeCell ref="B1333:D1333"/>
    <mergeCell ref="E1333:G1333"/>
    <mergeCell ref="H1333:I1333"/>
    <mergeCell ref="B1334:D1334"/>
    <mergeCell ref="E1334:G1334"/>
    <mergeCell ref="H1334:I1334"/>
    <mergeCell ref="B1335:D1335"/>
    <mergeCell ref="E1335:G1335"/>
    <mergeCell ref="H1335:I1335"/>
    <mergeCell ref="B1326:D1326"/>
    <mergeCell ref="E1326:G1326"/>
    <mergeCell ref="H1326:I1326"/>
    <mergeCell ref="B1327:D1327"/>
    <mergeCell ref="E1327:G1327"/>
    <mergeCell ref="H1327:I1327"/>
    <mergeCell ref="B1328:D1328"/>
    <mergeCell ref="E1328:G1328"/>
    <mergeCell ref="H1328:I1328"/>
    <mergeCell ref="B1329:D1329"/>
    <mergeCell ref="E1329:G1329"/>
    <mergeCell ref="H1329:I1329"/>
    <mergeCell ref="B1330:D1330"/>
    <mergeCell ref="E1330:G1330"/>
    <mergeCell ref="H1330:I1330"/>
    <mergeCell ref="B1321:D1321"/>
    <mergeCell ref="E1321:G1321"/>
    <mergeCell ref="H1321:I1321"/>
    <mergeCell ref="B1322:D1322"/>
    <mergeCell ref="E1322:G1322"/>
    <mergeCell ref="H1322:I1322"/>
    <mergeCell ref="B1323:D1323"/>
    <mergeCell ref="E1323:G1323"/>
    <mergeCell ref="H1323:I1323"/>
    <mergeCell ref="B1324:D1324"/>
    <mergeCell ref="E1324:G1324"/>
    <mergeCell ref="H1324:I1324"/>
    <mergeCell ref="B1203:D1203"/>
    <mergeCell ref="E1203:G1203"/>
    <mergeCell ref="H1203:I1203"/>
    <mergeCell ref="B1204:D1204"/>
    <mergeCell ref="E1204:G1204"/>
    <mergeCell ref="H1204:I1204"/>
    <mergeCell ref="H1313:I1313"/>
    <mergeCell ref="B1314:D1314"/>
    <mergeCell ref="E1314:G1314"/>
    <mergeCell ref="H1314:I1314"/>
    <mergeCell ref="B1315:D1315"/>
    <mergeCell ref="E1315:G1315"/>
    <mergeCell ref="H1315:I1315"/>
    <mergeCell ref="B1317:D1317"/>
    <mergeCell ref="E1317:G1317"/>
    <mergeCell ref="H1317:I1317"/>
    <mergeCell ref="B1318:D1318"/>
    <mergeCell ref="B1320:D1320"/>
    <mergeCell ref="E1320:G1320"/>
    <mergeCell ref="H1320:I1320"/>
    <mergeCell ref="B1177:D1177"/>
    <mergeCell ref="E1177:G1177"/>
    <mergeCell ref="H1177:I1177"/>
    <mergeCell ref="B1178:D1178"/>
    <mergeCell ref="E1178:G1178"/>
    <mergeCell ref="H1178:I1178"/>
    <mergeCell ref="B1174:D1174"/>
    <mergeCell ref="E1174:G1174"/>
    <mergeCell ref="H1174:I1174"/>
    <mergeCell ref="B1175:D1175"/>
    <mergeCell ref="E1175:G1175"/>
    <mergeCell ref="H1175:I1175"/>
    <mergeCell ref="B1176:D1176"/>
    <mergeCell ref="E1176:G1176"/>
    <mergeCell ref="H1186:I1186"/>
    <mergeCell ref="B1187:D1187"/>
    <mergeCell ref="E1187:G1187"/>
    <mergeCell ref="H1187:I1187"/>
    <mergeCell ref="E1181:G1181"/>
    <mergeCell ref="B1188:D1188"/>
    <mergeCell ref="E1188:G1188"/>
    <mergeCell ref="H1188:I1188"/>
    <mergeCell ref="B1189:D1189"/>
    <mergeCell ref="E1189:G1189"/>
    <mergeCell ref="H1189:I1189"/>
    <mergeCell ref="B1190:D1190"/>
    <mergeCell ref="E1190:G1190"/>
    <mergeCell ref="B1010:D1010"/>
    <mergeCell ref="E1010:G1010"/>
    <mergeCell ref="H1010:I1010"/>
    <mergeCell ref="B1011:D1011"/>
    <mergeCell ref="E1011:G1011"/>
    <mergeCell ref="H1011:I1011"/>
    <mergeCell ref="B1012:D1012"/>
    <mergeCell ref="E1012:G1012"/>
    <mergeCell ref="H1012:I1012"/>
    <mergeCell ref="B1013:D1013"/>
    <mergeCell ref="E1013:G1013"/>
    <mergeCell ref="H1013:I1013"/>
    <mergeCell ref="B1158:D1158"/>
    <mergeCell ref="E1158:G1158"/>
    <mergeCell ref="H1158:I1158"/>
    <mergeCell ref="B1151:D1151"/>
    <mergeCell ref="E1151:G1151"/>
    <mergeCell ref="H1151:I1151"/>
    <mergeCell ref="B1152:D1152"/>
    <mergeCell ref="E1152:G1152"/>
    <mergeCell ref="H1152:I1152"/>
    <mergeCell ref="B1164:D1164"/>
    <mergeCell ref="E1164:G1164"/>
    <mergeCell ref="H1164:I1164"/>
    <mergeCell ref="B1201:D1201"/>
    <mergeCell ref="E1201:G1201"/>
    <mergeCell ref="H1201:I1201"/>
    <mergeCell ref="B1202:D1202"/>
    <mergeCell ref="E1202:G1202"/>
    <mergeCell ref="H1202:I1202"/>
    <mergeCell ref="H1176:I1176"/>
    <mergeCell ref="B1165:D1165"/>
    <mergeCell ref="E1165:G1165"/>
    <mergeCell ref="H1165:I1165"/>
    <mergeCell ref="B1166:D1166"/>
    <mergeCell ref="E1166:G1166"/>
    <mergeCell ref="H1166:I1166"/>
    <mergeCell ref="B1167:D1167"/>
    <mergeCell ref="E1167:G1167"/>
    <mergeCell ref="H1167:I1167"/>
    <mergeCell ref="B1168:D1168"/>
    <mergeCell ref="E1168:G1168"/>
    <mergeCell ref="H1168:I1168"/>
    <mergeCell ref="B1169:D1169"/>
    <mergeCell ref="E1169:G1169"/>
    <mergeCell ref="H1169:I1169"/>
    <mergeCell ref="B1170:D1170"/>
    <mergeCell ref="E1170:G1170"/>
    <mergeCell ref="H1170:I1170"/>
    <mergeCell ref="H1190:I1190"/>
    <mergeCell ref="B1180:D1180"/>
    <mergeCell ref="E1180:G1180"/>
    <mergeCell ref="H1181:I1181"/>
    <mergeCell ref="B1182:D1182"/>
    <mergeCell ref="E1182:G1182"/>
    <mergeCell ref="H1182:I1182"/>
    <mergeCell ref="E1004:G1004"/>
    <mergeCell ref="H1004:I1004"/>
    <mergeCell ref="B1005:D1005"/>
    <mergeCell ref="E1005:G1005"/>
    <mergeCell ref="H1005:I1005"/>
    <mergeCell ref="B1006:D1006"/>
    <mergeCell ref="E1006:G1006"/>
    <mergeCell ref="H1006:I1006"/>
    <mergeCell ref="B1007:D1007"/>
    <mergeCell ref="E1007:G1007"/>
    <mergeCell ref="H1007:I1007"/>
    <mergeCell ref="B1008:D1008"/>
    <mergeCell ref="E1008:G1008"/>
    <mergeCell ref="H1008:I1008"/>
    <mergeCell ref="B1009:D1009"/>
    <mergeCell ref="E1009:G1009"/>
    <mergeCell ref="H1009:I1009"/>
    <mergeCell ref="H996:I996"/>
    <mergeCell ref="B997:D997"/>
    <mergeCell ref="E997:G997"/>
    <mergeCell ref="H997:I997"/>
    <mergeCell ref="B966:D966"/>
    <mergeCell ref="E966:G966"/>
    <mergeCell ref="H966:I966"/>
    <mergeCell ref="B967:D967"/>
    <mergeCell ref="E967:G967"/>
    <mergeCell ref="H967:I967"/>
    <mergeCell ref="B968:D968"/>
    <mergeCell ref="E968:G968"/>
    <mergeCell ref="H968:I968"/>
    <mergeCell ref="B969:D969"/>
    <mergeCell ref="E969:G969"/>
    <mergeCell ref="H969:I969"/>
    <mergeCell ref="B970:D970"/>
    <mergeCell ref="E970:G970"/>
    <mergeCell ref="E989:G989"/>
    <mergeCell ref="H985:I985"/>
    <mergeCell ref="B986:D986"/>
    <mergeCell ref="E986:G986"/>
    <mergeCell ref="H986:I986"/>
    <mergeCell ref="B987:D987"/>
    <mergeCell ref="E987:G987"/>
    <mergeCell ref="H987:I987"/>
    <mergeCell ref="B988:D988"/>
    <mergeCell ref="E988:G988"/>
    <mergeCell ref="H988:I988"/>
    <mergeCell ref="B989:D989"/>
    <mergeCell ref="B990:D990"/>
    <mergeCell ref="E990:G990"/>
    <mergeCell ref="E994:G994"/>
    <mergeCell ref="H994:I994"/>
    <mergeCell ref="B995:D995"/>
    <mergeCell ref="E995:G995"/>
    <mergeCell ref="H995:I995"/>
    <mergeCell ref="E964:G964"/>
    <mergeCell ref="H964:I964"/>
    <mergeCell ref="B965:D965"/>
    <mergeCell ref="E965:G965"/>
    <mergeCell ref="H965:I965"/>
    <mergeCell ref="B955:D955"/>
    <mergeCell ref="E955:G955"/>
    <mergeCell ref="H955:I955"/>
    <mergeCell ref="B956:D956"/>
    <mergeCell ref="E956:G956"/>
    <mergeCell ref="H956:I956"/>
    <mergeCell ref="B957:D957"/>
    <mergeCell ref="E957:G957"/>
    <mergeCell ref="H957:I957"/>
    <mergeCell ref="B958:D958"/>
    <mergeCell ref="E958:G958"/>
    <mergeCell ref="H958:I958"/>
    <mergeCell ref="B959:D959"/>
    <mergeCell ref="E959:G959"/>
    <mergeCell ref="H959:I959"/>
    <mergeCell ref="H970:I970"/>
    <mergeCell ref="B971:D971"/>
    <mergeCell ref="E971:G971"/>
    <mergeCell ref="H971:I971"/>
    <mergeCell ref="B960:D960"/>
    <mergeCell ref="E960:G960"/>
    <mergeCell ref="H960:I960"/>
    <mergeCell ref="E788:G788"/>
    <mergeCell ref="H788:I788"/>
    <mergeCell ref="E801:G801"/>
    <mergeCell ref="H801:I801"/>
    <mergeCell ref="B802:D802"/>
    <mergeCell ref="E802:G802"/>
    <mergeCell ref="H802:I802"/>
    <mergeCell ref="B803:D803"/>
    <mergeCell ref="E803:G803"/>
    <mergeCell ref="H803:I803"/>
    <mergeCell ref="B804:D804"/>
    <mergeCell ref="E804:G804"/>
    <mergeCell ref="H804:I804"/>
    <mergeCell ref="B805:D805"/>
    <mergeCell ref="E805:G805"/>
    <mergeCell ref="H805:I805"/>
    <mergeCell ref="B806:D806"/>
    <mergeCell ref="E806:G806"/>
    <mergeCell ref="H806:I806"/>
    <mergeCell ref="B578:D578"/>
    <mergeCell ref="E578:G578"/>
    <mergeCell ref="E568:G568"/>
    <mergeCell ref="E571:G571"/>
    <mergeCell ref="B572:D572"/>
    <mergeCell ref="B575:D575"/>
    <mergeCell ref="E575:G575"/>
    <mergeCell ref="H575:I575"/>
    <mergeCell ref="B576:D576"/>
    <mergeCell ref="B580:D580"/>
    <mergeCell ref="E580:G580"/>
    <mergeCell ref="H580:I580"/>
    <mergeCell ref="B550:D550"/>
    <mergeCell ref="H797:I797"/>
    <mergeCell ref="B798:D798"/>
    <mergeCell ref="E798:G798"/>
    <mergeCell ref="H798:I798"/>
    <mergeCell ref="B784:D784"/>
    <mergeCell ref="E784:G784"/>
    <mergeCell ref="H784:I784"/>
    <mergeCell ref="B779:D779"/>
    <mergeCell ref="E779:G779"/>
    <mergeCell ref="H779:I779"/>
    <mergeCell ref="H773:I773"/>
    <mergeCell ref="B774:D774"/>
    <mergeCell ref="B778:D778"/>
    <mergeCell ref="E782:G782"/>
    <mergeCell ref="H782:I782"/>
    <mergeCell ref="B783:D783"/>
    <mergeCell ref="E783:G783"/>
    <mergeCell ref="H783:I783"/>
    <mergeCell ref="B787:D787"/>
    <mergeCell ref="H387:I387"/>
    <mergeCell ref="B388:D388"/>
    <mergeCell ref="E388:G388"/>
    <mergeCell ref="H388:I388"/>
    <mergeCell ref="B389:D389"/>
    <mergeCell ref="E389:G389"/>
    <mergeCell ref="H389:I389"/>
    <mergeCell ref="B390:D390"/>
    <mergeCell ref="E390:G390"/>
    <mergeCell ref="H390:I390"/>
    <mergeCell ref="B391:D391"/>
    <mergeCell ref="E391:G391"/>
    <mergeCell ref="H391:I391"/>
    <mergeCell ref="B392:D392"/>
    <mergeCell ref="E392:G392"/>
    <mergeCell ref="H392:I392"/>
    <mergeCell ref="B581:D581"/>
    <mergeCell ref="E581:G581"/>
    <mergeCell ref="H581:I581"/>
    <mergeCell ref="B554:D554"/>
    <mergeCell ref="E554:G554"/>
    <mergeCell ref="H554:I554"/>
    <mergeCell ref="B555:D555"/>
    <mergeCell ref="E555:G555"/>
    <mergeCell ref="H555:I555"/>
    <mergeCell ref="B556:D556"/>
    <mergeCell ref="E556:G556"/>
    <mergeCell ref="H556:I556"/>
    <mergeCell ref="B557:D557"/>
    <mergeCell ref="E557:G557"/>
    <mergeCell ref="H557:I557"/>
    <mergeCell ref="B548:D548"/>
    <mergeCell ref="H359:I359"/>
    <mergeCell ref="B354:D354"/>
    <mergeCell ref="E354:G354"/>
    <mergeCell ref="B362:D362"/>
    <mergeCell ref="E362:G362"/>
    <mergeCell ref="H362:I362"/>
    <mergeCell ref="B541:D541"/>
    <mergeCell ref="E541:G541"/>
    <mergeCell ref="H541:I541"/>
    <mergeCell ref="B531:D531"/>
    <mergeCell ref="E531:G531"/>
    <mergeCell ref="H531:I531"/>
    <mergeCell ref="B532:D532"/>
    <mergeCell ref="E532:G532"/>
    <mergeCell ref="H532:I532"/>
    <mergeCell ref="B533:D533"/>
    <mergeCell ref="E533:G533"/>
    <mergeCell ref="H533:I533"/>
    <mergeCell ref="H382:I382"/>
    <mergeCell ref="B383:D383"/>
    <mergeCell ref="E383:G383"/>
    <mergeCell ref="H383:I383"/>
    <mergeCell ref="B384:D384"/>
    <mergeCell ref="E384:G384"/>
    <mergeCell ref="H384:I384"/>
    <mergeCell ref="B385:D385"/>
    <mergeCell ref="E385:G385"/>
    <mergeCell ref="H385:I385"/>
    <mergeCell ref="B386:D386"/>
    <mergeCell ref="E386:G386"/>
    <mergeCell ref="H386:I386"/>
    <mergeCell ref="B387:D387"/>
    <mergeCell ref="B1150:D1150"/>
    <mergeCell ref="E1150:G1150"/>
    <mergeCell ref="H1150:I1150"/>
    <mergeCell ref="B373:D373"/>
    <mergeCell ref="E373:G373"/>
    <mergeCell ref="H373:I373"/>
    <mergeCell ref="B343:D343"/>
    <mergeCell ref="E343:G343"/>
    <mergeCell ref="H343:I343"/>
    <mergeCell ref="B344:D344"/>
    <mergeCell ref="E344:G344"/>
    <mergeCell ref="H344:I344"/>
    <mergeCell ref="B345:D345"/>
    <mergeCell ref="E345:G345"/>
    <mergeCell ref="H345:I345"/>
    <mergeCell ref="B346:D346"/>
    <mergeCell ref="E346:G346"/>
    <mergeCell ref="H346:I346"/>
    <mergeCell ref="B347:D347"/>
    <mergeCell ref="E347:G347"/>
    <mergeCell ref="H347:I347"/>
    <mergeCell ref="B349:D349"/>
    <mergeCell ref="E349:G349"/>
    <mergeCell ref="H349:I349"/>
    <mergeCell ref="B350:D350"/>
    <mergeCell ref="E350:G350"/>
    <mergeCell ref="H350:I350"/>
    <mergeCell ref="E352:G352"/>
    <mergeCell ref="H352:I352"/>
    <mergeCell ref="H358:I358"/>
    <mergeCell ref="B359:D359"/>
    <mergeCell ref="E359:G359"/>
    <mergeCell ref="B1171:D1171"/>
    <mergeCell ref="E1171:G1171"/>
    <mergeCell ref="H1171:I1171"/>
    <mergeCell ref="B1172:D1172"/>
    <mergeCell ref="E1172:G1172"/>
    <mergeCell ref="H1172:I1172"/>
    <mergeCell ref="B1173:D1173"/>
    <mergeCell ref="E1173:G1173"/>
    <mergeCell ref="H1173:I1173"/>
    <mergeCell ref="B1159:D1159"/>
    <mergeCell ref="E1159:G1159"/>
    <mergeCell ref="H1159:I1159"/>
    <mergeCell ref="B1160:D1160"/>
    <mergeCell ref="E1160:G1160"/>
    <mergeCell ref="H1160:I1160"/>
    <mergeCell ref="B1161:D1161"/>
    <mergeCell ref="E1161:G1161"/>
    <mergeCell ref="H1161:I1161"/>
    <mergeCell ref="B1162:D1162"/>
    <mergeCell ref="E1162:G1162"/>
    <mergeCell ref="H1162:I1162"/>
    <mergeCell ref="B1163:D1163"/>
    <mergeCell ref="E1163:G1163"/>
    <mergeCell ref="H1163:I1163"/>
    <mergeCell ref="B1153:D1153"/>
    <mergeCell ref="E1153:G1153"/>
    <mergeCell ref="H1153:I1153"/>
    <mergeCell ref="B1154:D1154"/>
    <mergeCell ref="E1154:G1154"/>
    <mergeCell ref="H1154:I1154"/>
    <mergeCell ref="B1155:D1155"/>
    <mergeCell ref="E1155:G1155"/>
    <mergeCell ref="H1155:I1155"/>
    <mergeCell ref="B1156:D1156"/>
    <mergeCell ref="E1156:G1156"/>
    <mergeCell ref="H1156:I1156"/>
    <mergeCell ref="B1157:D1157"/>
    <mergeCell ref="E1157:G1157"/>
    <mergeCell ref="H1157:I1157"/>
    <mergeCell ref="B1144:D1144"/>
    <mergeCell ref="E1144:G1144"/>
    <mergeCell ref="H1144:I1144"/>
    <mergeCell ref="B1145:D1145"/>
    <mergeCell ref="E1145:G1145"/>
    <mergeCell ref="H1145:I1145"/>
    <mergeCell ref="B1146:D1146"/>
    <mergeCell ref="E1146:G1146"/>
    <mergeCell ref="H1146:I1146"/>
    <mergeCell ref="B1147:D1147"/>
    <mergeCell ref="E1147:G1147"/>
    <mergeCell ref="H1147:I1147"/>
    <mergeCell ref="B1148:D1148"/>
    <mergeCell ref="E1148:G1148"/>
    <mergeCell ref="H1148:I1148"/>
    <mergeCell ref="B1149:D1149"/>
    <mergeCell ref="E1149:G1149"/>
    <mergeCell ref="H1149:I1149"/>
    <mergeCell ref="B1119:D1119"/>
    <mergeCell ref="E1119:G1119"/>
    <mergeCell ref="H1119:I1119"/>
    <mergeCell ref="B1120:D1120"/>
    <mergeCell ref="B1097:J1097"/>
    <mergeCell ref="B1098:D1098"/>
    <mergeCell ref="E1098:G1098"/>
    <mergeCell ref="H1098:I1098"/>
    <mergeCell ref="B1099:D1099"/>
    <mergeCell ref="E1099:G1099"/>
    <mergeCell ref="H1115:I1115"/>
    <mergeCell ref="B1116:D1116"/>
    <mergeCell ref="E1116:G1116"/>
    <mergeCell ref="B1100:D1100"/>
    <mergeCell ref="E1100:G1100"/>
    <mergeCell ref="H1100:I1100"/>
    <mergeCell ref="H1099:I1099"/>
    <mergeCell ref="B1104:D1104"/>
    <mergeCell ref="E1104:G1104"/>
    <mergeCell ref="H1104:I1104"/>
    <mergeCell ref="B1105:D1105"/>
    <mergeCell ref="B1108:D1108"/>
    <mergeCell ref="E1108:G1108"/>
    <mergeCell ref="H1108:I1108"/>
    <mergeCell ref="H1112:I1112"/>
    <mergeCell ref="B1113:D1113"/>
    <mergeCell ref="E1110:G1110"/>
    <mergeCell ref="H1110:I1110"/>
    <mergeCell ref="B1111:D1111"/>
    <mergeCell ref="H1113:I1113"/>
    <mergeCell ref="B1110:D1110"/>
    <mergeCell ref="B1102:D1102"/>
    <mergeCell ref="B1090:D1090"/>
    <mergeCell ref="E1090:G1090"/>
    <mergeCell ref="H1090:I1090"/>
    <mergeCell ref="B1091:D1091"/>
    <mergeCell ref="E1091:G1091"/>
    <mergeCell ref="H1091:I1091"/>
    <mergeCell ref="B1092:D1092"/>
    <mergeCell ref="E1092:G1092"/>
    <mergeCell ref="H1092:I1092"/>
    <mergeCell ref="B1093:D1093"/>
    <mergeCell ref="E1093:G1093"/>
    <mergeCell ref="H1093:I1093"/>
    <mergeCell ref="B1094:D1094"/>
    <mergeCell ref="E1094:G1094"/>
    <mergeCell ref="H1094:I1094"/>
    <mergeCell ref="B1095:D1095"/>
    <mergeCell ref="E1095:G1095"/>
    <mergeCell ref="H1095:I1095"/>
    <mergeCell ref="B1096:J1096"/>
    <mergeCell ref="B1084:D1084"/>
    <mergeCell ref="E1084:G1084"/>
    <mergeCell ref="H1084:I1084"/>
    <mergeCell ref="B1085:D1085"/>
    <mergeCell ref="E1085:G1085"/>
    <mergeCell ref="H1085:I1085"/>
    <mergeCell ref="B1086:D1086"/>
    <mergeCell ref="E1086:G1086"/>
    <mergeCell ref="H1086:I1086"/>
    <mergeCell ref="B1087:D1087"/>
    <mergeCell ref="E1087:G1087"/>
    <mergeCell ref="H1087:I1087"/>
    <mergeCell ref="B1088:D1088"/>
    <mergeCell ref="E1088:G1088"/>
    <mergeCell ref="H1088:I1088"/>
    <mergeCell ref="B1089:D1089"/>
    <mergeCell ref="E1089:G1089"/>
    <mergeCell ref="H1089:I1089"/>
    <mergeCell ref="B1078:D1078"/>
    <mergeCell ref="E1078:G1078"/>
    <mergeCell ref="H1078:I1078"/>
    <mergeCell ref="B1079:D1079"/>
    <mergeCell ref="E1079:G1079"/>
    <mergeCell ref="H1079:I1079"/>
    <mergeCell ref="B1080:D1080"/>
    <mergeCell ref="E1080:G1080"/>
    <mergeCell ref="H1080:I1080"/>
    <mergeCell ref="B1081:D1081"/>
    <mergeCell ref="E1081:G1081"/>
    <mergeCell ref="H1081:I1081"/>
    <mergeCell ref="B1082:D1082"/>
    <mergeCell ref="E1082:G1082"/>
    <mergeCell ref="H1082:I1082"/>
    <mergeCell ref="B1083:D1083"/>
    <mergeCell ref="E1083:G1083"/>
    <mergeCell ref="H1083:I1083"/>
    <mergeCell ref="B1072:D1072"/>
    <mergeCell ref="E1072:G1072"/>
    <mergeCell ref="H1072:I1072"/>
    <mergeCell ref="B1073:D1073"/>
    <mergeCell ref="E1073:G1073"/>
    <mergeCell ref="H1073:I1073"/>
    <mergeCell ref="B1074:D1074"/>
    <mergeCell ref="E1074:G1074"/>
    <mergeCell ref="H1074:I1074"/>
    <mergeCell ref="B1075:D1075"/>
    <mergeCell ref="E1075:G1075"/>
    <mergeCell ref="H1075:I1075"/>
    <mergeCell ref="B1076:D1076"/>
    <mergeCell ref="E1076:G1076"/>
    <mergeCell ref="H1076:I1076"/>
    <mergeCell ref="B1077:D1077"/>
    <mergeCell ref="E1077:G1077"/>
    <mergeCell ref="H1077:I1077"/>
    <mergeCell ref="B1066:D1066"/>
    <mergeCell ref="E1066:G1066"/>
    <mergeCell ref="H1066:I1066"/>
    <mergeCell ref="B1067:D1067"/>
    <mergeCell ref="E1067:G1067"/>
    <mergeCell ref="H1067:I1067"/>
    <mergeCell ref="B1068:D1068"/>
    <mergeCell ref="E1068:G1068"/>
    <mergeCell ref="H1068:I1068"/>
    <mergeCell ref="B1069:D1069"/>
    <mergeCell ref="E1069:G1069"/>
    <mergeCell ref="H1069:I1069"/>
    <mergeCell ref="B1070:D1070"/>
    <mergeCell ref="E1070:G1070"/>
    <mergeCell ref="H1070:I1070"/>
    <mergeCell ref="B1071:D1071"/>
    <mergeCell ref="E1071:G1071"/>
    <mergeCell ref="H1071:I1071"/>
    <mergeCell ref="B1060:D1060"/>
    <mergeCell ref="E1060:G1060"/>
    <mergeCell ref="H1060:I1060"/>
    <mergeCell ref="B1061:D1061"/>
    <mergeCell ref="E1061:G1061"/>
    <mergeCell ref="H1061:I1061"/>
    <mergeCell ref="B1062:D1062"/>
    <mergeCell ref="E1062:G1062"/>
    <mergeCell ref="H1062:I1062"/>
    <mergeCell ref="B1063:D1063"/>
    <mergeCell ref="E1063:G1063"/>
    <mergeCell ref="H1063:I1063"/>
    <mergeCell ref="B1064:D1064"/>
    <mergeCell ref="E1064:G1064"/>
    <mergeCell ref="H1064:I1064"/>
    <mergeCell ref="B1065:D1065"/>
    <mergeCell ref="E1065:G1065"/>
    <mergeCell ref="H1065:I1065"/>
    <mergeCell ref="B1056:D1056"/>
    <mergeCell ref="E1056:G1056"/>
    <mergeCell ref="H1056:I1056"/>
    <mergeCell ref="B1057:D1057"/>
    <mergeCell ref="E1057:G1057"/>
    <mergeCell ref="H1057:I1057"/>
    <mergeCell ref="B1058:D1058"/>
    <mergeCell ref="E1058:G1058"/>
    <mergeCell ref="H1058:I1058"/>
    <mergeCell ref="B1059:D1059"/>
    <mergeCell ref="E1059:G1059"/>
    <mergeCell ref="H1059:I1059"/>
    <mergeCell ref="E991:G991"/>
    <mergeCell ref="B991:D991"/>
    <mergeCell ref="B1000:D1000"/>
    <mergeCell ref="E1000:G1000"/>
    <mergeCell ref="H1000:I1000"/>
    <mergeCell ref="B1001:D1001"/>
    <mergeCell ref="E1001:G1001"/>
    <mergeCell ref="H1001:I1001"/>
    <mergeCell ref="B1002:D1002"/>
    <mergeCell ref="E1002:G1002"/>
    <mergeCell ref="H1002:I1002"/>
    <mergeCell ref="B1003:D1003"/>
    <mergeCell ref="E1003:G1003"/>
    <mergeCell ref="H1003:I1003"/>
    <mergeCell ref="B1004:D1004"/>
    <mergeCell ref="H1054:I1054"/>
    <mergeCell ref="B1047:D1047"/>
    <mergeCell ref="E1047:G1047"/>
    <mergeCell ref="H1047:I1047"/>
    <mergeCell ref="B1048:D1048"/>
    <mergeCell ref="B961:D961"/>
    <mergeCell ref="E961:G961"/>
    <mergeCell ref="H961:I961"/>
    <mergeCell ref="B962:D962"/>
    <mergeCell ref="E962:G962"/>
    <mergeCell ref="H962:I962"/>
    <mergeCell ref="B963:D963"/>
    <mergeCell ref="E963:G963"/>
    <mergeCell ref="H963:I963"/>
    <mergeCell ref="B964:D964"/>
    <mergeCell ref="B949:D949"/>
    <mergeCell ref="E949:G949"/>
    <mergeCell ref="H949:I949"/>
    <mergeCell ref="B950:D950"/>
    <mergeCell ref="E950:G950"/>
    <mergeCell ref="H950:I950"/>
    <mergeCell ref="B951:D951"/>
    <mergeCell ref="E951:G951"/>
    <mergeCell ref="H951:I951"/>
    <mergeCell ref="B952:D952"/>
    <mergeCell ref="E952:G952"/>
    <mergeCell ref="H952:I952"/>
    <mergeCell ref="B953:D953"/>
    <mergeCell ref="E953:G953"/>
    <mergeCell ref="H953:I953"/>
    <mergeCell ref="B954:D954"/>
    <mergeCell ref="E954:G954"/>
    <mergeCell ref="H954:I954"/>
    <mergeCell ref="B943:D943"/>
    <mergeCell ref="E943:G943"/>
    <mergeCell ref="H943:I943"/>
    <mergeCell ref="B944:D944"/>
    <mergeCell ref="E944:G944"/>
    <mergeCell ref="H944:I944"/>
    <mergeCell ref="B945:D945"/>
    <mergeCell ref="E945:G945"/>
    <mergeCell ref="H945:I945"/>
    <mergeCell ref="B946:D946"/>
    <mergeCell ref="E946:G946"/>
    <mergeCell ref="H946:I946"/>
    <mergeCell ref="B947:D947"/>
    <mergeCell ref="E947:G947"/>
    <mergeCell ref="H947:I947"/>
    <mergeCell ref="B948:D948"/>
    <mergeCell ref="E948:G948"/>
    <mergeCell ref="H948:I948"/>
    <mergeCell ref="B936:D936"/>
    <mergeCell ref="E936:G936"/>
    <mergeCell ref="H936:I936"/>
    <mergeCell ref="B931:D931"/>
    <mergeCell ref="E931:G931"/>
    <mergeCell ref="H931:I931"/>
    <mergeCell ref="B923:D923"/>
    <mergeCell ref="B940:D940"/>
    <mergeCell ref="E940:G940"/>
    <mergeCell ref="H940:I940"/>
    <mergeCell ref="B941:D941"/>
    <mergeCell ref="E941:G941"/>
    <mergeCell ref="H941:I941"/>
    <mergeCell ref="B942:D942"/>
    <mergeCell ref="E942:G942"/>
    <mergeCell ref="H942:I942"/>
    <mergeCell ref="B937:D937"/>
    <mergeCell ref="E937:G937"/>
    <mergeCell ref="H937:I937"/>
    <mergeCell ref="B938:D938"/>
    <mergeCell ref="E938:G938"/>
    <mergeCell ref="H938:I938"/>
    <mergeCell ref="B939:D939"/>
    <mergeCell ref="E939:G939"/>
    <mergeCell ref="H939:I939"/>
    <mergeCell ref="B932:D932"/>
    <mergeCell ref="E932:G932"/>
    <mergeCell ref="H932:I932"/>
    <mergeCell ref="B933:D933"/>
    <mergeCell ref="E933:G933"/>
    <mergeCell ref="H928:I928"/>
    <mergeCell ref="B929:D929"/>
    <mergeCell ref="B934:D934"/>
    <mergeCell ref="E934:G934"/>
    <mergeCell ref="H934:I934"/>
    <mergeCell ref="B935:D935"/>
    <mergeCell ref="E935:G935"/>
    <mergeCell ref="H935:I935"/>
    <mergeCell ref="E923:G923"/>
    <mergeCell ref="H923:I923"/>
    <mergeCell ref="B924:D924"/>
    <mergeCell ref="E924:G924"/>
    <mergeCell ref="H924:I924"/>
    <mergeCell ref="B925:D925"/>
    <mergeCell ref="E925:G925"/>
    <mergeCell ref="H925:I925"/>
    <mergeCell ref="B926:D926"/>
    <mergeCell ref="E926:G926"/>
    <mergeCell ref="H926:I926"/>
    <mergeCell ref="B927:D927"/>
    <mergeCell ref="E927:G927"/>
    <mergeCell ref="H927:I927"/>
    <mergeCell ref="B928:D928"/>
    <mergeCell ref="E928:G928"/>
    <mergeCell ref="E929:G929"/>
    <mergeCell ref="H929:I929"/>
    <mergeCell ref="B930:D930"/>
    <mergeCell ref="E930:G930"/>
    <mergeCell ref="H930:I930"/>
    <mergeCell ref="B907:D907"/>
    <mergeCell ref="E907:G907"/>
    <mergeCell ref="H907:I907"/>
    <mergeCell ref="B911:D911"/>
    <mergeCell ref="B920:D920"/>
    <mergeCell ref="E920:G920"/>
    <mergeCell ref="H920:I920"/>
    <mergeCell ref="B921:D921"/>
    <mergeCell ref="E921:G921"/>
    <mergeCell ref="H921:I921"/>
    <mergeCell ref="B922:D922"/>
    <mergeCell ref="E922:G922"/>
    <mergeCell ref="H922:I922"/>
    <mergeCell ref="H933:I933"/>
    <mergeCell ref="B915:D915"/>
    <mergeCell ref="E915:G915"/>
    <mergeCell ref="H915:I915"/>
    <mergeCell ref="B916:D916"/>
    <mergeCell ref="E916:G916"/>
    <mergeCell ref="H916:I916"/>
    <mergeCell ref="B919:D919"/>
    <mergeCell ref="E919:G919"/>
    <mergeCell ref="H919:I919"/>
    <mergeCell ref="B917:D917"/>
    <mergeCell ref="E917:G917"/>
    <mergeCell ref="H917:I917"/>
    <mergeCell ref="B918:D918"/>
    <mergeCell ref="E918:G918"/>
    <mergeCell ref="H918:I918"/>
    <mergeCell ref="B904:D904"/>
    <mergeCell ref="E904:G904"/>
    <mergeCell ref="B910:D910"/>
    <mergeCell ref="B912:D912"/>
    <mergeCell ref="E912:G912"/>
    <mergeCell ref="H912:I912"/>
    <mergeCell ref="H904:I904"/>
    <mergeCell ref="B892:D892"/>
    <mergeCell ref="E892:G892"/>
    <mergeCell ref="H892:I892"/>
    <mergeCell ref="B893:D893"/>
    <mergeCell ref="B902:D902"/>
    <mergeCell ref="B883:D883"/>
    <mergeCell ref="E883:G883"/>
    <mergeCell ref="H883:I883"/>
    <mergeCell ref="B884:D884"/>
    <mergeCell ref="E884:G884"/>
    <mergeCell ref="H884:I884"/>
    <mergeCell ref="B885:D885"/>
    <mergeCell ref="E885:G885"/>
    <mergeCell ref="H885:I885"/>
    <mergeCell ref="B886:D886"/>
    <mergeCell ref="E886:G886"/>
    <mergeCell ref="H886:I886"/>
    <mergeCell ref="B887:D887"/>
    <mergeCell ref="E887:G887"/>
    <mergeCell ref="H887:I887"/>
    <mergeCell ref="B888:D888"/>
    <mergeCell ref="E888:G888"/>
    <mergeCell ref="H888:I888"/>
    <mergeCell ref="E898:G898"/>
    <mergeCell ref="H898:I898"/>
    <mergeCell ref="E878:G878"/>
    <mergeCell ref="H878:I878"/>
    <mergeCell ref="B879:D879"/>
    <mergeCell ref="E879:G879"/>
    <mergeCell ref="H879:I879"/>
    <mergeCell ref="B880:D880"/>
    <mergeCell ref="E880:G880"/>
    <mergeCell ref="H880:I880"/>
    <mergeCell ref="B881:D881"/>
    <mergeCell ref="E881:G881"/>
    <mergeCell ref="H881:I881"/>
    <mergeCell ref="B882:D882"/>
    <mergeCell ref="E882:G882"/>
    <mergeCell ref="H882:I882"/>
    <mergeCell ref="H903:I903"/>
    <mergeCell ref="B899:D899"/>
    <mergeCell ref="E895:G895"/>
    <mergeCell ref="H895:I895"/>
    <mergeCell ref="E902:G902"/>
    <mergeCell ref="H902:I902"/>
    <mergeCell ref="B903:D903"/>
    <mergeCell ref="E751:G751"/>
    <mergeCell ref="E863:G863"/>
    <mergeCell ref="H863:I863"/>
    <mergeCell ref="B864:D864"/>
    <mergeCell ref="E864:G864"/>
    <mergeCell ref="H864:I864"/>
    <mergeCell ref="B865:D865"/>
    <mergeCell ref="E865:G865"/>
    <mergeCell ref="H865:I865"/>
    <mergeCell ref="H809:I809"/>
    <mergeCell ref="B765:J765"/>
    <mergeCell ref="B766:D766"/>
    <mergeCell ref="E766:G766"/>
    <mergeCell ref="H766:I766"/>
    <mergeCell ref="E910:G910"/>
    <mergeCell ref="H900:I900"/>
    <mergeCell ref="B789:D789"/>
    <mergeCell ref="E789:G789"/>
    <mergeCell ref="H789:I789"/>
    <mergeCell ref="B790:D790"/>
    <mergeCell ref="E790:G790"/>
    <mergeCell ref="H790:I790"/>
    <mergeCell ref="B791:D791"/>
    <mergeCell ref="E791:G791"/>
    <mergeCell ref="H791:I791"/>
    <mergeCell ref="B792:D792"/>
    <mergeCell ref="E792:G792"/>
    <mergeCell ref="H792:I792"/>
    <mergeCell ref="B793:D793"/>
    <mergeCell ref="B830:D830"/>
    <mergeCell ref="E793:G793"/>
    <mergeCell ref="H793:I793"/>
    <mergeCell ref="B832:D832"/>
    <mergeCell ref="E832:G832"/>
    <mergeCell ref="H832:I832"/>
    <mergeCell ref="B836:D836"/>
    <mergeCell ref="E836:G836"/>
    <mergeCell ref="H836:I836"/>
    <mergeCell ref="B837:D837"/>
    <mergeCell ref="H808:I808"/>
    <mergeCell ref="B809:D809"/>
    <mergeCell ref="E809:G809"/>
    <mergeCell ref="H800:I800"/>
    <mergeCell ref="B801:D801"/>
    <mergeCell ref="H752:I752"/>
    <mergeCell ref="B753:D753"/>
    <mergeCell ref="E753:G753"/>
    <mergeCell ref="H753:I753"/>
    <mergeCell ref="B754:D754"/>
    <mergeCell ref="E754:G754"/>
    <mergeCell ref="B794:D794"/>
    <mergeCell ref="E794:G794"/>
    <mergeCell ref="H794:I794"/>
    <mergeCell ref="B795:D795"/>
    <mergeCell ref="E795:G795"/>
    <mergeCell ref="H795:I795"/>
    <mergeCell ref="B796:D796"/>
    <mergeCell ref="E796:G796"/>
    <mergeCell ref="H796:I796"/>
    <mergeCell ref="B799:D799"/>
    <mergeCell ref="E799:G799"/>
    <mergeCell ref="H799:I799"/>
    <mergeCell ref="B800:D800"/>
    <mergeCell ref="E800:G800"/>
    <mergeCell ref="B759:D759"/>
    <mergeCell ref="E759:G759"/>
    <mergeCell ref="H759:I759"/>
    <mergeCell ref="B760:D760"/>
    <mergeCell ref="E760:G760"/>
    <mergeCell ref="H760:I760"/>
    <mergeCell ref="B761:D761"/>
    <mergeCell ref="E761:G761"/>
    <mergeCell ref="E830:G830"/>
    <mergeCell ref="H830:I830"/>
    <mergeCell ref="B831:D831"/>
    <mergeCell ref="E831:G831"/>
    <mergeCell ref="H831:I831"/>
    <mergeCell ref="H761:I761"/>
    <mergeCell ref="B762:D762"/>
    <mergeCell ref="E762:G762"/>
    <mergeCell ref="H762:I762"/>
    <mergeCell ref="B763:D763"/>
    <mergeCell ref="E763:G763"/>
    <mergeCell ref="H763:I763"/>
    <mergeCell ref="B764:D764"/>
    <mergeCell ref="E764:G764"/>
    <mergeCell ref="H764:I764"/>
    <mergeCell ref="E767:G767"/>
    <mergeCell ref="B797:D797"/>
    <mergeCell ref="E797:G797"/>
    <mergeCell ref="H770:I770"/>
    <mergeCell ref="B771:D771"/>
    <mergeCell ref="E771:G771"/>
    <mergeCell ref="E787:G787"/>
    <mergeCell ref="H787:I787"/>
    <mergeCell ref="B788:D788"/>
    <mergeCell ref="B746:D746"/>
    <mergeCell ref="E746:G746"/>
    <mergeCell ref="H746:I746"/>
    <mergeCell ref="H754:I754"/>
    <mergeCell ref="B755:D755"/>
    <mergeCell ref="E755:G755"/>
    <mergeCell ref="H755:I755"/>
    <mergeCell ref="B756:D756"/>
    <mergeCell ref="E756:G756"/>
    <mergeCell ref="H756:I756"/>
    <mergeCell ref="B757:D757"/>
    <mergeCell ref="E757:G757"/>
    <mergeCell ref="H757:I757"/>
    <mergeCell ref="B758:D758"/>
    <mergeCell ref="E758:G758"/>
    <mergeCell ref="H758:I758"/>
    <mergeCell ref="B747:D747"/>
    <mergeCell ref="E747:G747"/>
    <mergeCell ref="H747:I747"/>
    <mergeCell ref="B748:D748"/>
    <mergeCell ref="E748:G748"/>
    <mergeCell ref="H748:I748"/>
    <mergeCell ref="B749:D749"/>
    <mergeCell ref="E749:G749"/>
    <mergeCell ref="H749:I749"/>
    <mergeCell ref="B750:D750"/>
    <mergeCell ref="E750:G750"/>
    <mergeCell ref="H750:I750"/>
    <mergeCell ref="B751:D751"/>
    <mergeCell ref="H751:I751"/>
    <mergeCell ref="B752:D752"/>
    <mergeCell ref="E752:G752"/>
    <mergeCell ref="B727:D727"/>
    <mergeCell ref="E727:G727"/>
    <mergeCell ref="H727:I727"/>
    <mergeCell ref="B728:D728"/>
    <mergeCell ref="E728:G728"/>
    <mergeCell ref="H728:I728"/>
    <mergeCell ref="B720:D720"/>
    <mergeCell ref="E720:G720"/>
    <mergeCell ref="H720:I720"/>
    <mergeCell ref="B721:D721"/>
    <mergeCell ref="E721:G721"/>
    <mergeCell ref="H721:I721"/>
    <mergeCell ref="B722:D722"/>
    <mergeCell ref="E722:G722"/>
    <mergeCell ref="H722:I722"/>
    <mergeCell ref="B723:D723"/>
    <mergeCell ref="E723:G723"/>
    <mergeCell ref="H723:I723"/>
    <mergeCell ref="B724:D724"/>
    <mergeCell ref="E724:G724"/>
    <mergeCell ref="B678:D678"/>
    <mergeCell ref="E678:G678"/>
    <mergeCell ref="H678:I678"/>
    <mergeCell ref="B679:D679"/>
    <mergeCell ref="E679:G679"/>
    <mergeCell ref="H679:I679"/>
    <mergeCell ref="B680:D680"/>
    <mergeCell ref="E680:G680"/>
    <mergeCell ref="H680:I680"/>
    <mergeCell ref="B681:D681"/>
    <mergeCell ref="E681:G681"/>
    <mergeCell ref="H681:I681"/>
    <mergeCell ref="B725:D725"/>
    <mergeCell ref="E725:G725"/>
    <mergeCell ref="H725:I725"/>
    <mergeCell ref="B726:D726"/>
    <mergeCell ref="E726:G726"/>
    <mergeCell ref="H726:I726"/>
    <mergeCell ref="B691:D691"/>
    <mergeCell ref="B687:D687"/>
    <mergeCell ref="E687:G687"/>
    <mergeCell ref="H687:I687"/>
    <mergeCell ref="E685:G685"/>
    <mergeCell ref="H685:I685"/>
    <mergeCell ref="B685:D685"/>
    <mergeCell ref="B672:D672"/>
    <mergeCell ref="E672:G672"/>
    <mergeCell ref="H672:I672"/>
    <mergeCell ref="B673:D673"/>
    <mergeCell ref="E673:G673"/>
    <mergeCell ref="H673:I673"/>
    <mergeCell ref="B674:D674"/>
    <mergeCell ref="E674:G674"/>
    <mergeCell ref="H674:I674"/>
    <mergeCell ref="B675:D675"/>
    <mergeCell ref="E675:G675"/>
    <mergeCell ref="H675:I675"/>
    <mergeCell ref="B676:D676"/>
    <mergeCell ref="E676:G676"/>
    <mergeCell ref="H676:I676"/>
    <mergeCell ref="B677:D677"/>
    <mergeCell ref="E677:G677"/>
    <mergeCell ref="H677:I677"/>
    <mergeCell ref="B666:D666"/>
    <mergeCell ref="E666:G666"/>
    <mergeCell ref="H666:I666"/>
    <mergeCell ref="B667:D667"/>
    <mergeCell ref="E667:G667"/>
    <mergeCell ref="H667:I667"/>
    <mergeCell ref="B668:D668"/>
    <mergeCell ref="E668:G668"/>
    <mergeCell ref="H668:I668"/>
    <mergeCell ref="B669:D669"/>
    <mergeCell ref="E669:G669"/>
    <mergeCell ref="H669:I669"/>
    <mergeCell ref="B670:D670"/>
    <mergeCell ref="E670:G670"/>
    <mergeCell ref="H670:I670"/>
    <mergeCell ref="B671:D671"/>
    <mergeCell ref="E671:G671"/>
    <mergeCell ref="H671:I671"/>
    <mergeCell ref="B660:D660"/>
    <mergeCell ref="E660:G660"/>
    <mergeCell ref="H660:I660"/>
    <mergeCell ref="B661:D661"/>
    <mergeCell ref="E661:G661"/>
    <mergeCell ref="H661:I661"/>
    <mergeCell ref="B662:D662"/>
    <mergeCell ref="E662:G662"/>
    <mergeCell ref="H662:I662"/>
    <mergeCell ref="B663:D663"/>
    <mergeCell ref="E663:G663"/>
    <mergeCell ref="H663:I663"/>
    <mergeCell ref="B664:D664"/>
    <mergeCell ref="E664:G664"/>
    <mergeCell ref="H664:I664"/>
    <mergeCell ref="B665:D665"/>
    <mergeCell ref="E665:G665"/>
    <mergeCell ref="H665:I665"/>
    <mergeCell ref="B654:D654"/>
    <mergeCell ref="E654:G654"/>
    <mergeCell ref="H654:I654"/>
    <mergeCell ref="B655:D655"/>
    <mergeCell ref="E655:G655"/>
    <mergeCell ref="H655:I655"/>
    <mergeCell ref="B656:D656"/>
    <mergeCell ref="E656:G656"/>
    <mergeCell ref="H656:I656"/>
    <mergeCell ref="B657:D657"/>
    <mergeCell ref="E657:G657"/>
    <mergeCell ref="H657:I657"/>
    <mergeCell ref="B658:D658"/>
    <mergeCell ref="E658:G658"/>
    <mergeCell ref="H658:I658"/>
    <mergeCell ref="B659:D659"/>
    <mergeCell ref="E659:G659"/>
    <mergeCell ref="H659:I659"/>
    <mergeCell ref="H644:I644"/>
    <mergeCell ref="B645:D645"/>
    <mergeCell ref="E645:G645"/>
    <mergeCell ref="H645:I645"/>
    <mergeCell ref="B646:D646"/>
    <mergeCell ref="E646:G646"/>
    <mergeCell ref="H646:I646"/>
    <mergeCell ref="B647:D647"/>
    <mergeCell ref="E647:G647"/>
    <mergeCell ref="H647:I647"/>
    <mergeCell ref="B648:D648"/>
    <mergeCell ref="B652:D652"/>
    <mergeCell ref="E652:G652"/>
    <mergeCell ref="H652:I652"/>
    <mergeCell ref="B653:D653"/>
    <mergeCell ref="E653:G653"/>
    <mergeCell ref="H653:I653"/>
    <mergeCell ref="H583:I583"/>
    <mergeCell ref="B584:D584"/>
    <mergeCell ref="E584:G584"/>
    <mergeCell ref="H584:I584"/>
    <mergeCell ref="B585:D585"/>
    <mergeCell ref="E585:G585"/>
    <mergeCell ref="H585:I585"/>
    <mergeCell ref="B586:D586"/>
    <mergeCell ref="E586:G586"/>
    <mergeCell ref="B639:D639"/>
    <mergeCell ref="E639:G639"/>
    <mergeCell ref="H639:I639"/>
    <mergeCell ref="B627:D627"/>
    <mergeCell ref="E627:G627"/>
    <mergeCell ref="B631:D631"/>
    <mergeCell ref="E631:G631"/>
    <mergeCell ref="H631:I631"/>
    <mergeCell ref="B632:D632"/>
    <mergeCell ref="E632:G632"/>
    <mergeCell ref="H632:I632"/>
    <mergeCell ref="H628:I628"/>
    <mergeCell ref="B629:D629"/>
    <mergeCell ref="E629:G629"/>
    <mergeCell ref="H629:I629"/>
    <mergeCell ref="B630:D630"/>
    <mergeCell ref="E630:G630"/>
    <mergeCell ref="E616:G616"/>
    <mergeCell ref="H616:I616"/>
    <mergeCell ref="B611:D611"/>
    <mergeCell ref="E611:G611"/>
    <mergeCell ref="H611:I611"/>
    <mergeCell ref="E638:G638"/>
    <mergeCell ref="B553:D553"/>
    <mergeCell ref="E553:G553"/>
    <mergeCell ref="H553:I553"/>
    <mergeCell ref="B542:D542"/>
    <mergeCell ref="E542:G542"/>
    <mergeCell ref="H542:I542"/>
    <mergeCell ref="B543:D543"/>
    <mergeCell ref="E543:G543"/>
    <mergeCell ref="H543:I543"/>
    <mergeCell ref="B544:D544"/>
    <mergeCell ref="E544:G544"/>
    <mergeCell ref="H544:I544"/>
    <mergeCell ref="B545:D545"/>
    <mergeCell ref="E545:G545"/>
    <mergeCell ref="H545:I545"/>
    <mergeCell ref="B546:D546"/>
    <mergeCell ref="E546:G546"/>
    <mergeCell ref="H546:I546"/>
    <mergeCell ref="B547:D547"/>
    <mergeCell ref="E549:G549"/>
    <mergeCell ref="H548:I548"/>
    <mergeCell ref="E547:G547"/>
    <mergeCell ref="H547:I547"/>
    <mergeCell ref="E548:G548"/>
    <mergeCell ref="B549:D549"/>
    <mergeCell ref="H549:I549"/>
    <mergeCell ref="B528:D528"/>
    <mergeCell ref="E528:G528"/>
    <mergeCell ref="H528:I528"/>
    <mergeCell ref="B529:D529"/>
    <mergeCell ref="E529:G529"/>
    <mergeCell ref="H529:I529"/>
    <mergeCell ref="B530:D530"/>
    <mergeCell ref="E530:G530"/>
    <mergeCell ref="H530:I530"/>
    <mergeCell ref="E550:G550"/>
    <mergeCell ref="H550:I550"/>
    <mergeCell ref="B551:D551"/>
    <mergeCell ref="E551:G551"/>
    <mergeCell ref="H551:I551"/>
    <mergeCell ref="B552:D552"/>
    <mergeCell ref="E552:G552"/>
    <mergeCell ref="H552:I552"/>
    <mergeCell ref="B534:D534"/>
    <mergeCell ref="E534:G534"/>
    <mergeCell ref="H534:I534"/>
    <mergeCell ref="B535:D535"/>
    <mergeCell ref="E535:G535"/>
    <mergeCell ref="H535:I535"/>
    <mergeCell ref="B536:D536"/>
    <mergeCell ref="E536:G536"/>
    <mergeCell ref="H536:I536"/>
    <mergeCell ref="B537:D537"/>
    <mergeCell ref="E537:G537"/>
    <mergeCell ref="H537:I537"/>
    <mergeCell ref="B538:D538"/>
    <mergeCell ref="B474:D474"/>
    <mergeCell ref="E474:G474"/>
    <mergeCell ref="H474:I474"/>
    <mergeCell ref="H522:I522"/>
    <mergeCell ref="B523:D523"/>
    <mergeCell ref="E523:G523"/>
    <mergeCell ref="H523:I523"/>
    <mergeCell ref="B524:D524"/>
    <mergeCell ref="E524:G524"/>
    <mergeCell ref="H524:I524"/>
    <mergeCell ref="B525:D525"/>
    <mergeCell ref="E525:G525"/>
    <mergeCell ref="H525:I525"/>
    <mergeCell ref="B479:D479"/>
    <mergeCell ref="E482:G482"/>
    <mergeCell ref="B504:D504"/>
    <mergeCell ref="E504:G504"/>
    <mergeCell ref="E515:G515"/>
    <mergeCell ref="H515:I515"/>
    <mergeCell ref="B516:D516"/>
    <mergeCell ref="E516:G516"/>
    <mergeCell ref="H516:I516"/>
    <mergeCell ref="B515:D515"/>
    <mergeCell ref="H478:I478"/>
    <mergeCell ref="B476:J476"/>
    <mergeCell ref="B477:D477"/>
    <mergeCell ref="B517:D517"/>
    <mergeCell ref="E517:G517"/>
    <mergeCell ref="H517:I517"/>
    <mergeCell ref="B520:D520"/>
    <mergeCell ref="E520:G520"/>
    <mergeCell ref="H491:I491"/>
    <mergeCell ref="B468:D468"/>
    <mergeCell ref="E468:G468"/>
    <mergeCell ref="H468:I468"/>
    <mergeCell ref="B469:D469"/>
    <mergeCell ref="E469:G469"/>
    <mergeCell ref="H469:I469"/>
    <mergeCell ref="B470:D470"/>
    <mergeCell ref="E470:G470"/>
    <mergeCell ref="H470:I470"/>
    <mergeCell ref="B471:D471"/>
    <mergeCell ref="E471:G471"/>
    <mergeCell ref="H471:I471"/>
    <mergeCell ref="B472:D472"/>
    <mergeCell ref="E472:G472"/>
    <mergeCell ref="H472:I472"/>
    <mergeCell ref="B473:D473"/>
    <mergeCell ref="E473:G473"/>
    <mergeCell ref="H473:I473"/>
    <mergeCell ref="B462:D462"/>
    <mergeCell ref="E462:G462"/>
    <mergeCell ref="H462:I462"/>
    <mergeCell ref="B463:D463"/>
    <mergeCell ref="E463:G463"/>
    <mergeCell ref="H463:I463"/>
    <mergeCell ref="B464:D464"/>
    <mergeCell ref="E464:G464"/>
    <mergeCell ref="H464:I464"/>
    <mergeCell ref="B465:D465"/>
    <mergeCell ref="E465:G465"/>
    <mergeCell ref="H465:I465"/>
    <mergeCell ref="B466:D466"/>
    <mergeCell ref="E466:G466"/>
    <mergeCell ref="H466:I466"/>
    <mergeCell ref="B467:D467"/>
    <mergeCell ref="E467:G467"/>
    <mergeCell ref="H467:I467"/>
    <mergeCell ref="B456:D456"/>
    <mergeCell ref="E456:G456"/>
    <mergeCell ref="H456:I456"/>
    <mergeCell ref="B457:D457"/>
    <mergeCell ref="E457:G457"/>
    <mergeCell ref="H457:I457"/>
    <mergeCell ref="B458:D458"/>
    <mergeCell ref="E458:G458"/>
    <mergeCell ref="H458:I458"/>
    <mergeCell ref="B459:D459"/>
    <mergeCell ref="E459:G459"/>
    <mergeCell ref="H459:I459"/>
    <mergeCell ref="B460:D460"/>
    <mergeCell ref="E460:G460"/>
    <mergeCell ref="H460:I460"/>
    <mergeCell ref="B461:D461"/>
    <mergeCell ref="E461:G461"/>
    <mergeCell ref="H461:I461"/>
    <mergeCell ref="B450:D450"/>
    <mergeCell ref="E450:G450"/>
    <mergeCell ref="H450:I450"/>
    <mergeCell ref="B451:D451"/>
    <mergeCell ref="E451:G451"/>
    <mergeCell ref="H451:I451"/>
    <mergeCell ref="B452:D452"/>
    <mergeCell ref="E452:G452"/>
    <mergeCell ref="H452:I452"/>
    <mergeCell ref="B453:D453"/>
    <mergeCell ref="E453:G453"/>
    <mergeCell ref="H453:I453"/>
    <mergeCell ref="B454:D454"/>
    <mergeCell ref="E454:G454"/>
    <mergeCell ref="H454:I454"/>
    <mergeCell ref="B455:D455"/>
    <mergeCell ref="E455:G455"/>
    <mergeCell ref="H455:I455"/>
    <mergeCell ref="H443:I443"/>
    <mergeCell ref="B444:D444"/>
    <mergeCell ref="E444:G444"/>
    <mergeCell ref="H444:I444"/>
    <mergeCell ref="B445:D445"/>
    <mergeCell ref="E445:G445"/>
    <mergeCell ref="H445:I445"/>
    <mergeCell ref="B446:D446"/>
    <mergeCell ref="E446:G446"/>
    <mergeCell ref="H446:I446"/>
    <mergeCell ref="B447:D447"/>
    <mergeCell ref="E447:G447"/>
    <mergeCell ref="H447:I447"/>
    <mergeCell ref="B448:D448"/>
    <mergeCell ref="E448:G448"/>
    <mergeCell ref="H448:I448"/>
    <mergeCell ref="B449:D449"/>
    <mergeCell ref="E449:G449"/>
    <mergeCell ref="H449:I449"/>
    <mergeCell ref="B443:D443"/>
    <mergeCell ref="E443:G443"/>
    <mergeCell ref="H348:I348"/>
    <mergeCell ref="B337:D337"/>
    <mergeCell ref="E337:G337"/>
    <mergeCell ref="H337:I337"/>
    <mergeCell ref="B338:D338"/>
    <mergeCell ref="E338:G338"/>
    <mergeCell ref="H338:I338"/>
    <mergeCell ref="B339:D339"/>
    <mergeCell ref="E339:G339"/>
    <mergeCell ref="H339:I339"/>
    <mergeCell ref="B340:D340"/>
    <mergeCell ref="E340:G340"/>
    <mergeCell ref="H340:I340"/>
    <mergeCell ref="B341:D341"/>
    <mergeCell ref="E341:G341"/>
    <mergeCell ref="H341:I341"/>
    <mergeCell ref="B342:D342"/>
    <mergeCell ref="E342:G342"/>
    <mergeCell ref="H342:I342"/>
    <mergeCell ref="B348:D348"/>
    <mergeCell ref="E348:G348"/>
    <mergeCell ref="B331:D331"/>
    <mergeCell ref="E331:G331"/>
    <mergeCell ref="H331:I331"/>
    <mergeCell ref="B332:D332"/>
    <mergeCell ref="E332:G332"/>
    <mergeCell ref="H332:I332"/>
    <mergeCell ref="B333:D333"/>
    <mergeCell ref="E333:G333"/>
    <mergeCell ref="H333:I333"/>
    <mergeCell ref="B334:D334"/>
    <mergeCell ref="E334:G334"/>
    <mergeCell ref="H334:I334"/>
    <mergeCell ref="B335:D335"/>
    <mergeCell ref="E335:G335"/>
    <mergeCell ref="H335:I335"/>
    <mergeCell ref="B336:D336"/>
    <mergeCell ref="E336:G336"/>
    <mergeCell ref="H336:I336"/>
    <mergeCell ref="B325:D325"/>
    <mergeCell ref="E325:G325"/>
    <mergeCell ref="H325:I325"/>
    <mergeCell ref="B326:D326"/>
    <mergeCell ref="E326:G326"/>
    <mergeCell ref="H326:I326"/>
    <mergeCell ref="B327:D327"/>
    <mergeCell ref="E327:G327"/>
    <mergeCell ref="H327:I327"/>
    <mergeCell ref="B328:D328"/>
    <mergeCell ref="E328:G328"/>
    <mergeCell ref="H328:I328"/>
    <mergeCell ref="B329:D329"/>
    <mergeCell ref="E329:G329"/>
    <mergeCell ref="H329:I329"/>
    <mergeCell ref="B330:D330"/>
    <mergeCell ref="E330:G330"/>
    <mergeCell ref="H330:I330"/>
    <mergeCell ref="B319:D319"/>
    <mergeCell ref="E319:G319"/>
    <mergeCell ref="H319:I319"/>
    <mergeCell ref="B320:D320"/>
    <mergeCell ref="E320:G320"/>
    <mergeCell ref="H320:I320"/>
    <mergeCell ref="B321:D321"/>
    <mergeCell ref="E321:G321"/>
    <mergeCell ref="H321:I321"/>
    <mergeCell ref="B322:D322"/>
    <mergeCell ref="E322:G322"/>
    <mergeCell ref="H322:I322"/>
    <mergeCell ref="B323:D323"/>
    <mergeCell ref="E323:G323"/>
    <mergeCell ref="H323:I323"/>
    <mergeCell ref="B324:D324"/>
    <mergeCell ref="E324:G324"/>
    <mergeCell ref="H324:I324"/>
    <mergeCell ref="B313:D313"/>
    <mergeCell ref="E313:G313"/>
    <mergeCell ref="H313:I313"/>
    <mergeCell ref="B314:D314"/>
    <mergeCell ref="E314:G314"/>
    <mergeCell ref="H314:I314"/>
    <mergeCell ref="B315:D315"/>
    <mergeCell ref="E315:G315"/>
    <mergeCell ref="H315:I315"/>
    <mergeCell ref="B316:D316"/>
    <mergeCell ref="E316:G316"/>
    <mergeCell ref="H316:I316"/>
    <mergeCell ref="B317:D317"/>
    <mergeCell ref="E317:G317"/>
    <mergeCell ref="H317:I317"/>
    <mergeCell ref="B318:D318"/>
    <mergeCell ref="E318:G318"/>
    <mergeCell ref="H318:I318"/>
    <mergeCell ref="B312:D312"/>
    <mergeCell ref="E312:G312"/>
    <mergeCell ref="H312:I312"/>
    <mergeCell ref="B310:D310"/>
    <mergeCell ref="E310:G310"/>
    <mergeCell ref="H310:I310"/>
    <mergeCell ref="B304:D304"/>
    <mergeCell ref="E304:G304"/>
    <mergeCell ref="H304:I304"/>
    <mergeCell ref="B305:D305"/>
    <mergeCell ref="E305:G305"/>
    <mergeCell ref="H305:I305"/>
    <mergeCell ref="B306:D306"/>
    <mergeCell ref="E306:G306"/>
    <mergeCell ref="H306:I306"/>
    <mergeCell ref="B307:D307"/>
    <mergeCell ref="E307:G307"/>
    <mergeCell ref="H308:I308"/>
    <mergeCell ref="B309:D309"/>
    <mergeCell ref="E309:G309"/>
    <mergeCell ref="H309:I309"/>
    <mergeCell ref="H258:I258"/>
    <mergeCell ref="B259:D259"/>
    <mergeCell ref="E259:G259"/>
    <mergeCell ref="H259:I259"/>
    <mergeCell ref="B264:D264"/>
    <mergeCell ref="E264:G264"/>
    <mergeCell ref="H264:I264"/>
    <mergeCell ref="B265:D265"/>
    <mergeCell ref="E265:G265"/>
    <mergeCell ref="H265:I265"/>
    <mergeCell ref="B266:D266"/>
    <mergeCell ref="E266:G266"/>
    <mergeCell ref="H266:I266"/>
    <mergeCell ref="B267:D267"/>
    <mergeCell ref="E267:G267"/>
    <mergeCell ref="H267:I267"/>
    <mergeCell ref="B311:D311"/>
    <mergeCell ref="E311:G311"/>
    <mergeCell ref="H311:I311"/>
    <mergeCell ref="H303:I303"/>
    <mergeCell ref="H291:I291"/>
    <mergeCell ref="B292:D292"/>
    <mergeCell ref="E292:G292"/>
    <mergeCell ref="H292:I292"/>
    <mergeCell ref="B271:D271"/>
    <mergeCell ref="E271:G271"/>
    <mergeCell ref="H271:I271"/>
    <mergeCell ref="B270:D270"/>
    <mergeCell ref="E270:G270"/>
    <mergeCell ref="H274:I274"/>
    <mergeCell ref="B275:D275"/>
    <mergeCell ref="E275:G275"/>
    <mergeCell ref="B252:D252"/>
    <mergeCell ref="E252:G252"/>
    <mergeCell ref="H252:I252"/>
    <mergeCell ref="B253:D253"/>
    <mergeCell ref="E253:G253"/>
    <mergeCell ref="H253:I253"/>
    <mergeCell ref="B260:D260"/>
    <mergeCell ref="E260:G260"/>
    <mergeCell ref="H260:I260"/>
    <mergeCell ref="B261:D261"/>
    <mergeCell ref="E261:G261"/>
    <mergeCell ref="H261:I261"/>
    <mergeCell ref="B262:D262"/>
    <mergeCell ref="E262:G262"/>
    <mergeCell ref="H262:I262"/>
    <mergeCell ref="B263:D263"/>
    <mergeCell ref="E263:G263"/>
    <mergeCell ref="H263:I263"/>
    <mergeCell ref="B254:D254"/>
    <mergeCell ref="E254:G254"/>
    <mergeCell ref="H254:I254"/>
    <mergeCell ref="B255:D255"/>
    <mergeCell ref="E255:G255"/>
    <mergeCell ref="H255:I255"/>
    <mergeCell ref="B256:D256"/>
    <mergeCell ref="E256:G256"/>
    <mergeCell ref="H256:I256"/>
    <mergeCell ref="B257:D257"/>
    <mergeCell ref="E257:G257"/>
    <mergeCell ref="H257:I257"/>
    <mergeCell ref="B258:D258"/>
    <mergeCell ref="E258:G258"/>
    <mergeCell ref="B249:D249"/>
    <mergeCell ref="E249:G249"/>
    <mergeCell ref="H249:I249"/>
    <mergeCell ref="B250:D250"/>
    <mergeCell ref="E250:G250"/>
    <mergeCell ref="H250:I250"/>
    <mergeCell ref="B251:D251"/>
    <mergeCell ref="E251:G251"/>
    <mergeCell ref="H251:I251"/>
    <mergeCell ref="H183:I183"/>
    <mergeCell ref="B184:D184"/>
    <mergeCell ref="E184:G184"/>
    <mergeCell ref="H184:I184"/>
    <mergeCell ref="B185:D185"/>
    <mergeCell ref="E185:G185"/>
    <mergeCell ref="H185:I185"/>
    <mergeCell ref="B230:D230"/>
    <mergeCell ref="E230:G230"/>
    <mergeCell ref="H230:I230"/>
    <mergeCell ref="B231:D231"/>
    <mergeCell ref="E231:G231"/>
    <mergeCell ref="H231:I231"/>
    <mergeCell ref="B232:D232"/>
    <mergeCell ref="H240:I240"/>
    <mergeCell ref="B241:D241"/>
    <mergeCell ref="E241:G241"/>
    <mergeCell ref="H241:I241"/>
    <mergeCell ref="H238:I238"/>
    <mergeCell ref="B239:D239"/>
    <mergeCell ref="H211:I211"/>
    <mergeCell ref="E207:G207"/>
    <mergeCell ref="E202:G202"/>
    <mergeCell ref="H169:I169"/>
    <mergeCell ref="B170:D170"/>
    <mergeCell ref="E170:G170"/>
    <mergeCell ref="H170:I170"/>
    <mergeCell ref="B171:D171"/>
    <mergeCell ref="E171:G171"/>
    <mergeCell ref="H171:I171"/>
    <mergeCell ref="B181:D181"/>
    <mergeCell ref="E181:G181"/>
    <mergeCell ref="H181:I181"/>
    <mergeCell ref="B182:D182"/>
    <mergeCell ref="E182:G182"/>
    <mergeCell ref="H182:I182"/>
    <mergeCell ref="B183:D183"/>
    <mergeCell ref="E183:G183"/>
    <mergeCell ref="E232:G232"/>
    <mergeCell ref="H232:I232"/>
    <mergeCell ref="H218:I218"/>
    <mergeCell ref="B219:D219"/>
    <mergeCell ref="E219:G219"/>
    <mergeCell ref="H202:I202"/>
    <mergeCell ref="B203:D203"/>
    <mergeCell ref="E203:G203"/>
    <mergeCell ref="H203:I203"/>
    <mergeCell ref="B204:D204"/>
    <mergeCell ref="H196:I196"/>
    <mergeCell ref="B197:D197"/>
    <mergeCell ref="E197:G197"/>
    <mergeCell ref="H197:I197"/>
    <mergeCell ref="B198:D198"/>
    <mergeCell ref="E198:G198"/>
    <mergeCell ref="E211:G211"/>
    <mergeCell ref="H138:I138"/>
    <mergeCell ref="B139:D139"/>
    <mergeCell ref="E139:G139"/>
    <mergeCell ref="H139:I139"/>
    <mergeCell ref="H233:I233"/>
    <mergeCell ref="B234:D234"/>
    <mergeCell ref="E234:G234"/>
    <mergeCell ref="H234:I234"/>
    <mergeCell ref="B228:D228"/>
    <mergeCell ref="E228:G228"/>
    <mergeCell ref="H228:I228"/>
    <mergeCell ref="B229:D229"/>
    <mergeCell ref="E229:G229"/>
    <mergeCell ref="H229:I229"/>
    <mergeCell ref="B142:D142"/>
    <mergeCell ref="E142:G142"/>
    <mergeCell ref="H142:I142"/>
    <mergeCell ref="B143:D143"/>
    <mergeCell ref="E143:G143"/>
    <mergeCell ref="H143:I143"/>
    <mergeCell ref="H172:I172"/>
    <mergeCell ref="B173:D173"/>
    <mergeCell ref="E173:G173"/>
    <mergeCell ref="B180:D180"/>
    <mergeCell ref="E180:G180"/>
    <mergeCell ref="H180:I180"/>
    <mergeCell ref="H207:I207"/>
    <mergeCell ref="B202:D202"/>
    <mergeCell ref="B200:D200"/>
    <mergeCell ref="E200:G200"/>
    <mergeCell ref="H200:I200"/>
    <mergeCell ref="B196:D196"/>
    <mergeCell ref="B130:D130"/>
    <mergeCell ref="E130:G130"/>
    <mergeCell ref="H130:I130"/>
    <mergeCell ref="B131:D131"/>
    <mergeCell ref="E131:G131"/>
    <mergeCell ref="H131:I131"/>
    <mergeCell ref="B132:D132"/>
    <mergeCell ref="E132:G132"/>
    <mergeCell ref="H132:I132"/>
    <mergeCell ref="B133:D133"/>
    <mergeCell ref="E133:G133"/>
    <mergeCell ref="H133:I133"/>
    <mergeCell ref="B140:D140"/>
    <mergeCell ref="E140:G140"/>
    <mergeCell ref="H140:I140"/>
    <mergeCell ref="B141:D141"/>
    <mergeCell ref="E141:G141"/>
    <mergeCell ref="H141:I141"/>
    <mergeCell ref="B134:D134"/>
    <mergeCell ref="E134:G134"/>
    <mergeCell ref="H134:I134"/>
    <mergeCell ref="B135:D135"/>
    <mergeCell ref="E135:G135"/>
    <mergeCell ref="H135:I135"/>
    <mergeCell ref="B136:D136"/>
    <mergeCell ref="E136:G136"/>
    <mergeCell ref="H136:I136"/>
    <mergeCell ref="B137:D137"/>
    <mergeCell ref="E137:G137"/>
    <mergeCell ref="H137:I137"/>
    <mergeCell ref="B138:D138"/>
    <mergeCell ref="E138:G138"/>
    <mergeCell ref="B124:D124"/>
    <mergeCell ref="E124:G124"/>
    <mergeCell ref="H124:I124"/>
    <mergeCell ref="B125:D125"/>
    <mergeCell ref="E125:G125"/>
    <mergeCell ref="H125:I125"/>
    <mergeCell ref="B126:D126"/>
    <mergeCell ref="E126:G126"/>
    <mergeCell ref="H126:I126"/>
    <mergeCell ref="B127:D127"/>
    <mergeCell ref="E127:G127"/>
    <mergeCell ref="H127:I127"/>
    <mergeCell ref="B128:D128"/>
    <mergeCell ref="E128:G128"/>
    <mergeCell ref="H128:I128"/>
    <mergeCell ref="B129:D129"/>
    <mergeCell ref="E129:G129"/>
    <mergeCell ref="H129:I129"/>
    <mergeCell ref="B118:D118"/>
    <mergeCell ref="E118:G118"/>
    <mergeCell ref="H118:I118"/>
    <mergeCell ref="B119:D119"/>
    <mergeCell ref="E119:G119"/>
    <mergeCell ref="H119:I119"/>
    <mergeCell ref="B120:D120"/>
    <mergeCell ref="E120:G120"/>
    <mergeCell ref="H120:I120"/>
    <mergeCell ref="B121:D121"/>
    <mergeCell ref="E121:G121"/>
    <mergeCell ref="H121:I121"/>
    <mergeCell ref="B122:D122"/>
    <mergeCell ref="E122:G122"/>
    <mergeCell ref="H122:I122"/>
    <mergeCell ref="B123:D123"/>
    <mergeCell ref="E123:G123"/>
    <mergeCell ref="H123:I123"/>
    <mergeCell ref="B104:D104"/>
    <mergeCell ref="E104:G104"/>
    <mergeCell ref="H104:I104"/>
    <mergeCell ref="B105:D105"/>
    <mergeCell ref="E105:G105"/>
    <mergeCell ref="H105:I105"/>
    <mergeCell ref="B106:D106"/>
    <mergeCell ref="E106:G106"/>
    <mergeCell ref="H106:I106"/>
    <mergeCell ref="B107:D107"/>
    <mergeCell ref="E107:G107"/>
    <mergeCell ref="H107:I107"/>
    <mergeCell ref="B108:D108"/>
    <mergeCell ref="E108:G108"/>
    <mergeCell ref="H108:I108"/>
    <mergeCell ref="B109:D109"/>
    <mergeCell ref="E109:G109"/>
    <mergeCell ref="H109:I109"/>
    <mergeCell ref="H113:I113"/>
    <mergeCell ref="B114:D114"/>
    <mergeCell ref="B1045:D1045"/>
    <mergeCell ref="E1045:G1045"/>
    <mergeCell ref="H1045:I1045"/>
    <mergeCell ref="B1046:D1046"/>
    <mergeCell ref="E1046:G1046"/>
    <mergeCell ref="H1046:I1046"/>
    <mergeCell ref="B1039:D1039"/>
    <mergeCell ref="E1039:G1039"/>
    <mergeCell ref="H1039:I1039"/>
    <mergeCell ref="B1040:D1040"/>
    <mergeCell ref="E1040:G1040"/>
    <mergeCell ref="H1040:I1040"/>
    <mergeCell ref="B1041:D1041"/>
    <mergeCell ref="E1041:G1041"/>
    <mergeCell ref="H1041:I1041"/>
    <mergeCell ref="B1042:D1042"/>
    <mergeCell ref="E1042:G1042"/>
    <mergeCell ref="H1042:I1042"/>
    <mergeCell ref="B1043:D1043"/>
    <mergeCell ref="E114:G114"/>
    <mergeCell ref="H114:I114"/>
    <mergeCell ref="B115:D115"/>
    <mergeCell ref="E115:G115"/>
    <mergeCell ref="H115:I115"/>
    <mergeCell ref="B116:D116"/>
    <mergeCell ref="E116:G116"/>
    <mergeCell ref="H116:I116"/>
    <mergeCell ref="B117:D117"/>
    <mergeCell ref="E117:G117"/>
    <mergeCell ref="H117:I117"/>
    <mergeCell ref="E1048:G1048"/>
    <mergeCell ref="H1048:I1048"/>
    <mergeCell ref="B1055:D1055"/>
    <mergeCell ref="E1055:G1055"/>
    <mergeCell ref="H1055:I1055"/>
    <mergeCell ref="B1049:D1049"/>
    <mergeCell ref="E1049:G1049"/>
    <mergeCell ref="H1049:I1049"/>
    <mergeCell ref="B1050:D1050"/>
    <mergeCell ref="E1050:G1050"/>
    <mergeCell ref="H1050:I1050"/>
    <mergeCell ref="B1051:D1051"/>
    <mergeCell ref="E1051:G1051"/>
    <mergeCell ref="H1051:I1051"/>
    <mergeCell ref="B1052:D1052"/>
    <mergeCell ref="E1052:G1052"/>
    <mergeCell ref="H1052:I1052"/>
    <mergeCell ref="B1053:D1053"/>
    <mergeCell ref="E1053:G1053"/>
    <mergeCell ref="H1053:I1053"/>
    <mergeCell ref="B1054:D1054"/>
    <mergeCell ref="E1054:G1054"/>
    <mergeCell ref="E1043:G1043"/>
    <mergeCell ref="H1043:I1043"/>
    <mergeCell ref="B1044:D1044"/>
    <mergeCell ref="E1044:G1044"/>
    <mergeCell ref="H1044:I1044"/>
    <mergeCell ref="B1017:D1017"/>
    <mergeCell ref="E1017:G1017"/>
    <mergeCell ref="H1017:I1017"/>
    <mergeCell ref="B1018:D1018"/>
    <mergeCell ref="E1018:G1018"/>
    <mergeCell ref="H1018:I1018"/>
    <mergeCell ref="B1019:D1019"/>
    <mergeCell ref="E1019:G1019"/>
    <mergeCell ref="H1019:I1019"/>
    <mergeCell ref="B1036:D1036"/>
    <mergeCell ref="E1036:G1036"/>
    <mergeCell ref="H1036:I1036"/>
    <mergeCell ref="B1035:D1035"/>
    <mergeCell ref="E1035:G1035"/>
    <mergeCell ref="H1035:I1035"/>
    <mergeCell ref="B1029:D1029"/>
    <mergeCell ref="E1029:G1029"/>
    <mergeCell ref="H1029:I1029"/>
    <mergeCell ref="E1030:G1030"/>
    <mergeCell ref="H1030:I1030"/>
    <mergeCell ref="B1031:D1031"/>
    <mergeCell ref="E1031:G1031"/>
    <mergeCell ref="H1031:I1031"/>
    <mergeCell ref="B1032:D1032"/>
    <mergeCell ref="E1032:G1032"/>
    <mergeCell ref="H1032:I1032"/>
    <mergeCell ref="B842:D842"/>
    <mergeCell ref="E856:G856"/>
    <mergeCell ref="H856:I856"/>
    <mergeCell ref="B857:D857"/>
    <mergeCell ref="E857:G857"/>
    <mergeCell ref="H857:I857"/>
    <mergeCell ref="B1014:J1014"/>
    <mergeCell ref="B1015:D1015"/>
    <mergeCell ref="E1015:G1015"/>
    <mergeCell ref="H1015:I1015"/>
    <mergeCell ref="B1016:D1016"/>
    <mergeCell ref="E1016:G1016"/>
    <mergeCell ref="H1016:I1016"/>
    <mergeCell ref="B985:D985"/>
    <mergeCell ref="E985:G985"/>
    <mergeCell ref="B866:D866"/>
    <mergeCell ref="E866:G866"/>
    <mergeCell ref="H866:I866"/>
    <mergeCell ref="B896:D896"/>
    <mergeCell ref="E893:G893"/>
    <mergeCell ref="B876:D876"/>
    <mergeCell ref="E876:G876"/>
    <mergeCell ref="H876:I876"/>
    <mergeCell ref="H910:I910"/>
    <mergeCell ref="E911:G911"/>
    <mergeCell ref="H911:I911"/>
    <mergeCell ref="B889:J889"/>
    <mergeCell ref="B901:D901"/>
    <mergeCell ref="B877:D877"/>
    <mergeCell ref="E877:G877"/>
    <mergeCell ref="H877:I877"/>
    <mergeCell ref="B878:D878"/>
    <mergeCell ref="B874:D874"/>
    <mergeCell ref="E874:G874"/>
    <mergeCell ref="H874:I874"/>
    <mergeCell ref="B875:D875"/>
    <mergeCell ref="E875:G875"/>
    <mergeCell ref="H875:I875"/>
    <mergeCell ref="E899:G899"/>
    <mergeCell ref="H899:I899"/>
    <mergeCell ref="E897:G897"/>
    <mergeCell ref="H897:I897"/>
    <mergeCell ref="B890:J890"/>
    <mergeCell ref="B891:D891"/>
    <mergeCell ref="E891:G891"/>
    <mergeCell ref="H833:I833"/>
    <mergeCell ref="B895:D895"/>
    <mergeCell ref="B835:D835"/>
    <mergeCell ref="E835:G835"/>
    <mergeCell ref="H835:I835"/>
    <mergeCell ref="E837:G837"/>
    <mergeCell ref="H837:I837"/>
    <mergeCell ref="B838:D838"/>
    <mergeCell ref="E838:G838"/>
    <mergeCell ref="H838:I838"/>
    <mergeCell ref="B839:D839"/>
    <mergeCell ref="E839:G839"/>
    <mergeCell ref="H839:I839"/>
    <mergeCell ref="B840:D840"/>
    <mergeCell ref="E840:G840"/>
    <mergeCell ref="H840:I840"/>
    <mergeCell ref="B841:D841"/>
    <mergeCell ref="E841:G841"/>
    <mergeCell ref="H841:I841"/>
    <mergeCell ref="B855:D855"/>
    <mergeCell ref="E855:G855"/>
    <mergeCell ref="E858:G858"/>
    <mergeCell ref="H858:I858"/>
    <mergeCell ref="B851:D851"/>
    <mergeCell ref="E851:G851"/>
    <mergeCell ref="H851:I851"/>
    <mergeCell ref="B852:D852"/>
    <mergeCell ref="E852:G852"/>
    <mergeCell ref="H852:I852"/>
    <mergeCell ref="B853:D853"/>
    <mergeCell ref="E853:G853"/>
    <mergeCell ref="H853:I853"/>
    <mergeCell ref="B867:D867"/>
    <mergeCell ref="E867:G867"/>
    <mergeCell ref="H867:I867"/>
    <mergeCell ref="E873:G873"/>
    <mergeCell ref="H873:I873"/>
    <mergeCell ref="H744:I744"/>
    <mergeCell ref="B745:D745"/>
    <mergeCell ref="E745:G745"/>
    <mergeCell ref="H745:I745"/>
    <mergeCell ref="B729:D729"/>
    <mergeCell ref="E729:G729"/>
    <mergeCell ref="B854:D854"/>
    <mergeCell ref="B898:D898"/>
    <mergeCell ref="E846:G846"/>
    <mergeCell ref="H859:I859"/>
    <mergeCell ref="B860:D860"/>
    <mergeCell ref="E860:G860"/>
    <mergeCell ref="H860:I860"/>
    <mergeCell ref="B861:D861"/>
    <mergeCell ref="E861:G861"/>
    <mergeCell ref="H861:I861"/>
    <mergeCell ref="B862:D862"/>
    <mergeCell ref="E862:G862"/>
    <mergeCell ref="B868:D868"/>
    <mergeCell ref="E868:G868"/>
    <mergeCell ref="H868:I868"/>
    <mergeCell ref="B869:D869"/>
    <mergeCell ref="E869:G869"/>
    <mergeCell ref="H869:I869"/>
    <mergeCell ref="H893:I893"/>
    <mergeCell ref="B849:D849"/>
    <mergeCell ref="E849:G849"/>
    <mergeCell ref="H849:I849"/>
    <mergeCell ref="B850:D850"/>
    <mergeCell ref="E850:G850"/>
    <mergeCell ref="E854:G854"/>
    <mergeCell ref="H854:I854"/>
    <mergeCell ref="H735:I735"/>
    <mergeCell ref="B736:D736"/>
    <mergeCell ref="E736:G736"/>
    <mergeCell ref="B737:D737"/>
    <mergeCell ref="H736:I736"/>
    <mergeCell ref="B829:D829"/>
    <mergeCell ref="E829:G829"/>
    <mergeCell ref="H829:I829"/>
    <mergeCell ref="H828:I828"/>
    <mergeCell ref="H817:I817"/>
    <mergeCell ref="B818:D818"/>
    <mergeCell ref="E818:G818"/>
    <mergeCell ref="H818:I818"/>
    <mergeCell ref="B819:D819"/>
    <mergeCell ref="E819:G819"/>
    <mergeCell ref="H819:I819"/>
    <mergeCell ref="B820:D820"/>
    <mergeCell ref="E820:G820"/>
    <mergeCell ref="H820:I820"/>
    <mergeCell ref="B821:D821"/>
    <mergeCell ref="E821:G821"/>
    <mergeCell ref="H821:I821"/>
    <mergeCell ref="E737:G737"/>
    <mergeCell ref="H768:I768"/>
    <mergeCell ref="B742:D742"/>
    <mergeCell ref="E742:G742"/>
    <mergeCell ref="H742:I742"/>
    <mergeCell ref="B743:D743"/>
    <mergeCell ref="E743:G743"/>
    <mergeCell ref="H743:I743"/>
    <mergeCell ref="B744:D744"/>
    <mergeCell ref="E744:G744"/>
    <mergeCell ref="B767:D767"/>
    <mergeCell ref="H777:I777"/>
    <mergeCell ref="E769:G769"/>
    <mergeCell ref="H767:I767"/>
    <mergeCell ref="B859:D859"/>
    <mergeCell ref="E859:G859"/>
    <mergeCell ref="H716:I716"/>
    <mergeCell ref="B717:D717"/>
    <mergeCell ref="E717:G717"/>
    <mergeCell ref="H717:I717"/>
    <mergeCell ref="B718:D718"/>
    <mergeCell ref="E718:G718"/>
    <mergeCell ref="H718:I718"/>
    <mergeCell ref="B719:D719"/>
    <mergeCell ref="E719:G719"/>
    <mergeCell ref="H719:I719"/>
    <mergeCell ref="B769:D769"/>
    <mergeCell ref="H771:I771"/>
    <mergeCell ref="B772:D772"/>
    <mergeCell ref="E772:G772"/>
    <mergeCell ref="H772:I772"/>
    <mergeCell ref="B770:D770"/>
    <mergeCell ref="E770:G770"/>
    <mergeCell ref="H732:I732"/>
    <mergeCell ref="B733:D733"/>
    <mergeCell ref="E733:G733"/>
    <mergeCell ref="H733:I733"/>
    <mergeCell ref="B734:D734"/>
    <mergeCell ref="E734:G734"/>
    <mergeCell ref="H734:I734"/>
    <mergeCell ref="B735:D735"/>
    <mergeCell ref="E735:G735"/>
    <mergeCell ref="E774:G774"/>
    <mergeCell ref="H774:I774"/>
    <mergeCell ref="B708:D708"/>
    <mergeCell ref="E708:G708"/>
    <mergeCell ref="H708:I708"/>
    <mergeCell ref="B709:D709"/>
    <mergeCell ref="E709:G709"/>
    <mergeCell ref="H709:I709"/>
    <mergeCell ref="B710:D710"/>
    <mergeCell ref="E710:G710"/>
    <mergeCell ref="H710:I710"/>
    <mergeCell ref="B711:D711"/>
    <mergeCell ref="E711:G711"/>
    <mergeCell ref="H711:I711"/>
    <mergeCell ref="B712:D712"/>
    <mergeCell ref="E712:G712"/>
    <mergeCell ref="H712:I712"/>
    <mergeCell ref="H729:I729"/>
    <mergeCell ref="B730:D730"/>
    <mergeCell ref="E730:G730"/>
    <mergeCell ref="H730:I730"/>
    <mergeCell ref="B731:D731"/>
    <mergeCell ref="E731:G731"/>
    <mergeCell ref="H731:I731"/>
    <mergeCell ref="B732:D732"/>
    <mergeCell ref="E732:G732"/>
    <mergeCell ref="H724:I724"/>
    <mergeCell ref="H737:I737"/>
    <mergeCell ref="B738:D738"/>
    <mergeCell ref="H741:I741"/>
    <mergeCell ref="B768:D768"/>
    <mergeCell ref="E768:G768"/>
    <mergeCell ref="B478:D478"/>
    <mergeCell ref="E637:G637"/>
    <mergeCell ref="H637:I637"/>
    <mergeCell ref="B638:D638"/>
    <mergeCell ref="H638:I638"/>
    <mergeCell ref="B688:D688"/>
    <mergeCell ref="E688:G688"/>
    <mergeCell ref="H688:I688"/>
    <mergeCell ref="B683:J683"/>
    <mergeCell ref="B684:D684"/>
    <mergeCell ref="E684:G684"/>
    <mergeCell ref="H684:I684"/>
    <mergeCell ref="E691:G691"/>
    <mergeCell ref="H691:I691"/>
    <mergeCell ref="E648:G648"/>
    <mergeCell ref="E697:G697"/>
    <mergeCell ref="H697:I697"/>
    <mergeCell ref="H643:I643"/>
    <mergeCell ref="B640:D640"/>
    <mergeCell ref="E640:G640"/>
    <mergeCell ref="H640:I640"/>
    <mergeCell ref="B641:D641"/>
    <mergeCell ref="E641:G641"/>
    <mergeCell ref="H641:I641"/>
    <mergeCell ref="B650:D650"/>
    <mergeCell ref="E650:G650"/>
    <mergeCell ref="H650:I650"/>
    <mergeCell ref="B651:D651"/>
    <mergeCell ref="E651:G651"/>
    <mergeCell ref="H651:I651"/>
    <mergeCell ref="B644:D644"/>
    <mergeCell ref="E644:G644"/>
    <mergeCell ref="H434:I434"/>
    <mergeCell ref="E478:G478"/>
    <mergeCell ref="H435:I435"/>
    <mergeCell ref="B436:D436"/>
    <mergeCell ref="E436:G436"/>
    <mergeCell ref="H436:I436"/>
    <mergeCell ref="B437:D437"/>
    <mergeCell ref="B483:D483"/>
    <mergeCell ref="E483:G483"/>
    <mergeCell ref="H483:I483"/>
    <mergeCell ref="B435:D435"/>
    <mergeCell ref="E435:G435"/>
    <mergeCell ref="E437:G437"/>
    <mergeCell ref="H437:I437"/>
    <mergeCell ref="E442:G442"/>
    <mergeCell ref="H442:I442"/>
    <mergeCell ref="B692:D692"/>
    <mergeCell ref="E692:G692"/>
    <mergeCell ref="H692:I692"/>
    <mergeCell ref="B633:D633"/>
    <mergeCell ref="E633:G633"/>
    <mergeCell ref="H633:I633"/>
    <mergeCell ref="B634:D634"/>
    <mergeCell ref="E634:G634"/>
    <mergeCell ref="H634:I634"/>
    <mergeCell ref="B635:D635"/>
    <mergeCell ref="E635:G635"/>
    <mergeCell ref="H635:I635"/>
    <mergeCell ref="B636:D636"/>
    <mergeCell ref="E636:G636"/>
    <mergeCell ref="H636:I636"/>
    <mergeCell ref="B637:D637"/>
    <mergeCell ref="E381:G381"/>
    <mergeCell ref="H381:I381"/>
    <mergeCell ref="B382:D382"/>
    <mergeCell ref="B438:D438"/>
    <mergeCell ref="E433:G433"/>
    <mergeCell ref="H433:I433"/>
    <mergeCell ref="E420:G420"/>
    <mergeCell ref="H420:I420"/>
    <mergeCell ref="B439:D439"/>
    <mergeCell ref="E439:G439"/>
    <mergeCell ref="H439:I439"/>
    <mergeCell ref="B440:D440"/>
    <mergeCell ref="E440:G440"/>
    <mergeCell ref="H440:I440"/>
    <mergeCell ref="B441:D441"/>
    <mergeCell ref="E441:G441"/>
    <mergeCell ref="B426:D426"/>
    <mergeCell ref="E426:G426"/>
    <mergeCell ref="H426:I426"/>
    <mergeCell ref="B427:D427"/>
    <mergeCell ref="E427:G427"/>
    <mergeCell ref="H427:I427"/>
    <mergeCell ref="B428:D428"/>
    <mergeCell ref="E428:G428"/>
    <mergeCell ref="H428:I428"/>
    <mergeCell ref="B429:D429"/>
    <mergeCell ref="E429:G429"/>
    <mergeCell ref="H429:I429"/>
    <mergeCell ref="B430:D430"/>
    <mergeCell ref="E430:G430"/>
    <mergeCell ref="H430:I430"/>
    <mergeCell ref="B431:D431"/>
    <mergeCell ref="H431:I431"/>
    <mergeCell ref="B434:D434"/>
    <mergeCell ref="E434:G434"/>
    <mergeCell ref="E387:G387"/>
    <mergeCell ref="B442:D442"/>
    <mergeCell ref="H375:I375"/>
    <mergeCell ref="B376:D376"/>
    <mergeCell ref="E376:G376"/>
    <mergeCell ref="H376:I376"/>
    <mergeCell ref="B377:D377"/>
    <mergeCell ref="E377:G377"/>
    <mergeCell ref="H377:I377"/>
    <mergeCell ref="B366:D366"/>
    <mergeCell ref="B421:D421"/>
    <mergeCell ref="E421:G421"/>
    <mergeCell ref="H421:I421"/>
    <mergeCell ref="B422:D422"/>
    <mergeCell ref="E422:G422"/>
    <mergeCell ref="H422:I422"/>
    <mergeCell ref="B423:D423"/>
    <mergeCell ref="E423:G423"/>
    <mergeCell ref="H423:I423"/>
    <mergeCell ref="B378:D378"/>
    <mergeCell ref="E378:G378"/>
    <mergeCell ref="H378:I378"/>
    <mergeCell ref="B379:D379"/>
    <mergeCell ref="E379:G379"/>
    <mergeCell ref="H379:I379"/>
    <mergeCell ref="B380:D380"/>
    <mergeCell ref="E380:G380"/>
    <mergeCell ref="H380:I380"/>
    <mergeCell ref="B381:D381"/>
    <mergeCell ref="B369:D369"/>
    <mergeCell ref="E369:G369"/>
    <mergeCell ref="H369:I369"/>
    <mergeCell ref="B370:D370"/>
    <mergeCell ref="E370:G370"/>
    <mergeCell ref="H370:I370"/>
    <mergeCell ref="B371:D371"/>
    <mergeCell ref="E371:G371"/>
    <mergeCell ref="H371:I371"/>
    <mergeCell ref="B374:D374"/>
    <mergeCell ref="E374:G374"/>
    <mergeCell ref="H374:I374"/>
    <mergeCell ref="H366:I366"/>
    <mergeCell ref="B375:D375"/>
    <mergeCell ref="E375:G375"/>
    <mergeCell ref="H441:I441"/>
    <mergeCell ref="E438:G438"/>
    <mergeCell ref="H438:I438"/>
    <mergeCell ref="B432:D432"/>
    <mergeCell ref="E432:G432"/>
    <mergeCell ref="H432:I432"/>
    <mergeCell ref="B433:D433"/>
    <mergeCell ref="B424:D424"/>
    <mergeCell ref="E424:G424"/>
    <mergeCell ref="H424:I424"/>
    <mergeCell ref="B425:D425"/>
    <mergeCell ref="E425:G425"/>
    <mergeCell ref="H425:I425"/>
    <mergeCell ref="B419:D419"/>
    <mergeCell ref="E419:G419"/>
    <mergeCell ref="H419:I419"/>
    <mergeCell ref="E431:G431"/>
    <mergeCell ref="H413:I413"/>
    <mergeCell ref="B415:D415"/>
    <mergeCell ref="E415:G415"/>
    <mergeCell ref="H415:I415"/>
    <mergeCell ref="E399:G399"/>
    <mergeCell ref="H399:I399"/>
    <mergeCell ref="B400:D400"/>
    <mergeCell ref="B417:D417"/>
    <mergeCell ref="E417:G417"/>
    <mergeCell ref="H417:I417"/>
    <mergeCell ref="E360:G360"/>
    <mergeCell ref="H360:I360"/>
    <mergeCell ref="B416:D416"/>
    <mergeCell ref="E416:G416"/>
    <mergeCell ref="H416:I416"/>
    <mergeCell ref="E382:G382"/>
    <mergeCell ref="E366:G366"/>
    <mergeCell ref="E395:G395"/>
    <mergeCell ref="B364:D364"/>
    <mergeCell ref="E364:G364"/>
    <mergeCell ref="H364:I364"/>
    <mergeCell ref="E400:G400"/>
    <mergeCell ref="H400:I400"/>
    <mergeCell ref="B401:D401"/>
    <mergeCell ref="E401:G401"/>
    <mergeCell ref="B367:D367"/>
    <mergeCell ref="E367:G367"/>
    <mergeCell ref="H367:I367"/>
    <mergeCell ref="B368:D368"/>
    <mergeCell ref="E368:G368"/>
    <mergeCell ref="H368:I368"/>
    <mergeCell ref="H395:I395"/>
    <mergeCell ref="B402:D402"/>
    <mergeCell ref="E402:G402"/>
    <mergeCell ref="H402:I402"/>
    <mergeCell ref="B399:D399"/>
    <mergeCell ref="B418:D418"/>
    <mergeCell ref="E418:G418"/>
    <mergeCell ref="H418:I418"/>
    <mergeCell ref="B365:D365"/>
    <mergeCell ref="E365:G365"/>
    <mergeCell ref="H365:I365"/>
    <mergeCell ref="B361:D361"/>
    <mergeCell ref="E361:G361"/>
    <mergeCell ref="H361:I361"/>
    <mergeCell ref="B372:D372"/>
    <mergeCell ref="E372:G372"/>
    <mergeCell ref="H372:I372"/>
    <mergeCell ref="B393:J393"/>
    <mergeCell ref="B394:D394"/>
    <mergeCell ref="E394:G394"/>
    <mergeCell ref="H394:I394"/>
    <mergeCell ref="B395:D395"/>
    <mergeCell ref="B414:D414"/>
    <mergeCell ref="E414:G414"/>
    <mergeCell ref="H414:I414"/>
    <mergeCell ref="B411:D411"/>
    <mergeCell ref="E411:G411"/>
    <mergeCell ref="H411:I411"/>
    <mergeCell ref="B412:D412"/>
    <mergeCell ref="E412:G412"/>
    <mergeCell ref="H412:I412"/>
    <mergeCell ref="B413:D413"/>
    <mergeCell ref="E413:G413"/>
    <mergeCell ref="B298:D298"/>
    <mergeCell ref="E298:G298"/>
    <mergeCell ref="H298:I298"/>
    <mergeCell ref="B299:D299"/>
    <mergeCell ref="E299:G299"/>
    <mergeCell ref="H299:I299"/>
    <mergeCell ref="B300:D300"/>
    <mergeCell ref="E300:G300"/>
    <mergeCell ref="H300:I300"/>
    <mergeCell ref="B301:D301"/>
    <mergeCell ref="E301:G301"/>
    <mergeCell ref="H301:I301"/>
    <mergeCell ref="B302:D302"/>
    <mergeCell ref="E302:G302"/>
    <mergeCell ref="H302:I302"/>
    <mergeCell ref="B303:D303"/>
    <mergeCell ref="E303:G303"/>
    <mergeCell ref="B161:D161"/>
    <mergeCell ref="B154:D154"/>
    <mergeCell ref="E154:G154"/>
    <mergeCell ref="E158:G158"/>
    <mergeCell ref="B190:D190"/>
    <mergeCell ref="E190:G190"/>
    <mergeCell ref="H190:I190"/>
    <mergeCell ref="B191:D191"/>
    <mergeCell ref="E191:G191"/>
    <mergeCell ref="H191:I191"/>
    <mergeCell ref="H174:I174"/>
    <mergeCell ref="B175:D175"/>
    <mergeCell ref="E175:G175"/>
    <mergeCell ref="H175:I175"/>
    <mergeCell ref="B176:D176"/>
    <mergeCell ref="E176:G176"/>
    <mergeCell ref="H176:I176"/>
    <mergeCell ref="B177:D177"/>
    <mergeCell ref="E177:G177"/>
    <mergeCell ref="H177:I177"/>
    <mergeCell ref="B178:D178"/>
    <mergeCell ref="E178:G178"/>
    <mergeCell ref="H178:I178"/>
    <mergeCell ref="B179:D179"/>
    <mergeCell ref="B172:D172"/>
    <mergeCell ref="E167:G167"/>
    <mergeCell ref="H167:I167"/>
    <mergeCell ref="B168:D168"/>
    <mergeCell ref="E168:G168"/>
    <mergeCell ref="H168:I168"/>
    <mergeCell ref="B169:D169"/>
    <mergeCell ref="E169:G169"/>
    <mergeCell ref="H275:I275"/>
    <mergeCell ref="B283:D283"/>
    <mergeCell ref="E283:G283"/>
    <mergeCell ref="H283:I283"/>
    <mergeCell ref="E218:G218"/>
    <mergeCell ref="H235:I235"/>
    <mergeCell ref="B236:D236"/>
    <mergeCell ref="B243:D243"/>
    <mergeCell ref="E243:G243"/>
    <mergeCell ref="H243:I243"/>
    <mergeCell ref="B233:D233"/>
    <mergeCell ref="E233:G233"/>
    <mergeCell ref="E247:G247"/>
    <mergeCell ref="H247:I247"/>
    <mergeCell ref="B248:D248"/>
    <mergeCell ref="E248:G248"/>
    <mergeCell ref="H248:I248"/>
    <mergeCell ref="B244:D244"/>
    <mergeCell ref="E244:G244"/>
    <mergeCell ref="H244:I244"/>
    <mergeCell ref="B245:D245"/>
    <mergeCell ref="E245:G245"/>
    <mergeCell ref="H245:I245"/>
    <mergeCell ref="B246:D246"/>
    <mergeCell ref="E246:G246"/>
    <mergeCell ref="B221:D221"/>
    <mergeCell ref="E221:G221"/>
    <mergeCell ref="H221:I221"/>
    <mergeCell ref="B222:D222"/>
    <mergeCell ref="E222:G222"/>
    <mergeCell ref="H222:I222"/>
    <mergeCell ref="B223:D223"/>
    <mergeCell ref="E1248:G1248"/>
    <mergeCell ref="H1248:I1248"/>
    <mergeCell ref="B1249:D1249"/>
    <mergeCell ref="E1249:G1249"/>
    <mergeCell ref="H1249:I1249"/>
    <mergeCell ref="B1250:D1250"/>
    <mergeCell ref="E1250:G1250"/>
    <mergeCell ref="H1250:I1250"/>
    <mergeCell ref="B1251:D1251"/>
    <mergeCell ref="B1325:D1325"/>
    <mergeCell ref="E1325:G1325"/>
    <mergeCell ref="H1325:I1325"/>
    <mergeCell ref="E1318:G1318"/>
    <mergeCell ref="H1318:I1318"/>
    <mergeCell ref="B1319:D1319"/>
    <mergeCell ref="E1319:G1319"/>
    <mergeCell ref="H1319:I1319"/>
    <mergeCell ref="B1308:D1308"/>
    <mergeCell ref="E1308:G1308"/>
    <mergeCell ref="H1308:I1308"/>
    <mergeCell ref="B1309:D1309"/>
    <mergeCell ref="E1309:G1309"/>
    <mergeCell ref="H1309:I1309"/>
    <mergeCell ref="B1310:D1310"/>
    <mergeCell ref="E1310:G1310"/>
    <mergeCell ref="H1310:I1310"/>
    <mergeCell ref="B1311:D1311"/>
    <mergeCell ref="E1311:G1311"/>
    <mergeCell ref="H1311:I1311"/>
    <mergeCell ref="H1312:I1312"/>
    <mergeCell ref="B1313:D1313"/>
    <mergeCell ref="E1313:G1313"/>
    <mergeCell ref="B1238:D1238"/>
    <mergeCell ref="E1238:G1238"/>
    <mergeCell ref="H1238:I1238"/>
    <mergeCell ref="B1239:D1239"/>
    <mergeCell ref="E1239:G1239"/>
    <mergeCell ref="H1239:I1239"/>
    <mergeCell ref="B1240:D1240"/>
    <mergeCell ref="E1240:G1240"/>
    <mergeCell ref="H1240:I1240"/>
    <mergeCell ref="B1316:D1316"/>
    <mergeCell ref="E1316:G1316"/>
    <mergeCell ref="H1316:I1316"/>
    <mergeCell ref="B1241:D1241"/>
    <mergeCell ref="E1241:G1241"/>
    <mergeCell ref="H1241:I1241"/>
    <mergeCell ref="B1242:D1242"/>
    <mergeCell ref="E1242:G1242"/>
    <mergeCell ref="H1242:I1242"/>
    <mergeCell ref="B1243:D1243"/>
    <mergeCell ref="E1243:G1243"/>
    <mergeCell ref="H1243:I1243"/>
    <mergeCell ref="B1304:J1304"/>
    <mergeCell ref="B1305:D1305"/>
    <mergeCell ref="E1305:G1305"/>
    <mergeCell ref="H1305:I1305"/>
    <mergeCell ref="B1306:D1306"/>
    <mergeCell ref="E1306:G1306"/>
    <mergeCell ref="H1306:I1306"/>
    <mergeCell ref="B1307:D1307"/>
    <mergeCell ref="E1307:G1307"/>
    <mergeCell ref="H1307:I1307"/>
    <mergeCell ref="B1248:D1248"/>
    <mergeCell ref="B1232:D1232"/>
    <mergeCell ref="E1232:G1232"/>
    <mergeCell ref="H1232:I1232"/>
    <mergeCell ref="B1233:D1233"/>
    <mergeCell ref="E1233:G1233"/>
    <mergeCell ref="H1233:I1233"/>
    <mergeCell ref="B1234:D1234"/>
    <mergeCell ref="E1234:G1234"/>
    <mergeCell ref="H1234:I1234"/>
    <mergeCell ref="B1235:D1235"/>
    <mergeCell ref="E1235:G1235"/>
    <mergeCell ref="H1235:I1235"/>
    <mergeCell ref="B1236:D1236"/>
    <mergeCell ref="E1236:G1236"/>
    <mergeCell ref="H1236:I1236"/>
    <mergeCell ref="B1237:D1237"/>
    <mergeCell ref="E1237:G1237"/>
    <mergeCell ref="H1237:I1237"/>
    <mergeCell ref="B1230:D1230"/>
    <mergeCell ref="E1230:G1230"/>
    <mergeCell ref="H1230:I1230"/>
    <mergeCell ref="E1209:G1209"/>
    <mergeCell ref="H1209:I1209"/>
    <mergeCell ref="B1210:D1210"/>
    <mergeCell ref="E1210:G1210"/>
    <mergeCell ref="H1210:I1210"/>
    <mergeCell ref="B1211:D1211"/>
    <mergeCell ref="E1211:G1211"/>
    <mergeCell ref="H1211:I1211"/>
    <mergeCell ref="B1212:D1212"/>
    <mergeCell ref="E1212:G1212"/>
    <mergeCell ref="H1212:I1212"/>
    <mergeCell ref="B1213:D1213"/>
    <mergeCell ref="E1213:G1213"/>
    <mergeCell ref="B1231:D1231"/>
    <mergeCell ref="E1231:G1231"/>
    <mergeCell ref="H1231:I1231"/>
    <mergeCell ref="H1213:I1213"/>
    <mergeCell ref="B1214:D1214"/>
    <mergeCell ref="E1214:G1214"/>
    <mergeCell ref="H1214:I1214"/>
    <mergeCell ref="B1215:D1215"/>
    <mergeCell ref="E1215:G1215"/>
    <mergeCell ref="H1215:I1215"/>
    <mergeCell ref="B1216:D1216"/>
    <mergeCell ref="E1216:G1216"/>
    <mergeCell ref="H1216:I1216"/>
    <mergeCell ref="B1217:D1217"/>
    <mergeCell ref="E1217:G1217"/>
    <mergeCell ref="H1217:I1217"/>
    <mergeCell ref="E1228:G1228"/>
    <mergeCell ref="H1228:I1228"/>
    <mergeCell ref="B1205:D1205"/>
    <mergeCell ref="E1205:G1205"/>
    <mergeCell ref="H1205:I1205"/>
    <mergeCell ref="B1206:D1206"/>
    <mergeCell ref="E1206:G1206"/>
    <mergeCell ref="H1206:I1206"/>
    <mergeCell ref="B1207:D1207"/>
    <mergeCell ref="E1207:G1207"/>
    <mergeCell ref="H1207:I1207"/>
    <mergeCell ref="B1208:D1208"/>
    <mergeCell ref="E1208:G1208"/>
    <mergeCell ref="H1208:I1208"/>
    <mergeCell ref="B1209:D1209"/>
    <mergeCell ref="B1229:D1229"/>
    <mergeCell ref="E1229:G1229"/>
    <mergeCell ref="H1229:I1229"/>
    <mergeCell ref="B1218:D1218"/>
    <mergeCell ref="E1218:G1218"/>
    <mergeCell ref="H1218:I1218"/>
    <mergeCell ref="B1219:D1219"/>
    <mergeCell ref="E1219:G1219"/>
    <mergeCell ref="H1219:I1219"/>
    <mergeCell ref="B1220:D1220"/>
    <mergeCell ref="E1220:G1220"/>
    <mergeCell ref="H1220:I1220"/>
    <mergeCell ref="B1126:D1126"/>
    <mergeCell ref="E1126:G1126"/>
    <mergeCell ref="H1126:I1126"/>
    <mergeCell ref="B1127:D1127"/>
    <mergeCell ref="E1127:G1127"/>
    <mergeCell ref="H1127:I1127"/>
    <mergeCell ref="B1128:D1128"/>
    <mergeCell ref="E1128:G1128"/>
    <mergeCell ref="H1128:I1128"/>
    <mergeCell ref="B1129:D1129"/>
    <mergeCell ref="E1129:G1129"/>
    <mergeCell ref="H1129:I1129"/>
    <mergeCell ref="B1130:D1130"/>
    <mergeCell ref="E1130:G1130"/>
    <mergeCell ref="H1130:I1130"/>
    <mergeCell ref="H1138:I1138"/>
    <mergeCell ref="B1179:J1179"/>
    <mergeCell ref="B1139:D1139"/>
    <mergeCell ref="E1139:G1139"/>
    <mergeCell ref="H1139:I1139"/>
    <mergeCell ref="B1140:D1140"/>
    <mergeCell ref="E1140:G1140"/>
    <mergeCell ref="H1140:I1140"/>
    <mergeCell ref="B1141:D1141"/>
    <mergeCell ref="E1141:G1141"/>
    <mergeCell ref="H1141:I1141"/>
    <mergeCell ref="B1142:D1142"/>
    <mergeCell ref="E1142:G1142"/>
    <mergeCell ref="H1142:I1142"/>
    <mergeCell ref="B1143:D1143"/>
    <mergeCell ref="E1143:G1143"/>
    <mergeCell ref="H1143:I1143"/>
    <mergeCell ref="E1114:G1114"/>
    <mergeCell ref="H1114:I1114"/>
    <mergeCell ref="E1115:G1115"/>
    <mergeCell ref="H1116:I1116"/>
    <mergeCell ref="E1113:G1113"/>
    <mergeCell ref="H1024:I1024"/>
    <mergeCell ref="B1025:D1025"/>
    <mergeCell ref="E1025:G1025"/>
    <mergeCell ref="H1025:I1025"/>
    <mergeCell ref="B1026:D1026"/>
    <mergeCell ref="E1026:G1026"/>
    <mergeCell ref="H1026:I1026"/>
    <mergeCell ref="B1027:D1027"/>
    <mergeCell ref="E1027:G1027"/>
    <mergeCell ref="H1027:I1027"/>
    <mergeCell ref="B1028:D1028"/>
    <mergeCell ref="E1028:G1028"/>
    <mergeCell ref="H1028:I1028"/>
    <mergeCell ref="E1111:G1111"/>
    <mergeCell ref="H1111:I1111"/>
    <mergeCell ref="B1106:D1106"/>
    <mergeCell ref="E1106:G1106"/>
    <mergeCell ref="H1106:I1106"/>
    <mergeCell ref="B1107:D1107"/>
    <mergeCell ref="E1107:G1107"/>
    <mergeCell ref="H1107:I1107"/>
    <mergeCell ref="B1109:D1109"/>
    <mergeCell ref="B1033:D1033"/>
    <mergeCell ref="E1033:G1033"/>
    <mergeCell ref="H1033:I1033"/>
    <mergeCell ref="B1034:D1034"/>
    <mergeCell ref="E1034:G1034"/>
    <mergeCell ref="E1109:G1109"/>
    <mergeCell ref="H1109:I1109"/>
    <mergeCell ref="B1101:D1101"/>
    <mergeCell ref="E1101:G1101"/>
    <mergeCell ref="H1101:I1101"/>
    <mergeCell ref="B1020:D1020"/>
    <mergeCell ref="E1020:G1020"/>
    <mergeCell ref="H1020:I1020"/>
    <mergeCell ref="B1021:D1021"/>
    <mergeCell ref="E1021:G1021"/>
    <mergeCell ref="H1021:I1021"/>
    <mergeCell ref="B1022:D1022"/>
    <mergeCell ref="E1022:G1022"/>
    <mergeCell ref="H1022:I1022"/>
    <mergeCell ref="B1023:D1023"/>
    <mergeCell ref="E1023:G1023"/>
    <mergeCell ref="H1023:I1023"/>
    <mergeCell ref="B1024:D1024"/>
    <mergeCell ref="E1024:G1024"/>
    <mergeCell ref="H1034:I1034"/>
    <mergeCell ref="B1037:D1037"/>
    <mergeCell ref="E1037:G1037"/>
    <mergeCell ref="H1037:I1037"/>
    <mergeCell ref="B1038:D1038"/>
    <mergeCell ref="E1038:G1038"/>
    <mergeCell ref="H1038:I1038"/>
    <mergeCell ref="E1102:G1102"/>
    <mergeCell ref="H1102:I1102"/>
    <mergeCell ref="B1103:D1103"/>
    <mergeCell ref="E1103:G1103"/>
    <mergeCell ref="H1103:I1103"/>
    <mergeCell ref="B1030:D1030"/>
    <mergeCell ref="H990:I990"/>
    <mergeCell ref="B998:D998"/>
    <mergeCell ref="E998:G998"/>
    <mergeCell ref="H998:I998"/>
    <mergeCell ref="B999:D999"/>
    <mergeCell ref="E999:G999"/>
    <mergeCell ref="H999:I999"/>
    <mergeCell ref="B994:D994"/>
    <mergeCell ref="B996:D996"/>
    <mergeCell ref="E996:G996"/>
    <mergeCell ref="B983:D983"/>
    <mergeCell ref="E983:G983"/>
    <mergeCell ref="H983:I983"/>
    <mergeCell ref="B984:D984"/>
    <mergeCell ref="B975:D975"/>
    <mergeCell ref="E984:G984"/>
    <mergeCell ref="H984:I984"/>
    <mergeCell ref="B992:D992"/>
    <mergeCell ref="E992:G992"/>
    <mergeCell ref="H992:I992"/>
    <mergeCell ref="B993:D993"/>
    <mergeCell ref="E993:G993"/>
    <mergeCell ref="H993:I993"/>
    <mergeCell ref="H991:I991"/>
    <mergeCell ref="E975:G975"/>
    <mergeCell ref="H975:I975"/>
    <mergeCell ref="B976:D976"/>
    <mergeCell ref="E976:G976"/>
    <mergeCell ref="H976:I976"/>
    <mergeCell ref="B977:D977"/>
    <mergeCell ref="E977:G977"/>
    <mergeCell ref="H977:I977"/>
    <mergeCell ref="B981:D981"/>
    <mergeCell ref="E981:G981"/>
    <mergeCell ref="B900:D900"/>
    <mergeCell ref="E900:G900"/>
    <mergeCell ref="E896:G896"/>
    <mergeCell ref="H896:I896"/>
    <mergeCell ref="B897:D897"/>
    <mergeCell ref="H891:I891"/>
    <mergeCell ref="B843:D843"/>
    <mergeCell ref="E843:G843"/>
    <mergeCell ref="H843:I843"/>
    <mergeCell ref="B844:D844"/>
    <mergeCell ref="E844:G844"/>
    <mergeCell ref="H844:I844"/>
    <mergeCell ref="B845:D845"/>
    <mergeCell ref="E845:G845"/>
    <mergeCell ref="H845:I845"/>
    <mergeCell ref="B846:D846"/>
    <mergeCell ref="H862:I862"/>
    <mergeCell ref="B863:D863"/>
    <mergeCell ref="H846:I846"/>
    <mergeCell ref="B847:D847"/>
    <mergeCell ref="E847:G847"/>
    <mergeCell ref="H847:I847"/>
    <mergeCell ref="B870:D870"/>
    <mergeCell ref="E870:G870"/>
    <mergeCell ref="H870:I870"/>
    <mergeCell ref="B871:D871"/>
    <mergeCell ref="E871:G871"/>
    <mergeCell ref="H871:I871"/>
    <mergeCell ref="B872:D872"/>
    <mergeCell ref="B858:D858"/>
    <mergeCell ref="A6:J6"/>
    <mergeCell ref="B7:J7"/>
    <mergeCell ref="B8:E8"/>
    <mergeCell ref="F8:J8"/>
    <mergeCell ref="B9:E9"/>
    <mergeCell ref="F9:J9"/>
    <mergeCell ref="E810:G810"/>
    <mergeCell ref="H810:I810"/>
    <mergeCell ref="B811:D811"/>
    <mergeCell ref="E811:G811"/>
    <mergeCell ref="H811:I811"/>
    <mergeCell ref="B812:D812"/>
    <mergeCell ref="E812:G812"/>
    <mergeCell ref="H812:I812"/>
    <mergeCell ref="B59:J59"/>
    <mergeCell ref="B280:D280"/>
    <mergeCell ref="E280:G280"/>
    <mergeCell ref="H280:I280"/>
    <mergeCell ref="E272:G272"/>
    <mergeCell ref="H272:I272"/>
    <mergeCell ref="B273:D273"/>
    <mergeCell ref="E273:G273"/>
    <mergeCell ref="H273:I273"/>
    <mergeCell ref="B274:D274"/>
    <mergeCell ref="B272:D272"/>
    <mergeCell ref="B10:E10"/>
    <mergeCell ref="H156:I156"/>
    <mergeCell ref="F10:J10"/>
    <mergeCell ref="B11:E11"/>
    <mergeCell ref="E164:G164"/>
    <mergeCell ref="H164:I164"/>
    <mergeCell ref="B165:D165"/>
    <mergeCell ref="F11:J11"/>
    <mergeCell ref="B12:E12"/>
    <mergeCell ref="F12:J12"/>
    <mergeCell ref="B13:E13"/>
    <mergeCell ref="B145:D145"/>
    <mergeCell ref="E145:G145"/>
    <mergeCell ref="H145:I145"/>
    <mergeCell ref="F13:J13"/>
    <mergeCell ref="B268:J268"/>
    <mergeCell ref="H153:I153"/>
    <mergeCell ref="B148:D148"/>
    <mergeCell ref="E148:G148"/>
    <mergeCell ref="H148:I148"/>
    <mergeCell ref="B149:D149"/>
    <mergeCell ref="E149:G149"/>
    <mergeCell ref="H149:I149"/>
    <mergeCell ref="B150:D150"/>
    <mergeCell ref="E150:G150"/>
    <mergeCell ref="H150:I150"/>
    <mergeCell ref="E161:G161"/>
    <mergeCell ref="H161:I161"/>
    <mergeCell ref="B162:D162"/>
    <mergeCell ref="E162:G162"/>
    <mergeCell ref="H162:I162"/>
    <mergeCell ref="B62:J62"/>
    <mergeCell ref="B189:D189"/>
    <mergeCell ref="E189:G189"/>
    <mergeCell ref="H189:I189"/>
    <mergeCell ref="E187:G187"/>
    <mergeCell ref="B164:D164"/>
    <mergeCell ref="F29:J30"/>
    <mergeCell ref="B57:J57"/>
    <mergeCell ref="H980:I980"/>
    <mergeCell ref="B973:D973"/>
    <mergeCell ref="B566:D566"/>
    <mergeCell ref="E509:G509"/>
    <mergeCell ref="H509:I509"/>
    <mergeCell ref="H816:I816"/>
    <mergeCell ref="B978:D978"/>
    <mergeCell ref="E165:G165"/>
    <mergeCell ref="H165:I165"/>
    <mergeCell ref="B192:D192"/>
    <mergeCell ref="E192:G192"/>
    <mergeCell ref="H192:I192"/>
    <mergeCell ref="B214:D214"/>
    <mergeCell ref="E214:G214"/>
    <mergeCell ref="H214:I214"/>
    <mergeCell ref="B215:D215"/>
    <mergeCell ref="E215:G215"/>
    <mergeCell ref="H215:I215"/>
    <mergeCell ref="B216:D216"/>
    <mergeCell ref="E216:G216"/>
    <mergeCell ref="H216:I216"/>
    <mergeCell ref="B201:D201"/>
    <mergeCell ref="E201:G201"/>
    <mergeCell ref="H201:I201"/>
    <mergeCell ref="H293:I293"/>
    <mergeCell ref="B294:D294"/>
    <mergeCell ref="E294:G294"/>
    <mergeCell ref="H294:I294"/>
    <mergeCell ref="B295:D295"/>
    <mergeCell ref="E295:G295"/>
    <mergeCell ref="H295:I295"/>
    <mergeCell ref="E227:G227"/>
    <mergeCell ref="B1117:D1117"/>
    <mergeCell ref="E1117:G1117"/>
    <mergeCell ref="H1117:I1117"/>
    <mergeCell ref="B1115:D1115"/>
    <mergeCell ref="B1112:D1112"/>
    <mergeCell ref="E1112:G1112"/>
    <mergeCell ref="B276:D276"/>
    <mergeCell ref="E276:G276"/>
    <mergeCell ref="H276:I276"/>
    <mergeCell ref="B813:D813"/>
    <mergeCell ref="E813:G813"/>
    <mergeCell ref="H813:I813"/>
    <mergeCell ref="B814:D814"/>
    <mergeCell ref="E814:G814"/>
    <mergeCell ref="H814:I814"/>
    <mergeCell ref="B815:D815"/>
    <mergeCell ref="B489:D489"/>
    <mergeCell ref="E489:G489"/>
    <mergeCell ref="H489:I489"/>
    <mergeCell ref="B822:D822"/>
    <mergeCell ref="E822:G822"/>
    <mergeCell ref="H822:I822"/>
    <mergeCell ref="B823:D823"/>
    <mergeCell ref="H510:I510"/>
    <mergeCell ref="B511:D511"/>
    <mergeCell ref="E511:G511"/>
    <mergeCell ref="H511:I511"/>
    <mergeCell ref="E872:G872"/>
    <mergeCell ref="H872:I872"/>
    <mergeCell ref="B873:D873"/>
    <mergeCell ref="E903:G903"/>
    <mergeCell ref="H989:I989"/>
    <mergeCell ref="E979:G979"/>
    <mergeCell ref="H979:I979"/>
    <mergeCell ref="B980:D980"/>
    <mergeCell ref="E1105:G1105"/>
    <mergeCell ref="H1105:I1105"/>
    <mergeCell ref="H623:I623"/>
    <mergeCell ref="B559:D559"/>
    <mergeCell ref="E572:G572"/>
    <mergeCell ref="H572:I572"/>
    <mergeCell ref="B573:D573"/>
    <mergeCell ref="E573:G573"/>
    <mergeCell ref="H573:I573"/>
    <mergeCell ref="B574:D574"/>
    <mergeCell ref="B44:H44"/>
    <mergeCell ref="E823:G823"/>
    <mergeCell ref="H823:I823"/>
    <mergeCell ref="B972:J972"/>
    <mergeCell ref="E973:G973"/>
    <mergeCell ref="H973:I973"/>
    <mergeCell ref="B833:D833"/>
    <mergeCell ref="B817:D817"/>
    <mergeCell ref="E817:G817"/>
    <mergeCell ref="B834:D834"/>
    <mergeCell ref="E834:G834"/>
    <mergeCell ref="H834:I834"/>
    <mergeCell ref="B46:J46"/>
    <mergeCell ref="E901:G901"/>
    <mergeCell ref="H901:I901"/>
    <mergeCell ref="B979:D979"/>
    <mergeCell ref="B351:J351"/>
    <mergeCell ref="B352:D352"/>
    <mergeCell ref="E980:G980"/>
    <mergeCell ref="E619:G619"/>
    <mergeCell ref="H619:I619"/>
    <mergeCell ref="B614:D614"/>
    <mergeCell ref="H981:I981"/>
    <mergeCell ref="B982:D982"/>
    <mergeCell ref="E982:G982"/>
    <mergeCell ref="H982:I982"/>
    <mergeCell ref="H270:I270"/>
    <mergeCell ref="B353:D353"/>
    <mergeCell ref="E353:G353"/>
    <mergeCell ref="H353:I353"/>
    <mergeCell ref="H284:I284"/>
    <mergeCell ref="H481:I481"/>
    <mergeCell ref="E477:G477"/>
    <mergeCell ref="H477:I477"/>
    <mergeCell ref="B475:J475"/>
    <mergeCell ref="E815:G815"/>
    <mergeCell ref="H815:I815"/>
    <mergeCell ref="B816:D816"/>
    <mergeCell ref="E816:G816"/>
    <mergeCell ref="E285:G285"/>
    <mergeCell ref="B807:J807"/>
    <mergeCell ref="B810:D810"/>
    <mergeCell ref="H624:I624"/>
    <mergeCell ref="B625:D625"/>
    <mergeCell ref="E625:G625"/>
    <mergeCell ref="B495:D495"/>
    <mergeCell ref="E495:G495"/>
    <mergeCell ref="B808:D808"/>
    <mergeCell ref="E808:G808"/>
    <mergeCell ref="E978:G978"/>
    <mergeCell ref="H978:I978"/>
    <mergeCell ref="H598:I598"/>
    <mergeCell ref="B599:D599"/>
    <mergeCell ref="E563:G563"/>
    <mergeCell ref="H563:I563"/>
    <mergeCell ref="B564:D564"/>
    <mergeCell ref="E559:G559"/>
    <mergeCell ref="H559:I559"/>
    <mergeCell ref="E538:G538"/>
    <mergeCell ref="H538:I538"/>
    <mergeCell ref="B539:D539"/>
    <mergeCell ref="E539:G539"/>
    <mergeCell ref="H539:I539"/>
    <mergeCell ref="B540:D540"/>
    <mergeCell ref="E540:G540"/>
    <mergeCell ref="B498:D498"/>
    <mergeCell ref="H504:I504"/>
    <mergeCell ref="B505:D505"/>
    <mergeCell ref="E505:G505"/>
    <mergeCell ref="H505:I505"/>
    <mergeCell ref="B506:D506"/>
    <mergeCell ref="E506:G506"/>
    <mergeCell ref="H506:I506"/>
    <mergeCell ref="B507:D507"/>
    <mergeCell ref="E507:G507"/>
    <mergeCell ref="H507:I507"/>
    <mergeCell ref="H540:I540"/>
    <mergeCell ref="B526:D526"/>
    <mergeCell ref="E526:G526"/>
    <mergeCell ref="H526:I526"/>
    <mergeCell ref="B527:D527"/>
    <mergeCell ref="E527:G527"/>
    <mergeCell ref="H527:I527"/>
    <mergeCell ref="A50:A51"/>
    <mergeCell ref="B50:G51"/>
    <mergeCell ref="B28:E28"/>
    <mergeCell ref="F28:J28"/>
    <mergeCell ref="B29:E30"/>
    <mergeCell ref="A29:A30"/>
    <mergeCell ref="B290:D290"/>
    <mergeCell ref="E290:G290"/>
    <mergeCell ref="H290:I290"/>
    <mergeCell ref="B269:J269"/>
    <mergeCell ref="B281:D281"/>
    <mergeCell ref="E281:G281"/>
    <mergeCell ref="H281:I281"/>
    <mergeCell ref="H50:J51"/>
    <mergeCell ref="B33:E33"/>
    <mergeCell ref="B34:E34"/>
    <mergeCell ref="F32:J32"/>
    <mergeCell ref="F33:J33"/>
    <mergeCell ref="F34:J34"/>
    <mergeCell ref="B31:E31"/>
    <mergeCell ref="F31:J31"/>
    <mergeCell ref="B32:E32"/>
    <mergeCell ref="B41:H41"/>
    <mergeCell ref="B42:H42"/>
    <mergeCell ref="B43:H43"/>
    <mergeCell ref="B37:H37"/>
    <mergeCell ref="B38:H38"/>
    <mergeCell ref="B61:J61"/>
    <mergeCell ref="H187:I187"/>
    <mergeCell ref="B157:D157"/>
    <mergeCell ref="E157:G157"/>
    <mergeCell ref="H157:I157"/>
    <mergeCell ref="K689:K690"/>
    <mergeCell ref="K683:K684"/>
    <mergeCell ref="H570:I570"/>
    <mergeCell ref="B571:D571"/>
    <mergeCell ref="B514:D514"/>
    <mergeCell ref="E514:G514"/>
    <mergeCell ref="H514:I514"/>
    <mergeCell ref="E564:G564"/>
    <mergeCell ref="H480:I480"/>
    <mergeCell ref="B481:D481"/>
    <mergeCell ref="B53:J53"/>
    <mergeCell ref="B52:H52"/>
    <mergeCell ref="B56:J56"/>
    <mergeCell ref="B58:J58"/>
    <mergeCell ref="B60:J60"/>
    <mergeCell ref="B55:J55"/>
    <mergeCell ref="B54:J54"/>
    <mergeCell ref="B158:D158"/>
    <mergeCell ref="B237:D237"/>
    <mergeCell ref="E237:G237"/>
    <mergeCell ref="H237:I237"/>
    <mergeCell ref="B238:D238"/>
    <mergeCell ref="E238:G238"/>
    <mergeCell ref="B560:D560"/>
    <mergeCell ref="E560:G560"/>
    <mergeCell ref="H560:I560"/>
    <mergeCell ref="B561:D561"/>
    <mergeCell ref="E561:G561"/>
    <mergeCell ref="H561:I561"/>
    <mergeCell ref="B562:D562"/>
    <mergeCell ref="E562:G562"/>
    <mergeCell ref="H562:I562"/>
    <mergeCell ref="B35:H35"/>
    <mergeCell ref="B36:H36"/>
    <mergeCell ref="B47:J47"/>
    <mergeCell ref="B212:D212"/>
    <mergeCell ref="E212:G212"/>
    <mergeCell ref="H212:I212"/>
    <mergeCell ref="B213:D213"/>
    <mergeCell ref="E213:G213"/>
    <mergeCell ref="H213:I213"/>
    <mergeCell ref="B217:D217"/>
    <mergeCell ref="E217:G217"/>
    <mergeCell ref="H217:I217"/>
    <mergeCell ref="B218:D218"/>
    <mergeCell ref="B39:H39"/>
    <mergeCell ref="B40:H40"/>
    <mergeCell ref="B45:H45"/>
    <mergeCell ref="I52:J52"/>
    <mergeCell ref="B48:J48"/>
    <mergeCell ref="B144:J144"/>
    <mergeCell ref="E146:G146"/>
    <mergeCell ref="B49:J49"/>
    <mergeCell ref="B110:D110"/>
    <mergeCell ref="E110:G110"/>
    <mergeCell ref="H110:I110"/>
    <mergeCell ref="B111:D111"/>
    <mergeCell ref="E111:G111"/>
    <mergeCell ref="H111:I111"/>
    <mergeCell ref="B112:D112"/>
    <mergeCell ref="E112:G112"/>
    <mergeCell ref="H112:I112"/>
    <mergeCell ref="B113:D113"/>
    <mergeCell ref="E113:G113"/>
    <mergeCell ref="B14:J14"/>
    <mergeCell ref="B15:E15"/>
    <mergeCell ref="F15:J15"/>
    <mergeCell ref="B18:E18"/>
    <mergeCell ref="B19:E19"/>
    <mergeCell ref="B20:E20"/>
    <mergeCell ref="F18:J18"/>
    <mergeCell ref="F19:J19"/>
    <mergeCell ref="F20:J20"/>
    <mergeCell ref="B16:E16"/>
    <mergeCell ref="F16:J16"/>
    <mergeCell ref="B22:E22"/>
    <mergeCell ref="F22:J22"/>
    <mergeCell ref="B27:E27"/>
    <mergeCell ref="F27:J27"/>
    <mergeCell ref="B23:E23"/>
    <mergeCell ref="F23:J23"/>
    <mergeCell ref="B25:E25"/>
    <mergeCell ref="F25:J25"/>
    <mergeCell ref="B26:E26"/>
    <mergeCell ref="F24:J24"/>
    <mergeCell ref="B21:E21"/>
    <mergeCell ref="F21:J21"/>
    <mergeCell ref="F26:J26"/>
    <mergeCell ref="B24:E24"/>
    <mergeCell ref="H154:I154"/>
    <mergeCell ref="B155:D155"/>
    <mergeCell ref="B146:D146"/>
    <mergeCell ref="E155:G155"/>
    <mergeCell ref="H155:I155"/>
    <mergeCell ref="B156:D156"/>
    <mergeCell ref="E156:G156"/>
    <mergeCell ref="B199:D199"/>
    <mergeCell ref="E199:G199"/>
    <mergeCell ref="H199:I199"/>
    <mergeCell ref="B193:D193"/>
    <mergeCell ref="B484:D484"/>
    <mergeCell ref="B492:D492"/>
    <mergeCell ref="E492:G492"/>
    <mergeCell ref="H492:I492"/>
    <mergeCell ref="B480:D480"/>
    <mergeCell ref="E480:G480"/>
    <mergeCell ref="E193:G193"/>
    <mergeCell ref="B151:D151"/>
    <mergeCell ref="E151:G151"/>
    <mergeCell ref="H151:I151"/>
    <mergeCell ref="B152:D152"/>
    <mergeCell ref="E152:G152"/>
    <mergeCell ref="H152:I152"/>
    <mergeCell ref="B153:D153"/>
    <mergeCell ref="E153:G153"/>
    <mergeCell ref="B194:D194"/>
    <mergeCell ref="E194:G194"/>
    <mergeCell ref="E163:G163"/>
    <mergeCell ref="H163:I163"/>
    <mergeCell ref="B186:J186"/>
    <mergeCell ref="B187:D187"/>
    <mergeCell ref="B497:D497"/>
    <mergeCell ref="E497:G497"/>
    <mergeCell ref="H497:I497"/>
    <mergeCell ref="H484:I484"/>
    <mergeCell ref="B485:D485"/>
    <mergeCell ref="E494:G494"/>
    <mergeCell ref="H494:I494"/>
    <mergeCell ref="H495:I495"/>
    <mergeCell ref="E485:G485"/>
    <mergeCell ref="H485:I485"/>
    <mergeCell ref="E484:G484"/>
    <mergeCell ref="H482:I482"/>
    <mergeCell ref="E481:G481"/>
    <mergeCell ref="B482:D482"/>
    <mergeCell ref="E487:G487"/>
    <mergeCell ref="H487:I487"/>
    <mergeCell ref="B496:D496"/>
    <mergeCell ref="E496:G496"/>
    <mergeCell ref="H496:I496"/>
    <mergeCell ref="B493:D493"/>
    <mergeCell ref="E493:G493"/>
    <mergeCell ref="H493:I493"/>
    <mergeCell ref="B494:D494"/>
    <mergeCell ref="B487:D487"/>
    <mergeCell ref="B488:D488"/>
    <mergeCell ref="E488:G488"/>
    <mergeCell ref="H488:I488"/>
    <mergeCell ref="B490:D490"/>
    <mergeCell ref="E490:G490"/>
    <mergeCell ref="H490:I490"/>
    <mergeCell ref="B491:D491"/>
    <mergeCell ref="E491:G491"/>
    <mergeCell ref="B501:D501"/>
    <mergeCell ref="B503:D503"/>
    <mergeCell ref="E503:G503"/>
    <mergeCell ref="H503:I503"/>
    <mergeCell ref="E498:G498"/>
    <mergeCell ref="H498:I498"/>
    <mergeCell ref="B499:D499"/>
    <mergeCell ref="E499:G499"/>
    <mergeCell ref="H499:I499"/>
    <mergeCell ref="B591:D591"/>
    <mergeCell ref="E591:G591"/>
    <mergeCell ref="H591:I591"/>
    <mergeCell ref="B592:D592"/>
    <mergeCell ref="E592:G592"/>
    <mergeCell ref="B569:D569"/>
    <mergeCell ref="E569:G569"/>
    <mergeCell ref="H569:I569"/>
    <mergeCell ref="B510:D510"/>
    <mergeCell ref="E510:G510"/>
    <mergeCell ref="H578:I578"/>
    <mergeCell ref="B565:D565"/>
    <mergeCell ref="B500:D500"/>
    <mergeCell ref="E500:G500"/>
    <mergeCell ref="H500:I500"/>
    <mergeCell ref="E501:G501"/>
    <mergeCell ref="H501:I501"/>
    <mergeCell ref="B502:D502"/>
    <mergeCell ref="E502:G502"/>
    <mergeCell ref="H502:I502"/>
    <mergeCell ref="E508:G508"/>
    <mergeCell ref="B512:D512"/>
    <mergeCell ref="E512:G512"/>
    <mergeCell ref="B579:D579"/>
    <mergeCell ref="E579:G579"/>
    <mergeCell ref="H579:I579"/>
    <mergeCell ref="B600:J600"/>
    <mergeCell ref="E589:G589"/>
    <mergeCell ref="H589:I589"/>
    <mergeCell ref="B590:D590"/>
    <mergeCell ref="E590:G590"/>
    <mergeCell ref="H595:I595"/>
    <mergeCell ref="B603:D603"/>
    <mergeCell ref="E603:G603"/>
    <mergeCell ref="E614:G614"/>
    <mergeCell ref="H614:I614"/>
    <mergeCell ref="B602:D602"/>
    <mergeCell ref="B509:D509"/>
    <mergeCell ref="B518:D518"/>
    <mergeCell ref="E518:G518"/>
    <mergeCell ref="H518:I518"/>
    <mergeCell ref="B519:D519"/>
    <mergeCell ref="H603:I603"/>
    <mergeCell ref="B594:D594"/>
    <mergeCell ref="E594:G594"/>
    <mergeCell ref="H594:I594"/>
    <mergeCell ref="E595:G595"/>
    <mergeCell ref="E602:G602"/>
    <mergeCell ref="H577:I577"/>
    <mergeCell ref="H602:I602"/>
    <mergeCell ref="E599:G599"/>
    <mergeCell ref="H599:I599"/>
    <mergeCell ref="B570:D570"/>
    <mergeCell ref="E570:G570"/>
    <mergeCell ref="B582:D582"/>
    <mergeCell ref="B622:D622"/>
    <mergeCell ref="E622:G622"/>
    <mergeCell ref="H622:I622"/>
    <mergeCell ref="B623:D623"/>
    <mergeCell ref="E623:G623"/>
    <mergeCell ref="H512:I512"/>
    <mergeCell ref="H620:I620"/>
    <mergeCell ref="B601:D601"/>
    <mergeCell ref="E601:G601"/>
    <mergeCell ref="H601:I601"/>
    <mergeCell ref="B621:D621"/>
    <mergeCell ref="E621:G621"/>
    <mergeCell ref="H621:I621"/>
    <mergeCell ref="B617:D617"/>
    <mergeCell ref="B604:D604"/>
    <mergeCell ref="E604:G604"/>
    <mergeCell ref="H604:I604"/>
    <mergeCell ref="H566:I566"/>
    <mergeCell ref="H590:I590"/>
    <mergeCell ref="H586:I586"/>
    <mergeCell ref="B587:D587"/>
    <mergeCell ref="E587:G587"/>
    <mergeCell ref="H587:I587"/>
    <mergeCell ref="B588:D588"/>
    <mergeCell ref="E588:G588"/>
    <mergeCell ref="H588:I588"/>
    <mergeCell ref="B589:D589"/>
    <mergeCell ref="B595:D595"/>
    <mergeCell ref="B615:D615"/>
    <mergeCell ref="E615:G615"/>
    <mergeCell ref="H615:I615"/>
    <mergeCell ref="B616:D616"/>
    <mergeCell ref="E618:G618"/>
    <mergeCell ref="E598:G598"/>
    <mergeCell ref="E690:G690"/>
    <mergeCell ref="B686:D686"/>
    <mergeCell ref="H608:I608"/>
    <mergeCell ref="B609:D609"/>
    <mergeCell ref="E609:G609"/>
    <mergeCell ref="H609:I609"/>
    <mergeCell ref="B610:D610"/>
    <mergeCell ref="E610:G610"/>
    <mergeCell ref="H610:I610"/>
    <mergeCell ref="B608:D608"/>
    <mergeCell ref="E608:G608"/>
    <mergeCell ref="B682:J682"/>
    <mergeCell ref="H625:I625"/>
    <mergeCell ref="B626:D626"/>
    <mergeCell ref="H618:I618"/>
    <mergeCell ref="B619:D619"/>
    <mergeCell ref="B624:D624"/>
    <mergeCell ref="E624:G624"/>
    <mergeCell ref="H690:I690"/>
    <mergeCell ref="B628:D628"/>
    <mergeCell ref="E628:G628"/>
    <mergeCell ref="H630:I630"/>
    <mergeCell ref="H627:I627"/>
    <mergeCell ref="H648:I648"/>
    <mergeCell ref="B649:D649"/>
    <mergeCell ref="E649:G649"/>
    <mergeCell ref="H649:I649"/>
    <mergeCell ref="B642:D642"/>
    <mergeCell ref="E642:G642"/>
    <mergeCell ref="H642:I642"/>
    <mergeCell ref="B620:D620"/>
    <mergeCell ref="E620:G620"/>
    <mergeCell ref="H702:I702"/>
    <mergeCell ref="B703:D703"/>
    <mergeCell ref="E703:G703"/>
    <mergeCell ref="H705:I705"/>
    <mergeCell ref="B740:D740"/>
    <mergeCell ref="E740:G740"/>
    <mergeCell ref="H740:I740"/>
    <mergeCell ref="B741:D741"/>
    <mergeCell ref="E741:G741"/>
    <mergeCell ref="B706:D706"/>
    <mergeCell ref="E706:G706"/>
    <mergeCell ref="H706:I706"/>
    <mergeCell ref="B707:D707"/>
    <mergeCell ref="E707:G707"/>
    <mergeCell ref="H707:I707"/>
    <mergeCell ref="B704:D704"/>
    <mergeCell ref="E704:G704"/>
    <mergeCell ref="H704:I704"/>
    <mergeCell ref="B705:D705"/>
    <mergeCell ref="E705:G705"/>
    <mergeCell ref="B713:D713"/>
    <mergeCell ref="E713:G713"/>
    <mergeCell ref="H713:I713"/>
    <mergeCell ref="B714:D714"/>
    <mergeCell ref="E714:G714"/>
    <mergeCell ref="H714:I714"/>
    <mergeCell ref="B715:D715"/>
    <mergeCell ref="E715:G715"/>
    <mergeCell ref="H715:I715"/>
    <mergeCell ref="E738:G738"/>
    <mergeCell ref="H738:I738"/>
    <mergeCell ref="H703:I703"/>
    <mergeCell ref="E848:G848"/>
    <mergeCell ref="H848:I848"/>
    <mergeCell ref="H850:I850"/>
    <mergeCell ref="E626:G626"/>
    <mergeCell ref="H626:I626"/>
    <mergeCell ref="E686:G686"/>
    <mergeCell ref="B697:D697"/>
    <mergeCell ref="B701:D701"/>
    <mergeCell ref="E701:G701"/>
    <mergeCell ref="H701:I701"/>
    <mergeCell ref="B702:D702"/>
    <mergeCell ref="E702:G702"/>
    <mergeCell ref="H693:I693"/>
    <mergeCell ref="B694:D694"/>
    <mergeCell ref="E694:G694"/>
    <mergeCell ref="H694:I694"/>
    <mergeCell ref="B689:D689"/>
    <mergeCell ref="E689:G689"/>
    <mergeCell ref="H689:I689"/>
    <mergeCell ref="B690:D690"/>
    <mergeCell ref="B698:D698"/>
    <mergeCell ref="E698:G698"/>
    <mergeCell ref="H698:I698"/>
    <mergeCell ref="B699:D699"/>
    <mergeCell ref="B643:D643"/>
    <mergeCell ref="E643:G643"/>
    <mergeCell ref="H686:I686"/>
    <mergeCell ref="B693:D693"/>
    <mergeCell ref="E693:G693"/>
    <mergeCell ref="B739:D739"/>
    <mergeCell ref="E739:G739"/>
    <mergeCell ref="H739:I739"/>
    <mergeCell ref="B242:D242"/>
    <mergeCell ref="E242:G242"/>
    <mergeCell ref="H242:I242"/>
    <mergeCell ref="B905:D905"/>
    <mergeCell ref="E905:G905"/>
    <mergeCell ref="H905:I905"/>
    <mergeCell ref="B906:D906"/>
    <mergeCell ref="E906:G906"/>
    <mergeCell ref="H906:I906"/>
    <mergeCell ref="B824:D824"/>
    <mergeCell ref="E824:G824"/>
    <mergeCell ref="H824:I824"/>
    <mergeCell ref="B825:D825"/>
    <mergeCell ref="E825:G825"/>
    <mergeCell ref="H825:I825"/>
    <mergeCell ref="B826:D826"/>
    <mergeCell ref="E826:G826"/>
    <mergeCell ref="H826:I826"/>
    <mergeCell ref="B827:D827"/>
    <mergeCell ref="E827:G827"/>
    <mergeCell ref="H827:I827"/>
    <mergeCell ref="B828:D828"/>
    <mergeCell ref="E828:G828"/>
    <mergeCell ref="E833:G833"/>
    <mergeCell ref="B894:D894"/>
    <mergeCell ref="E894:G894"/>
    <mergeCell ref="H894:I894"/>
    <mergeCell ref="H855:I855"/>
    <mergeCell ref="B856:D856"/>
    <mergeCell ref="E842:G842"/>
    <mergeCell ref="H842:I842"/>
    <mergeCell ref="B848:D848"/>
    <mergeCell ref="B166:D166"/>
    <mergeCell ref="E166:G166"/>
    <mergeCell ref="H166:I166"/>
    <mergeCell ref="B167:D167"/>
    <mergeCell ref="H173:I173"/>
    <mergeCell ref="B174:D174"/>
    <mergeCell ref="E174:G174"/>
    <mergeCell ref="E179:G179"/>
    <mergeCell ref="H179:I179"/>
    <mergeCell ref="B208:D208"/>
    <mergeCell ref="E208:G208"/>
    <mergeCell ref="H208:I208"/>
    <mergeCell ref="H227:I227"/>
    <mergeCell ref="E236:G236"/>
    <mergeCell ref="H236:I236"/>
    <mergeCell ref="H198:I198"/>
    <mergeCell ref="H219:I219"/>
    <mergeCell ref="H226:I226"/>
    <mergeCell ref="B227:D227"/>
    <mergeCell ref="E196:G196"/>
    <mergeCell ref="B195:D195"/>
    <mergeCell ref="E195:G195"/>
    <mergeCell ref="H195:I195"/>
    <mergeCell ref="B205:D205"/>
    <mergeCell ref="E205:G205"/>
    <mergeCell ref="H205:I205"/>
    <mergeCell ref="B206:D206"/>
    <mergeCell ref="E206:G206"/>
    <mergeCell ref="H206:I206"/>
    <mergeCell ref="B207:D207"/>
    <mergeCell ref="E775:G775"/>
    <mergeCell ref="H775:I775"/>
    <mergeCell ref="E780:G780"/>
    <mergeCell ref="H780:I780"/>
    <mergeCell ref="B781:D781"/>
    <mergeCell ref="B163:D163"/>
    <mergeCell ref="H158:I158"/>
    <mergeCell ref="B159:D159"/>
    <mergeCell ref="E159:G159"/>
    <mergeCell ref="H159:I159"/>
    <mergeCell ref="B716:D716"/>
    <mergeCell ref="E716:G716"/>
    <mergeCell ref="B695:D695"/>
    <mergeCell ref="E695:G695"/>
    <mergeCell ref="H695:I695"/>
    <mergeCell ref="B696:D696"/>
    <mergeCell ref="E696:G696"/>
    <mergeCell ref="H696:I696"/>
    <mergeCell ref="H778:I778"/>
    <mergeCell ref="B773:D773"/>
    <mergeCell ref="E773:G773"/>
    <mergeCell ref="B775:D775"/>
    <mergeCell ref="H225:I225"/>
    <mergeCell ref="B226:D226"/>
    <mergeCell ref="E226:G226"/>
    <mergeCell ref="H278:I278"/>
    <mergeCell ref="B279:D279"/>
    <mergeCell ref="E279:G279"/>
    <mergeCell ref="B188:D188"/>
    <mergeCell ref="E188:G188"/>
    <mergeCell ref="H188:I188"/>
    <mergeCell ref="B160:D160"/>
    <mergeCell ref="H194:I194"/>
    <mergeCell ref="H146:I146"/>
    <mergeCell ref="B147:D147"/>
    <mergeCell ref="E147:G147"/>
    <mergeCell ref="H147:I147"/>
    <mergeCell ref="H193:I193"/>
    <mergeCell ref="E204:G204"/>
    <mergeCell ref="H204:I204"/>
    <mergeCell ref="H354:I354"/>
    <mergeCell ref="B355:D355"/>
    <mergeCell ref="E355:G355"/>
    <mergeCell ref="H355:I355"/>
    <mergeCell ref="E287:G287"/>
    <mergeCell ref="H287:I287"/>
    <mergeCell ref="B288:D288"/>
    <mergeCell ref="B289:D289"/>
    <mergeCell ref="E289:G289"/>
    <mergeCell ref="E274:G274"/>
    <mergeCell ref="H285:I285"/>
    <mergeCell ref="B286:D286"/>
    <mergeCell ref="E286:G286"/>
    <mergeCell ref="H286:I286"/>
    <mergeCell ref="B209:D209"/>
    <mergeCell ref="E209:G209"/>
    <mergeCell ref="H209:I209"/>
    <mergeCell ref="B210:D210"/>
    <mergeCell ref="E210:G210"/>
    <mergeCell ref="H210:I210"/>
    <mergeCell ref="B211:D211"/>
    <mergeCell ref="E160:G160"/>
    <mergeCell ref="H160:I160"/>
    <mergeCell ref="E172:G172"/>
    <mergeCell ref="E407:G407"/>
    <mergeCell ref="H407:I407"/>
    <mergeCell ref="B403:D403"/>
    <mergeCell ref="H279:I279"/>
    <mergeCell ref="H288:I288"/>
    <mergeCell ref="B287:D287"/>
    <mergeCell ref="B360:D360"/>
    <mergeCell ref="E288:G288"/>
    <mergeCell ref="B277:D277"/>
    <mergeCell ref="E277:G277"/>
    <mergeCell ref="E357:G357"/>
    <mergeCell ref="H357:I357"/>
    <mergeCell ref="B358:D358"/>
    <mergeCell ref="B291:D291"/>
    <mergeCell ref="E291:G291"/>
    <mergeCell ref="B284:D284"/>
    <mergeCell ref="E284:G284"/>
    <mergeCell ref="H401:I401"/>
    <mergeCell ref="B405:D405"/>
    <mergeCell ref="E405:G405"/>
    <mergeCell ref="H405:I405"/>
    <mergeCell ref="H307:I307"/>
    <mergeCell ref="B308:D308"/>
    <mergeCell ref="E308:G308"/>
    <mergeCell ref="B397:D397"/>
    <mergeCell ref="E397:G397"/>
    <mergeCell ref="H397:I397"/>
    <mergeCell ref="B398:D398"/>
    <mergeCell ref="E398:G398"/>
    <mergeCell ref="H398:I398"/>
    <mergeCell ref="H363:I363"/>
    <mergeCell ref="B357:D357"/>
    <mergeCell ref="E223:G223"/>
    <mergeCell ref="H223:I223"/>
    <mergeCell ref="B224:D224"/>
    <mergeCell ref="E224:G224"/>
    <mergeCell ref="H224:I224"/>
    <mergeCell ref="B225:D225"/>
    <mergeCell ref="E225:G225"/>
    <mergeCell ref="E239:G239"/>
    <mergeCell ref="H239:I239"/>
    <mergeCell ref="B240:D240"/>
    <mergeCell ref="E240:G240"/>
    <mergeCell ref="B220:D220"/>
    <mergeCell ref="E220:G220"/>
    <mergeCell ref="H220:I220"/>
    <mergeCell ref="B396:D396"/>
    <mergeCell ref="E396:G396"/>
    <mergeCell ref="H396:I396"/>
    <mergeCell ref="H246:I246"/>
    <mergeCell ref="B247:D247"/>
    <mergeCell ref="B296:D296"/>
    <mergeCell ref="E296:G296"/>
    <mergeCell ref="H296:I296"/>
    <mergeCell ref="B297:D297"/>
    <mergeCell ref="E297:G297"/>
    <mergeCell ref="H297:I297"/>
    <mergeCell ref="H289:I289"/>
    <mergeCell ref="B285:D285"/>
    <mergeCell ref="B356:D356"/>
    <mergeCell ref="E356:G356"/>
    <mergeCell ref="H356:I356"/>
    <mergeCell ref="B363:D363"/>
    <mergeCell ref="E363:G363"/>
    <mergeCell ref="B282:D282"/>
    <mergeCell ref="E282:G282"/>
    <mergeCell ref="H282:I282"/>
    <mergeCell ref="B235:D235"/>
    <mergeCell ref="E235:G235"/>
    <mergeCell ref="B293:D293"/>
    <mergeCell ref="E293:G293"/>
    <mergeCell ref="E358:G358"/>
    <mergeCell ref="H277:I277"/>
    <mergeCell ref="B278:D278"/>
    <mergeCell ref="E278:G278"/>
    <mergeCell ref="B420:D420"/>
    <mergeCell ref="E479:G479"/>
    <mergeCell ref="H479:I479"/>
    <mergeCell ref="B486:D486"/>
    <mergeCell ref="E486:G486"/>
    <mergeCell ref="H486:I486"/>
    <mergeCell ref="B409:D409"/>
    <mergeCell ref="E409:G409"/>
    <mergeCell ref="H409:I409"/>
    <mergeCell ref="B410:D410"/>
    <mergeCell ref="E410:G410"/>
    <mergeCell ref="H410:I410"/>
    <mergeCell ref="E403:G403"/>
    <mergeCell ref="H403:I403"/>
    <mergeCell ref="B404:D404"/>
    <mergeCell ref="E404:G404"/>
    <mergeCell ref="H404:I404"/>
    <mergeCell ref="B406:D406"/>
    <mergeCell ref="E406:G406"/>
    <mergeCell ref="H406:I406"/>
    <mergeCell ref="B407:D407"/>
    <mergeCell ref="B408:D408"/>
    <mergeCell ref="E408:G408"/>
    <mergeCell ref="H408:I408"/>
    <mergeCell ref="B558:J558"/>
    <mergeCell ref="B508:D508"/>
    <mergeCell ref="H592:I592"/>
    <mergeCell ref="B593:D593"/>
    <mergeCell ref="E593:G593"/>
    <mergeCell ref="H593:I593"/>
    <mergeCell ref="B513:D513"/>
    <mergeCell ref="E513:G513"/>
    <mergeCell ref="H513:I513"/>
    <mergeCell ref="H568:I568"/>
    <mergeCell ref="B563:D563"/>
    <mergeCell ref="H571:I571"/>
    <mergeCell ref="E566:G566"/>
    <mergeCell ref="H564:I564"/>
    <mergeCell ref="H520:I520"/>
    <mergeCell ref="B521:D521"/>
    <mergeCell ref="E521:G521"/>
    <mergeCell ref="H521:I521"/>
    <mergeCell ref="B522:D522"/>
    <mergeCell ref="E522:G522"/>
    <mergeCell ref="B567:D567"/>
    <mergeCell ref="E567:G567"/>
    <mergeCell ref="H567:I567"/>
    <mergeCell ref="B568:D568"/>
    <mergeCell ref="H508:I508"/>
    <mergeCell ref="E519:G519"/>
    <mergeCell ref="H519:I519"/>
    <mergeCell ref="E565:G565"/>
    <mergeCell ref="H565:I565"/>
    <mergeCell ref="B612:D612"/>
    <mergeCell ref="E612:G612"/>
    <mergeCell ref="H612:I612"/>
    <mergeCell ref="B613:D613"/>
    <mergeCell ref="E613:G613"/>
    <mergeCell ref="H613:I613"/>
    <mergeCell ref="E574:G574"/>
    <mergeCell ref="H574:I574"/>
    <mergeCell ref="B605:D605"/>
    <mergeCell ref="E605:G605"/>
    <mergeCell ref="H605:I605"/>
    <mergeCell ref="B606:D606"/>
    <mergeCell ref="E606:G606"/>
    <mergeCell ref="H606:I606"/>
    <mergeCell ref="B607:D607"/>
    <mergeCell ref="E607:G607"/>
    <mergeCell ref="H607:I607"/>
    <mergeCell ref="E576:G576"/>
    <mergeCell ref="H576:I576"/>
    <mergeCell ref="B577:D577"/>
    <mergeCell ref="E577:G577"/>
    <mergeCell ref="B596:D596"/>
    <mergeCell ref="E596:G596"/>
    <mergeCell ref="H596:I596"/>
    <mergeCell ref="B597:D597"/>
    <mergeCell ref="E597:G597"/>
    <mergeCell ref="H597:I597"/>
    <mergeCell ref="B598:D598"/>
    <mergeCell ref="E582:G582"/>
    <mergeCell ref="H582:I582"/>
    <mergeCell ref="B583:D583"/>
    <mergeCell ref="E583:G583"/>
    <mergeCell ref="K2:L2"/>
    <mergeCell ref="B17:E17"/>
    <mergeCell ref="F17:J17"/>
    <mergeCell ref="E102:G102"/>
    <mergeCell ref="B93:D93"/>
    <mergeCell ref="B94:D94"/>
    <mergeCell ref="B95:D95"/>
    <mergeCell ref="B63:D63"/>
    <mergeCell ref="E63:G63"/>
    <mergeCell ref="H63:I63"/>
    <mergeCell ref="B64:D64"/>
    <mergeCell ref="E64:G64"/>
    <mergeCell ref="H64:I64"/>
    <mergeCell ref="B65:D65"/>
    <mergeCell ref="B66:D66"/>
    <mergeCell ref="B67:D67"/>
    <mergeCell ref="B68:D68"/>
    <mergeCell ref="B69:D69"/>
    <mergeCell ref="B70:D70"/>
    <mergeCell ref="B71:D71"/>
    <mergeCell ref="B72:D72"/>
    <mergeCell ref="B73:D73"/>
    <mergeCell ref="B74:D74"/>
    <mergeCell ref="B75:D75"/>
    <mergeCell ref="H82:I82"/>
    <mergeCell ref="E65:G65"/>
    <mergeCell ref="E66:G66"/>
    <mergeCell ref="E67:G67"/>
    <mergeCell ref="E68:G68"/>
    <mergeCell ref="E69:G69"/>
    <mergeCell ref="E70:G70"/>
    <mergeCell ref="E71:G71"/>
    <mergeCell ref="B76:D76"/>
    <mergeCell ref="B77:D77"/>
    <mergeCell ref="B78:D78"/>
    <mergeCell ref="B79:D79"/>
    <mergeCell ref="B96:D96"/>
    <mergeCell ref="B97:D97"/>
    <mergeCell ref="B98:D98"/>
    <mergeCell ref="B99:D99"/>
    <mergeCell ref="B100:D100"/>
    <mergeCell ref="B101:D101"/>
    <mergeCell ref="B102:D102"/>
    <mergeCell ref="E617:G617"/>
    <mergeCell ref="H617:I617"/>
    <mergeCell ref="B618:D618"/>
    <mergeCell ref="B85:D85"/>
    <mergeCell ref="B86:D86"/>
    <mergeCell ref="B87:D87"/>
    <mergeCell ref="B88:D88"/>
    <mergeCell ref="B89:D89"/>
    <mergeCell ref="E100:G100"/>
    <mergeCell ref="E101:G101"/>
    <mergeCell ref="B80:D80"/>
    <mergeCell ref="E86:G86"/>
    <mergeCell ref="E89:G89"/>
    <mergeCell ref="E90:G90"/>
    <mergeCell ref="E91:G91"/>
    <mergeCell ref="E92:G92"/>
    <mergeCell ref="E93:G93"/>
    <mergeCell ref="E94:G94"/>
    <mergeCell ref="B81:D81"/>
    <mergeCell ref="B82:D82"/>
    <mergeCell ref="B83:D83"/>
    <mergeCell ref="H1124:I1124"/>
    <mergeCell ref="B1125:D1125"/>
    <mergeCell ref="E1125:G1125"/>
    <mergeCell ref="H1125:I1125"/>
    <mergeCell ref="H769:I769"/>
    <mergeCell ref="E699:G699"/>
    <mergeCell ref="H699:I699"/>
    <mergeCell ref="B700:D700"/>
    <mergeCell ref="E700:G700"/>
    <mergeCell ref="H700:I700"/>
    <mergeCell ref="B776:D776"/>
    <mergeCell ref="E776:G776"/>
    <mergeCell ref="H776:I776"/>
    <mergeCell ref="B777:D777"/>
    <mergeCell ref="E777:G777"/>
    <mergeCell ref="B785:D785"/>
    <mergeCell ref="E785:G785"/>
    <mergeCell ref="H785:I785"/>
    <mergeCell ref="B786:D786"/>
    <mergeCell ref="E786:G786"/>
    <mergeCell ref="H786:I786"/>
    <mergeCell ref="B782:D782"/>
    <mergeCell ref="B780:D780"/>
    <mergeCell ref="E781:G781"/>
    <mergeCell ref="H781:I781"/>
    <mergeCell ref="B908:D908"/>
    <mergeCell ref="E908:G908"/>
    <mergeCell ref="H908:I908"/>
    <mergeCell ref="B909:D909"/>
    <mergeCell ref="E909:G909"/>
    <mergeCell ref="H909:I909"/>
    <mergeCell ref="E778:G778"/>
    <mergeCell ref="B974:D974"/>
    <mergeCell ref="E974:G974"/>
    <mergeCell ref="H974:I974"/>
    <mergeCell ref="B913:D913"/>
    <mergeCell ref="E913:G913"/>
    <mergeCell ref="H913:I913"/>
    <mergeCell ref="B914:D914"/>
    <mergeCell ref="E914:G914"/>
    <mergeCell ref="H914:I914"/>
    <mergeCell ref="B1118:D1118"/>
    <mergeCell ref="E1118:G1118"/>
    <mergeCell ref="H1118:I1118"/>
    <mergeCell ref="B1114:D1114"/>
    <mergeCell ref="B1131:D1131"/>
    <mergeCell ref="E1131:G1131"/>
    <mergeCell ref="H1131:I1131"/>
    <mergeCell ref="B1132:D1132"/>
    <mergeCell ref="E1132:G1132"/>
    <mergeCell ref="H1132:I1132"/>
    <mergeCell ref="E1120:G1120"/>
    <mergeCell ref="H1120:I1120"/>
    <mergeCell ref="B1121:D1121"/>
    <mergeCell ref="E1121:G1121"/>
    <mergeCell ref="H1121:I1121"/>
    <mergeCell ref="B1122:D1122"/>
    <mergeCell ref="E1122:G1122"/>
    <mergeCell ref="H1122:I1122"/>
    <mergeCell ref="B1123:D1123"/>
    <mergeCell ref="E1123:G1123"/>
    <mergeCell ref="H1123:I1123"/>
    <mergeCell ref="B1124:D1124"/>
    <mergeCell ref="E1124:G1124"/>
    <mergeCell ref="E1196:G1196"/>
    <mergeCell ref="H1196:I1196"/>
    <mergeCell ref="B1197:D1197"/>
    <mergeCell ref="E1197:G1197"/>
    <mergeCell ref="H1197:I1197"/>
    <mergeCell ref="B1198:D1198"/>
    <mergeCell ref="E1198:G1198"/>
    <mergeCell ref="B1223:D1223"/>
    <mergeCell ref="B1183:D1183"/>
    <mergeCell ref="E1183:G1183"/>
    <mergeCell ref="H1183:I1183"/>
    <mergeCell ref="B1184:D1184"/>
    <mergeCell ref="E1184:G1184"/>
    <mergeCell ref="B1133:D1133"/>
    <mergeCell ref="E1133:G1133"/>
    <mergeCell ref="H1133:I1133"/>
    <mergeCell ref="B1134:D1134"/>
    <mergeCell ref="E1134:G1134"/>
    <mergeCell ref="H1134:I1134"/>
    <mergeCell ref="B1135:D1135"/>
    <mergeCell ref="E1135:G1135"/>
    <mergeCell ref="H1135:I1135"/>
    <mergeCell ref="B1136:D1136"/>
    <mergeCell ref="E1136:G1136"/>
    <mergeCell ref="H1136:I1136"/>
    <mergeCell ref="B1137:D1137"/>
    <mergeCell ref="E1137:G1137"/>
    <mergeCell ref="H1137:I1137"/>
    <mergeCell ref="B1138:D1138"/>
    <mergeCell ref="E1138:G1138"/>
    <mergeCell ref="H1180:I1180"/>
    <mergeCell ref="B1181:D1181"/>
    <mergeCell ref="B1253:D1253"/>
    <mergeCell ref="E1253:G1253"/>
    <mergeCell ref="H1253:I1253"/>
    <mergeCell ref="B1244:D1244"/>
    <mergeCell ref="E1244:G1244"/>
    <mergeCell ref="H1244:I1244"/>
    <mergeCell ref="B1245:D1245"/>
    <mergeCell ref="E1245:G1245"/>
    <mergeCell ref="H1245:I1245"/>
    <mergeCell ref="B1246:D1246"/>
    <mergeCell ref="E1246:G1246"/>
    <mergeCell ref="H1246:I1246"/>
    <mergeCell ref="B1247:D1247"/>
    <mergeCell ref="E1247:G1247"/>
    <mergeCell ref="H1247:I1247"/>
    <mergeCell ref="B1221:J1221"/>
    <mergeCell ref="B1222:J1222"/>
    <mergeCell ref="E1223:G1223"/>
    <mergeCell ref="H1223:I1223"/>
    <mergeCell ref="B1224:D1224"/>
    <mergeCell ref="E1224:G1224"/>
    <mergeCell ref="H1224:I1224"/>
    <mergeCell ref="B1225:D1225"/>
    <mergeCell ref="E1225:G1225"/>
    <mergeCell ref="H1225:I1225"/>
    <mergeCell ref="B1226:D1226"/>
    <mergeCell ref="E1226:G1226"/>
    <mergeCell ref="H1226:I1226"/>
    <mergeCell ref="B1227:D1227"/>
    <mergeCell ref="E1227:G1227"/>
    <mergeCell ref="H1227:I1227"/>
    <mergeCell ref="B1228:D1228"/>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H79:I79"/>
    <mergeCell ref="H80:I80"/>
    <mergeCell ref="H81:I81"/>
    <mergeCell ref="E82:G82"/>
    <mergeCell ref="E87:G87"/>
    <mergeCell ref="E88:G88"/>
    <mergeCell ref="H96:I96"/>
    <mergeCell ref="H97:I97"/>
    <mergeCell ref="H98:I98"/>
    <mergeCell ref="H99:I99"/>
    <mergeCell ref="E96:G96"/>
    <mergeCell ref="E97:G97"/>
    <mergeCell ref="E98:G98"/>
    <mergeCell ref="E99:G99"/>
    <mergeCell ref="E95:G95"/>
    <mergeCell ref="H100:I100"/>
    <mergeCell ref="B1264:D1264"/>
    <mergeCell ref="E1264:G1264"/>
    <mergeCell ref="E72:G72"/>
    <mergeCell ref="E73:G73"/>
    <mergeCell ref="E74:G74"/>
    <mergeCell ref="E75:G75"/>
    <mergeCell ref="E76:G76"/>
    <mergeCell ref="E77:G77"/>
    <mergeCell ref="E78:G78"/>
    <mergeCell ref="E79:G79"/>
    <mergeCell ref="E80:G80"/>
    <mergeCell ref="E81:G81"/>
    <mergeCell ref="B1196:D1196"/>
    <mergeCell ref="H1198:I1198"/>
    <mergeCell ref="E1251:G1251"/>
    <mergeCell ref="H1251:I1251"/>
    <mergeCell ref="B1252:D1252"/>
    <mergeCell ref="E1252:G1252"/>
    <mergeCell ref="H1252:I1252"/>
    <mergeCell ref="B1265:D1265"/>
    <mergeCell ref="E1265:G1265"/>
    <mergeCell ref="H83:I83"/>
    <mergeCell ref="H88:I88"/>
    <mergeCell ref="H89:I89"/>
    <mergeCell ref="H90:I90"/>
    <mergeCell ref="H91:I91"/>
    <mergeCell ref="B90:D90"/>
    <mergeCell ref="H92:I92"/>
    <mergeCell ref="E83:G83"/>
    <mergeCell ref="H84:I84"/>
    <mergeCell ref="H85:I85"/>
    <mergeCell ref="H86:I86"/>
    <mergeCell ref="H87:I87"/>
    <mergeCell ref="H93:I93"/>
    <mergeCell ref="H94:I94"/>
    <mergeCell ref="H95:I95"/>
    <mergeCell ref="B84:D84"/>
    <mergeCell ref="B91:D91"/>
    <mergeCell ref="B92:D92"/>
    <mergeCell ref="E84:G84"/>
    <mergeCell ref="E85:G85"/>
    <mergeCell ref="B1194:D1194"/>
    <mergeCell ref="E1194:G1194"/>
    <mergeCell ref="H1194:I1194"/>
    <mergeCell ref="B1195:D1195"/>
    <mergeCell ref="E1195:G1195"/>
    <mergeCell ref="H1195:I1195"/>
    <mergeCell ref="B1191:D1191"/>
    <mergeCell ref="E1191:G1191"/>
    <mergeCell ref="H101:I101"/>
    <mergeCell ref="H102:I102"/>
    <mergeCell ref="E1266:G1266"/>
    <mergeCell ref="B1267:D1267"/>
    <mergeCell ref="E1267:G1267"/>
    <mergeCell ref="H1184:I1184"/>
    <mergeCell ref="B1185:D1185"/>
    <mergeCell ref="E1185:G1185"/>
    <mergeCell ref="H1185:I1185"/>
    <mergeCell ref="B1186:D1186"/>
    <mergeCell ref="E1186:G1186"/>
    <mergeCell ref="B103:D103"/>
    <mergeCell ref="B1256:D1256"/>
    <mergeCell ref="E1256:G1256"/>
    <mergeCell ref="H1256:I1256"/>
    <mergeCell ref="B1263:D1263"/>
    <mergeCell ref="E1263:G1263"/>
    <mergeCell ref="H1263:I1263"/>
    <mergeCell ref="B1257:D1257"/>
    <mergeCell ref="H103:I103"/>
    <mergeCell ref="E103:G103"/>
    <mergeCell ref="H1191:I1191"/>
    <mergeCell ref="B1192:D1192"/>
    <mergeCell ref="E1192:G1192"/>
    <mergeCell ref="H1192:I1192"/>
    <mergeCell ref="B1199:D1199"/>
    <mergeCell ref="E1199:G1199"/>
    <mergeCell ref="H1199:I1199"/>
    <mergeCell ref="B1200:D1200"/>
    <mergeCell ref="E1200:G1200"/>
    <mergeCell ref="H1200:I1200"/>
    <mergeCell ref="B1193:D1193"/>
    <mergeCell ref="E1193:G1193"/>
    <mergeCell ref="H1193:I1193"/>
    <mergeCell ref="B1268:D1268"/>
    <mergeCell ref="E1268:G1268"/>
    <mergeCell ref="B1269:D1269"/>
    <mergeCell ref="E1269:G1269"/>
    <mergeCell ref="B1270:D1270"/>
    <mergeCell ref="E1270:G1270"/>
    <mergeCell ref="B1271:D1271"/>
    <mergeCell ref="E1271:G1271"/>
    <mergeCell ref="B1254:D1254"/>
    <mergeCell ref="E1254:G1254"/>
    <mergeCell ref="H1254:I1254"/>
    <mergeCell ref="B1262:D1262"/>
    <mergeCell ref="E1262:G1262"/>
    <mergeCell ref="H1262:I1262"/>
    <mergeCell ref="B1255:D1255"/>
    <mergeCell ref="E1255:G1255"/>
    <mergeCell ref="H1255:I1255"/>
    <mergeCell ref="E1257:G1257"/>
    <mergeCell ref="H1257:I1257"/>
    <mergeCell ref="B1258:D1258"/>
    <mergeCell ref="E1258:G1258"/>
    <mergeCell ref="H1258:I1258"/>
    <mergeCell ref="B1259:D1259"/>
    <mergeCell ref="E1259:G1259"/>
    <mergeCell ref="H1259:I1259"/>
    <mergeCell ref="B1260:D1260"/>
    <mergeCell ref="E1260:G1260"/>
    <mergeCell ref="H1260:I1260"/>
    <mergeCell ref="B1261:D1261"/>
    <mergeCell ref="E1261:G1261"/>
    <mergeCell ref="H1261:I1261"/>
    <mergeCell ref="B1266:D1266"/>
    <mergeCell ref="B1272:D1272"/>
    <mergeCell ref="E1272:G1272"/>
    <mergeCell ref="B1273:D1273"/>
    <mergeCell ref="E1273:G1273"/>
    <mergeCell ref="B1274:D1274"/>
    <mergeCell ref="E1274:G1274"/>
    <mergeCell ref="B1275:D1275"/>
    <mergeCell ref="E1275:G1275"/>
    <mergeCell ref="B1276:D1276"/>
    <mergeCell ref="E1276:G1276"/>
    <mergeCell ref="B1277:D1277"/>
    <mergeCell ref="E1277:G1277"/>
    <mergeCell ref="B1278:D1278"/>
    <mergeCell ref="E1278:G1278"/>
    <mergeCell ref="B1279:D1279"/>
    <mergeCell ref="E1279:G1279"/>
    <mergeCell ref="B1280:D1280"/>
    <mergeCell ref="E1280:G1280"/>
    <mergeCell ref="B1281:D1281"/>
    <mergeCell ref="E1281:G1281"/>
    <mergeCell ref="B1282:D1282"/>
    <mergeCell ref="E1282:G1282"/>
    <mergeCell ref="B1283:D1283"/>
    <mergeCell ref="E1283:G1283"/>
    <mergeCell ref="B1284:D1284"/>
    <mergeCell ref="E1284:G1284"/>
    <mergeCell ref="B1285:D1285"/>
    <mergeCell ref="E1285:G1285"/>
    <mergeCell ref="B1286:D1286"/>
    <mergeCell ref="E1286:G1286"/>
    <mergeCell ref="B1287:D1287"/>
    <mergeCell ref="E1287:G1287"/>
    <mergeCell ref="B1288:D1288"/>
    <mergeCell ref="E1288:G1288"/>
    <mergeCell ref="B1289:D1289"/>
    <mergeCell ref="E1289:G1289"/>
    <mergeCell ref="B1290:D1290"/>
    <mergeCell ref="E1290:G1290"/>
    <mergeCell ref="B1291:D1291"/>
    <mergeCell ref="E1291:G1291"/>
    <mergeCell ref="B1292:D1292"/>
    <mergeCell ref="E1292:G1292"/>
    <mergeCell ref="B1293:D1293"/>
    <mergeCell ref="E1293:G1293"/>
    <mergeCell ref="B1294:D1294"/>
    <mergeCell ref="E1294:G1294"/>
    <mergeCell ref="B1295:D1295"/>
    <mergeCell ref="E1295:G1295"/>
    <mergeCell ref="B1296:D1296"/>
    <mergeCell ref="E1296:G1296"/>
    <mergeCell ref="B1297:D1297"/>
    <mergeCell ref="E1297:G1297"/>
    <mergeCell ref="B1298:D1298"/>
    <mergeCell ref="E1298:G1298"/>
    <mergeCell ref="B1299:D1299"/>
    <mergeCell ref="E1299:G1299"/>
    <mergeCell ref="B1300:D1300"/>
    <mergeCell ref="E1300:G1300"/>
    <mergeCell ref="B1301:D1301"/>
    <mergeCell ref="E1301:G1301"/>
    <mergeCell ref="B1302:D1302"/>
    <mergeCell ref="E1302:G1302"/>
    <mergeCell ref="B1303:D1303"/>
    <mergeCell ref="E1303:G1303"/>
    <mergeCell ref="H1264:I1264"/>
    <mergeCell ref="H1265:I1265"/>
    <mergeCell ref="H1266:I1266"/>
    <mergeCell ref="H1267:I1267"/>
    <mergeCell ref="H1268:I1268"/>
    <mergeCell ref="H1269:I1269"/>
    <mergeCell ref="H1270:I1270"/>
    <mergeCell ref="H1271:I1271"/>
    <mergeCell ref="H1272:I1272"/>
    <mergeCell ref="H1273:I1273"/>
    <mergeCell ref="H1274:I1274"/>
    <mergeCell ref="H1275:I1275"/>
    <mergeCell ref="H1276:I1276"/>
    <mergeCell ref="H1277:I1277"/>
    <mergeCell ref="H1278:I1278"/>
    <mergeCell ref="H1279:I1279"/>
    <mergeCell ref="H1280:I1280"/>
    <mergeCell ref="H1281:I1281"/>
    <mergeCell ref="H1282:I1282"/>
    <mergeCell ref="H1283:I1283"/>
    <mergeCell ref="H1284:I1284"/>
    <mergeCell ref="H1285:I1285"/>
    <mergeCell ref="H1303:I1303"/>
    <mergeCell ref="H1286:I1286"/>
    <mergeCell ref="H1287:I1287"/>
    <mergeCell ref="H1288:I1288"/>
    <mergeCell ref="H1289:I1289"/>
    <mergeCell ref="H1290:I1290"/>
    <mergeCell ref="H1291:I1291"/>
    <mergeCell ref="H1292:I1292"/>
    <mergeCell ref="H1293:I1293"/>
    <mergeCell ref="H1294:I1294"/>
    <mergeCell ref="H1295:I1295"/>
    <mergeCell ref="H1296:I1296"/>
    <mergeCell ref="H1297:I1297"/>
    <mergeCell ref="H1298:I1298"/>
    <mergeCell ref="H1299:I1299"/>
    <mergeCell ref="H1300:I1300"/>
    <mergeCell ref="H1301:I1301"/>
    <mergeCell ref="H1302:I1302"/>
  </mergeCells>
  <dataValidations count="1">
    <dataValidation type="decimal" allowBlank="1" showInputMessage="1" showErrorMessage="1" errorTitle="Внимание" error="Въведете числова стойност." sqref="F28:J28 F33:J33">
      <formula1>0</formula1>
      <formula2>10000</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51" r:id="rId4" name="Option Button 27">
              <controlPr defaultSize="0" autoFill="0" autoLine="0" autoPict="0">
                <anchor moveWithCells="1">
                  <from>
                    <xdr:col>5</xdr:col>
                    <xdr:colOff>365760</xdr:colOff>
                    <xdr:row>28</xdr:row>
                    <xdr:rowOff>289560</xdr:rowOff>
                  </from>
                  <to>
                    <xdr:col>7</xdr:col>
                    <xdr:colOff>441960</xdr:colOff>
                    <xdr:row>29</xdr:row>
                    <xdr:rowOff>213360</xdr:rowOff>
                  </to>
                </anchor>
              </controlPr>
            </control>
          </mc:Choice>
        </mc:AlternateContent>
        <mc:AlternateContent xmlns:mc="http://schemas.openxmlformats.org/markup-compatibility/2006">
          <mc:Choice Requires="x14">
            <control shapeId="1052" r:id="rId5" name="Option Button 28">
              <controlPr defaultSize="0" autoFill="0" autoLine="0" autoPict="0">
                <anchor moveWithCells="1">
                  <from>
                    <xdr:col>8</xdr:col>
                    <xdr:colOff>1059180</xdr:colOff>
                    <xdr:row>28</xdr:row>
                    <xdr:rowOff>297180</xdr:rowOff>
                  </from>
                  <to>
                    <xdr:col>9</xdr:col>
                    <xdr:colOff>754380</xdr:colOff>
                    <xdr:row>29</xdr:row>
                    <xdr:rowOff>182880</xdr:rowOff>
                  </to>
                </anchor>
              </controlPr>
            </control>
          </mc:Choice>
        </mc:AlternateContent>
        <mc:AlternateContent xmlns:mc="http://schemas.openxmlformats.org/markup-compatibility/2006">
          <mc:Choice Requires="x14">
            <control shapeId="1054" r:id="rId6" name="Check Box 30">
              <controlPr defaultSize="0" autoFill="0" autoLine="0" autoPict="0">
                <anchor moveWithCells="1">
                  <from>
                    <xdr:col>5</xdr:col>
                    <xdr:colOff>76200</xdr:colOff>
                    <xdr:row>31</xdr:row>
                    <xdr:rowOff>68580</xdr:rowOff>
                  </from>
                  <to>
                    <xdr:col>7</xdr:col>
                    <xdr:colOff>594360</xdr:colOff>
                    <xdr:row>31</xdr:row>
                    <xdr:rowOff>289560</xdr:rowOff>
                  </to>
                </anchor>
              </controlPr>
            </control>
          </mc:Choice>
        </mc:AlternateContent>
        <mc:AlternateContent xmlns:mc="http://schemas.openxmlformats.org/markup-compatibility/2006">
          <mc:Choice Requires="x14">
            <control shapeId="1055" r:id="rId7" name="Check Box 31">
              <controlPr defaultSize="0" autoFill="0" autoLine="0" autoPict="0">
                <anchor moveWithCells="1">
                  <from>
                    <xdr:col>5</xdr:col>
                    <xdr:colOff>76200</xdr:colOff>
                    <xdr:row>31</xdr:row>
                    <xdr:rowOff>381000</xdr:rowOff>
                  </from>
                  <to>
                    <xdr:col>7</xdr:col>
                    <xdr:colOff>571500</xdr:colOff>
                    <xdr:row>31</xdr:row>
                    <xdr:rowOff>601980</xdr:rowOff>
                  </to>
                </anchor>
              </controlPr>
            </control>
          </mc:Choice>
        </mc:AlternateContent>
        <mc:AlternateContent xmlns:mc="http://schemas.openxmlformats.org/markup-compatibility/2006">
          <mc:Choice Requires="x14">
            <control shapeId="1056" r:id="rId8" name="Check Box 32">
              <controlPr defaultSize="0" autoFill="0" autoLine="0" autoPict="0">
                <anchor moveWithCells="1">
                  <from>
                    <xdr:col>8</xdr:col>
                    <xdr:colOff>297180</xdr:colOff>
                    <xdr:row>31</xdr:row>
                    <xdr:rowOff>76200</xdr:rowOff>
                  </from>
                  <to>
                    <xdr:col>9</xdr:col>
                    <xdr:colOff>403860</xdr:colOff>
                    <xdr:row>31</xdr:row>
                    <xdr:rowOff>297180</xdr:rowOff>
                  </to>
                </anchor>
              </controlPr>
            </control>
          </mc:Choice>
        </mc:AlternateContent>
        <mc:AlternateContent xmlns:mc="http://schemas.openxmlformats.org/markup-compatibility/2006">
          <mc:Choice Requires="x14">
            <control shapeId="1058" r:id="rId9" name="Check Box 34">
              <controlPr defaultSize="0" autoFill="0" autoLine="0" autoPict="0">
                <anchor moveWithCells="1">
                  <from>
                    <xdr:col>7</xdr:col>
                    <xdr:colOff>601980</xdr:colOff>
                    <xdr:row>49</xdr:row>
                    <xdr:rowOff>60960</xdr:rowOff>
                  </from>
                  <to>
                    <xdr:col>9</xdr:col>
                    <xdr:colOff>220980</xdr:colOff>
                    <xdr:row>49</xdr:row>
                    <xdr:rowOff>289560</xdr:rowOff>
                  </to>
                </anchor>
              </controlPr>
            </control>
          </mc:Choice>
        </mc:AlternateContent>
        <mc:AlternateContent xmlns:mc="http://schemas.openxmlformats.org/markup-compatibility/2006">
          <mc:Choice Requires="x14">
            <control shapeId="1059" r:id="rId10" name="Check Box 35">
              <controlPr defaultSize="0" autoFill="0" autoLine="0" autoPict="0">
                <anchor moveWithCells="1">
                  <from>
                    <xdr:col>8</xdr:col>
                    <xdr:colOff>381000</xdr:colOff>
                    <xdr:row>51</xdr:row>
                    <xdr:rowOff>99060</xdr:rowOff>
                  </from>
                  <to>
                    <xdr:col>9</xdr:col>
                    <xdr:colOff>601980</xdr:colOff>
                    <xdr:row>51</xdr:row>
                    <xdr:rowOff>381000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227"/>
  <sheetViews>
    <sheetView zoomScale="90" zoomScaleNormal="90" workbookViewId="0">
      <pane ySplit="2" topLeftCell="A3" activePane="bottomLeft" state="frozen"/>
      <selection activeCell="F16" sqref="F16:J16"/>
      <selection pane="bottomLeft" activeCell="B4" sqref="B4"/>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70</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30"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4.5" customHeight="1" x14ac:dyDescent="0.3">
      <c r="A208" s="263" t="s">
        <v>85</v>
      </c>
      <c r="B208" s="131"/>
      <c r="C208" s="96"/>
      <c r="D208" s="96"/>
      <c r="E208" s="71"/>
      <c r="F208" s="72"/>
      <c r="G208" s="73">
        <f>SUM(G128:G207)</f>
        <v>0</v>
      </c>
      <c r="H208" s="74">
        <f>SUM(H128:H207)</f>
        <v>0</v>
      </c>
      <c r="I208" s="96"/>
    </row>
    <row r="209" spans="1:9" ht="30"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row r="215" spans="1:9" ht="78" customHeight="1" x14ac:dyDescent="0.3"/>
    <row r="216" spans="1:9" ht="31.5" customHeight="1" x14ac:dyDescent="0.3"/>
    <row r="217" spans="1:9" ht="18.75" customHeight="1" x14ac:dyDescent="0.3"/>
    <row r="218" spans="1:9" ht="18" customHeight="1" x14ac:dyDescent="0.3"/>
    <row r="219" spans="1:9" ht="15.75" customHeight="1" x14ac:dyDescent="0.3"/>
    <row r="223" spans="1:9" ht="84" customHeight="1" x14ac:dyDescent="0.3"/>
    <row r="224" spans="1:9" ht="28.5" customHeight="1" x14ac:dyDescent="0.3"/>
    <row r="227" ht="68.25" customHeight="1" x14ac:dyDescent="0.3"/>
  </sheetData>
  <sheetProtection algorithmName="SHA-512" hashValue="bMqnpPjyAh/0+4nIN/dBpnwk6fJ/vXiLcW/fmHl+EaaAl9fNJsQmMPKYXunbtxZRl820cyxTtMHz0IblLU+qyA==" saltValue="dw9QnuGnW+M9n5x8Qq2s2Q==" spinCount="100000" sheet="1" objects="1" scenarios="1" selectLockedCells="1"/>
  <mergeCells count="11">
    <mergeCell ref="A1:I1"/>
    <mergeCell ref="A213:I214"/>
    <mergeCell ref="A3:I3"/>
    <mergeCell ref="A84:B84"/>
    <mergeCell ref="A126:B126"/>
    <mergeCell ref="B85:I85"/>
    <mergeCell ref="B127:I127"/>
    <mergeCell ref="A211:B211"/>
    <mergeCell ref="A212:B212"/>
    <mergeCell ref="A208:B208"/>
    <mergeCell ref="A209:H209"/>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14"/>
  <sheetViews>
    <sheetView zoomScale="80" zoomScaleNormal="80" workbookViewId="0">
      <pane ySplit="2" topLeftCell="A3" activePane="bottomLeft" state="frozen"/>
      <selection activeCell="F16" sqref="F16:J16"/>
      <selection pane="bottomLeft" activeCell="B13" sqref="B13"/>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91</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266"/>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8eKIQPlEKI8PfRtBKtxwtHY5H4Ayvd69659QYN8Pxjxx7WNpx3gx5nsq3du80I/P7284cH2hYcXrYTxc6ZeSmg==" saltValue="3lPCWE6a7aY3ql8KsUrPLg=="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14"/>
  <sheetViews>
    <sheetView zoomScale="70" zoomScaleNormal="70" workbookViewId="0">
      <pane ySplit="2" topLeftCell="A3" activePane="bottomLeft" state="frozen"/>
      <selection activeCell="D38" sqref="D38"/>
      <selection pane="bottomLeft" activeCell="B4" sqref="B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92</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o+spznzvtU1pHCSI+ZsVPKmAAVlEkeZdrEnskiKB7ZQsLB3g3UV8vcUDDolvmjguX3lKGiguBALgu+Yalv6UhQ==" saltValue="lBpvuLpTlNtLJzbuO2+0Mw=="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14"/>
  <sheetViews>
    <sheetView zoomScale="90" zoomScaleNormal="90" workbookViewId="0">
      <pane ySplit="2" topLeftCell="A3" activePane="bottomLeft" state="frozen"/>
      <selection activeCell="D38" sqref="D38"/>
      <selection pane="bottomLeft" activeCell="B4" sqref="B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93</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64"/>
      <c r="C4" s="64"/>
      <c r="D4" s="64"/>
      <c r="E4" s="65">
        <v>0</v>
      </c>
      <c r="F4" s="66">
        <v>0</v>
      </c>
      <c r="G4" s="67">
        <f t="shared" ref="G4:G35" si="0">E4*F4</f>
        <v>0</v>
      </c>
      <c r="H4" s="68">
        <f t="shared" ref="H4:H35" si="1">G4*1.2</f>
        <v>0</v>
      </c>
      <c r="I4" s="69"/>
    </row>
    <row r="5" spans="1:9" x14ac:dyDescent="0.3">
      <c r="A5" s="75">
        <v>2</v>
      </c>
      <c r="B5" s="64"/>
      <c r="C5" s="64"/>
      <c r="D5" s="64"/>
      <c r="E5" s="65">
        <v>0</v>
      </c>
      <c r="F5" s="66">
        <v>0</v>
      </c>
      <c r="G5" s="67">
        <f t="shared" si="0"/>
        <v>0</v>
      </c>
      <c r="H5" s="68">
        <f t="shared" si="1"/>
        <v>0</v>
      </c>
      <c r="I5" s="69"/>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0</v>
      </c>
      <c r="H84" s="74">
        <f>SUM(H4:H83)</f>
        <v>0</v>
      </c>
      <c r="I84" s="74"/>
    </row>
    <row r="85" spans="1:9" ht="28.5" customHeight="1" x14ac:dyDescent="0.3">
      <c r="A85" s="7"/>
      <c r="B85" s="264" t="s">
        <v>81</v>
      </c>
      <c r="C85" s="133"/>
      <c r="D85" s="133"/>
      <c r="E85" s="133"/>
      <c r="F85" s="133"/>
      <c r="G85" s="133"/>
      <c r="H85" s="133"/>
      <c r="I85" s="131"/>
    </row>
    <row r="86" spans="1:9" x14ac:dyDescent="0.3">
      <c r="A86" s="75">
        <v>1</v>
      </c>
      <c r="B86" s="64"/>
      <c r="C86" s="64"/>
      <c r="D86" s="76" t="s">
        <v>82</v>
      </c>
      <c r="E86" s="65">
        <v>0</v>
      </c>
      <c r="F86" s="66">
        <v>0</v>
      </c>
      <c r="G86" s="67">
        <f t="shared" ref="G86:G125" si="6">E86*F86</f>
        <v>0</v>
      </c>
      <c r="H86" s="68">
        <f t="shared" ref="H86:H125" si="7">G86*1.2</f>
        <v>0</v>
      </c>
      <c r="I86" s="69"/>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0</v>
      </c>
      <c r="H126" s="74">
        <f>SUM(H86:H125)</f>
        <v>0</v>
      </c>
      <c r="I126" s="96"/>
    </row>
    <row r="127" spans="1:9" ht="28.5" customHeight="1" x14ac:dyDescent="0.3">
      <c r="A127" s="7"/>
      <c r="B127" s="264" t="s">
        <v>84</v>
      </c>
      <c r="C127" s="133"/>
      <c r="D127" s="133"/>
      <c r="E127" s="133"/>
      <c r="F127" s="133"/>
      <c r="G127" s="133"/>
      <c r="H127" s="133"/>
      <c r="I127" s="131"/>
    </row>
    <row r="128" spans="1:9" x14ac:dyDescent="0.3">
      <c r="A128" s="75">
        <v>1</v>
      </c>
      <c r="B128" s="64"/>
      <c r="C128" s="64"/>
      <c r="D128" s="76" t="s">
        <v>82</v>
      </c>
      <c r="E128" s="65">
        <v>0</v>
      </c>
      <c r="F128" s="66">
        <v>0</v>
      </c>
      <c r="G128" s="67">
        <f t="shared" ref="G128:G159" si="8">E128*F128</f>
        <v>0</v>
      </c>
      <c r="H128" s="68">
        <f t="shared" ref="H128:H159" si="9">G128*1.2</f>
        <v>0</v>
      </c>
      <c r="I128" s="69"/>
    </row>
    <row r="129" spans="1:9" x14ac:dyDescent="0.3">
      <c r="A129" s="75">
        <v>2</v>
      </c>
      <c r="B129" s="64"/>
      <c r="C129" s="64"/>
      <c r="D129" s="76" t="s">
        <v>82</v>
      </c>
      <c r="E129" s="65">
        <v>0</v>
      </c>
      <c r="F129" s="66">
        <v>0</v>
      </c>
      <c r="G129" s="67">
        <f t="shared" si="8"/>
        <v>0</v>
      </c>
      <c r="H129" s="68">
        <f t="shared" si="9"/>
        <v>0</v>
      </c>
      <c r="I129" s="69"/>
    </row>
    <row r="130" spans="1:9" x14ac:dyDescent="0.3">
      <c r="A130" s="75">
        <v>3</v>
      </c>
      <c r="B130" s="64"/>
      <c r="C130" s="64"/>
      <c r="D130" s="76" t="s">
        <v>82</v>
      </c>
      <c r="E130" s="65">
        <v>0</v>
      </c>
      <c r="F130" s="66">
        <v>0</v>
      </c>
      <c r="G130" s="67">
        <f t="shared" si="8"/>
        <v>0</v>
      </c>
      <c r="H130" s="68">
        <f t="shared" si="9"/>
        <v>0</v>
      </c>
      <c r="I130" s="69"/>
    </row>
    <row r="131" spans="1:9" x14ac:dyDescent="0.3">
      <c r="A131" s="75">
        <v>4</v>
      </c>
      <c r="B131" s="64"/>
      <c r="C131" s="64"/>
      <c r="D131" s="76" t="s">
        <v>82</v>
      </c>
      <c r="E131" s="65">
        <v>0</v>
      </c>
      <c r="F131" s="66">
        <v>0</v>
      </c>
      <c r="G131" s="67">
        <f t="shared" si="8"/>
        <v>0</v>
      </c>
      <c r="H131" s="68">
        <f t="shared" si="9"/>
        <v>0</v>
      </c>
      <c r="I131" s="69"/>
    </row>
    <row r="132" spans="1:9" x14ac:dyDescent="0.3">
      <c r="A132" s="75">
        <v>5</v>
      </c>
      <c r="B132" s="64"/>
      <c r="C132" s="64"/>
      <c r="D132" s="76" t="s">
        <v>82</v>
      </c>
      <c r="E132" s="65">
        <v>0</v>
      </c>
      <c r="F132" s="66">
        <v>0</v>
      </c>
      <c r="G132" s="67">
        <f t="shared" si="8"/>
        <v>0</v>
      </c>
      <c r="H132" s="68">
        <f t="shared" si="9"/>
        <v>0</v>
      </c>
      <c r="I132" s="69"/>
    </row>
    <row r="133" spans="1:9" x14ac:dyDescent="0.3">
      <c r="A133" s="75">
        <v>6</v>
      </c>
      <c r="B133" s="64"/>
      <c r="C133" s="64"/>
      <c r="D133" s="76" t="s">
        <v>82</v>
      </c>
      <c r="E133" s="65">
        <v>0</v>
      </c>
      <c r="F133" s="66">
        <v>0</v>
      </c>
      <c r="G133" s="67">
        <f t="shared" si="8"/>
        <v>0</v>
      </c>
      <c r="H133" s="68">
        <f t="shared" si="9"/>
        <v>0</v>
      </c>
      <c r="I133" s="69"/>
    </row>
    <row r="134" spans="1:9" x14ac:dyDescent="0.3">
      <c r="A134" s="75">
        <v>7</v>
      </c>
      <c r="B134" s="64"/>
      <c r="C134" s="64"/>
      <c r="D134" s="76" t="s">
        <v>82</v>
      </c>
      <c r="E134" s="65">
        <v>0</v>
      </c>
      <c r="F134" s="66">
        <v>0</v>
      </c>
      <c r="G134" s="67">
        <f t="shared" si="8"/>
        <v>0</v>
      </c>
      <c r="H134" s="68">
        <f t="shared" si="9"/>
        <v>0</v>
      </c>
      <c r="I134" s="69"/>
    </row>
    <row r="135" spans="1:9" x14ac:dyDescent="0.3">
      <c r="A135" s="75">
        <v>8</v>
      </c>
      <c r="B135" s="64"/>
      <c r="C135" s="64"/>
      <c r="D135" s="76" t="s">
        <v>82</v>
      </c>
      <c r="E135" s="65">
        <v>0</v>
      </c>
      <c r="F135" s="66">
        <v>0</v>
      </c>
      <c r="G135" s="67">
        <f t="shared" si="8"/>
        <v>0</v>
      </c>
      <c r="H135" s="68">
        <f t="shared" si="9"/>
        <v>0</v>
      </c>
      <c r="I135" s="69"/>
    </row>
    <row r="136" spans="1:9" x14ac:dyDescent="0.3">
      <c r="A136" s="75">
        <v>9</v>
      </c>
      <c r="B136" s="64"/>
      <c r="C136" s="64"/>
      <c r="D136" s="76" t="s">
        <v>82</v>
      </c>
      <c r="E136" s="65">
        <v>0</v>
      </c>
      <c r="F136" s="66">
        <v>0</v>
      </c>
      <c r="G136" s="67">
        <f t="shared" si="8"/>
        <v>0</v>
      </c>
      <c r="H136" s="68">
        <f t="shared" si="9"/>
        <v>0</v>
      </c>
      <c r="I136" s="69"/>
    </row>
    <row r="137" spans="1:9" x14ac:dyDescent="0.3">
      <c r="A137" s="75">
        <v>10</v>
      </c>
      <c r="B137" s="64"/>
      <c r="C137" s="64"/>
      <c r="D137" s="76" t="s">
        <v>82</v>
      </c>
      <c r="E137" s="65">
        <v>0</v>
      </c>
      <c r="F137" s="66">
        <v>0</v>
      </c>
      <c r="G137" s="67">
        <f t="shared" si="8"/>
        <v>0</v>
      </c>
      <c r="H137" s="68">
        <f t="shared" si="9"/>
        <v>0</v>
      </c>
      <c r="I137" s="69"/>
    </row>
    <row r="138" spans="1:9" x14ac:dyDescent="0.3">
      <c r="A138" s="75">
        <v>11</v>
      </c>
      <c r="B138" s="64"/>
      <c r="C138" s="64"/>
      <c r="D138" s="76" t="s">
        <v>82</v>
      </c>
      <c r="E138" s="65">
        <v>0</v>
      </c>
      <c r="F138" s="66">
        <v>0</v>
      </c>
      <c r="G138" s="67">
        <f t="shared" si="8"/>
        <v>0</v>
      </c>
      <c r="H138" s="68">
        <f t="shared" si="9"/>
        <v>0</v>
      </c>
      <c r="I138" s="69"/>
    </row>
    <row r="139" spans="1:9" x14ac:dyDescent="0.3">
      <c r="A139" s="75">
        <v>12</v>
      </c>
      <c r="B139" s="64"/>
      <c r="C139" s="64"/>
      <c r="D139" s="76" t="s">
        <v>82</v>
      </c>
      <c r="E139" s="65">
        <v>0</v>
      </c>
      <c r="F139" s="66">
        <v>0</v>
      </c>
      <c r="G139" s="67">
        <f t="shared" si="8"/>
        <v>0</v>
      </c>
      <c r="H139" s="68">
        <f t="shared" si="9"/>
        <v>0</v>
      </c>
      <c r="I139" s="69"/>
    </row>
    <row r="140" spans="1:9" x14ac:dyDescent="0.3">
      <c r="A140" s="75">
        <v>13</v>
      </c>
      <c r="B140" s="64"/>
      <c r="C140" s="64"/>
      <c r="D140" s="76" t="s">
        <v>82</v>
      </c>
      <c r="E140" s="65">
        <v>0</v>
      </c>
      <c r="F140" s="66">
        <v>0</v>
      </c>
      <c r="G140" s="67">
        <f t="shared" si="8"/>
        <v>0</v>
      </c>
      <c r="H140" s="68">
        <f t="shared" si="9"/>
        <v>0</v>
      </c>
      <c r="I140" s="69"/>
    </row>
    <row r="141" spans="1:9" x14ac:dyDescent="0.3">
      <c r="A141" s="75">
        <v>14</v>
      </c>
      <c r="B141" s="64"/>
      <c r="C141" s="64"/>
      <c r="D141" s="76" t="s">
        <v>82</v>
      </c>
      <c r="E141" s="65">
        <v>0</v>
      </c>
      <c r="F141" s="66">
        <v>0</v>
      </c>
      <c r="G141" s="67">
        <f t="shared" si="8"/>
        <v>0</v>
      </c>
      <c r="H141" s="68">
        <f t="shared" si="9"/>
        <v>0</v>
      </c>
      <c r="I141" s="69"/>
    </row>
    <row r="142" spans="1:9" x14ac:dyDescent="0.3">
      <c r="A142" s="75">
        <v>15</v>
      </c>
      <c r="B142" s="64"/>
      <c r="C142" s="64"/>
      <c r="D142" s="76" t="s">
        <v>82</v>
      </c>
      <c r="E142" s="65">
        <v>0</v>
      </c>
      <c r="F142" s="66">
        <v>0</v>
      </c>
      <c r="G142" s="67">
        <f t="shared" si="8"/>
        <v>0</v>
      </c>
      <c r="H142" s="68">
        <f t="shared" si="9"/>
        <v>0</v>
      </c>
      <c r="I142" s="69"/>
    </row>
    <row r="143" spans="1:9" x14ac:dyDescent="0.3">
      <c r="A143" s="75">
        <v>16</v>
      </c>
      <c r="B143" s="64"/>
      <c r="C143" s="64"/>
      <c r="D143" s="76" t="s">
        <v>82</v>
      </c>
      <c r="E143" s="65">
        <v>0</v>
      </c>
      <c r="F143" s="66">
        <v>0</v>
      </c>
      <c r="G143" s="67">
        <f t="shared" si="8"/>
        <v>0</v>
      </c>
      <c r="H143" s="68">
        <f t="shared" si="9"/>
        <v>0</v>
      </c>
      <c r="I143" s="69"/>
    </row>
    <row r="144" spans="1:9" x14ac:dyDescent="0.3">
      <c r="A144" s="75">
        <v>17</v>
      </c>
      <c r="B144" s="64"/>
      <c r="C144" s="64"/>
      <c r="D144" s="76" t="s">
        <v>82</v>
      </c>
      <c r="E144" s="65">
        <v>0</v>
      </c>
      <c r="F144" s="66">
        <v>0</v>
      </c>
      <c r="G144" s="67">
        <f t="shared" si="8"/>
        <v>0</v>
      </c>
      <c r="H144" s="68">
        <f t="shared" si="9"/>
        <v>0</v>
      </c>
      <c r="I144" s="69"/>
    </row>
    <row r="145" spans="1:9" x14ac:dyDescent="0.3">
      <c r="A145" s="75">
        <v>18</v>
      </c>
      <c r="B145" s="64"/>
      <c r="C145" s="64"/>
      <c r="D145" s="76" t="s">
        <v>82</v>
      </c>
      <c r="E145" s="65">
        <v>0</v>
      </c>
      <c r="F145" s="66">
        <v>0</v>
      </c>
      <c r="G145" s="67">
        <f t="shared" si="8"/>
        <v>0</v>
      </c>
      <c r="H145" s="68">
        <f t="shared" si="9"/>
        <v>0</v>
      </c>
      <c r="I145" s="69"/>
    </row>
    <row r="146" spans="1:9" x14ac:dyDescent="0.3">
      <c r="A146" s="75">
        <v>19</v>
      </c>
      <c r="B146" s="64"/>
      <c r="C146" s="64"/>
      <c r="D146" s="76" t="s">
        <v>82</v>
      </c>
      <c r="E146" s="65">
        <v>0</v>
      </c>
      <c r="F146" s="66">
        <v>0</v>
      </c>
      <c r="G146" s="67">
        <f t="shared" si="8"/>
        <v>0</v>
      </c>
      <c r="H146" s="68">
        <f t="shared" si="9"/>
        <v>0</v>
      </c>
      <c r="I146" s="69"/>
    </row>
    <row r="147" spans="1:9" x14ac:dyDescent="0.3">
      <c r="A147" s="75">
        <v>20</v>
      </c>
      <c r="B147" s="64"/>
      <c r="C147" s="64"/>
      <c r="D147" s="76" t="s">
        <v>82</v>
      </c>
      <c r="E147" s="65">
        <v>0</v>
      </c>
      <c r="F147" s="66">
        <v>0</v>
      </c>
      <c r="G147" s="67">
        <f t="shared" si="8"/>
        <v>0</v>
      </c>
      <c r="H147" s="68">
        <f t="shared" si="9"/>
        <v>0</v>
      </c>
      <c r="I147" s="69"/>
    </row>
    <row r="148" spans="1:9" x14ac:dyDescent="0.3">
      <c r="A148" s="75">
        <v>21</v>
      </c>
      <c r="B148" s="70"/>
      <c r="C148" s="70"/>
      <c r="D148" s="76" t="s">
        <v>82</v>
      </c>
      <c r="E148" s="65">
        <v>0</v>
      </c>
      <c r="F148" s="66">
        <v>0</v>
      </c>
      <c r="G148" s="67">
        <f t="shared" si="8"/>
        <v>0</v>
      </c>
      <c r="H148" s="68">
        <f t="shared" si="9"/>
        <v>0</v>
      </c>
      <c r="I148" s="77"/>
    </row>
    <row r="149" spans="1:9" x14ac:dyDescent="0.3">
      <c r="A149" s="75">
        <v>22</v>
      </c>
      <c r="B149" s="70"/>
      <c r="C149" s="70"/>
      <c r="D149" s="76" t="s">
        <v>82</v>
      </c>
      <c r="E149" s="65">
        <v>0</v>
      </c>
      <c r="F149" s="66">
        <v>0</v>
      </c>
      <c r="G149" s="67">
        <f t="shared" si="8"/>
        <v>0</v>
      </c>
      <c r="H149" s="68">
        <f t="shared" si="9"/>
        <v>0</v>
      </c>
      <c r="I149" s="77"/>
    </row>
    <row r="150" spans="1:9" x14ac:dyDescent="0.3">
      <c r="A150" s="75">
        <v>23</v>
      </c>
      <c r="B150" s="70"/>
      <c r="C150" s="70"/>
      <c r="D150" s="76" t="s">
        <v>82</v>
      </c>
      <c r="E150" s="65">
        <v>0</v>
      </c>
      <c r="F150" s="66">
        <v>0</v>
      </c>
      <c r="G150" s="67">
        <f t="shared" si="8"/>
        <v>0</v>
      </c>
      <c r="H150" s="68">
        <f t="shared" si="9"/>
        <v>0</v>
      </c>
      <c r="I150" s="77"/>
    </row>
    <row r="151" spans="1:9" x14ac:dyDescent="0.3">
      <c r="A151" s="75">
        <v>24</v>
      </c>
      <c r="B151" s="70"/>
      <c r="C151" s="70"/>
      <c r="D151" s="76" t="s">
        <v>82</v>
      </c>
      <c r="E151" s="65">
        <v>0</v>
      </c>
      <c r="F151" s="66">
        <v>0</v>
      </c>
      <c r="G151" s="67">
        <f t="shared" si="8"/>
        <v>0</v>
      </c>
      <c r="H151" s="68">
        <f t="shared" si="9"/>
        <v>0</v>
      </c>
      <c r="I151" s="77"/>
    </row>
    <row r="152" spans="1:9" x14ac:dyDescent="0.3">
      <c r="A152" s="75">
        <v>25</v>
      </c>
      <c r="B152" s="70"/>
      <c r="C152" s="70"/>
      <c r="D152" s="76" t="s">
        <v>82</v>
      </c>
      <c r="E152" s="65">
        <v>0</v>
      </c>
      <c r="F152" s="66">
        <v>0</v>
      </c>
      <c r="G152" s="67">
        <f t="shared" si="8"/>
        <v>0</v>
      </c>
      <c r="H152" s="68">
        <f t="shared" si="9"/>
        <v>0</v>
      </c>
      <c r="I152" s="77"/>
    </row>
    <row r="153" spans="1:9" x14ac:dyDescent="0.3">
      <c r="A153" s="75">
        <v>26</v>
      </c>
      <c r="B153" s="70"/>
      <c r="C153" s="70"/>
      <c r="D153" s="76" t="s">
        <v>82</v>
      </c>
      <c r="E153" s="65">
        <v>0</v>
      </c>
      <c r="F153" s="66">
        <v>0</v>
      </c>
      <c r="G153" s="67">
        <f t="shared" si="8"/>
        <v>0</v>
      </c>
      <c r="H153" s="68">
        <f t="shared" si="9"/>
        <v>0</v>
      </c>
      <c r="I153" s="77"/>
    </row>
    <row r="154" spans="1:9" x14ac:dyDescent="0.3">
      <c r="A154" s="75">
        <v>27</v>
      </c>
      <c r="B154" s="70"/>
      <c r="C154" s="70"/>
      <c r="D154" s="76" t="s">
        <v>82</v>
      </c>
      <c r="E154" s="65">
        <v>0</v>
      </c>
      <c r="F154" s="66">
        <v>0</v>
      </c>
      <c r="G154" s="67">
        <f t="shared" si="8"/>
        <v>0</v>
      </c>
      <c r="H154" s="68">
        <f t="shared" si="9"/>
        <v>0</v>
      </c>
      <c r="I154" s="77"/>
    </row>
    <row r="155" spans="1:9" x14ac:dyDescent="0.3">
      <c r="A155" s="75">
        <v>28</v>
      </c>
      <c r="B155" s="70"/>
      <c r="C155" s="70"/>
      <c r="D155" s="76" t="s">
        <v>82</v>
      </c>
      <c r="E155" s="65">
        <v>0</v>
      </c>
      <c r="F155" s="66">
        <v>0</v>
      </c>
      <c r="G155" s="67">
        <f t="shared" si="8"/>
        <v>0</v>
      </c>
      <c r="H155" s="68">
        <f t="shared" si="9"/>
        <v>0</v>
      </c>
      <c r="I155" s="77"/>
    </row>
    <row r="156" spans="1:9" x14ac:dyDescent="0.3">
      <c r="A156" s="75">
        <v>29</v>
      </c>
      <c r="B156" s="70"/>
      <c r="C156" s="70"/>
      <c r="D156" s="76" t="s">
        <v>82</v>
      </c>
      <c r="E156" s="65">
        <v>0</v>
      </c>
      <c r="F156" s="66">
        <v>0</v>
      </c>
      <c r="G156" s="67">
        <f t="shared" si="8"/>
        <v>0</v>
      </c>
      <c r="H156" s="68">
        <f t="shared" si="9"/>
        <v>0</v>
      </c>
      <c r="I156" s="77"/>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0</v>
      </c>
      <c r="H208" s="74">
        <f>SUM(H128:H207)</f>
        <v>0</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0</v>
      </c>
      <c r="G210" s="67">
        <f>E210*F210</f>
        <v>0</v>
      </c>
      <c r="H210" s="68">
        <f>G210*1.2</f>
        <v>0</v>
      </c>
      <c r="I210" s="90" t="s">
        <v>87</v>
      </c>
    </row>
    <row r="211" spans="1:9" ht="32.25" customHeight="1" x14ac:dyDescent="0.3">
      <c r="A211" s="263" t="s">
        <v>88</v>
      </c>
      <c r="B211" s="131"/>
      <c r="C211" s="96"/>
      <c r="D211" s="96"/>
      <c r="E211" s="71"/>
      <c r="F211" s="72"/>
      <c r="G211" s="73">
        <f>SUM(G210:G210)</f>
        <v>0</v>
      </c>
      <c r="H211" s="74">
        <f>SUM(H210:H210)</f>
        <v>0</v>
      </c>
      <c r="I211" s="96"/>
    </row>
    <row r="212" spans="1:9" ht="48.75" customHeight="1" x14ac:dyDescent="0.3">
      <c r="A212" s="265" t="s">
        <v>89</v>
      </c>
      <c r="B212" s="133"/>
      <c r="C212" s="97"/>
      <c r="D212" s="97"/>
      <c r="E212" s="79"/>
      <c r="F212" s="80"/>
      <c r="G212" s="81">
        <f>G84+G126+G208+G211</f>
        <v>0</v>
      </c>
      <c r="H212" s="74">
        <f>H84+H126+H208+H211</f>
        <v>0</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jW5p/eMn3V1PwFoUjf5CAkfIqPSt+Q+dXgMh78+KD6/jHp7yuLjGrkBdIMqFC2Cqkbo7ufsnrxBimYqn4ORrnw==" saltValue="g4Yv+FHA8US8mXLZvFUgHw=="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14"/>
  <sheetViews>
    <sheetView zoomScale="80" zoomScaleNormal="80" workbookViewId="0">
      <pane ySplit="2" topLeftCell="A3" activePane="bottomLeft" state="frozen"/>
      <selection activeCell="D38" sqref="D38"/>
      <selection pane="bottomLeft" activeCell="E4" sqref="E4"/>
    </sheetView>
  </sheetViews>
  <sheetFormatPr defaultColWidth="9.33203125" defaultRowHeight="14.4" x14ac:dyDescent="0.3"/>
  <cols>
    <col min="1" max="1" width="7.33203125" style="5"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94</v>
      </c>
      <c r="B1" s="158"/>
      <c r="C1" s="158"/>
      <c r="D1" s="158"/>
      <c r="E1" s="158"/>
      <c r="F1" s="158"/>
      <c r="G1" s="158"/>
      <c r="H1" s="158"/>
      <c r="I1" s="158"/>
    </row>
    <row r="2" spans="1:9" ht="79.2" customHeight="1" x14ac:dyDescent="0.3">
      <c r="A2" s="9" t="s">
        <v>71</v>
      </c>
      <c r="B2" s="9" t="s">
        <v>72</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ht="180" x14ac:dyDescent="0.3">
      <c r="A4" s="75">
        <v>1</v>
      </c>
      <c r="B4" s="64" t="s">
        <v>4735</v>
      </c>
      <c r="C4" s="64" t="s">
        <v>4824</v>
      </c>
      <c r="D4" s="124" t="s">
        <v>4735</v>
      </c>
      <c r="E4" s="65">
        <v>45</v>
      </c>
      <c r="F4" s="66">
        <v>1232.5</v>
      </c>
      <c r="G4" s="67">
        <f t="shared" ref="G4:G35" si="0">E4*F4</f>
        <v>55462.5</v>
      </c>
      <c r="H4" s="68">
        <f t="shared" ref="H4:H35" si="1">G4*1.2</f>
        <v>66555</v>
      </c>
      <c r="I4" s="128" t="s">
        <v>4848</v>
      </c>
    </row>
    <row r="5" spans="1:9" ht="69.599999999999994" x14ac:dyDescent="0.3">
      <c r="A5" s="75">
        <v>2</v>
      </c>
      <c r="B5" s="124" t="s">
        <v>4753</v>
      </c>
      <c r="C5" s="124" t="s">
        <v>4736</v>
      </c>
      <c r="D5" s="64" t="s">
        <v>4748</v>
      </c>
      <c r="E5" s="65">
        <v>3</v>
      </c>
      <c r="F5" s="66">
        <v>6185</v>
      </c>
      <c r="G5" s="67">
        <f t="shared" si="0"/>
        <v>18555</v>
      </c>
      <c r="H5" s="68">
        <f t="shared" si="1"/>
        <v>22266</v>
      </c>
      <c r="I5" s="128" t="s">
        <v>4849</v>
      </c>
    </row>
    <row r="6" spans="1:9" ht="193.8" x14ac:dyDescent="0.3">
      <c r="A6" s="75">
        <v>3</v>
      </c>
      <c r="B6" s="64" t="s">
        <v>4737</v>
      </c>
      <c r="C6" s="124" t="s">
        <v>4738</v>
      </c>
      <c r="D6" s="64" t="s">
        <v>4749</v>
      </c>
      <c r="E6" s="65">
        <v>3</v>
      </c>
      <c r="F6" s="66">
        <v>358.89</v>
      </c>
      <c r="G6" s="67">
        <f t="shared" si="0"/>
        <v>1076.67</v>
      </c>
      <c r="H6" s="68">
        <f t="shared" si="1"/>
        <v>1292.0040000000001</v>
      </c>
      <c r="I6" s="128" t="s">
        <v>4850</v>
      </c>
    </row>
    <row r="7" spans="1:9" ht="276.60000000000002" x14ac:dyDescent="0.3">
      <c r="A7" s="75">
        <v>4</v>
      </c>
      <c r="B7" s="64" t="s">
        <v>4739</v>
      </c>
      <c r="C7" s="64" t="s">
        <v>4825</v>
      </c>
      <c r="D7" s="64" t="s">
        <v>4750</v>
      </c>
      <c r="E7" s="65">
        <v>28</v>
      </c>
      <c r="F7" s="66">
        <v>857.5</v>
      </c>
      <c r="G7" s="67">
        <f t="shared" si="0"/>
        <v>24010</v>
      </c>
      <c r="H7" s="68">
        <f t="shared" si="1"/>
        <v>28812</v>
      </c>
      <c r="I7" s="128" t="s">
        <v>4851</v>
      </c>
    </row>
    <row r="8" spans="1:9" ht="72" x14ac:dyDescent="0.3">
      <c r="A8" s="75">
        <v>5</v>
      </c>
      <c r="B8" s="64" t="s">
        <v>4740</v>
      </c>
      <c r="C8" s="124" t="s">
        <v>4827</v>
      </c>
      <c r="D8" s="124" t="s">
        <v>4826</v>
      </c>
      <c r="E8" s="65">
        <v>3</v>
      </c>
      <c r="F8" s="66">
        <v>56.3</v>
      </c>
      <c r="G8" s="67">
        <f t="shared" si="0"/>
        <v>168.89999999999998</v>
      </c>
      <c r="H8" s="68">
        <f t="shared" si="1"/>
        <v>202.67999999999998</v>
      </c>
      <c r="I8" s="128" t="s">
        <v>4852</v>
      </c>
    </row>
    <row r="9" spans="1:9" ht="409.6" x14ac:dyDescent="0.3">
      <c r="A9" s="75">
        <v>6</v>
      </c>
      <c r="B9" s="64" t="s">
        <v>4741</v>
      </c>
      <c r="C9" s="64" t="s">
        <v>4828</v>
      </c>
      <c r="D9" s="64" t="s">
        <v>4751</v>
      </c>
      <c r="E9" s="65">
        <v>2</v>
      </c>
      <c r="F9" s="66">
        <v>1007.9</v>
      </c>
      <c r="G9" s="67">
        <f t="shared" si="0"/>
        <v>2015.8</v>
      </c>
      <c r="H9" s="68">
        <f t="shared" si="1"/>
        <v>2418.96</v>
      </c>
      <c r="I9" s="128" t="s">
        <v>4853</v>
      </c>
    </row>
    <row r="10" spans="1:9" ht="235.2" x14ac:dyDescent="0.3">
      <c r="A10" s="75">
        <v>7</v>
      </c>
      <c r="B10" s="64" t="s">
        <v>4742</v>
      </c>
      <c r="C10" s="64" t="s">
        <v>4829</v>
      </c>
      <c r="D10" s="64" t="s">
        <v>4742</v>
      </c>
      <c r="E10" s="65">
        <v>2</v>
      </c>
      <c r="F10" s="66">
        <v>990.89</v>
      </c>
      <c r="G10" s="67">
        <f t="shared" si="0"/>
        <v>1981.78</v>
      </c>
      <c r="H10" s="68">
        <f t="shared" si="1"/>
        <v>2378.136</v>
      </c>
      <c r="I10" s="128" t="s">
        <v>4854</v>
      </c>
    </row>
    <row r="11" spans="1:9" ht="115.2" x14ac:dyDescent="0.3">
      <c r="A11" s="75">
        <v>8</v>
      </c>
      <c r="B11" s="64" t="s">
        <v>4743</v>
      </c>
      <c r="C11" s="64" t="s">
        <v>4744</v>
      </c>
      <c r="D11" s="64" t="s">
        <v>4749</v>
      </c>
      <c r="E11" s="65">
        <v>10</v>
      </c>
      <c r="F11" s="66">
        <v>82.5</v>
      </c>
      <c r="G11" s="67">
        <f t="shared" si="0"/>
        <v>825</v>
      </c>
      <c r="H11" s="68">
        <f t="shared" si="1"/>
        <v>990</v>
      </c>
      <c r="I11" s="128" t="s">
        <v>4855</v>
      </c>
    </row>
    <row r="12" spans="1:9" ht="276.60000000000002" x14ac:dyDescent="0.3">
      <c r="A12" s="75">
        <v>9</v>
      </c>
      <c r="B12" s="124" t="s">
        <v>4830</v>
      </c>
      <c r="C12" s="64" t="s">
        <v>4831</v>
      </c>
      <c r="D12" s="64" t="s">
        <v>4749</v>
      </c>
      <c r="E12" s="65">
        <v>2</v>
      </c>
      <c r="F12" s="66">
        <v>662.68</v>
      </c>
      <c r="G12" s="67">
        <f t="shared" si="0"/>
        <v>1325.36</v>
      </c>
      <c r="H12" s="68">
        <f t="shared" si="1"/>
        <v>1590.4319999999998</v>
      </c>
      <c r="I12" s="128" t="s">
        <v>4856</v>
      </c>
    </row>
    <row r="13" spans="1:9" ht="409.6" x14ac:dyDescent="0.3">
      <c r="A13" s="75">
        <v>10</v>
      </c>
      <c r="B13" s="64" t="s">
        <v>4745</v>
      </c>
      <c r="C13" s="64" t="s">
        <v>4832</v>
      </c>
      <c r="D13" s="64" t="s">
        <v>4839</v>
      </c>
      <c r="E13" s="65">
        <v>2</v>
      </c>
      <c r="F13" s="66">
        <v>4100</v>
      </c>
      <c r="G13" s="67">
        <f t="shared" si="0"/>
        <v>8200</v>
      </c>
      <c r="H13" s="68">
        <f t="shared" si="1"/>
        <v>9840</v>
      </c>
      <c r="I13" s="126" t="s">
        <v>4844</v>
      </c>
    </row>
    <row r="14" spans="1:9" ht="166.2" x14ac:dyDescent="0.3">
      <c r="A14" s="75">
        <v>11</v>
      </c>
      <c r="B14" s="64" t="s">
        <v>4746</v>
      </c>
      <c r="C14" s="64" t="s">
        <v>4833</v>
      </c>
      <c r="D14" s="64" t="s">
        <v>4839</v>
      </c>
      <c r="E14" s="65">
        <v>2</v>
      </c>
      <c r="F14" s="66">
        <v>1171.58</v>
      </c>
      <c r="G14" s="67">
        <f t="shared" si="0"/>
        <v>2343.16</v>
      </c>
      <c r="H14" s="68">
        <f t="shared" si="1"/>
        <v>2811.7919999999999</v>
      </c>
      <c r="I14" s="128" t="s">
        <v>4857</v>
      </c>
    </row>
    <row r="15" spans="1:9" ht="180" x14ac:dyDescent="0.3">
      <c r="A15" s="75">
        <v>12</v>
      </c>
      <c r="B15" s="64" t="s">
        <v>4746</v>
      </c>
      <c r="C15" s="64" t="s">
        <v>4834</v>
      </c>
      <c r="D15" s="64" t="s">
        <v>4839</v>
      </c>
      <c r="E15" s="65">
        <v>2</v>
      </c>
      <c r="F15" s="66">
        <v>1171.58</v>
      </c>
      <c r="G15" s="67">
        <f t="shared" si="0"/>
        <v>2343.16</v>
      </c>
      <c r="H15" s="68">
        <f t="shared" si="1"/>
        <v>2811.7919999999999</v>
      </c>
      <c r="I15" s="128" t="s">
        <v>4858</v>
      </c>
    </row>
    <row r="16" spans="1:9" ht="235.2" x14ac:dyDescent="0.3">
      <c r="A16" s="75">
        <v>13</v>
      </c>
      <c r="B16" s="64" t="s">
        <v>4747</v>
      </c>
      <c r="C16" s="64" t="s">
        <v>4835</v>
      </c>
      <c r="D16" s="64" t="s">
        <v>4839</v>
      </c>
      <c r="E16" s="65">
        <v>2</v>
      </c>
      <c r="F16" s="66">
        <v>1756.15</v>
      </c>
      <c r="G16" s="67">
        <f t="shared" si="0"/>
        <v>3512.3</v>
      </c>
      <c r="H16" s="68">
        <f t="shared" si="1"/>
        <v>4214.76</v>
      </c>
      <c r="I16" s="126" t="s">
        <v>4843</v>
      </c>
    </row>
    <row r="17" spans="1:9" ht="166.2" x14ac:dyDescent="0.3">
      <c r="A17" s="75">
        <v>14</v>
      </c>
      <c r="B17" s="64" t="s">
        <v>4757</v>
      </c>
      <c r="C17" s="64" t="s">
        <v>4758</v>
      </c>
      <c r="D17" s="64" t="s">
        <v>4839</v>
      </c>
      <c r="E17" s="65">
        <v>1</v>
      </c>
      <c r="F17" s="66">
        <v>1756.15</v>
      </c>
      <c r="G17" s="67">
        <f t="shared" si="0"/>
        <v>1756.15</v>
      </c>
      <c r="H17" s="68">
        <f t="shared" si="1"/>
        <v>2107.38</v>
      </c>
      <c r="I17" s="128" t="s">
        <v>4859</v>
      </c>
    </row>
    <row r="18" spans="1:9" ht="221.4" x14ac:dyDescent="0.3">
      <c r="A18" s="75">
        <v>15</v>
      </c>
      <c r="B18" s="64" t="s">
        <v>4761</v>
      </c>
      <c r="C18" s="64" t="s">
        <v>4842</v>
      </c>
      <c r="D18" s="64" t="s">
        <v>4742</v>
      </c>
      <c r="E18" s="65">
        <v>50</v>
      </c>
      <c r="F18" s="66">
        <v>130</v>
      </c>
      <c r="G18" s="67">
        <f t="shared" si="0"/>
        <v>6500</v>
      </c>
      <c r="H18" s="68">
        <f t="shared" si="1"/>
        <v>7800</v>
      </c>
      <c r="I18" s="128" t="s">
        <v>4860</v>
      </c>
    </row>
    <row r="19" spans="1:9" ht="235.2" x14ac:dyDescent="0.3">
      <c r="A19" s="75">
        <v>16</v>
      </c>
      <c r="B19" s="115" t="s">
        <v>4759</v>
      </c>
      <c r="C19" s="64" t="s">
        <v>4841</v>
      </c>
      <c r="D19" s="64" t="s">
        <v>4839</v>
      </c>
      <c r="E19" s="65">
        <v>17</v>
      </c>
      <c r="F19" s="66">
        <v>387.5</v>
      </c>
      <c r="G19" s="67">
        <f t="shared" si="0"/>
        <v>6587.5</v>
      </c>
      <c r="H19" s="68">
        <f t="shared" si="1"/>
        <v>7905</v>
      </c>
      <c r="I19" s="128" t="s">
        <v>4861</v>
      </c>
    </row>
    <row r="20" spans="1:9" ht="221.4" x14ac:dyDescent="0.3">
      <c r="A20" s="75">
        <v>17</v>
      </c>
      <c r="B20" s="116" t="s">
        <v>4764</v>
      </c>
      <c r="C20" s="64" t="s">
        <v>4840</v>
      </c>
      <c r="D20" s="64" t="s">
        <v>4752</v>
      </c>
      <c r="E20" s="65">
        <v>1</v>
      </c>
      <c r="F20" s="66">
        <v>5417.5</v>
      </c>
      <c r="G20" s="67">
        <f t="shared" si="0"/>
        <v>5417.5</v>
      </c>
      <c r="H20" s="68">
        <f t="shared" si="1"/>
        <v>6501</v>
      </c>
      <c r="I20" s="128" t="s">
        <v>4862</v>
      </c>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69"/>
    </row>
    <row r="25" spans="1:9" x14ac:dyDescent="0.3">
      <c r="A25" s="75">
        <v>22</v>
      </c>
      <c r="B25" s="70"/>
      <c r="C25" s="70"/>
      <c r="D25" s="70"/>
      <c r="E25" s="65">
        <v>0</v>
      </c>
      <c r="F25" s="66">
        <v>0</v>
      </c>
      <c r="G25" s="67">
        <f t="shared" si="0"/>
        <v>0</v>
      </c>
      <c r="H25" s="68">
        <f t="shared" si="1"/>
        <v>0</v>
      </c>
      <c r="I25" s="69"/>
    </row>
    <row r="26" spans="1:9" x14ac:dyDescent="0.3">
      <c r="A26" s="75">
        <v>23</v>
      </c>
      <c r="B26" s="70"/>
      <c r="C26" s="70"/>
      <c r="D26" s="70"/>
      <c r="E26" s="65">
        <v>0</v>
      </c>
      <c r="F26" s="66">
        <v>0</v>
      </c>
      <c r="G26" s="67">
        <f t="shared" si="0"/>
        <v>0</v>
      </c>
      <c r="H26" s="68">
        <f t="shared" si="1"/>
        <v>0</v>
      </c>
      <c r="I26" s="69"/>
    </row>
    <row r="27" spans="1:9" x14ac:dyDescent="0.3">
      <c r="A27" s="75">
        <v>24</v>
      </c>
      <c r="B27" s="70"/>
      <c r="C27" s="70"/>
      <c r="D27" s="70"/>
      <c r="E27" s="65">
        <v>0</v>
      </c>
      <c r="F27" s="66">
        <v>0</v>
      </c>
      <c r="G27" s="67">
        <f t="shared" si="0"/>
        <v>0</v>
      </c>
      <c r="H27" s="68">
        <f t="shared" si="1"/>
        <v>0</v>
      </c>
      <c r="I27" s="69"/>
    </row>
    <row r="28" spans="1:9" x14ac:dyDescent="0.3">
      <c r="A28" s="75">
        <v>25</v>
      </c>
      <c r="B28" s="70"/>
      <c r="C28" s="70"/>
      <c r="D28" s="70"/>
      <c r="E28" s="65">
        <v>0</v>
      </c>
      <c r="F28" s="66">
        <v>0</v>
      </c>
      <c r="G28" s="67">
        <f t="shared" si="0"/>
        <v>0</v>
      </c>
      <c r="H28" s="68">
        <f t="shared" si="1"/>
        <v>0</v>
      </c>
      <c r="I28" s="69"/>
    </row>
    <row r="29" spans="1:9" x14ac:dyDescent="0.3">
      <c r="A29" s="75">
        <v>26</v>
      </c>
      <c r="B29" s="70"/>
      <c r="C29" s="70"/>
      <c r="D29" s="70"/>
      <c r="E29" s="65">
        <v>0</v>
      </c>
      <c r="F29" s="66">
        <v>0</v>
      </c>
      <c r="G29" s="67">
        <f t="shared" si="0"/>
        <v>0</v>
      </c>
      <c r="H29" s="68">
        <f t="shared" si="1"/>
        <v>0</v>
      </c>
      <c r="I29" s="69"/>
    </row>
    <row r="30" spans="1:9" x14ac:dyDescent="0.3">
      <c r="A30" s="75">
        <v>27</v>
      </c>
      <c r="B30" s="70"/>
      <c r="C30" s="70"/>
      <c r="D30" s="70"/>
      <c r="E30" s="65">
        <v>0</v>
      </c>
      <c r="F30" s="66">
        <v>0</v>
      </c>
      <c r="G30" s="67">
        <f t="shared" si="0"/>
        <v>0</v>
      </c>
      <c r="H30" s="68">
        <f t="shared" si="1"/>
        <v>0</v>
      </c>
      <c r="I30" s="69"/>
    </row>
    <row r="31" spans="1:9" x14ac:dyDescent="0.3">
      <c r="A31" s="75">
        <v>28</v>
      </c>
      <c r="B31" s="70"/>
      <c r="C31" s="70"/>
      <c r="D31" s="70"/>
      <c r="E31" s="65">
        <v>0</v>
      </c>
      <c r="F31" s="66">
        <v>0</v>
      </c>
      <c r="G31" s="67">
        <f t="shared" si="0"/>
        <v>0</v>
      </c>
      <c r="H31" s="68">
        <f t="shared" si="1"/>
        <v>0</v>
      </c>
      <c r="I31" s="69"/>
    </row>
    <row r="32" spans="1:9" x14ac:dyDescent="0.3">
      <c r="A32" s="75">
        <v>29</v>
      </c>
      <c r="B32" s="70"/>
      <c r="C32" s="70"/>
      <c r="D32" s="70"/>
      <c r="E32" s="65">
        <v>0</v>
      </c>
      <c r="F32" s="66">
        <v>0</v>
      </c>
      <c r="G32" s="67">
        <f t="shared" si="0"/>
        <v>0</v>
      </c>
      <c r="H32" s="68">
        <f t="shared" si="1"/>
        <v>0</v>
      </c>
      <c r="I32" s="69"/>
    </row>
    <row r="33" spans="1:9" x14ac:dyDescent="0.3">
      <c r="A33" s="75">
        <v>30</v>
      </c>
      <c r="B33" s="70"/>
      <c r="C33" s="70"/>
      <c r="D33" s="70"/>
      <c r="E33" s="65">
        <v>0</v>
      </c>
      <c r="F33" s="66">
        <v>0</v>
      </c>
      <c r="G33" s="67">
        <f t="shared" si="0"/>
        <v>0</v>
      </c>
      <c r="H33" s="68">
        <f t="shared" si="1"/>
        <v>0</v>
      </c>
      <c r="I33" s="69"/>
    </row>
    <row r="34" spans="1:9" x14ac:dyDescent="0.3">
      <c r="A34" s="75">
        <v>31</v>
      </c>
      <c r="B34" s="70"/>
      <c r="C34" s="70"/>
      <c r="D34" s="70"/>
      <c r="E34" s="65">
        <v>0</v>
      </c>
      <c r="F34" s="66">
        <v>0</v>
      </c>
      <c r="G34" s="67">
        <f t="shared" si="0"/>
        <v>0</v>
      </c>
      <c r="H34" s="68">
        <f t="shared" si="1"/>
        <v>0</v>
      </c>
      <c r="I34" s="69"/>
    </row>
    <row r="35" spans="1:9" x14ac:dyDescent="0.3">
      <c r="A35" s="75">
        <v>32</v>
      </c>
      <c r="B35" s="70"/>
      <c r="C35" s="70"/>
      <c r="D35" s="70"/>
      <c r="E35" s="65">
        <v>0</v>
      </c>
      <c r="F35" s="66">
        <v>0</v>
      </c>
      <c r="G35" s="67">
        <f t="shared" si="0"/>
        <v>0</v>
      </c>
      <c r="H35" s="68">
        <f t="shared" si="1"/>
        <v>0</v>
      </c>
      <c r="I35" s="69"/>
    </row>
    <row r="36" spans="1:9" x14ac:dyDescent="0.3">
      <c r="A36" s="75">
        <v>33</v>
      </c>
      <c r="B36" s="70"/>
      <c r="C36" s="70"/>
      <c r="D36" s="70"/>
      <c r="E36" s="65">
        <v>0</v>
      </c>
      <c r="F36" s="66">
        <v>0</v>
      </c>
      <c r="G36" s="67">
        <f t="shared" ref="G36:G67" si="2">E36*F36</f>
        <v>0</v>
      </c>
      <c r="H36" s="68">
        <f t="shared" ref="H36:H67" si="3">G36*1.2</f>
        <v>0</v>
      </c>
      <c r="I36" s="69"/>
    </row>
    <row r="37" spans="1:9" x14ac:dyDescent="0.3">
      <c r="A37" s="75">
        <v>34</v>
      </c>
      <c r="B37" s="70"/>
      <c r="C37" s="70"/>
      <c r="D37" s="70"/>
      <c r="E37" s="65">
        <v>0</v>
      </c>
      <c r="F37" s="66">
        <v>0</v>
      </c>
      <c r="G37" s="67">
        <f t="shared" si="2"/>
        <v>0</v>
      </c>
      <c r="H37" s="68">
        <f t="shared" si="3"/>
        <v>0</v>
      </c>
      <c r="I37" s="69"/>
    </row>
    <row r="38" spans="1:9" x14ac:dyDescent="0.3">
      <c r="A38" s="75">
        <v>35</v>
      </c>
      <c r="B38" s="70"/>
      <c r="C38" s="70"/>
      <c r="D38" s="70"/>
      <c r="E38" s="65">
        <v>0</v>
      </c>
      <c r="F38" s="66">
        <v>0</v>
      </c>
      <c r="G38" s="67">
        <f t="shared" si="2"/>
        <v>0</v>
      </c>
      <c r="H38" s="68">
        <f t="shared" si="3"/>
        <v>0</v>
      </c>
      <c r="I38" s="69"/>
    </row>
    <row r="39" spans="1:9" x14ac:dyDescent="0.3">
      <c r="A39" s="75">
        <v>36</v>
      </c>
      <c r="B39" s="70"/>
      <c r="C39" s="70"/>
      <c r="D39" s="70"/>
      <c r="E39" s="65">
        <v>0</v>
      </c>
      <c r="F39" s="66">
        <v>0</v>
      </c>
      <c r="G39" s="67">
        <f t="shared" si="2"/>
        <v>0</v>
      </c>
      <c r="H39" s="68">
        <f t="shared" si="3"/>
        <v>0</v>
      </c>
      <c r="I39" s="69"/>
    </row>
    <row r="40" spans="1:9" x14ac:dyDescent="0.3">
      <c r="A40" s="75">
        <v>37</v>
      </c>
      <c r="B40" s="70"/>
      <c r="C40" s="70"/>
      <c r="D40" s="70"/>
      <c r="E40" s="65">
        <v>0</v>
      </c>
      <c r="F40" s="66">
        <v>0</v>
      </c>
      <c r="G40" s="67">
        <f t="shared" si="2"/>
        <v>0</v>
      </c>
      <c r="H40" s="68">
        <f t="shared" si="3"/>
        <v>0</v>
      </c>
      <c r="I40" s="69"/>
    </row>
    <row r="41" spans="1:9" x14ac:dyDescent="0.3">
      <c r="A41" s="75">
        <v>38</v>
      </c>
      <c r="B41" s="70"/>
      <c r="C41" s="70"/>
      <c r="D41" s="70"/>
      <c r="E41" s="65">
        <v>0</v>
      </c>
      <c r="F41" s="66">
        <v>0</v>
      </c>
      <c r="G41" s="67">
        <f t="shared" si="2"/>
        <v>0</v>
      </c>
      <c r="H41" s="68">
        <f t="shared" si="3"/>
        <v>0</v>
      </c>
      <c r="I41" s="69"/>
    </row>
    <row r="42" spans="1:9" x14ac:dyDescent="0.3">
      <c r="A42" s="75">
        <v>39</v>
      </c>
      <c r="B42" s="70"/>
      <c r="C42" s="70"/>
      <c r="D42" s="70"/>
      <c r="E42" s="65">
        <v>0</v>
      </c>
      <c r="F42" s="66">
        <v>0</v>
      </c>
      <c r="G42" s="67">
        <f t="shared" si="2"/>
        <v>0</v>
      </c>
      <c r="H42" s="68">
        <f t="shared" si="3"/>
        <v>0</v>
      </c>
      <c r="I42" s="69"/>
    </row>
    <row r="43" spans="1:9" x14ac:dyDescent="0.3">
      <c r="A43" s="75">
        <v>40</v>
      </c>
      <c r="B43" s="70"/>
      <c r="C43" s="70"/>
      <c r="D43" s="70"/>
      <c r="E43" s="65">
        <v>0</v>
      </c>
      <c r="F43" s="66">
        <v>0</v>
      </c>
      <c r="G43" s="67">
        <f t="shared" si="2"/>
        <v>0</v>
      </c>
      <c r="H43" s="68">
        <f t="shared" si="3"/>
        <v>0</v>
      </c>
      <c r="I43" s="69"/>
    </row>
    <row r="44" spans="1:9" x14ac:dyDescent="0.3">
      <c r="A44" s="75">
        <v>41</v>
      </c>
      <c r="B44" s="70"/>
      <c r="C44" s="70"/>
      <c r="D44" s="70"/>
      <c r="E44" s="65">
        <v>0</v>
      </c>
      <c r="F44" s="66">
        <v>0</v>
      </c>
      <c r="G44" s="67">
        <f t="shared" si="2"/>
        <v>0</v>
      </c>
      <c r="H44" s="68">
        <f t="shared" si="3"/>
        <v>0</v>
      </c>
      <c r="I44" s="69"/>
    </row>
    <row r="45" spans="1:9" x14ac:dyDescent="0.3">
      <c r="A45" s="75">
        <v>42</v>
      </c>
      <c r="B45" s="70"/>
      <c r="C45" s="70"/>
      <c r="D45" s="70"/>
      <c r="E45" s="65">
        <v>0</v>
      </c>
      <c r="F45" s="66">
        <v>0</v>
      </c>
      <c r="G45" s="67">
        <f t="shared" si="2"/>
        <v>0</v>
      </c>
      <c r="H45" s="68">
        <f t="shared" si="3"/>
        <v>0</v>
      </c>
      <c r="I45" s="69"/>
    </row>
    <row r="46" spans="1:9" x14ac:dyDescent="0.3">
      <c r="A46" s="75">
        <v>43</v>
      </c>
      <c r="B46" s="70"/>
      <c r="C46" s="70"/>
      <c r="D46" s="70"/>
      <c r="E46" s="65">
        <v>0</v>
      </c>
      <c r="F46" s="66">
        <v>0</v>
      </c>
      <c r="G46" s="67">
        <f t="shared" si="2"/>
        <v>0</v>
      </c>
      <c r="H46" s="68">
        <f t="shared" si="3"/>
        <v>0</v>
      </c>
      <c r="I46" s="69"/>
    </row>
    <row r="47" spans="1:9" x14ac:dyDescent="0.3">
      <c r="A47" s="75">
        <v>44</v>
      </c>
      <c r="B47" s="70"/>
      <c r="C47" s="70"/>
      <c r="D47" s="70"/>
      <c r="E47" s="65">
        <v>0</v>
      </c>
      <c r="F47" s="66">
        <v>0</v>
      </c>
      <c r="G47" s="67">
        <f t="shared" si="2"/>
        <v>0</v>
      </c>
      <c r="H47" s="68">
        <f t="shared" si="3"/>
        <v>0</v>
      </c>
      <c r="I47" s="69"/>
    </row>
    <row r="48" spans="1:9" x14ac:dyDescent="0.3">
      <c r="A48" s="75">
        <v>45</v>
      </c>
      <c r="B48" s="70"/>
      <c r="C48" s="70"/>
      <c r="D48" s="70"/>
      <c r="E48" s="65">
        <v>0</v>
      </c>
      <c r="F48" s="66">
        <v>0</v>
      </c>
      <c r="G48" s="67">
        <f t="shared" si="2"/>
        <v>0</v>
      </c>
      <c r="H48" s="68">
        <f t="shared" si="3"/>
        <v>0</v>
      </c>
      <c r="I48" s="69"/>
    </row>
    <row r="49" spans="1:9" x14ac:dyDescent="0.3">
      <c r="A49" s="75">
        <v>46</v>
      </c>
      <c r="B49" s="70"/>
      <c r="C49" s="70"/>
      <c r="D49" s="70"/>
      <c r="E49" s="65">
        <v>0</v>
      </c>
      <c r="F49" s="66">
        <v>0</v>
      </c>
      <c r="G49" s="67">
        <f t="shared" si="2"/>
        <v>0</v>
      </c>
      <c r="H49" s="68">
        <f t="shared" si="3"/>
        <v>0</v>
      </c>
      <c r="I49" s="69"/>
    </row>
    <row r="50" spans="1:9" x14ac:dyDescent="0.3">
      <c r="A50" s="75">
        <v>47</v>
      </c>
      <c r="B50" s="70"/>
      <c r="C50" s="70"/>
      <c r="D50" s="70"/>
      <c r="E50" s="65">
        <v>0</v>
      </c>
      <c r="F50" s="66">
        <v>0</v>
      </c>
      <c r="G50" s="67">
        <f t="shared" si="2"/>
        <v>0</v>
      </c>
      <c r="H50" s="68">
        <f t="shared" si="3"/>
        <v>0</v>
      </c>
      <c r="I50" s="69"/>
    </row>
    <row r="51" spans="1:9" x14ac:dyDescent="0.3">
      <c r="A51" s="75">
        <v>48</v>
      </c>
      <c r="B51" s="70"/>
      <c r="C51" s="70"/>
      <c r="D51" s="70"/>
      <c r="E51" s="65">
        <v>0</v>
      </c>
      <c r="F51" s="66">
        <v>0</v>
      </c>
      <c r="G51" s="67">
        <f t="shared" si="2"/>
        <v>0</v>
      </c>
      <c r="H51" s="68">
        <f t="shared" si="3"/>
        <v>0</v>
      </c>
      <c r="I51" s="69"/>
    </row>
    <row r="52" spans="1:9" x14ac:dyDescent="0.3">
      <c r="A52" s="75">
        <v>49</v>
      </c>
      <c r="B52" s="70"/>
      <c r="C52" s="70"/>
      <c r="D52" s="70"/>
      <c r="E52" s="65">
        <v>0</v>
      </c>
      <c r="F52" s="66">
        <v>0</v>
      </c>
      <c r="G52" s="67">
        <f t="shared" si="2"/>
        <v>0</v>
      </c>
      <c r="H52" s="68">
        <f t="shared" si="3"/>
        <v>0</v>
      </c>
      <c r="I52" s="69"/>
    </row>
    <row r="53" spans="1:9" x14ac:dyDescent="0.3">
      <c r="A53" s="75">
        <v>50</v>
      </c>
      <c r="B53" s="70"/>
      <c r="C53" s="70"/>
      <c r="D53" s="70"/>
      <c r="E53" s="65">
        <v>0</v>
      </c>
      <c r="F53" s="66">
        <v>0</v>
      </c>
      <c r="G53" s="67">
        <f t="shared" si="2"/>
        <v>0</v>
      </c>
      <c r="H53" s="68">
        <f t="shared" si="3"/>
        <v>0</v>
      </c>
      <c r="I53" s="69"/>
    </row>
    <row r="54" spans="1:9" x14ac:dyDescent="0.3">
      <c r="A54" s="75">
        <v>51</v>
      </c>
      <c r="B54" s="70"/>
      <c r="C54" s="70"/>
      <c r="D54" s="70"/>
      <c r="E54" s="65">
        <v>0</v>
      </c>
      <c r="F54" s="66">
        <v>0</v>
      </c>
      <c r="G54" s="67">
        <f t="shared" si="2"/>
        <v>0</v>
      </c>
      <c r="H54" s="68">
        <f t="shared" si="3"/>
        <v>0</v>
      </c>
      <c r="I54" s="69"/>
    </row>
    <row r="55" spans="1:9" x14ac:dyDescent="0.3">
      <c r="A55" s="75">
        <v>52</v>
      </c>
      <c r="B55" s="70"/>
      <c r="C55" s="70"/>
      <c r="D55" s="70"/>
      <c r="E55" s="65">
        <v>0</v>
      </c>
      <c r="F55" s="66">
        <v>0</v>
      </c>
      <c r="G55" s="67">
        <f t="shared" si="2"/>
        <v>0</v>
      </c>
      <c r="H55" s="68">
        <f t="shared" si="3"/>
        <v>0</v>
      </c>
      <c r="I55" s="69"/>
    </row>
    <row r="56" spans="1:9" x14ac:dyDescent="0.3">
      <c r="A56" s="75">
        <v>53</v>
      </c>
      <c r="B56" s="70"/>
      <c r="C56" s="70"/>
      <c r="D56" s="70"/>
      <c r="E56" s="65">
        <v>0</v>
      </c>
      <c r="F56" s="66">
        <v>0</v>
      </c>
      <c r="G56" s="67">
        <f t="shared" si="2"/>
        <v>0</v>
      </c>
      <c r="H56" s="68">
        <f t="shared" si="3"/>
        <v>0</v>
      </c>
      <c r="I56" s="69"/>
    </row>
    <row r="57" spans="1:9" x14ac:dyDescent="0.3">
      <c r="A57" s="75">
        <v>54</v>
      </c>
      <c r="B57" s="70"/>
      <c r="C57" s="70"/>
      <c r="D57" s="70"/>
      <c r="E57" s="65">
        <v>0</v>
      </c>
      <c r="F57" s="66">
        <v>0</v>
      </c>
      <c r="G57" s="67">
        <f t="shared" si="2"/>
        <v>0</v>
      </c>
      <c r="H57" s="68">
        <f t="shared" si="3"/>
        <v>0</v>
      </c>
      <c r="I57" s="69"/>
    </row>
    <row r="58" spans="1:9" x14ac:dyDescent="0.3">
      <c r="A58" s="75">
        <v>55</v>
      </c>
      <c r="B58" s="70"/>
      <c r="C58" s="70"/>
      <c r="D58" s="70"/>
      <c r="E58" s="65">
        <v>0</v>
      </c>
      <c r="F58" s="66">
        <v>0</v>
      </c>
      <c r="G58" s="67">
        <f t="shared" si="2"/>
        <v>0</v>
      </c>
      <c r="H58" s="68">
        <f t="shared" si="3"/>
        <v>0</v>
      </c>
      <c r="I58" s="69"/>
    </row>
    <row r="59" spans="1:9" x14ac:dyDescent="0.3">
      <c r="A59" s="75">
        <v>56</v>
      </c>
      <c r="B59" s="70"/>
      <c r="C59" s="70"/>
      <c r="D59" s="70"/>
      <c r="E59" s="65">
        <v>0</v>
      </c>
      <c r="F59" s="66">
        <v>0</v>
      </c>
      <c r="G59" s="67">
        <f t="shared" si="2"/>
        <v>0</v>
      </c>
      <c r="H59" s="68">
        <f t="shared" si="3"/>
        <v>0</v>
      </c>
      <c r="I59" s="69"/>
    </row>
    <row r="60" spans="1:9" x14ac:dyDescent="0.3">
      <c r="A60" s="75">
        <v>57</v>
      </c>
      <c r="B60" s="70"/>
      <c r="C60" s="70"/>
      <c r="D60" s="70"/>
      <c r="E60" s="65">
        <v>0</v>
      </c>
      <c r="F60" s="66">
        <v>0</v>
      </c>
      <c r="G60" s="67">
        <f t="shared" si="2"/>
        <v>0</v>
      </c>
      <c r="H60" s="68">
        <f t="shared" si="3"/>
        <v>0</v>
      </c>
      <c r="I60" s="69"/>
    </row>
    <row r="61" spans="1:9" x14ac:dyDescent="0.3">
      <c r="A61" s="75">
        <v>58</v>
      </c>
      <c r="B61" s="70"/>
      <c r="C61" s="70"/>
      <c r="D61" s="70"/>
      <c r="E61" s="65">
        <v>0</v>
      </c>
      <c r="F61" s="66">
        <v>0</v>
      </c>
      <c r="G61" s="67">
        <f t="shared" si="2"/>
        <v>0</v>
      </c>
      <c r="H61" s="68">
        <f t="shared" si="3"/>
        <v>0</v>
      </c>
      <c r="I61" s="69"/>
    </row>
    <row r="62" spans="1:9" x14ac:dyDescent="0.3">
      <c r="A62" s="75">
        <v>59</v>
      </c>
      <c r="B62" s="70"/>
      <c r="C62" s="70"/>
      <c r="D62" s="70"/>
      <c r="E62" s="65">
        <v>0</v>
      </c>
      <c r="F62" s="66">
        <v>0</v>
      </c>
      <c r="G62" s="67">
        <f t="shared" si="2"/>
        <v>0</v>
      </c>
      <c r="H62" s="68">
        <f t="shared" si="3"/>
        <v>0</v>
      </c>
      <c r="I62" s="69"/>
    </row>
    <row r="63" spans="1:9" x14ac:dyDescent="0.3">
      <c r="A63" s="75">
        <v>60</v>
      </c>
      <c r="B63" s="70"/>
      <c r="C63" s="70"/>
      <c r="D63" s="70"/>
      <c r="E63" s="65">
        <v>0</v>
      </c>
      <c r="F63" s="66">
        <v>0</v>
      </c>
      <c r="G63" s="67">
        <f t="shared" si="2"/>
        <v>0</v>
      </c>
      <c r="H63" s="68">
        <f t="shared" si="3"/>
        <v>0</v>
      </c>
      <c r="I63" s="69"/>
    </row>
    <row r="64" spans="1:9" x14ac:dyDescent="0.3">
      <c r="A64" s="75">
        <v>61</v>
      </c>
      <c r="B64" s="70"/>
      <c r="C64" s="70"/>
      <c r="D64" s="70"/>
      <c r="E64" s="65">
        <v>0</v>
      </c>
      <c r="F64" s="66">
        <v>0</v>
      </c>
      <c r="G64" s="67">
        <f t="shared" si="2"/>
        <v>0</v>
      </c>
      <c r="H64" s="68">
        <f t="shared" si="3"/>
        <v>0</v>
      </c>
      <c r="I64" s="69"/>
    </row>
    <row r="65" spans="1:9" x14ac:dyDescent="0.3">
      <c r="A65" s="75">
        <v>62</v>
      </c>
      <c r="B65" s="70"/>
      <c r="C65" s="70"/>
      <c r="D65" s="70"/>
      <c r="E65" s="65">
        <v>0</v>
      </c>
      <c r="F65" s="66">
        <v>0</v>
      </c>
      <c r="G65" s="67">
        <f t="shared" si="2"/>
        <v>0</v>
      </c>
      <c r="H65" s="68">
        <f t="shared" si="3"/>
        <v>0</v>
      </c>
      <c r="I65" s="69"/>
    </row>
    <row r="66" spans="1:9" x14ac:dyDescent="0.3">
      <c r="A66" s="75">
        <v>63</v>
      </c>
      <c r="B66" s="70"/>
      <c r="C66" s="70"/>
      <c r="D66" s="70"/>
      <c r="E66" s="65">
        <v>0</v>
      </c>
      <c r="F66" s="66">
        <v>0</v>
      </c>
      <c r="G66" s="67">
        <f t="shared" si="2"/>
        <v>0</v>
      </c>
      <c r="H66" s="68">
        <f t="shared" si="3"/>
        <v>0</v>
      </c>
      <c r="I66" s="69"/>
    </row>
    <row r="67" spans="1:9" x14ac:dyDescent="0.3">
      <c r="A67" s="75">
        <v>64</v>
      </c>
      <c r="B67" s="70"/>
      <c r="C67" s="70"/>
      <c r="D67" s="70"/>
      <c r="E67" s="65">
        <v>0</v>
      </c>
      <c r="F67" s="66">
        <v>0</v>
      </c>
      <c r="G67" s="67">
        <f t="shared" si="2"/>
        <v>0</v>
      </c>
      <c r="H67" s="68">
        <f t="shared" si="3"/>
        <v>0</v>
      </c>
      <c r="I67" s="69"/>
    </row>
    <row r="68" spans="1:9" x14ac:dyDescent="0.3">
      <c r="A68" s="75">
        <v>65</v>
      </c>
      <c r="B68" s="70"/>
      <c r="C68" s="70"/>
      <c r="D68" s="70"/>
      <c r="E68" s="65">
        <v>0</v>
      </c>
      <c r="F68" s="66">
        <v>0</v>
      </c>
      <c r="G68" s="67">
        <f t="shared" ref="G68:G83" si="4">E68*F68</f>
        <v>0</v>
      </c>
      <c r="H68" s="68">
        <f t="shared" ref="H68:H83" si="5">G68*1.2</f>
        <v>0</v>
      </c>
      <c r="I68" s="69"/>
    </row>
    <row r="69" spans="1:9" x14ac:dyDescent="0.3">
      <c r="A69" s="75">
        <v>66</v>
      </c>
      <c r="B69" s="70"/>
      <c r="C69" s="70"/>
      <c r="D69" s="70"/>
      <c r="E69" s="65">
        <v>0</v>
      </c>
      <c r="F69" s="66">
        <v>0</v>
      </c>
      <c r="G69" s="67">
        <f t="shared" si="4"/>
        <v>0</v>
      </c>
      <c r="H69" s="68">
        <f t="shared" si="5"/>
        <v>0</v>
      </c>
      <c r="I69" s="69"/>
    </row>
    <row r="70" spans="1:9" x14ac:dyDescent="0.3">
      <c r="A70" s="75">
        <v>67</v>
      </c>
      <c r="B70" s="70"/>
      <c r="C70" s="70"/>
      <c r="D70" s="70"/>
      <c r="E70" s="65">
        <v>0</v>
      </c>
      <c r="F70" s="66">
        <v>0</v>
      </c>
      <c r="G70" s="67">
        <f t="shared" si="4"/>
        <v>0</v>
      </c>
      <c r="H70" s="68">
        <f t="shared" si="5"/>
        <v>0</v>
      </c>
      <c r="I70" s="69"/>
    </row>
    <row r="71" spans="1:9" x14ac:dyDescent="0.3">
      <c r="A71" s="75">
        <v>68</v>
      </c>
      <c r="B71" s="70"/>
      <c r="C71" s="70"/>
      <c r="D71" s="70"/>
      <c r="E71" s="65">
        <v>0</v>
      </c>
      <c r="F71" s="66">
        <v>0</v>
      </c>
      <c r="G71" s="67">
        <f t="shared" si="4"/>
        <v>0</v>
      </c>
      <c r="H71" s="68">
        <f t="shared" si="5"/>
        <v>0</v>
      </c>
      <c r="I71" s="69"/>
    </row>
    <row r="72" spans="1:9" x14ac:dyDescent="0.3">
      <c r="A72" s="75">
        <v>69</v>
      </c>
      <c r="B72" s="70"/>
      <c r="C72" s="70"/>
      <c r="D72" s="70"/>
      <c r="E72" s="65">
        <v>0</v>
      </c>
      <c r="F72" s="66">
        <v>0</v>
      </c>
      <c r="G72" s="67">
        <f t="shared" si="4"/>
        <v>0</v>
      </c>
      <c r="H72" s="68">
        <f t="shared" si="5"/>
        <v>0</v>
      </c>
      <c r="I72" s="69"/>
    </row>
    <row r="73" spans="1:9" x14ac:dyDescent="0.3">
      <c r="A73" s="75">
        <v>70</v>
      </c>
      <c r="B73" s="70"/>
      <c r="C73" s="70"/>
      <c r="D73" s="70"/>
      <c r="E73" s="65">
        <v>0</v>
      </c>
      <c r="F73" s="66">
        <v>0</v>
      </c>
      <c r="G73" s="67">
        <f t="shared" si="4"/>
        <v>0</v>
      </c>
      <c r="H73" s="68">
        <f t="shared" si="5"/>
        <v>0</v>
      </c>
      <c r="I73" s="69"/>
    </row>
    <row r="74" spans="1:9" x14ac:dyDescent="0.3">
      <c r="A74" s="75">
        <v>71</v>
      </c>
      <c r="B74" s="70"/>
      <c r="C74" s="70"/>
      <c r="D74" s="70"/>
      <c r="E74" s="65">
        <v>0</v>
      </c>
      <c r="F74" s="66">
        <v>0</v>
      </c>
      <c r="G74" s="67">
        <f t="shared" si="4"/>
        <v>0</v>
      </c>
      <c r="H74" s="68">
        <f t="shared" si="5"/>
        <v>0</v>
      </c>
      <c r="I74" s="69"/>
    </row>
    <row r="75" spans="1:9" x14ac:dyDescent="0.3">
      <c r="A75" s="75">
        <v>72</v>
      </c>
      <c r="B75" s="70"/>
      <c r="C75" s="70"/>
      <c r="D75" s="70"/>
      <c r="E75" s="65">
        <v>0</v>
      </c>
      <c r="F75" s="66">
        <v>0</v>
      </c>
      <c r="G75" s="67">
        <f t="shared" si="4"/>
        <v>0</v>
      </c>
      <c r="H75" s="68">
        <f t="shared" si="5"/>
        <v>0</v>
      </c>
      <c r="I75" s="69"/>
    </row>
    <row r="76" spans="1:9" x14ac:dyDescent="0.3">
      <c r="A76" s="75">
        <v>73</v>
      </c>
      <c r="B76" s="70"/>
      <c r="C76" s="70"/>
      <c r="D76" s="70"/>
      <c r="E76" s="65">
        <v>0</v>
      </c>
      <c r="F76" s="66">
        <v>0</v>
      </c>
      <c r="G76" s="67">
        <f t="shared" si="4"/>
        <v>0</v>
      </c>
      <c r="H76" s="68">
        <f t="shared" si="5"/>
        <v>0</v>
      </c>
      <c r="I76" s="69"/>
    </row>
    <row r="77" spans="1:9" x14ac:dyDescent="0.3">
      <c r="A77" s="75">
        <v>74</v>
      </c>
      <c r="B77" s="70"/>
      <c r="C77" s="70"/>
      <c r="D77" s="70"/>
      <c r="E77" s="65">
        <v>0</v>
      </c>
      <c r="F77" s="66">
        <v>0</v>
      </c>
      <c r="G77" s="67">
        <f t="shared" si="4"/>
        <v>0</v>
      </c>
      <c r="H77" s="68">
        <f t="shared" si="5"/>
        <v>0</v>
      </c>
      <c r="I77" s="69"/>
    </row>
    <row r="78" spans="1:9" x14ac:dyDescent="0.3">
      <c r="A78" s="75">
        <v>75</v>
      </c>
      <c r="B78" s="70"/>
      <c r="C78" s="70"/>
      <c r="D78" s="70"/>
      <c r="E78" s="65">
        <v>0</v>
      </c>
      <c r="F78" s="66">
        <v>0</v>
      </c>
      <c r="G78" s="67">
        <f t="shared" si="4"/>
        <v>0</v>
      </c>
      <c r="H78" s="68">
        <f t="shared" si="5"/>
        <v>0</v>
      </c>
      <c r="I78" s="69"/>
    </row>
    <row r="79" spans="1:9" x14ac:dyDescent="0.3">
      <c r="A79" s="75">
        <v>76</v>
      </c>
      <c r="B79" s="70"/>
      <c r="C79" s="70"/>
      <c r="D79" s="70"/>
      <c r="E79" s="65">
        <v>0</v>
      </c>
      <c r="F79" s="66">
        <v>0</v>
      </c>
      <c r="G79" s="67">
        <f t="shared" si="4"/>
        <v>0</v>
      </c>
      <c r="H79" s="68">
        <f t="shared" si="5"/>
        <v>0</v>
      </c>
      <c r="I79" s="69"/>
    </row>
    <row r="80" spans="1:9" x14ac:dyDescent="0.3">
      <c r="A80" s="75">
        <v>77</v>
      </c>
      <c r="B80" s="70"/>
      <c r="C80" s="70"/>
      <c r="D80" s="70"/>
      <c r="E80" s="65">
        <v>0</v>
      </c>
      <c r="F80" s="66">
        <v>0</v>
      </c>
      <c r="G80" s="67">
        <f t="shared" si="4"/>
        <v>0</v>
      </c>
      <c r="H80" s="68">
        <f t="shared" si="5"/>
        <v>0</v>
      </c>
      <c r="I80" s="69"/>
    </row>
    <row r="81" spans="1:9" x14ac:dyDescent="0.3">
      <c r="A81" s="75">
        <v>78</v>
      </c>
      <c r="B81" s="70"/>
      <c r="C81" s="70"/>
      <c r="D81" s="70"/>
      <c r="E81" s="65">
        <v>0</v>
      </c>
      <c r="F81" s="66">
        <v>0</v>
      </c>
      <c r="G81" s="67">
        <f t="shared" si="4"/>
        <v>0</v>
      </c>
      <c r="H81" s="68">
        <f t="shared" si="5"/>
        <v>0</v>
      </c>
      <c r="I81" s="69"/>
    </row>
    <row r="82" spans="1:9" x14ac:dyDescent="0.3">
      <c r="A82" s="75">
        <v>79</v>
      </c>
      <c r="B82" s="70"/>
      <c r="C82" s="70"/>
      <c r="D82" s="70"/>
      <c r="E82" s="65">
        <v>0</v>
      </c>
      <c r="F82" s="66">
        <v>0</v>
      </c>
      <c r="G82" s="67">
        <f t="shared" si="4"/>
        <v>0</v>
      </c>
      <c r="H82" s="68">
        <f t="shared" si="5"/>
        <v>0</v>
      </c>
      <c r="I82" s="69"/>
    </row>
    <row r="83" spans="1:9" x14ac:dyDescent="0.3">
      <c r="A83" s="75">
        <v>80</v>
      </c>
      <c r="B83" s="70"/>
      <c r="C83" s="70"/>
      <c r="D83" s="70"/>
      <c r="E83" s="65">
        <v>0</v>
      </c>
      <c r="F83" s="66">
        <v>0</v>
      </c>
      <c r="G83" s="67">
        <f t="shared" si="4"/>
        <v>0</v>
      </c>
      <c r="H83" s="68">
        <f t="shared" si="5"/>
        <v>0</v>
      </c>
      <c r="I83" s="69"/>
    </row>
    <row r="84" spans="1:9" ht="32.25" customHeight="1" x14ac:dyDescent="0.3">
      <c r="A84" s="263" t="s">
        <v>80</v>
      </c>
      <c r="B84" s="131"/>
      <c r="C84" s="96"/>
      <c r="D84" s="96"/>
      <c r="E84" s="71"/>
      <c r="F84" s="72"/>
      <c r="G84" s="73">
        <f>SUM(G4:G83)</f>
        <v>142080.78</v>
      </c>
      <c r="H84" s="74">
        <f>SUM(H4:H83)</f>
        <v>170496.93599999999</v>
      </c>
      <c r="I84" s="74"/>
    </row>
    <row r="85" spans="1:9" ht="28.5" customHeight="1" x14ac:dyDescent="0.3">
      <c r="A85" s="7"/>
      <c r="B85" s="264" t="s">
        <v>81</v>
      </c>
      <c r="C85" s="133"/>
      <c r="D85" s="133"/>
      <c r="E85" s="133"/>
      <c r="F85" s="133"/>
      <c r="G85" s="133"/>
      <c r="H85" s="133"/>
      <c r="I85" s="131"/>
    </row>
    <row r="86" spans="1:9" ht="138.6" x14ac:dyDescent="0.3">
      <c r="A86" s="75">
        <v>1</v>
      </c>
      <c r="B86" s="114" t="s">
        <v>4846</v>
      </c>
      <c r="C86" s="64" t="s">
        <v>4847</v>
      </c>
      <c r="D86" s="76" t="s">
        <v>82</v>
      </c>
      <c r="E86" s="65">
        <v>27</v>
      </c>
      <c r="F86" s="66">
        <v>540</v>
      </c>
      <c r="G86" s="67">
        <f t="shared" ref="G86:G125" si="6">E86*F86</f>
        <v>14580</v>
      </c>
      <c r="H86" s="68">
        <f t="shared" ref="H86:H125" si="7">G86*1.2</f>
        <v>17496</v>
      </c>
      <c r="I86" s="128" t="s">
        <v>4863</v>
      </c>
    </row>
    <row r="87" spans="1:9" ht="28.2" x14ac:dyDescent="0.3">
      <c r="A87" s="75">
        <v>2</v>
      </c>
      <c r="B87" s="127" t="s">
        <v>4836</v>
      </c>
      <c r="C87" s="124" t="s">
        <v>4837</v>
      </c>
      <c r="D87" s="76" t="s">
        <v>82</v>
      </c>
      <c r="E87" s="65">
        <v>1</v>
      </c>
      <c r="F87" s="66">
        <v>5200</v>
      </c>
      <c r="G87" s="67">
        <f t="shared" si="6"/>
        <v>5200</v>
      </c>
      <c r="H87" s="68">
        <f t="shared" si="7"/>
        <v>6240</v>
      </c>
      <c r="I87" s="126" t="s">
        <v>4845</v>
      </c>
    </row>
    <row r="88" spans="1:9" ht="124.8" x14ac:dyDescent="0.3">
      <c r="A88" s="75">
        <v>3</v>
      </c>
      <c r="B88" s="127" t="s">
        <v>4838</v>
      </c>
      <c r="C88" s="124" t="s">
        <v>4760</v>
      </c>
      <c r="D88" s="76" t="s">
        <v>82</v>
      </c>
      <c r="E88" s="65">
        <v>1</v>
      </c>
      <c r="F88" s="66">
        <v>5180</v>
      </c>
      <c r="G88" s="67">
        <f t="shared" si="6"/>
        <v>5180</v>
      </c>
      <c r="H88" s="68">
        <f t="shared" si="7"/>
        <v>6216</v>
      </c>
      <c r="I88" s="126" t="s">
        <v>4845</v>
      </c>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si="6"/>
        <v>0</v>
      </c>
      <c r="H106" s="68">
        <f t="shared" si="7"/>
        <v>0</v>
      </c>
      <c r="I106" s="69"/>
    </row>
    <row r="107" spans="1:9" x14ac:dyDescent="0.3">
      <c r="A107" s="75">
        <v>22</v>
      </c>
      <c r="B107" s="64"/>
      <c r="C107" s="64"/>
      <c r="D107" s="76" t="s">
        <v>82</v>
      </c>
      <c r="E107" s="65">
        <v>0</v>
      </c>
      <c r="F107" s="66">
        <v>0</v>
      </c>
      <c r="G107" s="67">
        <f t="shared" si="6"/>
        <v>0</v>
      </c>
      <c r="H107" s="68">
        <f t="shared" si="7"/>
        <v>0</v>
      </c>
      <c r="I107" s="69"/>
    </row>
    <row r="108" spans="1:9" x14ac:dyDescent="0.3">
      <c r="A108" s="75">
        <v>23</v>
      </c>
      <c r="B108" s="64"/>
      <c r="C108" s="64"/>
      <c r="D108" s="76" t="s">
        <v>82</v>
      </c>
      <c r="E108" s="65">
        <v>0</v>
      </c>
      <c r="F108" s="66">
        <v>0</v>
      </c>
      <c r="G108" s="67">
        <f t="shared" si="6"/>
        <v>0</v>
      </c>
      <c r="H108" s="68">
        <f t="shared" si="7"/>
        <v>0</v>
      </c>
      <c r="I108" s="69"/>
    </row>
    <row r="109" spans="1:9" x14ac:dyDescent="0.3">
      <c r="A109" s="75">
        <v>24</v>
      </c>
      <c r="B109" s="64"/>
      <c r="C109" s="64"/>
      <c r="D109" s="76" t="s">
        <v>82</v>
      </c>
      <c r="E109" s="65">
        <v>0</v>
      </c>
      <c r="F109" s="66">
        <v>0</v>
      </c>
      <c r="G109" s="67">
        <f t="shared" si="6"/>
        <v>0</v>
      </c>
      <c r="H109" s="68">
        <f t="shared" si="7"/>
        <v>0</v>
      </c>
      <c r="I109" s="69"/>
    </row>
    <row r="110" spans="1:9" x14ac:dyDescent="0.3">
      <c r="A110" s="75">
        <v>25</v>
      </c>
      <c r="B110" s="64"/>
      <c r="C110" s="64"/>
      <c r="D110" s="76" t="s">
        <v>82</v>
      </c>
      <c r="E110" s="65">
        <v>0</v>
      </c>
      <c r="F110" s="66">
        <v>0</v>
      </c>
      <c r="G110" s="67">
        <f t="shared" si="6"/>
        <v>0</v>
      </c>
      <c r="H110" s="68">
        <f t="shared" si="7"/>
        <v>0</v>
      </c>
      <c r="I110" s="69"/>
    </row>
    <row r="111" spans="1:9" x14ac:dyDescent="0.3">
      <c r="A111" s="75">
        <v>26</v>
      </c>
      <c r="B111" s="64"/>
      <c r="C111" s="64"/>
      <c r="D111" s="76" t="s">
        <v>82</v>
      </c>
      <c r="E111" s="65">
        <v>0</v>
      </c>
      <c r="F111" s="66">
        <v>0</v>
      </c>
      <c r="G111" s="67">
        <f t="shared" si="6"/>
        <v>0</v>
      </c>
      <c r="H111" s="68">
        <f t="shared" si="7"/>
        <v>0</v>
      </c>
      <c r="I111" s="69"/>
    </row>
    <row r="112" spans="1:9" x14ac:dyDescent="0.3">
      <c r="A112" s="75">
        <v>27</v>
      </c>
      <c r="B112" s="64"/>
      <c r="C112" s="64"/>
      <c r="D112" s="76" t="s">
        <v>82</v>
      </c>
      <c r="E112" s="65">
        <v>0</v>
      </c>
      <c r="F112" s="66">
        <v>0</v>
      </c>
      <c r="G112" s="67">
        <f t="shared" si="6"/>
        <v>0</v>
      </c>
      <c r="H112" s="68">
        <f t="shared" si="7"/>
        <v>0</v>
      </c>
      <c r="I112" s="69"/>
    </row>
    <row r="113" spans="1:9" x14ac:dyDescent="0.3">
      <c r="A113" s="75">
        <v>28</v>
      </c>
      <c r="B113" s="64"/>
      <c r="C113" s="64"/>
      <c r="D113" s="76" t="s">
        <v>82</v>
      </c>
      <c r="E113" s="65">
        <v>0</v>
      </c>
      <c r="F113" s="66">
        <v>0</v>
      </c>
      <c r="G113" s="67">
        <f t="shared" si="6"/>
        <v>0</v>
      </c>
      <c r="H113" s="68">
        <f t="shared" si="7"/>
        <v>0</v>
      </c>
      <c r="I113" s="69"/>
    </row>
    <row r="114" spans="1:9" x14ac:dyDescent="0.3">
      <c r="A114" s="75">
        <v>29</v>
      </c>
      <c r="B114" s="64"/>
      <c r="C114" s="64"/>
      <c r="D114" s="76" t="s">
        <v>82</v>
      </c>
      <c r="E114" s="65">
        <v>0</v>
      </c>
      <c r="F114" s="66">
        <v>0</v>
      </c>
      <c r="G114" s="67">
        <f t="shared" si="6"/>
        <v>0</v>
      </c>
      <c r="H114" s="68">
        <f t="shared" si="7"/>
        <v>0</v>
      </c>
      <c r="I114" s="69"/>
    </row>
    <row r="115" spans="1:9" x14ac:dyDescent="0.3">
      <c r="A115" s="75">
        <v>30</v>
      </c>
      <c r="B115" s="64"/>
      <c r="C115" s="64"/>
      <c r="D115" s="76" t="s">
        <v>82</v>
      </c>
      <c r="E115" s="65">
        <v>0</v>
      </c>
      <c r="F115" s="66">
        <v>0</v>
      </c>
      <c r="G115" s="67">
        <f t="shared" si="6"/>
        <v>0</v>
      </c>
      <c r="H115" s="68">
        <f t="shared" si="7"/>
        <v>0</v>
      </c>
      <c r="I115" s="69"/>
    </row>
    <row r="116" spans="1:9" x14ac:dyDescent="0.3">
      <c r="A116" s="75">
        <v>31</v>
      </c>
      <c r="B116" s="64"/>
      <c r="C116" s="64"/>
      <c r="D116" s="76" t="s">
        <v>82</v>
      </c>
      <c r="E116" s="65">
        <v>0</v>
      </c>
      <c r="F116" s="66">
        <v>0</v>
      </c>
      <c r="G116" s="67">
        <f t="shared" si="6"/>
        <v>0</v>
      </c>
      <c r="H116" s="68">
        <f t="shared" si="7"/>
        <v>0</v>
      </c>
      <c r="I116" s="69"/>
    </row>
    <row r="117" spans="1:9" x14ac:dyDescent="0.3">
      <c r="A117" s="75">
        <v>32</v>
      </c>
      <c r="B117" s="64"/>
      <c r="C117" s="64"/>
      <c r="D117" s="76" t="s">
        <v>82</v>
      </c>
      <c r="E117" s="65">
        <v>0</v>
      </c>
      <c r="F117" s="66">
        <v>0</v>
      </c>
      <c r="G117" s="67">
        <f t="shared" si="6"/>
        <v>0</v>
      </c>
      <c r="H117" s="68">
        <f t="shared" si="7"/>
        <v>0</v>
      </c>
      <c r="I117" s="69"/>
    </row>
    <row r="118" spans="1:9" x14ac:dyDescent="0.3">
      <c r="A118" s="75">
        <v>33</v>
      </c>
      <c r="B118" s="64"/>
      <c r="C118" s="64"/>
      <c r="D118" s="76" t="s">
        <v>82</v>
      </c>
      <c r="E118" s="65">
        <v>0</v>
      </c>
      <c r="F118" s="66">
        <v>0</v>
      </c>
      <c r="G118" s="67">
        <f t="shared" si="6"/>
        <v>0</v>
      </c>
      <c r="H118" s="68">
        <f t="shared" si="7"/>
        <v>0</v>
      </c>
      <c r="I118" s="69"/>
    </row>
    <row r="119" spans="1:9" x14ac:dyDescent="0.3">
      <c r="A119" s="75">
        <v>34</v>
      </c>
      <c r="B119" s="64"/>
      <c r="C119" s="64"/>
      <c r="D119" s="76" t="s">
        <v>82</v>
      </c>
      <c r="E119" s="65">
        <v>0</v>
      </c>
      <c r="F119" s="66">
        <v>0</v>
      </c>
      <c r="G119" s="67">
        <f t="shared" si="6"/>
        <v>0</v>
      </c>
      <c r="H119" s="68">
        <f t="shared" si="7"/>
        <v>0</v>
      </c>
      <c r="I119" s="69"/>
    </row>
    <row r="120" spans="1:9" x14ac:dyDescent="0.3">
      <c r="A120" s="75">
        <v>35</v>
      </c>
      <c r="B120" s="64"/>
      <c r="C120" s="64"/>
      <c r="D120" s="76" t="s">
        <v>82</v>
      </c>
      <c r="E120" s="65">
        <v>0</v>
      </c>
      <c r="F120" s="66">
        <v>0</v>
      </c>
      <c r="G120" s="67">
        <f t="shared" si="6"/>
        <v>0</v>
      </c>
      <c r="H120" s="68">
        <f t="shared" si="7"/>
        <v>0</v>
      </c>
      <c r="I120" s="69"/>
    </row>
    <row r="121" spans="1:9" x14ac:dyDescent="0.3">
      <c r="A121" s="75">
        <v>36</v>
      </c>
      <c r="B121" s="64"/>
      <c r="C121" s="64"/>
      <c r="D121" s="76" t="s">
        <v>82</v>
      </c>
      <c r="E121" s="65">
        <v>0</v>
      </c>
      <c r="F121" s="66">
        <v>0</v>
      </c>
      <c r="G121" s="67">
        <f t="shared" si="6"/>
        <v>0</v>
      </c>
      <c r="H121" s="68">
        <f t="shared" si="7"/>
        <v>0</v>
      </c>
      <c r="I121" s="69"/>
    </row>
    <row r="122" spans="1:9" x14ac:dyDescent="0.3">
      <c r="A122" s="75">
        <v>37</v>
      </c>
      <c r="B122" s="64"/>
      <c r="C122" s="64"/>
      <c r="D122" s="76" t="s">
        <v>82</v>
      </c>
      <c r="E122" s="65">
        <v>0</v>
      </c>
      <c r="F122" s="66">
        <v>0</v>
      </c>
      <c r="G122" s="67">
        <f t="shared" si="6"/>
        <v>0</v>
      </c>
      <c r="H122" s="68">
        <f t="shared" si="7"/>
        <v>0</v>
      </c>
      <c r="I122" s="69"/>
    </row>
    <row r="123" spans="1:9" x14ac:dyDescent="0.3">
      <c r="A123" s="75">
        <v>38</v>
      </c>
      <c r="B123" s="64"/>
      <c r="C123" s="64"/>
      <c r="D123" s="76" t="s">
        <v>82</v>
      </c>
      <c r="E123" s="65">
        <v>0</v>
      </c>
      <c r="F123" s="66">
        <v>0</v>
      </c>
      <c r="G123" s="67">
        <f t="shared" si="6"/>
        <v>0</v>
      </c>
      <c r="H123" s="68">
        <f t="shared" si="7"/>
        <v>0</v>
      </c>
      <c r="I123" s="69"/>
    </row>
    <row r="124" spans="1:9" x14ac:dyDescent="0.3">
      <c r="A124" s="75">
        <v>39</v>
      </c>
      <c r="B124" s="64"/>
      <c r="C124" s="64"/>
      <c r="D124" s="76" t="s">
        <v>82</v>
      </c>
      <c r="E124" s="65">
        <v>0</v>
      </c>
      <c r="F124" s="66">
        <v>0</v>
      </c>
      <c r="G124" s="67">
        <f t="shared" si="6"/>
        <v>0</v>
      </c>
      <c r="H124" s="68">
        <f t="shared" si="7"/>
        <v>0</v>
      </c>
      <c r="I124" s="69"/>
    </row>
    <row r="125" spans="1:9" x14ac:dyDescent="0.3">
      <c r="A125" s="75">
        <v>40</v>
      </c>
      <c r="B125" s="64"/>
      <c r="C125" s="64"/>
      <c r="D125" s="76" t="s">
        <v>82</v>
      </c>
      <c r="E125" s="65">
        <v>0</v>
      </c>
      <c r="F125" s="66">
        <v>0</v>
      </c>
      <c r="G125" s="67">
        <f t="shared" si="6"/>
        <v>0</v>
      </c>
      <c r="H125" s="68">
        <f t="shared" si="7"/>
        <v>0</v>
      </c>
      <c r="I125" s="69"/>
    </row>
    <row r="126" spans="1:9" ht="32.25" customHeight="1" x14ac:dyDescent="0.3">
      <c r="A126" s="263" t="s">
        <v>83</v>
      </c>
      <c r="B126" s="131"/>
      <c r="C126" s="96"/>
      <c r="D126" s="96"/>
      <c r="E126" s="71"/>
      <c r="F126" s="72"/>
      <c r="G126" s="73">
        <f>SUM(G86:G125)</f>
        <v>24960</v>
      </c>
      <c r="H126" s="74">
        <f>SUM(H86:H125)</f>
        <v>29952</v>
      </c>
      <c r="I126" s="96"/>
    </row>
    <row r="127" spans="1:9" ht="28.5" customHeight="1" x14ac:dyDescent="0.3">
      <c r="A127" s="7"/>
      <c r="B127" s="264" t="s">
        <v>84</v>
      </c>
      <c r="C127" s="133"/>
      <c r="D127" s="133"/>
      <c r="E127" s="133"/>
      <c r="F127" s="133"/>
      <c r="G127" s="133"/>
      <c r="H127" s="133"/>
      <c r="I127" s="131"/>
    </row>
    <row r="128" spans="1:9" ht="172.8" x14ac:dyDescent="0.3">
      <c r="A128" s="75">
        <v>1</v>
      </c>
      <c r="B128" s="117" t="s">
        <v>4765</v>
      </c>
      <c r="C128" s="120" t="s">
        <v>4794</v>
      </c>
      <c r="D128" s="76" t="s">
        <v>82</v>
      </c>
      <c r="E128" s="65">
        <v>52</v>
      </c>
      <c r="F128" s="66">
        <v>107.65</v>
      </c>
      <c r="G128" s="67">
        <f t="shared" ref="G128:G159" si="8">E128*F128</f>
        <v>5597.8</v>
      </c>
      <c r="H128" s="68">
        <f t="shared" ref="H128:H159" si="9">G128*1.2</f>
        <v>6717.36</v>
      </c>
      <c r="I128" s="128" t="s">
        <v>4864</v>
      </c>
    </row>
    <row r="129" spans="1:9" ht="144" x14ac:dyDescent="0.3">
      <c r="A129" s="75">
        <v>2</v>
      </c>
      <c r="B129" s="117" t="s">
        <v>4766</v>
      </c>
      <c r="C129" s="120" t="s">
        <v>4795</v>
      </c>
      <c r="D129" s="76" t="s">
        <v>82</v>
      </c>
      <c r="E129" s="65">
        <v>4</v>
      </c>
      <c r="F129" s="66">
        <v>116.85</v>
      </c>
      <c r="G129" s="67">
        <f t="shared" si="8"/>
        <v>467.4</v>
      </c>
      <c r="H129" s="68">
        <f t="shared" si="9"/>
        <v>560.88</v>
      </c>
      <c r="I129" s="128" t="s">
        <v>4865</v>
      </c>
    </row>
    <row r="130" spans="1:9" ht="100.8" x14ac:dyDescent="0.3">
      <c r="A130" s="75">
        <v>3</v>
      </c>
      <c r="B130" s="117" t="s">
        <v>4767</v>
      </c>
      <c r="C130" s="120" t="s">
        <v>4796</v>
      </c>
      <c r="D130" s="76" t="s">
        <v>82</v>
      </c>
      <c r="E130" s="65">
        <v>34</v>
      </c>
      <c r="F130" s="66">
        <v>89.9</v>
      </c>
      <c r="G130" s="67">
        <f t="shared" si="8"/>
        <v>3056.6000000000004</v>
      </c>
      <c r="H130" s="68">
        <f t="shared" si="9"/>
        <v>3667.9200000000005</v>
      </c>
      <c r="I130" s="128" t="s">
        <v>4866</v>
      </c>
    </row>
    <row r="131" spans="1:9" ht="129.6" x14ac:dyDescent="0.3">
      <c r="A131" s="75">
        <v>4</v>
      </c>
      <c r="B131" s="117" t="s">
        <v>4768</v>
      </c>
      <c r="C131" s="120" t="s">
        <v>4797</v>
      </c>
      <c r="D131" s="76" t="s">
        <v>82</v>
      </c>
      <c r="E131" s="65">
        <v>34</v>
      </c>
      <c r="F131" s="66">
        <v>56.9</v>
      </c>
      <c r="G131" s="67">
        <f t="shared" si="8"/>
        <v>1934.6</v>
      </c>
      <c r="H131" s="68">
        <f t="shared" si="9"/>
        <v>2321.52</v>
      </c>
      <c r="I131" s="128" t="s">
        <v>4867</v>
      </c>
    </row>
    <row r="132" spans="1:9" ht="72" x14ac:dyDescent="0.3">
      <c r="A132" s="75">
        <v>5</v>
      </c>
      <c r="B132" s="117" t="s">
        <v>4769</v>
      </c>
      <c r="C132" s="120" t="s">
        <v>4798</v>
      </c>
      <c r="D132" s="76" t="s">
        <v>82</v>
      </c>
      <c r="E132" s="65">
        <v>4</v>
      </c>
      <c r="F132" s="66">
        <v>132.5</v>
      </c>
      <c r="G132" s="67">
        <f t="shared" si="8"/>
        <v>530</v>
      </c>
      <c r="H132" s="68">
        <f t="shared" si="9"/>
        <v>636</v>
      </c>
      <c r="I132" s="128" t="s">
        <v>4868</v>
      </c>
    </row>
    <row r="133" spans="1:9" ht="230.4" x14ac:dyDescent="0.3">
      <c r="A133" s="75">
        <v>6</v>
      </c>
      <c r="B133" s="117" t="s">
        <v>4770</v>
      </c>
      <c r="C133" s="120" t="s">
        <v>4799</v>
      </c>
      <c r="D133" s="76" t="s">
        <v>82</v>
      </c>
      <c r="E133" s="65">
        <v>2</v>
      </c>
      <c r="F133" s="66">
        <v>394.15</v>
      </c>
      <c r="G133" s="67">
        <f t="shared" si="8"/>
        <v>788.3</v>
      </c>
      <c r="H133" s="68">
        <f t="shared" si="9"/>
        <v>945.95999999999992</v>
      </c>
      <c r="I133" s="128" t="s">
        <v>4869</v>
      </c>
    </row>
    <row r="134" spans="1:9" ht="115.2" x14ac:dyDescent="0.3">
      <c r="A134" s="75">
        <v>7</v>
      </c>
      <c r="B134" s="117" t="s">
        <v>4771</v>
      </c>
      <c r="C134" s="120" t="s">
        <v>4800</v>
      </c>
      <c r="D134" s="76" t="s">
        <v>82</v>
      </c>
      <c r="E134" s="65">
        <v>2</v>
      </c>
      <c r="F134" s="66">
        <v>140.82</v>
      </c>
      <c r="G134" s="67">
        <f t="shared" si="8"/>
        <v>281.64</v>
      </c>
      <c r="H134" s="68">
        <f t="shared" si="9"/>
        <v>337.96799999999996</v>
      </c>
      <c r="I134" s="128" t="s">
        <v>4870</v>
      </c>
    </row>
    <row r="135" spans="1:9" ht="144" x14ac:dyDescent="0.3">
      <c r="A135" s="75">
        <v>8</v>
      </c>
      <c r="B135" s="117" t="s">
        <v>4772</v>
      </c>
      <c r="C135" s="121" t="s">
        <v>4801</v>
      </c>
      <c r="D135" s="76" t="s">
        <v>82</v>
      </c>
      <c r="E135" s="65">
        <v>2</v>
      </c>
      <c r="F135" s="66">
        <v>392.8</v>
      </c>
      <c r="G135" s="67">
        <f t="shared" si="8"/>
        <v>785.6</v>
      </c>
      <c r="H135" s="68">
        <f t="shared" si="9"/>
        <v>942.72</v>
      </c>
      <c r="I135" s="128" t="s">
        <v>4871</v>
      </c>
    </row>
    <row r="136" spans="1:9" ht="43.2" x14ac:dyDescent="0.3">
      <c r="A136" s="75">
        <v>9</v>
      </c>
      <c r="B136" s="119" t="s">
        <v>4773</v>
      </c>
      <c r="C136" s="122" t="s">
        <v>4802</v>
      </c>
      <c r="D136" s="76" t="s">
        <v>82</v>
      </c>
      <c r="E136" s="65">
        <v>2</v>
      </c>
      <c r="F136" s="66">
        <v>240.83</v>
      </c>
      <c r="G136" s="67">
        <f t="shared" si="8"/>
        <v>481.66</v>
      </c>
      <c r="H136" s="68">
        <f t="shared" si="9"/>
        <v>577.99199999999996</v>
      </c>
      <c r="I136" s="128" t="s">
        <v>4872</v>
      </c>
    </row>
    <row r="137" spans="1:9" ht="244.8" x14ac:dyDescent="0.3">
      <c r="A137" s="75">
        <v>10</v>
      </c>
      <c r="B137" s="117" t="s">
        <v>4774</v>
      </c>
      <c r="C137" s="120" t="s">
        <v>4803</v>
      </c>
      <c r="D137" s="76" t="s">
        <v>82</v>
      </c>
      <c r="E137" s="65">
        <v>1</v>
      </c>
      <c r="F137" s="66">
        <v>304.8</v>
      </c>
      <c r="G137" s="67">
        <f t="shared" si="8"/>
        <v>304.8</v>
      </c>
      <c r="H137" s="68">
        <f t="shared" si="9"/>
        <v>365.76</v>
      </c>
      <c r="I137" s="128" t="s">
        <v>4873</v>
      </c>
    </row>
    <row r="138" spans="1:9" ht="187.2" x14ac:dyDescent="0.3">
      <c r="A138" s="75">
        <v>11</v>
      </c>
      <c r="B138" s="118" t="s">
        <v>4775</v>
      </c>
      <c r="C138" s="120" t="s">
        <v>4804</v>
      </c>
      <c r="D138" s="76" t="s">
        <v>82</v>
      </c>
      <c r="E138" s="65">
        <v>1</v>
      </c>
      <c r="F138" s="66">
        <v>290.85000000000002</v>
      </c>
      <c r="G138" s="67">
        <f t="shared" si="8"/>
        <v>290.85000000000002</v>
      </c>
      <c r="H138" s="68">
        <f t="shared" si="9"/>
        <v>349.02000000000004</v>
      </c>
      <c r="I138" s="128" t="s">
        <v>4874</v>
      </c>
    </row>
    <row r="139" spans="1:9" ht="172.8" x14ac:dyDescent="0.3">
      <c r="A139" s="75">
        <v>12</v>
      </c>
      <c r="B139" s="118" t="s">
        <v>4776</v>
      </c>
      <c r="C139" s="120" t="s">
        <v>4805</v>
      </c>
      <c r="D139" s="76" t="s">
        <v>82</v>
      </c>
      <c r="E139" s="65">
        <v>2</v>
      </c>
      <c r="F139" s="66">
        <v>139</v>
      </c>
      <c r="G139" s="67">
        <f t="shared" si="8"/>
        <v>278</v>
      </c>
      <c r="H139" s="68">
        <f t="shared" si="9"/>
        <v>333.59999999999997</v>
      </c>
      <c r="I139" s="128" t="s">
        <v>4875</v>
      </c>
    </row>
    <row r="140" spans="1:9" ht="187.2" x14ac:dyDescent="0.3">
      <c r="A140" s="75">
        <v>13</v>
      </c>
      <c r="B140" s="117" t="s">
        <v>4777</v>
      </c>
      <c r="C140" s="120" t="s">
        <v>4806</v>
      </c>
      <c r="D140" s="76" t="s">
        <v>82</v>
      </c>
      <c r="E140" s="65">
        <v>6</v>
      </c>
      <c r="F140" s="66">
        <v>86.1</v>
      </c>
      <c r="G140" s="67">
        <f t="shared" si="8"/>
        <v>516.59999999999991</v>
      </c>
      <c r="H140" s="68">
        <f t="shared" si="9"/>
        <v>619.91999999999985</v>
      </c>
      <c r="I140" s="128" t="s">
        <v>4876</v>
      </c>
    </row>
    <row r="141" spans="1:9" ht="144" x14ac:dyDescent="0.3">
      <c r="A141" s="75">
        <v>14</v>
      </c>
      <c r="B141" s="117" t="s">
        <v>4778</v>
      </c>
      <c r="C141" s="120" t="s">
        <v>4807</v>
      </c>
      <c r="D141" s="76" t="s">
        <v>82</v>
      </c>
      <c r="E141" s="65">
        <v>10</v>
      </c>
      <c r="F141" s="66">
        <v>57.05</v>
      </c>
      <c r="G141" s="67">
        <f t="shared" si="8"/>
        <v>570.5</v>
      </c>
      <c r="H141" s="68">
        <f t="shared" si="9"/>
        <v>684.6</v>
      </c>
      <c r="I141" s="128" t="s">
        <v>4877</v>
      </c>
    </row>
    <row r="142" spans="1:9" ht="100.8" x14ac:dyDescent="0.3">
      <c r="A142" s="75">
        <v>15</v>
      </c>
      <c r="B142" s="117" t="s">
        <v>4779</v>
      </c>
      <c r="C142" s="120" t="s">
        <v>4808</v>
      </c>
      <c r="D142" s="76" t="s">
        <v>82</v>
      </c>
      <c r="E142" s="65">
        <v>10</v>
      </c>
      <c r="F142" s="66">
        <v>41.95</v>
      </c>
      <c r="G142" s="67">
        <f t="shared" si="8"/>
        <v>419.5</v>
      </c>
      <c r="H142" s="68">
        <f t="shared" si="9"/>
        <v>503.4</v>
      </c>
      <c r="I142" s="69" t="s">
        <v>4823</v>
      </c>
    </row>
    <row r="143" spans="1:9" ht="100.8" x14ac:dyDescent="0.3">
      <c r="A143" s="75">
        <v>16</v>
      </c>
      <c r="B143" s="117" t="s">
        <v>4780</v>
      </c>
      <c r="C143" s="120" t="s">
        <v>4809</v>
      </c>
      <c r="D143" s="76" t="s">
        <v>82</v>
      </c>
      <c r="E143" s="65">
        <v>10</v>
      </c>
      <c r="F143" s="66">
        <v>49.95</v>
      </c>
      <c r="G143" s="67">
        <f t="shared" si="8"/>
        <v>499.5</v>
      </c>
      <c r="H143" s="68">
        <f t="shared" si="9"/>
        <v>599.4</v>
      </c>
      <c r="I143" s="128" t="s">
        <v>4878</v>
      </c>
    </row>
    <row r="144" spans="1:9" ht="100.8" x14ac:dyDescent="0.3">
      <c r="A144" s="75">
        <v>17</v>
      </c>
      <c r="B144" s="117" t="s">
        <v>4781</v>
      </c>
      <c r="C144" s="120" t="s">
        <v>4810</v>
      </c>
      <c r="D144" s="76" t="s">
        <v>82</v>
      </c>
      <c r="E144" s="65">
        <v>6</v>
      </c>
      <c r="F144" s="66">
        <v>99.17</v>
      </c>
      <c r="G144" s="67">
        <f t="shared" si="8"/>
        <v>595.02</v>
      </c>
      <c r="H144" s="68">
        <f t="shared" si="9"/>
        <v>714.024</v>
      </c>
      <c r="I144" s="128" t="s">
        <v>4879</v>
      </c>
    </row>
    <row r="145" spans="1:9" ht="187.2" x14ac:dyDescent="0.3">
      <c r="A145" s="75">
        <v>18</v>
      </c>
      <c r="B145" s="117" t="s">
        <v>4782</v>
      </c>
      <c r="C145" s="120" t="s">
        <v>4811</v>
      </c>
      <c r="D145" s="76" t="s">
        <v>82</v>
      </c>
      <c r="E145" s="65">
        <v>4</v>
      </c>
      <c r="F145" s="66">
        <v>332.6</v>
      </c>
      <c r="G145" s="67">
        <f t="shared" si="8"/>
        <v>1330.4</v>
      </c>
      <c r="H145" s="68">
        <f t="shared" si="9"/>
        <v>1596.48</v>
      </c>
      <c r="I145" s="128" t="s">
        <v>4880</v>
      </c>
    </row>
    <row r="146" spans="1:9" ht="172.8" x14ac:dyDescent="0.3">
      <c r="A146" s="75">
        <v>19</v>
      </c>
      <c r="B146" s="117" t="s">
        <v>4783</v>
      </c>
      <c r="C146" s="120" t="s">
        <v>4812</v>
      </c>
      <c r="D146" s="76" t="s">
        <v>82</v>
      </c>
      <c r="E146" s="65">
        <v>1</v>
      </c>
      <c r="F146" s="66">
        <v>1550.75</v>
      </c>
      <c r="G146" s="67">
        <f t="shared" si="8"/>
        <v>1550.75</v>
      </c>
      <c r="H146" s="68">
        <f t="shared" si="9"/>
        <v>1860.8999999999999</v>
      </c>
      <c r="I146" s="128" t="s">
        <v>4881</v>
      </c>
    </row>
    <row r="147" spans="1:9" ht="129.6" x14ac:dyDescent="0.3">
      <c r="A147" s="75">
        <v>20</v>
      </c>
      <c r="B147" s="117" t="s">
        <v>4784</v>
      </c>
      <c r="C147" s="120" t="s">
        <v>4813</v>
      </c>
      <c r="D147" s="76" t="s">
        <v>82</v>
      </c>
      <c r="E147" s="65">
        <v>2</v>
      </c>
      <c r="F147" s="66">
        <v>979.15</v>
      </c>
      <c r="G147" s="67">
        <f t="shared" si="8"/>
        <v>1958.3</v>
      </c>
      <c r="H147" s="68">
        <f t="shared" si="9"/>
        <v>2349.96</v>
      </c>
      <c r="I147" s="128" t="s">
        <v>4882</v>
      </c>
    </row>
    <row r="148" spans="1:9" ht="115.2" x14ac:dyDescent="0.3">
      <c r="A148" s="75">
        <v>21</v>
      </c>
      <c r="B148" s="117" t="s">
        <v>4785</v>
      </c>
      <c r="C148" s="123" t="s">
        <v>4814</v>
      </c>
      <c r="D148" s="76" t="s">
        <v>82</v>
      </c>
      <c r="E148" s="65">
        <v>8</v>
      </c>
      <c r="F148" s="66">
        <v>173.65</v>
      </c>
      <c r="G148" s="67">
        <f t="shared" si="8"/>
        <v>1389.2</v>
      </c>
      <c r="H148" s="68">
        <f t="shared" si="9"/>
        <v>1667.04</v>
      </c>
      <c r="I148" s="129" t="s">
        <v>4883</v>
      </c>
    </row>
    <row r="149" spans="1:9" ht="86.4" x14ac:dyDescent="0.3">
      <c r="A149" s="75">
        <v>22</v>
      </c>
      <c r="B149" s="117" t="s">
        <v>4786</v>
      </c>
      <c r="C149" s="123" t="s">
        <v>4815</v>
      </c>
      <c r="D149" s="76" t="s">
        <v>82</v>
      </c>
      <c r="E149" s="65">
        <v>8</v>
      </c>
      <c r="F149" s="66">
        <v>242.65</v>
      </c>
      <c r="G149" s="67">
        <f t="shared" si="8"/>
        <v>1941.2</v>
      </c>
      <c r="H149" s="68">
        <f t="shared" si="9"/>
        <v>2329.44</v>
      </c>
      <c r="I149" s="129" t="s">
        <v>4884</v>
      </c>
    </row>
    <row r="150" spans="1:9" ht="216" x14ac:dyDescent="0.3">
      <c r="A150" s="75">
        <v>23</v>
      </c>
      <c r="B150" s="117" t="s">
        <v>4787</v>
      </c>
      <c r="C150" s="120" t="s">
        <v>4816</v>
      </c>
      <c r="D150" s="76" t="s">
        <v>82</v>
      </c>
      <c r="E150" s="65">
        <v>1</v>
      </c>
      <c r="F150" s="66">
        <v>395.45</v>
      </c>
      <c r="G150" s="67">
        <f t="shared" si="8"/>
        <v>395.45</v>
      </c>
      <c r="H150" s="68">
        <f t="shared" si="9"/>
        <v>474.53999999999996</v>
      </c>
      <c r="I150" s="129" t="s">
        <v>4885</v>
      </c>
    </row>
    <row r="151" spans="1:9" ht="158.4" x14ac:dyDescent="0.3">
      <c r="A151" s="75">
        <v>24</v>
      </c>
      <c r="B151" s="117" t="s">
        <v>4788</v>
      </c>
      <c r="C151" s="120" t="s">
        <v>4817</v>
      </c>
      <c r="D151" s="76" t="s">
        <v>82</v>
      </c>
      <c r="E151" s="65">
        <v>6</v>
      </c>
      <c r="F151" s="66">
        <v>122.35</v>
      </c>
      <c r="G151" s="67">
        <f t="shared" si="8"/>
        <v>734.09999999999991</v>
      </c>
      <c r="H151" s="68">
        <f t="shared" si="9"/>
        <v>880.91999999999985</v>
      </c>
      <c r="I151" s="129" t="s">
        <v>4886</v>
      </c>
    </row>
    <row r="152" spans="1:9" ht="144" x14ac:dyDescent="0.3">
      <c r="A152" s="75">
        <v>25</v>
      </c>
      <c r="B152" s="117" t="s">
        <v>4789</v>
      </c>
      <c r="C152" s="120" t="s">
        <v>4818</v>
      </c>
      <c r="D152" s="76" t="s">
        <v>82</v>
      </c>
      <c r="E152" s="65">
        <v>1</v>
      </c>
      <c r="F152" s="66">
        <v>375.5</v>
      </c>
      <c r="G152" s="67">
        <f t="shared" si="8"/>
        <v>375.5</v>
      </c>
      <c r="H152" s="68">
        <f t="shared" si="9"/>
        <v>450.59999999999997</v>
      </c>
      <c r="I152" s="129" t="s">
        <v>4887</v>
      </c>
    </row>
    <row r="153" spans="1:9" ht="129.6" x14ac:dyDescent="0.3">
      <c r="A153" s="75">
        <v>26</v>
      </c>
      <c r="B153" s="118" t="s">
        <v>4790</v>
      </c>
      <c r="C153" s="120" t="s">
        <v>4819</v>
      </c>
      <c r="D153" s="76" t="s">
        <v>82</v>
      </c>
      <c r="E153" s="65">
        <v>2</v>
      </c>
      <c r="F153" s="66">
        <v>467.7</v>
      </c>
      <c r="G153" s="67">
        <f t="shared" si="8"/>
        <v>935.4</v>
      </c>
      <c r="H153" s="68">
        <f t="shared" si="9"/>
        <v>1122.48</v>
      </c>
      <c r="I153" s="129" t="s">
        <v>4888</v>
      </c>
    </row>
    <row r="154" spans="1:9" ht="144" x14ac:dyDescent="0.3">
      <c r="A154" s="75">
        <v>27</v>
      </c>
      <c r="B154" s="117" t="s">
        <v>4791</v>
      </c>
      <c r="C154" s="120" t="s">
        <v>4820</v>
      </c>
      <c r="D154" s="76" t="s">
        <v>82</v>
      </c>
      <c r="E154" s="65">
        <v>2</v>
      </c>
      <c r="F154" s="66">
        <v>299.8</v>
      </c>
      <c r="G154" s="67">
        <f t="shared" si="8"/>
        <v>599.6</v>
      </c>
      <c r="H154" s="68">
        <f t="shared" si="9"/>
        <v>719.52</v>
      </c>
      <c r="I154" s="129" t="s">
        <v>4889</v>
      </c>
    </row>
    <row r="155" spans="1:9" ht="158.4" x14ac:dyDescent="0.3">
      <c r="A155" s="75">
        <v>28</v>
      </c>
      <c r="B155" s="117" t="s">
        <v>4792</v>
      </c>
      <c r="C155" s="120" t="s">
        <v>4821</v>
      </c>
      <c r="D155" s="76" t="s">
        <v>82</v>
      </c>
      <c r="E155" s="65">
        <v>3</v>
      </c>
      <c r="F155" s="66">
        <v>253.05</v>
      </c>
      <c r="G155" s="67">
        <f t="shared" si="8"/>
        <v>759.15000000000009</v>
      </c>
      <c r="H155" s="68">
        <f t="shared" si="9"/>
        <v>910.98000000000013</v>
      </c>
      <c r="I155" s="129" t="s">
        <v>4890</v>
      </c>
    </row>
    <row r="156" spans="1:9" ht="172.8" x14ac:dyDescent="0.3">
      <c r="A156" s="75">
        <v>29</v>
      </c>
      <c r="B156" s="117" t="s">
        <v>4793</v>
      </c>
      <c r="C156" s="120" t="s">
        <v>4822</v>
      </c>
      <c r="D156" s="76" t="s">
        <v>82</v>
      </c>
      <c r="E156" s="65">
        <v>1</v>
      </c>
      <c r="F156" s="66">
        <v>3337.15</v>
      </c>
      <c r="G156" s="67">
        <f t="shared" si="8"/>
        <v>3337.15</v>
      </c>
      <c r="H156" s="68">
        <f t="shared" si="9"/>
        <v>4004.58</v>
      </c>
      <c r="I156" s="129" t="s">
        <v>4891</v>
      </c>
    </row>
    <row r="157" spans="1:9" x14ac:dyDescent="0.3">
      <c r="A157" s="75">
        <v>30</v>
      </c>
      <c r="B157" s="70"/>
      <c r="C157" s="70"/>
      <c r="D157" s="76" t="s">
        <v>82</v>
      </c>
      <c r="E157" s="65">
        <v>0</v>
      </c>
      <c r="F157" s="66">
        <v>0</v>
      </c>
      <c r="G157" s="67">
        <f t="shared" si="8"/>
        <v>0</v>
      </c>
      <c r="H157" s="68">
        <f t="shared" si="9"/>
        <v>0</v>
      </c>
      <c r="I157" s="77"/>
    </row>
    <row r="158" spans="1:9" x14ac:dyDescent="0.3">
      <c r="A158" s="75">
        <v>31</v>
      </c>
      <c r="B158" s="70"/>
      <c r="C158" s="70"/>
      <c r="D158" s="76" t="s">
        <v>82</v>
      </c>
      <c r="E158" s="65">
        <v>0</v>
      </c>
      <c r="F158" s="66">
        <v>0</v>
      </c>
      <c r="G158" s="67">
        <f t="shared" si="8"/>
        <v>0</v>
      </c>
      <c r="H158" s="68">
        <f t="shared" si="9"/>
        <v>0</v>
      </c>
      <c r="I158" s="77"/>
    </row>
    <row r="159" spans="1:9" x14ac:dyDescent="0.3">
      <c r="A159" s="75">
        <v>32</v>
      </c>
      <c r="B159" s="70"/>
      <c r="C159" s="70"/>
      <c r="D159" s="76" t="s">
        <v>82</v>
      </c>
      <c r="E159" s="65">
        <v>0</v>
      </c>
      <c r="F159" s="66">
        <v>0</v>
      </c>
      <c r="G159" s="67">
        <f t="shared" si="8"/>
        <v>0</v>
      </c>
      <c r="H159" s="68">
        <f t="shared" si="9"/>
        <v>0</v>
      </c>
      <c r="I159" s="77"/>
    </row>
    <row r="160" spans="1:9" x14ac:dyDescent="0.3">
      <c r="A160" s="75">
        <v>33</v>
      </c>
      <c r="B160" s="70"/>
      <c r="C160" s="70"/>
      <c r="D160" s="76" t="s">
        <v>82</v>
      </c>
      <c r="E160" s="65">
        <v>0</v>
      </c>
      <c r="F160" s="66">
        <v>0</v>
      </c>
      <c r="G160" s="67">
        <f t="shared" ref="G160:G191" si="10">E160*F160</f>
        <v>0</v>
      </c>
      <c r="H160" s="68">
        <f t="shared" ref="H160:H191" si="11">G160*1.2</f>
        <v>0</v>
      </c>
      <c r="I160" s="77"/>
    </row>
    <row r="161" spans="1:9" x14ac:dyDescent="0.3">
      <c r="A161" s="75">
        <v>34</v>
      </c>
      <c r="B161" s="70"/>
      <c r="C161" s="70"/>
      <c r="D161" s="76" t="s">
        <v>82</v>
      </c>
      <c r="E161" s="65">
        <v>0</v>
      </c>
      <c r="F161" s="66">
        <v>0</v>
      </c>
      <c r="G161" s="67">
        <f t="shared" si="10"/>
        <v>0</v>
      </c>
      <c r="H161" s="68">
        <f t="shared" si="11"/>
        <v>0</v>
      </c>
      <c r="I161" s="77"/>
    </row>
    <row r="162" spans="1:9" x14ac:dyDescent="0.3">
      <c r="A162" s="75">
        <v>35</v>
      </c>
      <c r="B162" s="70"/>
      <c r="C162" s="70"/>
      <c r="D162" s="76" t="s">
        <v>82</v>
      </c>
      <c r="E162" s="65">
        <v>0</v>
      </c>
      <c r="F162" s="66">
        <v>0</v>
      </c>
      <c r="G162" s="67">
        <f t="shared" si="10"/>
        <v>0</v>
      </c>
      <c r="H162" s="68">
        <f t="shared" si="11"/>
        <v>0</v>
      </c>
      <c r="I162" s="77"/>
    </row>
    <row r="163" spans="1:9" x14ac:dyDescent="0.3">
      <c r="A163" s="75">
        <v>36</v>
      </c>
      <c r="B163" s="70"/>
      <c r="C163" s="70"/>
      <c r="D163" s="76" t="s">
        <v>82</v>
      </c>
      <c r="E163" s="65">
        <v>0</v>
      </c>
      <c r="F163" s="66">
        <v>0</v>
      </c>
      <c r="G163" s="67">
        <f t="shared" si="10"/>
        <v>0</v>
      </c>
      <c r="H163" s="68">
        <f t="shared" si="11"/>
        <v>0</v>
      </c>
      <c r="I163" s="77"/>
    </row>
    <row r="164" spans="1:9" x14ac:dyDescent="0.3">
      <c r="A164" s="75">
        <v>37</v>
      </c>
      <c r="B164" s="70"/>
      <c r="C164" s="70"/>
      <c r="D164" s="76" t="s">
        <v>82</v>
      </c>
      <c r="E164" s="65">
        <v>0</v>
      </c>
      <c r="F164" s="66">
        <v>0</v>
      </c>
      <c r="G164" s="67">
        <f t="shared" si="10"/>
        <v>0</v>
      </c>
      <c r="H164" s="68">
        <f t="shared" si="11"/>
        <v>0</v>
      </c>
      <c r="I164" s="77"/>
    </row>
    <row r="165" spans="1:9" x14ac:dyDescent="0.3">
      <c r="A165" s="75">
        <v>38</v>
      </c>
      <c r="B165" s="70"/>
      <c r="C165" s="70"/>
      <c r="D165" s="76" t="s">
        <v>82</v>
      </c>
      <c r="E165" s="65">
        <v>0</v>
      </c>
      <c r="F165" s="66">
        <v>0</v>
      </c>
      <c r="G165" s="67">
        <f t="shared" si="10"/>
        <v>0</v>
      </c>
      <c r="H165" s="68">
        <f t="shared" si="11"/>
        <v>0</v>
      </c>
      <c r="I165" s="77"/>
    </row>
    <row r="166" spans="1:9" x14ac:dyDescent="0.3">
      <c r="A166" s="75">
        <v>39</v>
      </c>
      <c r="B166" s="70"/>
      <c r="C166" s="70"/>
      <c r="D166" s="76" t="s">
        <v>82</v>
      </c>
      <c r="E166" s="65">
        <v>0</v>
      </c>
      <c r="F166" s="66">
        <v>0</v>
      </c>
      <c r="G166" s="67">
        <f t="shared" si="10"/>
        <v>0</v>
      </c>
      <c r="H166" s="68">
        <f t="shared" si="11"/>
        <v>0</v>
      </c>
      <c r="I166" s="77"/>
    </row>
    <row r="167" spans="1:9" x14ac:dyDescent="0.3">
      <c r="A167" s="75">
        <v>40</v>
      </c>
      <c r="B167" s="70"/>
      <c r="C167" s="70"/>
      <c r="D167" s="76" t="s">
        <v>82</v>
      </c>
      <c r="E167" s="65">
        <v>0</v>
      </c>
      <c r="F167" s="66">
        <v>0</v>
      </c>
      <c r="G167" s="67">
        <f t="shared" si="10"/>
        <v>0</v>
      </c>
      <c r="H167" s="68">
        <f t="shared" si="11"/>
        <v>0</v>
      </c>
      <c r="I167" s="77"/>
    </row>
    <row r="168" spans="1:9" x14ac:dyDescent="0.3">
      <c r="A168" s="75">
        <v>41</v>
      </c>
      <c r="B168" s="70"/>
      <c r="C168" s="70"/>
      <c r="D168" s="76" t="s">
        <v>82</v>
      </c>
      <c r="E168" s="65">
        <v>0</v>
      </c>
      <c r="F168" s="66">
        <v>0</v>
      </c>
      <c r="G168" s="67">
        <f t="shared" si="10"/>
        <v>0</v>
      </c>
      <c r="H168" s="68">
        <f t="shared" si="11"/>
        <v>0</v>
      </c>
      <c r="I168" s="77"/>
    </row>
    <row r="169" spans="1:9" x14ac:dyDescent="0.3">
      <c r="A169" s="75">
        <v>42</v>
      </c>
      <c r="B169" s="70"/>
      <c r="C169" s="70"/>
      <c r="D169" s="76" t="s">
        <v>82</v>
      </c>
      <c r="E169" s="65">
        <v>0</v>
      </c>
      <c r="F169" s="66">
        <v>0</v>
      </c>
      <c r="G169" s="67">
        <f t="shared" si="10"/>
        <v>0</v>
      </c>
      <c r="H169" s="68">
        <f t="shared" si="11"/>
        <v>0</v>
      </c>
      <c r="I169" s="77"/>
    </row>
    <row r="170" spans="1:9" x14ac:dyDescent="0.3">
      <c r="A170" s="75">
        <v>43</v>
      </c>
      <c r="B170" s="70"/>
      <c r="C170" s="70"/>
      <c r="D170" s="76" t="s">
        <v>82</v>
      </c>
      <c r="E170" s="65">
        <v>0</v>
      </c>
      <c r="F170" s="66">
        <v>0</v>
      </c>
      <c r="G170" s="67">
        <f t="shared" si="10"/>
        <v>0</v>
      </c>
      <c r="H170" s="68">
        <f t="shared" si="11"/>
        <v>0</v>
      </c>
      <c r="I170" s="77"/>
    </row>
    <row r="171" spans="1:9" x14ac:dyDescent="0.3">
      <c r="A171" s="75">
        <v>44</v>
      </c>
      <c r="B171" s="70"/>
      <c r="C171" s="70"/>
      <c r="D171" s="76" t="s">
        <v>82</v>
      </c>
      <c r="E171" s="65">
        <v>0</v>
      </c>
      <c r="F171" s="66">
        <v>0</v>
      </c>
      <c r="G171" s="67">
        <f t="shared" si="10"/>
        <v>0</v>
      </c>
      <c r="H171" s="68">
        <f t="shared" si="11"/>
        <v>0</v>
      </c>
      <c r="I171" s="77"/>
    </row>
    <row r="172" spans="1:9" x14ac:dyDescent="0.3">
      <c r="A172" s="75">
        <v>45</v>
      </c>
      <c r="B172" s="70"/>
      <c r="C172" s="70"/>
      <c r="D172" s="76" t="s">
        <v>82</v>
      </c>
      <c r="E172" s="65">
        <v>0</v>
      </c>
      <c r="F172" s="66">
        <v>0</v>
      </c>
      <c r="G172" s="67">
        <f t="shared" si="10"/>
        <v>0</v>
      </c>
      <c r="H172" s="68">
        <f t="shared" si="11"/>
        <v>0</v>
      </c>
      <c r="I172" s="77"/>
    </row>
    <row r="173" spans="1:9" x14ac:dyDescent="0.3">
      <c r="A173" s="75">
        <v>46</v>
      </c>
      <c r="B173" s="70"/>
      <c r="C173" s="70"/>
      <c r="D173" s="76" t="s">
        <v>82</v>
      </c>
      <c r="E173" s="65">
        <v>0</v>
      </c>
      <c r="F173" s="66">
        <v>0</v>
      </c>
      <c r="G173" s="67">
        <f t="shared" si="10"/>
        <v>0</v>
      </c>
      <c r="H173" s="68">
        <f t="shared" si="11"/>
        <v>0</v>
      </c>
      <c r="I173" s="77"/>
    </row>
    <row r="174" spans="1:9" x14ac:dyDescent="0.3">
      <c r="A174" s="75">
        <v>47</v>
      </c>
      <c r="B174" s="70"/>
      <c r="C174" s="70"/>
      <c r="D174" s="76" t="s">
        <v>82</v>
      </c>
      <c r="E174" s="65">
        <v>0</v>
      </c>
      <c r="F174" s="66">
        <v>0</v>
      </c>
      <c r="G174" s="67">
        <f t="shared" si="10"/>
        <v>0</v>
      </c>
      <c r="H174" s="68">
        <f t="shared" si="11"/>
        <v>0</v>
      </c>
      <c r="I174" s="77"/>
    </row>
    <row r="175" spans="1:9" x14ac:dyDescent="0.3">
      <c r="A175" s="75">
        <v>48</v>
      </c>
      <c r="B175" s="70"/>
      <c r="C175" s="70"/>
      <c r="D175" s="76" t="s">
        <v>82</v>
      </c>
      <c r="E175" s="65">
        <v>0</v>
      </c>
      <c r="F175" s="66">
        <v>0</v>
      </c>
      <c r="G175" s="67">
        <f t="shared" si="10"/>
        <v>0</v>
      </c>
      <c r="H175" s="68">
        <f t="shared" si="11"/>
        <v>0</v>
      </c>
      <c r="I175" s="77"/>
    </row>
    <row r="176" spans="1:9" x14ac:dyDescent="0.3">
      <c r="A176" s="75">
        <v>49</v>
      </c>
      <c r="B176" s="70"/>
      <c r="C176" s="70"/>
      <c r="D176" s="76" t="s">
        <v>82</v>
      </c>
      <c r="E176" s="65">
        <v>0</v>
      </c>
      <c r="F176" s="66">
        <v>0</v>
      </c>
      <c r="G176" s="67">
        <f t="shared" si="10"/>
        <v>0</v>
      </c>
      <c r="H176" s="68">
        <f t="shared" si="11"/>
        <v>0</v>
      </c>
      <c r="I176" s="77"/>
    </row>
    <row r="177" spans="1:9" x14ac:dyDescent="0.3">
      <c r="A177" s="75">
        <v>50</v>
      </c>
      <c r="B177" s="70"/>
      <c r="C177" s="70"/>
      <c r="D177" s="76" t="s">
        <v>82</v>
      </c>
      <c r="E177" s="65">
        <v>0</v>
      </c>
      <c r="F177" s="66">
        <v>0</v>
      </c>
      <c r="G177" s="67">
        <f t="shared" si="10"/>
        <v>0</v>
      </c>
      <c r="H177" s="68">
        <f t="shared" si="11"/>
        <v>0</v>
      </c>
      <c r="I177" s="77"/>
    </row>
    <row r="178" spans="1:9" x14ac:dyDescent="0.3">
      <c r="A178" s="75">
        <v>51</v>
      </c>
      <c r="B178" s="70"/>
      <c r="C178" s="70"/>
      <c r="D178" s="76" t="s">
        <v>82</v>
      </c>
      <c r="E178" s="65">
        <v>0</v>
      </c>
      <c r="F178" s="66">
        <v>0</v>
      </c>
      <c r="G178" s="67">
        <f t="shared" si="10"/>
        <v>0</v>
      </c>
      <c r="H178" s="68">
        <f t="shared" si="11"/>
        <v>0</v>
      </c>
      <c r="I178" s="77"/>
    </row>
    <row r="179" spans="1:9" x14ac:dyDescent="0.3">
      <c r="A179" s="75">
        <v>52</v>
      </c>
      <c r="B179" s="70"/>
      <c r="C179" s="70"/>
      <c r="D179" s="76" t="s">
        <v>82</v>
      </c>
      <c r="E179" s="65">
        <v>0</v>
      </c>
      <c r="F179" s="66">
        <v>0</v>
      </c>
      <c r="G179" s="67">
        <f t="shared" si="10"/>
        <v>0</v>
      </c>
      <c r="H179" s="68">
        <f t="shared" si="11"/>
        <v>0</v>
      </c>
      <c r="I179" s="77"/>
    </row>
    <row r="180" spans="1:9" x14ac:dyDescent="0.3">
      <c r="A180" s="75">
        <v>53</v>
      </c>
      <c r="B180" s="70"/>
      <c r="C180" s="70"/>
      <c r="D180" s="76" t="s">
        <v>82</v>
      </c>
      <c r="E180" s="65">
        <v>0</v>
      </c>
      <c r="F180" s="66">
        <v>0</v>
      </c>
      <c r="G180" s="67">
        <f t="shared" si="10"/>
        <v>0</v>
      </c>
      <c r="H180" s="68">
        <f t="shared" si="11"/>
        <v>0</v>
      </c>
      <c r="I180" s="77"/>
    </row>
    <row r="181" spans="1:9" x14ac:dyDescent="0.3">
      <c r="A181" s="75">
        <v>54</v>
      </c>
      <c r="B181" s="70"/>
      <c r="C181" s="70"/>
      <c r="D181" s="76" t="s">
        <v>82</v>
      </c>
      <c r="E181" s="65">
        <v>0</v>
      </c>
      <c r="F181" s="66">
        <v>0</v>
      </c>
      <c r="G181" s="67">
        <f t="shared" si="10"/>
        <v>0</v>
      </c>
      <c r="H181" s="68">
        <f t="shared" si="11"/>
        <v>0</v>
      </c>
      <c r="I181" s="77"/>
    </row>
    <row r="182" spans="1:9" x14ac:dyDescent="0.3">
      <c r="A182" s="75">
        <v>55</v>
      </c>
      <c r="B182" s="70"/>
      <c r="C182" s="70"/>
      <c r="D182" s="76" t="s">
        <v>82</v>
      </c>
      <c r="E182" s="65">
        <v>0</v>
      </c>
      <c r="F182" s="66">
        <v>0</v>
      </c>
      <c r="G182" s="67">
        <f t="shared" si="10"/>
        <v>0</v>
      </c>
      <c r="H182" s="68">
        <f t="shared" si="11"/>
        <v>0</v>
      </c>
      <c r="I182" s="77"/>
    </row>
    <row r="183" spans="1:9" x14ac:dyDescent="0.3">
      <c r="A183" s="75">
        <v>56</v>
      </c>
      <c r="B183" s="70"/>
      <c r="C183" s="70"/>
      <c r="D183" s="76" t="s">
        <v>82</v>
      </c>
      <c r="E183" s="65">
        <v>0</v>
      </c>
      <c r="F183" s="66">
        <v>0</v>
      </c>
      <c r="G183" s="67">
        <f t="shared" si="10"/>
        <v>0</v>
      </c>
      <c r="H183" s="68">
        <f t="shared" si="11"/>
        <v>0</v>
      </c>
      <c r="I183" s="77"/>
    </row>
    <row r="184" spans="1:9" x14ac:dyDescent="0.3">
      <c r="A184" s="75">
        <v>57</v>
      </c>
      <c r="B184" s="70"/>
      <c r="C184" s="70"/>
      <c r="D184" s="76" t="s">
        <v>82</v>
      </c>
      <c r="E184" s="65">
        <v>0</v>
      </c>
      <c r="F184" s="66">
        <v>0</v>
      </c>
      <c r="G184" s="67">
        <f t="shared" si="10"/>
        <v>0</v>
      </c>
      <c r="H184" s="68">
        <f t="shared" si="11"/>
        <v>0</v>
      </c>
      <c r="I184" s="77"/>
    </row>
    <row r="185" spans="1:9" x14ac:dyDescent="0.3">
      <c r="A185" s="75">
        <v>58</v>
      </c>
      <c r="B185" s="70"/>
      <c r="C185" s="70"/>
      <c r="D185" s="76" t="s">
        <v>82</v>
      </c>
      <c r="E185" s="65">
        <v>0</v>
      </c>
      <c r="F185" s="66">
        <v>0</v>
      </c>
      <c r="G185" s="67">
        <f t="shared" si="10"/>
        <v>0</v>
      </c>
      <c r="H185" s="68">
        <f t="shared" si="11"/>
        <v>0</v>
      </c>
      <c r="I185" s="77"/>
    </row>
    <row r="186" spans="1:9" x14ac:dyDescent="0.3">
      <c r="A186" s="75">
        <v>59</v>
      </c>
      <c r="B186" s="70"/>
      <c r="C186" s="70"/>
      <c r="D186" s="76" t="s">
        <v>82</v>
      </c>
      <c r="E186" s="65">
        <v>0</v>
      </c>
      <c r="F186" s="66">
        <v>0</v>
      </c>
      <c r="G186" s="67">
        <f t="shared" si="10"/>
        <v>0</v>
      </c>
      <c r="H186" s="68">
        <f t="shared" si="11"/>
        <v>0</v>
      </c>
      <c r="I186" s="77"/>
    </row>
    <row r="187" spans="1:9" x14ac:dyDescent="0.3">
      <c r="A187" s="75">
        <v>60</v>
      </c>
      <c r="B187" s="70"/>
      <c r="C187" s="70"/>
      <c r="D187" s="76" t="s">
        <v>82</v>
      </c>
      <c r="E187" s="65">
        <v>0</v>
      </c>
      <c r="F187" s="66">
        <v>0</v>
      </c>
      <c r="G187" s="67">
        <f t="shared" si="10"/>
        <v>0</v>
      </c>
      <c r="H187" s="68">
        <f t="shared" si="11"/>
        <v>0</v>
      </c>
      <c r="I187" s="77"/>
    </row>
    <row r="188" spans="1:9" x14ac:dyDescent="0.3">
      <c r="A188" s="75">
        <v>61</v>
      </c>
      <c r="B188" s="70"/>
      <c r="C188" s="70"/>
      <c r="D188" s="76" t="s">
        <v>82</v>
      </c>
      <c r="E188" s="65">
        <v>0</v>
      </c>
      <c r="F188" s="66">
        <v>0</v>
      </c>
      <c r="G188" s="67">
        <f t="shared" si="10"/>
        <v>0</v>
      </c>
      <c r="H188" s="68">
        <f t="shared" si="11"/>
        <v>0</v>
      </c>
      <c r="I188" s="77"/>
    </row>
    <row r="189" spans="1:9" x14ac:dyDescent="0.3">
      <c r="A189" s="75">
        <v>62</v>
      </c>
      <c r="B189" s="70"/>
      <c r="C189" s="70"/>
      <c r="D189" s="76" t="s">
        <v>82</v>
      </c>
      <c r="E189" s="65">
        <v>0</v>
      </c>
      <c r="F189" s="66">
        <v>0</v>
      </c>
      <c r="G189" s="67">
        <f t="shared" si="10"/>
        <v>0</v>
      </c>
      <c r="H189" s="68">
        <f t="shared" si="11"/>
        <v>0</v>
      </c>
      <c r="I189" s="77"/>
    </row>
    <row r="190" spans="1:9" x14ac:dyDescent="0.3">
      <c r="A190" s="75">
        <v>63</v>
      </c>
      <c r="B190" s="70"/>
      <c r="C190" s="70"/>
      <c r="D190" s="76" t="s">
        <v>82</v>
      </c>
      <c r="E190" s="65">
        <v>0</v>
      </c>
      <c r="F190" s="66">
        <v>0</v>
      </c>
      <c r="G190" s="67">
        <f t="shared" si="10"/>
        <v>0</v>
      </c>
      <c r="H190" s="68">
        <f t="shared" si="11"/>
        <v>0</v>
      </c>
      <c r="I190" s="77"/>
    </row>
    <row r="191" spans="1:9" x14ac:dyDescent="0.3">
      <c r="A191" s="75">
        <v>64</v>
      </c>
      <c r="B191" s="70"/>
      <c r="C191" s="70"/>
      <c r="D191" s="76" t="s">
        <v>82</v>
      </c>
      <c r="E191" s="65">
        <v>0</v>
      </c>
      <c r="F191" s="66">
        <v>0</v>
      </c>
      <c r="G191" s="67">
        <f t="shared" si="10"/>
        <v>0</v>
      </c>
      <c r="H191" s="68">
        <f t="shared" si="11"/>
        <v>0</v>
      </c>
      <c r="I191" s="77"/>
    </row>
    <row r="192" spans="1:9" x14ac:dyDescent="0.3">
      <c r="A192" s="75">
        <v>65</v>
      </c>
      <c r="B192" s="70"/>
      <c r="C192" s="70"/>
      <c r="D192" s="76" t="s">
        <v>82</v>
      </c>
      <c r="E192" s="65">
        <v>0</v>
      </c>
      <c r="F192" s="66">
        <v>0</v>
      </c>
      <c r="G192" s="67">
        <f t="shared" ref="G192:G207" si="12">E192*F192</f>
        <v>0</v>
      </c>
      <c r="H192" s="68">
        <f t="shared" ref="H192:H207" si="13">G192*1.2</f>
        <v>0</v>
      </c>
      <c r="I192" s="77"/>
    </row>
    <row r="193" spans="1:9" x14ac:dyDescent="0.3">
      <c r="A193" s="75">
        <v>66</v>
      </c>
      <c r="B193" s="70"/>
      <c r="C193" s="70"/>
      <c r="D193" s="76" t="s">
        <v>82</v>
      </c>
      <c r="E193" s="65">
        <v>0</v>
      </c>
      <c r="F193" s="66">
        <v>0</v>
      </c>
      <c r="G193" s="67">
        <f t="shared" si="12"/>
        <v>0</v>
      </c>
      <c r="H193" s="68">
        <f t="shared" si="13"/>
        <v>0</v>
      </c>
      <c r="I193" s="77"/>
    </row>
    <row r="194" spans="1:9" x14ac:dyDescent="0.3">
      <c r="A194" s="75">
        <v>67</v>
      </c>
      <c r="B194" s="70"/>
      <c r="C194" s="70"/>
      <c r="D194" s="76" t="s">
        <v>82</v>
      </c>
      <c r="E194" s="65">
        <v>0</v>
      </c>
      <c r="F194" s="66">
        <v>0</v>
      </c>
      <c r="G194" s="67">
        <f t="shared" si="12"/>
        <v>0</v>
      </c>
      <c r="H194" s="68">
        <f t="shared" si="13"/>
        <v>0</v>
      </c>
      <c r="I194" s="77"/>
    </row>
    <row r="195" spans="1:9" x14ac:dyDescent="0.3">
      <c r="A195" s="75">
        <v>68</v>
      </c>
      <c r="B195" s="70"/>
      <c r="C195" s="70"/>
      <c r="D195" s="76" t="s">
        <v>82</v>
      </c>
      <c r="E195" s="65">
        <v>0</v>
      </c>
      <c r="F195" s="66">
        <v>0</v>
      </c>
      <c r="G195" s="67">
        <f t="shared" si="12"/>
        <v>0</v>
      </c>
      <c r="H195" s="68">
        <f t="shared" si="13"/>
        <v>0</v>
      </c>
      <c r="I195" s="77"/>
    </row>
    <row r="196" spans="1:9" x14ac:dyDescent="0.3">
      <c r="A196" s="75">
        <v>69</v>
      </c>
      <c r="B196" s="70"/>
      <c r="C196" s="70"/>
      <c r="D196" s="76" t="s">
        <v>82</v>
      </c>
      <c r="E196" s="65">
        <v>0</v>
      </c>
      <c r="F196" s="66">
        <v>0</v>
      </c>
      <c r="G196" s="67">
        <f t="shared" si="12"/>
        <v>0</v>
      </c>
      <c r="H196" s="68">
        <f t="shared" si="13"/>
        <v>0</v>
      </c>
      <c r="I196" s="77"/>
    </row>
    <row r="197" spans="1:9" x14ac:dyDescent="0.3">
      <c r="A197" s="75">
        <v>70</v>
      </c>
      <c r="B197" s="70"/>
      <c r="C197" s="70"/>
      <c r="D197" s="76" t="s">
        <v>82</v>
      </c>
      <c r="E197" s="65">
        <v>0</v>
      </c>
      <c r="F197" s="66">
        <v>0</v>
      </c>
      <c r="G197" s="67">
        <f t="shared" si="12"/>
        <v>0</v>
      </c>
      <c r="H197" s="68">
        <f t="shared" si="13"/>
        <v>0</v>
      </c>
      <c r="I197" s="77"/>
    </row>
    <row r="198" spans="1:9" x14ac:dyDescent="0.3">
      <c r="A198" s="75">
        <v>71</v>
      </c>
      <c r="B198" s="70"/>
      <c r="C198" s="70"/>
      <c r="D198" s="76" t="s">
        <v>82</v>
      </c>
      <c r="E198" s="65">
        <v>0</v>
      </c>
      <c r="F198" s="66">
        <v>0</v>
      </c>
      <c r="G198" s="67">
        <f t="shared" si="12"/>
        <v>0</v>
      </c>
      <c r="H198" s="68">
        <f t="shared" si="13"/>
        <v>0</v>
      </c>
      <c r="I198" s="77"/>
    </row>
    <row r="199" spans="1:9" x14ac:dyDescent="0.3">
      <c r="A199" s="75">
        <v>72</v>
      </c>
      <c r="B199" s="70"/>
      <c r="C199" s="70"/>
      <c r="D199" s="76" t="s">
        <v>82</v>
      </c>
      <c r="E199" s="65">
        <v>0</v>
      </c>
      <c r="F199" s="66">
        <v>0</v>
      </c>
      <c r="G199" s="67">
        <f t="shared" si="12"/>
        <v>0</v>
      </c>
      <c r="H199" s="68">
        <f t="shared" si="13"/>
        <v>0</v>
      </c>
      <c r="I199" s="77"/>
    </row>
    <row r="200" spans="1:9" x14ac:dyDescent="0.3">
      <c r="A200" s="75">
        <v>73</v>
      </c>
      <c r="B200" s="70"/>
      <c r="C200" s="70"/>
      <c r="D200" s="76" t="s">
        <v>82</v>
      </c>
      <c r="E200" s="65">
        <v>0</v>
      </c>
      <c r="F200" s="66">
        <v>0</v>
      </c>
      <c r="G200" s="67">
        <f t="shared" si="12"/>
        <v>0</v>
      </c>
      <c r="H200" s="68">
        <f t="shared" si="13"/>
        <v>0</v>
      </c>
      <c r="I200" s="77"/>
    </row>
    <row r="201" spans="1:9" x14ac:dyDescent="0.3">
      <c r="A201" s="75">
        <v>74</v>
      </c>
      <c r="B201" s="70"/>
      <c r="C201" s="70"/>
      <c r="D201" s="76" t="s">
        <v>82</v>
      </c>
      <c r="E201" s="65">
        <v>0</v>
      </c>
      <c r="F201" s="66">
        <v>0</v>
      </c>
      <c r="G201" s="67">
        <f t="shared" si="12"/>
        <v>0</v>
      </c>
      <c r="H201" s="68">
        <f t="shared" si="13"/>
        <v>0</v>
      </c>
      <c r="I201" s="77"/>
    </row>
    <row r="202" spans="1:9" x14ac:dyDescent="0.3">
      <c r="A202" s="75">
        <v>75</v>
      </c>
      <c r="B202" s="70"/>
      <c r="C202" s="70"/>
      <c r="D202" s="76" t="s">
        <v>82</v>
      </c>
      <c r="E202" s="65">
        <v>0</v>
      </c>
      <c r="F202" s="66">
        <v>0</v>
      </c>
      <c r="G202" s="67">
        <f t="shared" si="12"/>
        <v>0</v>
      </c>
      <c r="H202" s="68">
        <f t="shared" si="13"/>
        <v>0</v>
      </c>
      <c r="I202" s="77"/>
    </row>
    <row r="203" spans="1:9" x14ac:dyDescent="0.3">
      <c r="A203" s="75">
        <v>76</v>
      </c>
      <c r="B203" s="70"/>
      <c r="C203" s="70"/>
      <c r="D203" s="76" t="s">
        <v>82</v>
      </c>
      <c r="E203" s="65">
        <v>0</v>
      </c>
      <c r="F203" s="66">
        <v>0</v>
      </c>
      <c r="G203" s="67">
        <f t="shared" si="12"/>
        <v>0</v>
      </c>
      <c r="H203" s="68">
        <f t="shared" si="13"/>
        <v>0</v>
      </c>
      <c r="I203" s="77"/>
    </row>
    <row r="204" spans="1:9" x14ac:dyDescent="0.3">
      <c r="A204" s="75">
        <v>77</v>
      </c>
      <c r="B204" s="70"/>
      <c r="C204" s="70"/>
      <c r="D204" s="76" t="s">
        <v>82</v>
      </c>
      <c r="E204" s="65">
        <v>0</v>
      </c>
      <c r="F204" s="66">
        <v>0</v>
      </c>
      <c r="G204" s="67">
        <f t="shared" si="12"/>
        <v>0</v>
      </c>
      <c r="H204" s="68">
        <f t="shared" si="13"/>
        <v>0</v>
      </c>
      <c r="I204" s="77"/>
    </row>
    <row r="205" spans="1:9" x14ac:dyDescent="0.3">
      <c r="A205" s="75">
        <v>78</v>
      </c>
      <c r="B205" s="70"/>
      <c r="C205" s="70"/>
      <c r="D205" s="76" t="s">
        <v>82</v>
      </c>
      <c r="E205" s="65">
        <v>0</v>
      </c>
      <c r="F205" s="66">
        <v>0</v>
      </c>
      <c r="G205" s="67">
        <f t="shared" si="12"/>
        <v>0</v>
      </c>
      <c r="H205" s="68">
        <f t="shared" si="13"/>
        <v>0</v>
      </c>
      <c r="I205" s="77"/>
    </row>
    <row r="206" spans="1:9" x14ac:dyDescent="0.3">
      <c r="A206" s="75">
        <v>79</v>
      </c>
      <c r="B206" s="70"/>
      <c r="C206" s="70"/>
      <c r="D206" s="76" t="s">
        <v>82</v>
      </c>
      <c r="E206" s="65">
        <v>0</v>
      </c>
      <c r="F206" s="66">
        <v>0</v>
      </c>
      <c r="G206" s="67">
        <f t="shared" si="12"/>
        <v>0</v>
      </c>
      <c r="H206" s="68">
        <f t="shared" si="13"/>
        <v>0</v>
      </c>
      <c r="I206" s="77"/>
    </row>
    <row r="207" spans="1:9" x14ac:dyDescent="0.3">
      <c r="A207" s="75">
        <v>80</v>
      </c>
      <c r="B207" s="70"/>
      <c r="C207" s="70"/>
      <c r="D207" s="76" t="s">
        <v>82</v>
      </c>
      <c r="E207" s="65">
        <v>0</v>
      </c>
      <c r="F207" s="66">
        <v>0</v>
      </c>
      <c r="G207" s="67">
        <f t="shared" si="12"/>
        <v>0</v>
      </c>
      <c r="H207" s="68">
        <f t="shared" si="13"/>
        <v>0</v>
      </c>
      <c r="I207" s="77"/>
    </row>
    <row r="208" spans="1:9" ht="32.25" customHeight="1" x14ac:dyDescent="0.3">
      <c r="A208" s="263" t="s">
        <v>85</v>
      </c>
      <c r="B208" s="131"/>
      <c r="C208" s="96"/>
      <c r="D208" s="96"/>
      <c r="E208" s="71"/>
      <c r="F208" s="72"/>
      <c r="G208" s="73">
        <f>SUM(G128:G207)</f>
        <v>32704.570000000003</v>
      </c>
      <c r="H208" s="74">
        <f>SUM(H128:H207)</f>
        <v>39245.483999999997</v>
      </c>
      <c r="I208" s="96"/>
    </row>
    <row r="209" spans="1:9" ht="28.5" customHeight="1" x14ac:dyDescent="0.3">
      <c r="A209" s="264" t="s">
        <v>86</v>
      </c>
      <c r="B209" s="133"/>
      <c r="C209" s="133"/>
      <c r="D209" s="133"/>
      <c r="E209" s="133"/>
      <c r="F209" s="133"/>
      <c r="G209" s="133"/>
      <c r="H209" s="131"/>
      <c r="I209" s="96"/>
    </row>
    <row r="210" spans="1:9" x14ac:dyDescent="0.3">
      <c r="A210" s="75">
        <v>1</v>
      </c>
      <c r="B210" s="64"/>
      <c r="C210" s="64"/>
      <c r="D210" s="76" t="s">
        <v>82</v>
      </c>
      <c r="E210" s="78">
        <v>1</v>
      </c>
      <c r="F210" s="66">
        <v>49900.87</v>
      </c>
      <c r="G210" s="67">
        <f>E210*F210</f>
        <v>49900.87</v>
      </c>
      <c r="H210" s="68">
        <f>G210*1.2</f>
        <v>59881.044000000002</v>
      </c>
      <c r="I210" s="90" t="s">
        <v>87</v>
      </c>
    </row>
    <row r="211" spans="1:9" ht="32.25" customHeight="1" x14ac:dyDescent="0.3">
      <c r="A211" s="263" t="s">
        <v>88</v>
      </c>
      <c r="B211" s="131"/>
      <c r="C211" s="96"/>
      <c r="D211" s="96"/>
      <c r="E211" s="71"/>
      <c r="F211" s="72"/>
      <c r="G211" s="73">
        <f>SUM(G210:G210)</f>
        <v>49900.87</v>
      </c>
      <c r="H211" s="74">
        <f>SUM(H210:H210)</f>
        <v>59881.044000000002</v>
      </c>
      <c r="I211" s="96"/>
    </row>
    <row r="212" spans="1:9" ht="48.75" customHeight="1" x14ac:dyDescent="0.3">
      <c r="A212" s="265" t="s">
        <v>89</v>
      </c>
      <c r="B212" s="133"/>
      <c r="C212" s="97"/>
      <c r="D212" s="97"/>
      <c r="E212" s="79"/>
      <c r="F212" s="80"/>
      <c r="G212" s="81">
        <f>G84+G126+G208+G211</f>
        <v>249646.22</v>
      </c>
      <c r="H212" s="74">
        <f>H84+H126+H208+H211</f>
        <v>299575.46399999998</v>
      </c>
      <c r="I212" s="96"/>
    </row>
    <row r="213" spans="1:9" ht="32.25" customHeight="1" x14ac:dyDescent="0.3">
      <c r="A213" s="260" t="s">
        <v>90</v>
      </c>
      <c r="B213" s="214"/>
      <c r="C213" s="214"/>
      <c r="D213" s="214"/>
      <c r="E213" s="214"/>
      <c r="F213" s="214"/>
      <c r="G213" s="214"/>
      <c r="H213" s="214"/>
      <c r="I213" s="215"/>
    </row>
    <row r="214" spans="1:9" ht="38.700000000000003" customHeight="1" x14ac:dyDescent="0.3">
      <c r="A214" s="261"/>
      <c r="B214" s="156"/>
      <c r="C214" s="156"/>
      <c r="D214" s="156"/>
      <c r="E214" s="156"/>
      <c r="F214" s="156"/>
      <c r="G214" s="156"/>
      <c r="H214" s="156"/>
      <c r="I214" s="157"/>
    </row>
  </sheetData>
  <sheetProtection algorithmName="SHA-512" hashValue="JLycrrTYM5HW28zsGyGqfvdqerFgnQnCxHrQPKgHkC1XcXgmGG/a281kIWb6/E9zXMshhHSS3tRSXDVmZTBGKg==" saltValue="pPvQRN4+3VwLUFUHEWG45A==" spinCount="100000" sheet="1" objects="1" scenarios="1" selectLockedCells="1"/>
  <mergeCells count="11">
    <mergeCell ref="A213:I214"/>
    <mergeCell ref="A84:B84"/>
    <mergeCell ref="B85:I85"/>
    <mergeCell ref="A126:B126"/>
    <mergeCell ref="B127:I127"/>
    <mergeCell ref="A208:B208"/>
    <mergeCell ref="A1:I1"/>
    <mergeCell ref="A3:I3"/>
    <mergeCell ref="A209:H209"/>
    <mergeCell ref="A211:B211"/>
    <mergeCell ref="A212:B212"/>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42"/>
  <sheetViews>
    <sheetView zoomScale="70" zoomScaleNormal="70" workbookViewId="0">
      <pane ySplit="2" topLeftCell="A3" activePane="bottomLeft" state="frozen"/>
      <selection pane="bottomLeft" activeCell="C78" sqref="C78"/>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95</v>
      </c>
      <c r="B1" s="158"/>
      <c r="C1" s="158"/>
      <c r="D1" s="158"/>
      <c r="E1" s="158"/>
      <c r="F1" s="158"/>
      <c r="G1" s="158"/>
      <c r="H1" s="158"/>
      <c r="I1" s="158"/>
    </row>
    <row r="2" spans="1:9" ht="67.95" customHeight="1" x14ac:dyDescent="0.3">
      <c r="A2" s="9" t="s">
        <v>71</v>
      </c>
      <c r="B2" s="9" t="s">
        <v>96</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ht="69.599999999999994" x14ac:dyDescent="0.3">
      <c r="A4" s="75">
        <v>1</v>
      </c>
      <c r="B4" s="64" t="s">
        <v>4753</v>
      </c>
      <c r="C4" s="64" t="s">
        <v>4736</v>
      </c>
      <c r="D4" s="64" t="s">
        <v>4754</v>
      </c>
      <c r="E4" s="65">
        <v>6</v>
      </c>
      <c r="F4" s="66">
        <v>6185</v>
      </c>
      <c r="G4" s="67">
        <f t="shared" ref="G4:G43" si="0">E4*F4</f>
        <v>37110</v>
      </c>
      <c r="H4" s="68">
        <f t="shared" ref="H4:H67" si="1">G4*1.2</f>
        <v>44532</v>
      </c>
      <c r="I4" s="128" t="s">
        <v>4849</v>
      </c>
    </row>
    <row r="5" spans="1:9" ht="180" x14ac:dyDescent="0.3">
      <c r="A5" s="75">
        <v>2</v>
      </c>
      <c r="B5" s="64" t="s">
        <v>4735</v>
      </c>
      <c r="C5" s="64" t="s">
        <v>4824</v>
      </c>
      <c r="D5" s="64" t="s">
        <v>4735</v>
      </c>
      <c r="E5" s="65">
        <v>6</v>
      </c>
      <c r="F5" s="66">
        <v>1232.5</v>
      </c>
      <c r="G5" s="67">
        <f t="shared" si="0"/>
        <v>7395</v>
      </c>
      <c r="H5" s="68">
        <f t="shared" si="1"/>
        <v>8874</v>
      </c>
      <c r="I5" s="128" t="s">
        <v>4848</v>
      </c>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77"/>
    </row>
    <row r="25" spans="1:9" x14ac:dyDescent="0.3">
      <c r="A25" s="75">
        <v>22</v>
      </c>
      <c r="B25" s="70"/>
      <c r="C25" s="70"/>
      <c r="D25" s="70"/>
      <c r="E25" s="65">
        <v>0</v>
      </c>
      <c r="F25" s="66">
        <v>0</v>
      </c>
      <c r="G25" s="67">
        <f t="shared" si="0"/>
        <v>0</v>
      </c>
      <c r="H25" s="68">
        <f t="shared" si="1"/>
        <v>0</v>
      </c>
      <c r="I25" s="77"/>
    </row>
    <row r="26" spans="1:9" x14ac:dyDescent="0.3">
      <c r="A26" s="75">
        <v>23</v>
      </c>
      <c r="B26" s="70"/>
      <c r="C26" s="70"/>
      <c r="D26" s="70"/>
      <c r="E26" s="65">
        <v>0</v>
      </c>
      <c r="F26" s="66">
        <v>0</v>
      </c>
      <c r="G26" s="67">
        <f t="shared" si="0"/>
        <v>0</v>
      </c>
      <c r="H26" s="68">
        <f t="shared" si="1"/>
        <v>0</v>
      </c>
      <c r="I26" s="77"/>
    </row>
    <row r="27" spans="1:9" x14ac:dyDescent="0.3">
      <c r="A27" s="75">
        <v>24</v>
      </c>
      <c r="B27" s="70"/>
      <c r="C27" s="70"/>
      <c r="D27" s="70"/>
      <c r="E27" s="65">
        <v>0</v>
      </c>
      <c r="F27" s="66">
        <v>0</v>
      </c>
      <c r="G27" s="67">
        <f t="shared" si="0"/>
        <v>0</v>
      </c>
      <c r="H27" s="68">
        <f t="shared" si="1"/>
        <v>0</v>
      </c>
      <c r="I27" s="77"/>
    </row>
    <row r="28" spans="1:9" x14ac:dyDescent="0.3">
      <c r="A28" s="75">
        <v>25</v>
      </c>
      <c r="B28" s="70"/>
      <c r="C28" s="70"/>
      <c r="D28" s="70"/>
      <c r="E28" s="65">
        <v>0</v>
      </c>
      <c r="F28" s="66">
        <v>0</v>
      </c>
      <c r="G28" s="67">
        <f t="shared" si="0"/>
        <v>0</v>
      </c>
      <c r="H28" s="68">
        <f t="shared" si="1"/>
        <v>0</v>
      </c>
      <c r="I28" s="77"/>
    </row>
    <row r="29" spans="1:9" x14ac:dyDescent="0.3">
      <c r="A29" s="75">
        <v>26</v>
      </c>
      <c r="B29" s="70"/>
      <c r="C29" s="70"/>
      <c r="D29" s="70"/>
      <c r="E29" s="65">
        <v>0</v>
      </c>
      <c r="F29" s="66">
        <v>0</v>
      </c>
      <c r="G29" s="67">
        <f t="shared" si="0"/>
        <v>0</v>
      </c>
      <c r="H29" s="68">
        <f t="shared" si="1"/>
        <v>0</v>
      </c>
      <c r="I29" s="77"/>
    </row>
    <row r="30" spans="1:9" x14ac:dyDescent="0.3">
      <c r="A30" s="75">
        <v>27</v>
      </c>
      <c r="B30" s="70"/>
      <c r="C30" s="70"/>
      <c r="D30" s="70"/>
      <c r="E30" s="65">
        <v>0</v>
      </c>
      <c r="F30" s="66">
        <v>0</v>
      </c>
      <c r="G30" s="67">
        <f t="shared" si="0"/>
        <v>0</v>
      </c>
      <c r="H30" s="68">
        <f t="shared" si="1"/>
        <v>0</v>
      </c>
      <c r="I30" s="77"/>
    </row>
    <row r="31" spans="1:9" x14ac:dyDescent="0.3">
      <c r="A31" s="75">
        <v>28</v>
      </c>
      <c r="B31" s="70"/>
      <c r="C31" s="70"/>
      <c r="D31" s="70"/>
      <c r="E31" s="65">
        <v>0</v>
      </c>
      <c r="F31" s="66">
        <v>0</v>
      </c>
      <c r="G31" s="67">
        <f t="shared" si="0"/>
        <v>0</v>
      </c>
      <c r="H31" s="68">
        <f t="shared" si="1"/>
        <v>0</v>
      </c>
      <c r="I31" s="77"/>
    </row>
    <row r="32" spans="1:9" x14ac:dyDescent="0.3">
      <c r="A32" s="75">
        <v>29</v>
      </c>
      <c r="B32" s="70"/>
      <c r="C32" s="70"/>
      <c r="D32" s="70"/>
      <c r="E32" s="65">
        <v>0</v>
      </c>
      <c r="F32" s="66">
        <v>0</v>
      </c>
      <c r="G32" s="67">
        <f t="shared" si="0"/>
        <v>0</v>
      </c>
      <c r="H32" s="68">
        <f t="shared" si="1"/>
        <v>0</v>
      </c>
      <c r="I32" s="77"/>
    </row>
    <row r="33" spans="1:9" x14ac:dyDescent="0.3">
      <c r="A33" s="75">
        <v>30</v>
      </c>
      <c r="B33" s="70"/>
      <c r="C33" s="70"/>
      <c r="D33" s="70"/>
      <c r="E33" s="65">
        <v>0</v>
      </c>
      <c r="F33" s="66">
        <v>0</v>
      </c>
      <c r="G33" s="67">
        <f t="shared" si="0"/>
        <v>0</v>
      </c>
      <c r="H33" s="68">
        <f t="shared" si="1"/>
        <v>0</v>
      </c>
      <c r="I33" s="77"/>
    </row>
    <row r="34" spans="1:9" x14ac:dyDescent="0.3">
      <c r="A34" s="75">
        <v>31</v>
      </c>
      <c r="B34" s="70"/>
      <c r="C34" s="70"/>
      <c r="D34" s="70"/>
      <c r="E34" s="65">
        <v>0</v>
      </c>
      <c r="F34" s="66">
        <v>0</v>
      </c>
      <c r="G34" s="67">
        <f t="shared" si="0"/>
        <v>0</v>
      </c>
      <c r="H34" s="68">
        <f t="shared" si="1"/>
        <v>0</v>
      </c>
      <c r="I34" s="77"/>
    </row>
    <row r="35" spans="1:9" x14ac:dyDescent="0.3">
      <c r="A35" s="75">
        <v>32</v>
      </c>
      <c r="B35" s="70"/>
      <c r="C35" s="70"/>
      <c r="D35" s="70"/>
      <c r="E35" s="65">
        <v>0</v>
      </c>
      <c r="F35" s="66">
        <v>0</v>
      </c>
      <c r="G35" s="67">
        <f t="shared" si="0"/>
        <v>0</v>
      </c>
      <c r="H35" s="68">
        <f t="shared" si="1"/>
        <v>0</v>
      </c>
      <c r="I35" s="77"/>
    </row>
    <row r="36" spans="1:9" x14ac:dyDescent="0.3">
      <c r="A36" s="75">
        <v>33</v>
      </c>
      <c r="B36" s="70"/>
      <c r="C36" s="70"/>
      <c r="D36" s="70"/>
      <c r="E36" s="65">
        <v>0</v>
      </c>
      <c r="F36" s="66">
        <v>0</v>
      </c>
      <c r="G36" s="67">
        <f t="shared" si="0"/>
        <v>0</v>
      </c>
      <c r="H36" s="68">
        <f t="shared" si="1"/>
        <v>0</v>
      </c>
      <c r="I36" s="77"/>
    </row>
    <row r="37" spans="1:9" x14ac:dyDescent="0.3">
      <c r="A37" s="75">
        <v>34</v>
      </c>
      <c r="B37" s="70"/>
      <c r="C37" s="70"/>
      <c r="D37" s="70"/>
      <c r="E37" s="65">
        <v>0</v>
      </c>
      <c r="F37" s="66">
        <v>0</v>
      </c>
      <c r="G37" s="67">
        <f t="shared" si="0"/>
        <v>0</v>
      </c>
      <c r="H37" s="68">
        <f t="shared" si="1"/>
        <v>0</v>
      </c>
      <c r="I37" s="77"/>
    </row>
    <row r="38" spans="1:9" x14ac:dyDescent="0.3">
      <c r="A38" s="75">
        <v>35</v>
      </c>
      <c r="B38" s="70"/>
      <c r="C38" s="70"/>
      <c r="D38" s="70"/>
      <c r="E38" s="65">
        <v>0</v>
      </c>
      <c r="F38" s="66">
        <v>0</v>
      </c>
      <c r="G38" s="67">
        <f t="shared" si="0"/>
        <v>0</v>
      </c>
      <c r="H38" s="68">
        <f t="shared" si="1"/>
        <v>0</v>
      </c>
      <c r="I38" s="77"/>
    </row>
    <row r="39" spans="1:9" x14ac:dyDescent="0.3">
      <c r="A39" s="75">
        <v>36</v>
      </c>
      <c r="B39" s="70"/>
      <c r="C39" s="70"/>
      <c r="D39" s="70"/>
      <c r="E39" s="65">
        <v>0</v>
      </c>
      <c r="F39" s="66">
        <v>0</v>
      </c>
      <c r="G39" s="67">
        <f t="shared" si="0"/>
        <v>0</v>
      </c>
      <c r="H39" s="68">
        <f t="shared" si="1"/>
        <v>0</v>
      </c>
      <c r="I39" s="77"/>
    </row>
    <row r="40" spans="1:9" x14ac:dyDescent="0.3">
      <c r="A40" s="75">
        <v>37</v>
      </c>
      <c r="B40" s="70"/>
      <c r="C40" s="70"/>
      <c r="D40" s="70"/>
      <c r="E40" s="65">
        <v>0</v>
      </c>
      <c r="F40" s="66">
        <v>0</v>
      </c>
      <c r="G40" s="67">
        <f t="shared" si="0"/>
        <v>0</v>
      </c>
      <c r="H40" s="68">
        <f t="shared" si="1"/>
        <v>0</v>
      </c>
      <c r="I40" s="77"/>
    </row>
    <row r="41" spans="1:9" x14ac:dyDescent="0.3">
      <c r="A41" s="75">
        <v>38</v>
      </c>
      <c r="B41" s="70"/>
      <c r="C41" s="70"/>
      <c r="D41" s="70"/>
      <c r="E41" s="65">
        <v>0</v>
      </c>
      <c r="F41" s="66">
        <v>0</v>
      </c>
      <c r="G41" s="67">
        <f t="shared" si="0"/>
        <v>0</v>
      </c>
      <c r="H41" s="68">
        <f t="shared" si="1"/>
        <v>0</v>
      </c>
      <c r="I41" s="77"/>
    </row>
    <row r="42" spans="1:9" x14ac:dyDescent="0.3">
      <c r="A42" s="75">
        <v>39</v>
      </c>
      <c r="B42" s="70"/>
      <c r="C42" s="70"/>
      <c r="D42" s="70"/>
      <c r="E42" s="65">
        <v>0</v>
      </c>
      <c r="F42" s="66">
        <v>0</v>
      </c>
      <c r="G42" s="67">
        <f t="shared" si="0"/>
        <v>0</v>
      </c>
      <c r="H42" s="68">
        <f t="shared" si="1"/>
        <v>0</v>
      </c>
      <c r="I42" s="77"/>
    </row>
    <row r="43" spans="1:9" x14ac:dyDescent="0.3">
      <c r="A43" s="75">
        <v>40</v>
      </c>
      <c r="B43" s="70"/>
      <c r="C43" s="70"/>
      <c r="D43" s="70"/>
      <c r="E43" s="65">
        <v>0</v>
      </c>
      <c r="F43" s="66">
        <v>0</v>
      </c>
      <c r="G43" s="67">
        <f t="shared" si="0"/>
        <v>0</v>
      </c>
      <c r="H43" s="68">
        <f t="shared" si="1"/>
        <v>0</v>
      </c>
      <c r="I43" s="77"/>
    </row>
    <row r="44" spans="1:9" x14ac:dyDescent="0.3">
      <c r="A44" s="75">
        <f>A43+1</f>
        <v>41</v>
      </c>
      <c r="B44" s="70"/>
      <c r="C44" s="70"/>
      <c r="D44" s="70"/>
      <c r="E44" s="65">
        <v>0</v>
      </c>
      <c r="F44" s="66">
        <v>0</v>
      </c>
      <c r="G44" s="67">
        <f t="shared" ref="G44:G45" si="2">E44*F44</f>
        <v>0</v>
      </c>
      <c r="H44" s="68">
        <f t="shared" si="1"/>
        <v>0</v>
      </c>
      <c r="I44" s="77"/>
    </row>
    <row r="45" spans="1:9" x14ac:dyDescent="0.3">
      <c r="A45" s="75">
        <f t="shared" ref="A45:A83" si="3">A44+1</f>
        <v>42</v>
      </c>
      <c r="B45" s="70"/>
      <c r="C45" s="70"/>
      <c r="D45" s="70"/>
      <c r="E45" s="65">
        <v>0</v>
      </c>
      <c r="F45" s="66">
        <v>0</v>
      </c>
      <c r="G45" s="67">
        <f t="shared" si="2"/>
        <v>0</v>
      </c>
      <c r="H45" s="68">
        <f t="shared" si="1"/>
        <v>0</v>
      </c>
      <c r="I45" s="77"/>
    </row>
    <row r="46" spans="1:9" x14ac:dyDescent="0.3">
      <c r="A46" s="75">
        <f t="shared" si="3"/>
        <v>43</v>
      </c>
      <c r="B46" s="70"/>
      <c r="C46" s="70"/>
      <c r="D46" s="70"/>
      <c r="E46" s="65">
        <v>0</v>
      </c>
      <c r="F46" s="66">
        <v>0</v>
      </c>
      <c r="G46" s="67">
        <f t="shared" ref="G46:G83" si="4">E46*F46</f>
        <v>0</v>
      </c>
      <c r="H46" s="68">
        <f t="shared" si="1"/>
        <v>0</v>
      </c>
      <c r="I46" s="77"/>
    </row>
    <row r="47" spans="1:9" x14ac:dyDescent="0.3">
      <c r="A47" s="75">
        <f t="shared" si="3"/>
        <v>44</v>
      </c>
      <c r="B47" s="70"/>
      <c r="C47" s="70"/>
      <c r="D47" s="70"/>
      <c r="E47" s="65">
        <v>0</v>
      </c>
      <c r="F47" s="66">
        <v>0</v>
      </c>
      <c r="G47" s="67">
        <f t="shared" si="4"/>
        <v>0</v>
      </c>
      <c r="H47" s="68">
        <f t="shared" si="1"/>
        <v>0</v>
      </c>
      <c r="I47" s="77"/>
    </row>
    <row r="48" spans="1:9" x14ac:dyDescent="0.3">
      <c r="A48" s="75">
        <f t="shared" si="3"/>
        <v>45</v>
      </c>
      <c r="B48" s="70"/>
      <c r="C48" s="70"/>
      <c r="D48" s="70"/>
      <c r="E48" s="65">
        <v>0</v>
      </c>
      <c r="F48" s="66">
        <v>0</v>
      </c>
      <c r="G48" s="67">
        <f t="shared" si="4"/>
        <v>0</v>
      </c>
      <c r="H48" s="68">
        <f t="shared" si="1"/>
        <v>0</v>
      </c>
      <c r="I48" s="77"/>
    </row>
    <row r="49" spans="1:9" x14ac:dyDescent="0.3">
      <c r="A49" s="75">
        <f t="shared" si="3"/>
        <v>46</v>
      </c>
      <c r="B49" s="70"/>
      <c r="C49" s="70"/>
      <c r="D49" s="70"/>
      <c r="E49" s="65">
        <v>0</v>
      </c>
      <c r="F49" s="66">
        <v>0</v>
      </c>
      <c r="G49" s="67">
        <f t="shared" si="4"/>
        <v>0</v>
      </c>
      <c r="H49" s="68">
        <f t="shared" si="1"/>
        <v>0</v>
      </c>
      <c r="I49" s="77"/>
    </row>
    <row r="50" spans="1:9" x14ac:dyDescent="0.3">
      <c r="A50" s="75">
        <f t="shared" si="3"/>
        <v>47</v>
      </c>
      <c r="B50" s="70"/>
      <c r="C50" s="70"/>
      <c r="D50" s="70"/>
      <c r="E50" s="65">
        <v>0</v>
      </c>
      <c r="F50" s="66">
        <v>0</v>
      </c>
      <c r="G50" s="67">
        <f t="shared" si="4"/>
        <v>0</v>
      </c>
      <c r="H50" s="68">
        <f t="shared" si="1"/>
        <v>0</v>
      </c>
      <c r="I50" s="77"/>
    </row>
    <row r="51" spans="1:9" x14ac:dyDescent="0.3">
      <c r="A51" s="75">
        <f t="shared" si="3"/>
        <v>48</v>
      </c>
      <c r="B51" s="70"/>
      <c r="C51" s="70"/>
      <c r="D51" s="70"/>
      <c r="E51" s="65">
        <v>0</v>
      </c>
      <c r="F51" s="66">
        <v>0</v>
      </c>
      <c r="G51" s="67">
        <f t="shared" si="4"/>
        <v>0</v>
      </c>
      <c r="H51" s="68">
        <f t="shared" si="1"/>
        <v>0</v>
      </c>
      <c r="I51" s="77"/>
    </row>
    <row r="52" spans="1:9" x14ac:dyDescent="0.3">
      <c r="A52" s="75">
        <f t="shared" si="3"/>
        <v>49</v>
      </c>
      <c r="B52" s="70"/>
      <c r="C52" s="70"/>
      <c r="D52" s="70"/>
      <c r="E52" s="65">
        <v>0</v>
      </c>
      <c r="F52" s="66">
        <v>0</v>
      </c>
      <c r="G52" s="67">
        <f t="shared" si="4"/>
        <v>0</v>
      </c>
      <c r="H52" s="68">
        <f t="shared" si="1"/>
        <v>0</v>
      </c>
      <c r="I52" s="77"/>
    </row>
    <row r="53" spans="1:9" x14ac:dyDescent="0.3">
      <c r="A53" s="75">
        <f t="shared" si="3"/>
        <v>50</v>
      </c>
      <c r="B53" s="70"/>
      <c r="C53" s="70"/>
      <c r="D53" s="70"/>
      <c r="E53" s="65">
        <v>0</v>
      </c>
      <c r="F53" s="66">
        <v>0</v>
      </c>
      <c r="G53" s="67">
        <f t="shared" si="4"/>
        <v>0</v>
      </c>
      <c r="H53" s="68">
        <f t="shared" si="1"/>
        <v>0</v>
      </c>
      <c r="I53" s="77"/>
    </row>
    <row r="54" spans="1:9" x14ac:dyDescent="0.3">
      <c r="A54" s="75">
        <f t="shared" si="3"/>
        <v>51</v>
      </c>
      <c r="B54" s="70"/>
      <c r="C54" s="70"/>
      <c r="D54" s="70"/>
      <c r="E54" s="65">
        <v>0</v>
      </c>
      <c r="F54" s="66">
        <v>0</v>
      </c>
      <c r="G54" s="67">
        <f t="shared" si="4"/>
        <v>0</v>
      </c>
      <c r="H54" s="68">
        <f t="shared" si="1"/>
        <v>0</v>
      </c>
      <c r="I54" s="77"/>
    </row>
    <row r="55" spans="1:9" x14ac:dyDescent="0.3">
      <c r="A55" s="75">
        <f t="shared" si="3"/>
        <v>52</v>
      </c>
      <c r="B55" s="70"/>
      <c r="C55" s="70"/>
      <c r="D55" s="70"/>
      <c r="E55" s="65">
        <v>0</v>
      </c>
      <c r="F55" s="66">
        <v>0</v>
      </c>
      <c r="G55" s="67">
        <f t="shared" si="4"/>
        <v>0</v>
      </c>
      <c r="H55" s="68">
        <f t="shared" si="1"/>
        <v>0</v>
      </c>
      <c r="I55" s="77"/>
    </row>
    <row r="56" spans="1:9" x14ac:dyDescent="0.3">
      <c r="A56" s="75">
        <f t="shared" si="3"/>
        <v>53</v>
      </c>
      <c r="B56" s="70"/>
      <c r="C56" s="70"/>
      <c r="D56" s="70"/>
      <c r="E56" s="65">
        <v>0</v>
      </c>
      <c r="F56" s="66">
        <v>0</v>
      </c>
      <c r="G56" s="67">
        <f t="shared" si="4"/>
        <v>0</v>
      </c>
      <c r="H56" s="68">
        <f t="shared" si="1"/>
        <v>0</v>
      </c>
      <c r="I56" s="77"/>
    </row>
    <row r="57" spans="1:9" x14ac:dyDescent="0.3">
      <c r="A57" s="75">
        <f t="shared" si="3"/>
        <v>54</v>
      </c>
      <c r="B57" s="70"/>
      <c r="C57" s="70"/>
      <c r="D57" s="70"/>
      <c r="E57" s="65">
        <v>0</v>
      </c>
      <c r="F57" s="66">
        <v>0</v>
      </c>
      <c r="G57" s="67">
        <f t="shared" si="4"/>
        <v>0</v>
      </c>
      <c r="H57" s="68">
        <f t="shared" si="1"/>
        <v>0</v>
      </c>
      <c r="I57" s="77"/>
    </row>
    <row r="58" spans="1:9" x14ac:dyDescent="0.3">
      <c r="A58" s="75">
        <f t="shared" si="3"/>
        <v>55</v>
      </c>
      <c r="B58" s="70"/>
      <c r="C58" s="70"/>
      <c r="D58" s="70"/>
      <c r="E58" s="65">
        <v>0</v>
      </c>
      <c r="F58" s="66">
        <v>0</v>
      </c>
      <c r="G58" s="67">
        <f t="shared" si="4"/>
        <v>0</v>
      </c>
      <c r="H58" s="68">
        <f t="shared" si="1"/>
        <v>0</v>
      </c>
      <c r="I58" s="77"/>
    </row>
    <row r="59" spans="1:9" x14ac:dyDescent="0.3">
      <c r="A59" s="75">
        <f t="shared" si="3"/>
        <v>56</v>
      </c>
      <c r="B59" s="70"/>
      <c r="C59" s="70"/>
      <c r="D59" s="70"/>
      <c r="E59" s="65">
        <v>0</v>
      </c>
      <c r="F59" s="66">
        <v>0</v>
      </c>
      <c r="G59" s="67">
        <f t="shared" si="4"/>
        <v>0</v>
      </c>
      <c r="H59" s="68">
        <f t="shared" si="1"/>
        <v>0</v>
      </c>
      <c r="I59" s="77"/>
    </row>
    <row r="60" spans="1:9" x14ac:dyDescent="0.3">
      <c r="A60" s="75">
        <f t="shared" si="3"/>
        <v>57</v>
      </c>
      <c r="B60" s="70"/>
      <c r="C60" s="70"/>
      <c r="D60" s="70"/>
      <c r="E60" s="65">
        <v>0</v>
      </c>
      <c r="F60" s="66">
        <v>0</v>
      </c>
      <c r="G60" s="67">
        <f t="shared" si="4"/>
        <v>0</v>
      </c>
      <c r="H60" s="68">
        <f t="shared" si="1"/>
        <v>0</v>
      </c>
      <c r="I60" s="77"/>
    </row>
    <row r="61" spans="1:9" x14ac:dyDescent="0.3">
      <c r="A61" s="75">
        <f t="shared" si="3"/>
        <v>58</v>
      </c>
      <c r="B61" s="70"/>
      <c r="C61" s="70"/>
      <c r="D61" s="70"/>
      <c r="E61" s="65">
        <v>0</v>
      </c>
      <c r="F61" s="66">
        <v>0</v>
      </c>
      <c r="G61" s="67">
        <f t="shared" si="4"/>
        <v>0</v>
      </c>
      <c r="H61" s="68">
        <f t="shared" si="1"/>
        <v>0</v>
      </c>
      <c r="I61" s="77"/>
    </row>
    <row r="62" spans="1:9" x14ac:dyDescent="0.3">
      <c r="A62" s="75">
        <f t="shared" si="3"/>
        <v>59</v>
      </c>
      <c r="B62" s="70"/>
      <c r="C62" s="70"/>
      <c r="D62" s="70"/>
      <c r="E62" s="65">
        <v>0</v>
      </c>
      <c r="F62" s="66">
        <v>0</v>
      </c>
      <c r="G62" s="67">
        <f t="shared" si="4"/>
        <v>0</v>
      </c>
      <c r="H62" s="68">
        <f t="shared" si="1"/>
        <v>0</v>
      </c>
      <c r="I62" s="77"/>
    </row>
    <row r="63" spans="1:9" x14ac:dyDescent="0.3">
      <c r="A63" s="75">
        <f t="shared" si="3"/>
        <v>60</v>
      </c>
      <c r="B63" s="70"/>
      <c r="C63" s="70"/>
      <c r="D63" s="70"/>
      <c r="E63" s="65">
        <v>0</v>
      </c>
      <c r="F63" s="66">
        <v>0</v>
      </c>
      <c r="G63" s="67">
        <f t="shared" si="4"/>
        <v>0</v>
      </c>
      <c r="H63" s="68">
        <f t="shared" si="1"/>
        <v>0</v>
      </c>
      <c r="I63" s="77"/>
    </row>
    <row r="64" spans="1:9" x14ac:dyDescent="0.3">
      <c r="A64" s="75">
        <f t="shared" si="3"/>
        <v>61</v>
      </c>
      <c r="B64" s="70"/>
      <c r="C64" s="70"/>
      <c r="D64" s="70"/>
      <c r="E64" s="65">
        <v>0</v>
      </c>
      <c r="F64" s="66">
        <v>0</v>
      </c>
      <c r="G64" s="67">
        <f t="shared" si="4"/>
        <v>0</v>
      </c>
      <c r="H64" s="68">
        <f t="shared" si="1"/>
        <v>0</v>
      </c>
      <c r="I64" s="77"/>
    </row>
    <row r="65" spans="1:9" x14ac:dyDescent="0.3">
      <c r="A65" s="75">
        <f t="shared" si="3"/>
        <v>62</v>
      </c>
      <c r="B65" s="70"/>
      <c r="C65" s="70"/>
      <c r="D65" s="70"/>
      <c r="E65" s="65">
        <v>0</v>
      </c>
      <c r="F65" s="66">
        <v>0</v>
      </c>
      <c r="G65" s="67">
        <f t="shared" si="4"/>
        <v>0</v>
      </c>
      <c r="H65" s="68">
        <f t="shared" si="1"/>
        <v>0</v>
      </c>
      <c r="I65" s="77"/>
    </row>
    <row r="66" spans="1:9" x14ac:dyDescent="0.3">
      <c r="A66" s="75">
        <f t="shared" si="3"/>
        <v>63</v>
      </c>
      <c r="B66" s="70"/>
      <c r="C66" s="70"/>
      <c r="D66" s="70"/>
      <c r="E66" s="65">
        <v>0</v>
      </c>
      <c r="F66" s="66">
        <v>0</v>
      </c>
      <c r="G66" s="67">
        <f t="shared" si="4"/>
        <v>0</v>
      </c>
      <c r="H66" s="68">
        <f t="shared" si="1"/>
        <v>0</v>
      </c>
      <c r="I66" s="77"/>
    </row>
    <row r="67" spans="1:9" x14ac:dyDescent="0.3">
      <c r="A67" s="75">
        <f t="shared" si="3"/>
        <v>64</v>
      </c>
      <c r="B67" s="70"/>
      <c r="C67" s="70"/>
      <c r="D67" s="70"/>
      <c r="E67" s="65">
        <v>0</v>
      </c>
      <c r="F67" s="66">
        <v>0</v>
      </c>
      <c r="G67" s="67">
        <f t="shared" si="4"/>
        <v>0</v>
      </c>
      <c r="H67" s="68">
        <f t="shared" si="1"/>
        <v>0</v>
      </c>
      <c r="I67" s="77"/>
    </row>
    <row r="68" spans="1:9" x14ac:dyDescent="0.3">
      <c r="A68" s="75">
        <f t="shared" si="3"/>
        <v>65</v>
      </c>
      <c r="B68" s="70"/>
      <c r="C68" s="70"/>
      <c r="D68" s="70"/>
      <c r="E68" s="65">
        <v>0</v>
      </c>
      <c r="F68" s="66">
        <v>0</v>
      </c>
      <c r="G68" s="67">
        <f t="shared" si="4"/>
        <v>0</v>
      </c>
      <c r="H68" s="68">
        <f t="shared" ref="H68:H83" si="5">G68*1.2</f>
        <v>0</v>
      </c>
      <c r="I68" s="77"/>
    </row>
    <row r="69" spans="1:9" x14ac:dyDescent="0.3">
      <c r="A69" s="75">
        <f t="shared" si="3"/>
        <v>66</v>
      </c>
      <c r="B69" s="70"/>
      <c r="C69" s="70"/>
      <c r="D69" s="70"/>
      <c r="E69" s="65">
        <v>0</v>
      </c>
      <c r="F69" s="66">
        <v>0</v>
      </c>
      <c r="G69" s="67">
        <f t="shared" si="4"/>
        <v>0</v>
      </c>
      <c r="H69" s="68">
        <f t="shared" si="5"/>
        <v>0</v>
      </c>
      <c r="I69" s="77"/>
    </row>
    <row r="70" spans="1:9" x14ac:dyDescent="0.3">
      <c r="A70" s="75">
        <f t="shared" si="3"/>
        <v>67</v>
      </c>
      <c r="B70" s="70"/>
      <c r="C70" s="70"/>
      <c r="D70" s="70"/>
      <c r="E70" s="65">
        <v>0</v>
      </c>
      <c r="F70" s="66">
        <v>0</v>
      </c>
      <c r="G70" s="67">
        <f t="shared" si="4"/>
        <v>0</v>
      </c>
      <c r="H70" s="68">
        <f t="shared" si="5"/>
        <v>0</v>
      </c>
      <c r="I70" s="77"/>
    </row>
    <row r="71" spans="1:9" x14ac:dyDescent="0.3">
      <c r="A71" s="75">
        <f t="shared" si="3"/>
        <v>68</v>
      </c>
      <c r="B71" s="70"/>
      <c r="C71" s="70"/>
      <c r="D71" s="70"/>
      <c r="E71" s="65">
        <v>0</v>
      </c>
      <c r="F71" s="66">
        <v>0</v>
      </c>
      <c r="G71" s="67">
        <f t="shared" si="4"/>
        <v>0</v>
      </c>
      <c r="H71" s="68">
        <f t="shared" si="5"/>
        <v>0</v>
      </c>
      <c r="I71" s="77"/>
    </row>
    <row r="72" spans="1:9" x14ac:dyDescent="0.3">
      <c r="A72" s="75">
        <f t="shared" si="3"/>
        <v>69</v>
      </c>
      <c r="B72" s="70"/>
      <c r="C72" s="70"/>
      <c r="D72" s="70"/>
      <c r="E72" s="65">
        <v>0</v>
      </c>
      <c r="F72" s="66">
        <v>0</v>
      </c>
      <c r="G72" s="67">
        <f t="shared" si="4"/>
        <v>0</v>
      </c>
      <c r="H72" s="68">
        <f t="shared" si="5"/>
        <v>0</v>
      </c>
      <c r="I72" s="77"/>
    </row>
    <row r="73" spans="1:9" x14ac:dyDescent="0.3">
      <c r="A73" s="75">
        <f t="shared" si="3"/>
        <v>70</v>
      </c>
      <c r="B73" s="70"/>
      <c r="C73" s="70"/>
      <c r="D73" s="70"/>
      <c r="E73" s="65">
        <v>0</v>
      </c>
      <c r="F73" s="66">
        <v>0</v>
      </c>
      <c r="G73" s="67">
        <f t="shared" si="4"/>
        <v>0</v>
      </c>
      <c r="H73" s="68">
        <f t="shared" si="5"/>
        <v>0</v>
      </c>
      <c r="I73" s="77"/>
    </row>
    <row r="74" spans="1:9" x14ac:dyDescent="0.3">
      <c r="A74" s="75">
        <f t="shared" si="3"/>
        <v>71</v>
      </c>
      <c r="B74" s="70"/>
      <c r="C74" s="70"/>
      <c r="D74" s="70"/>
      <c r="E74" s="65">
        <v>0</v>
      </c>
      <c r="F74" s="66">
        <v>0</v>
      </c>
      <c r="G74" s="67">
        <f t="shared" si="4"/>
        <v>0</v>
      </c>
      <c r="H74" s="68">
        <f t="shared" si="5"/>
        <v>0</v>
      </c>
      <c r="I74" s="77"/>
    </row>
    <row r="75" spans="1:9" x14ac:dyDescent="0.3">
      <c r="A75" s="75">
        <f t="shared" si="3"/>
        <v>72</v>
      </c>
      <c r="B75" s="70"/>
      <c r="C75" s="70"/>
      <c r="D75" s="70"/>
      <c r="E75" s="65">
        <v>0</v>
      </c>
      <c r="F75" s="66">
        <v>0</v>
      </c>
      <c r="G75" s="67">
        <f t="shared" si="4"/>
        <v>0</v>
      </c>
      <c r="H75" s="68">
        <f t="shared" si="5"/>
        <v>0</v>
      </c>
      <c r="I75" s="77"/>
    </row>
    <row r="76" spans="1:9" x14ac:dyDescent="0.3">
      <c r="A76" s="75">
        <f t="shared" si="3"/>
        <v>73</v>
      </c>
      <c r="B76" s="70"/>
      <c r="C76" s="70"/>
      <c r="D76" s="70"/>
      <c r="E76" s="65">
        <v>0</v>
      </c>
      <c r="F76" s="66">
        <v>0</v>
      </c>
      <c r="G76" s="67">
        <f t="shared" si="4"/>
        <v>0</v>
      </c>
      <c r="H76" s="68">
        <f t="shared" si="5"/>
        <v>0</v>
      </c>
      <c r="I76" s="77"/>
    </row>
    <row r="77" spans="1:9" x14ac:dyDescent="0.3">
      <c r="A77" s="75">
        <f t="shared" si="3"/>
        <v>74</v>
      </c>
      <c r="B77" s="70"/>
      <c r="C77" s="70"/>
      <c r="D77" s="70"/>
      <c r="E77" s="65">
        <v>0</v>
      </c>
      <c r="F77" s="66">
        <v>0</v>
      </c>
      <c r="G77" s="67">
        <f t="shared" si="4"/>
        <v>0</v>
      </c>
      <c r="H77" s="68">
        <f t="shared" si="5"/>
        <v>0</v>
      </c>
      <c r="I77" s="77"/>
    </row>
    <row r="78" spans="1:9" x14ac:dyDescent="0.3">
      <c r="A78" s="75">
        <f t="shared" si="3"/>
        <v>75</v>
      </c>
      <c r="B78" s="70"/>
      <c r="C78" s="70"/>
      <c r="D78" s="70"/>
      <c r="E78" s="65">
        <v>0</v>
      </c>
      <c r="F78" s="66">
        <v>0</v>
      </c>
      <c r="G78" s="67">
        <f t="shared" si="4"/>
        <v>0</v>
      </c>
      <c r="H78" s="68">
        <f t="shared" si="5"/>
        <v>0</v>
      </c>
      <c r="I78" s="77"/>
    </row>
    <row r="79" spans="1:9" x14ac:dyDescent="0.3">
      <c r="A79" s="75">
        <f t="shared" si="3"/>
        <v>76</v>
      </c>
      <c r="B79" s="70"/>
      <c r="C79" s="70"/>
      <c r="D79" s="70"/>
      <c r="E79" s="65">
        <v>0</v>
      </c>
      <c r="F79" s="66">
        <v>0</v>
      </c>
      <c r="G79" s="67">
        <f t="shared" si="4"/>
        <v>0</v>
      </c>
      <c r="H79" s="68">
        <f t="shared" si="5"/>
        <v>0</v>
      </c>
      <c r="I79" s="77"/>
    </row>
    <row r="80" spans="1:9" x14ac:dyDescent="0.3">
      <c r="A80" s="75">
        <f t="shared" si="3"/>
        <v>77</v>
      </c>
      <c r="B80" s="70"/>
      <c r="C80" s="70"/>
      <c r="D80" s="70"/>
      <c r="E80" s="65">
        <v>0</v>
      </c>
      <c r="F80" s="66">
        <v>0</v>
      </c>
      <c r="G80" s="67">
        <f t="shared" si="4"/>
        <v>0</v>
      </c>
      <c r="H80" s="68">
        <f t="shared" si="5"/>
        <v>0</v>
      </c>
      <c r="I80" s="77"/>
    </row>
    <row r="81" spans="1:9" x14ac:dyDescent="0.3">
      <c r="A81" s="75">
        <f t="shared" si="3"/>
        <v>78</v>
      </c>
      <c r="B81" s="70"/>
      <c r="C81" s="70"/>
      <c r="D81" s="70"/>
      <c r="E81" s="65">
        <v>0</v>
      </c>
      <c r="F81" s="66">
        <v>0</v>
      </c>
      <c r="G81" s="67">
        <f t="shared" si="4"/>
        <v>0</v>
      </c>
      <c r="H81" s="68">
        <f t="shared" si="5"/>
        <v>0</v>
      </c>
      <c r="I81" s="77"/>
    </row>
    <row r="82" spans="1:9" x14ac:dyDescent="0.3">
      <c r="A82" s="75">
        <f t="shared" si="3"/>
        <v>79</v>
      </c>
      <c r="B82" s="70"/>
      <c r="C82" s="70"/>
      <c r="D82" s="70"/>
      <c r="E82" s="65">
        <v>0</v>
      </c>
      <c r="F82" s="66">
        <v>0</v>
      </c>
      <c r="G82" s="67">
        <f t="shared" si="4"/>
        <v>0</v>
      </c>
      <c r="H82" s="68">
        <f t="shared" si="5"/>
        <v>0</v>
      </c>
      <c r="I82" s="77"/>
    </row>
    <row r="83" spans="1:9" x14ac:dyDescent="0.3">
      <c r="A83" s="75">
        <f t="shared" si="3"/>
        <v>80</v>
      </c>
      <c r="B83" s="70"/>
      <c r="C83" s="70"/>
      <c r="D83" s="70"/>
      <c r="E83" s="65">
        <v>0</v>
      </c>
      <c r="F83" s="66">
        <v>0</v>
      </c>
      <c r="G83" s="67">
        <f t="shared" si="4"/>
        <v>0</v>
      </c>
      <c r="H83" s="68">
        <f t="shared" si="5"/>
        <v>0</v>
      </c>
      <c r="I83" s="77"/>
    </row>
    <row r="84" spans="1:9" ht="32.25" customHeight="1" x14ac:dyDescent="0.3">
      <c r="A84" s="263" t="s">
        <v>80</v>
      </c>
      <c r="B84" s="131"/>
      <c r="C84" s="96"/>
      <c r="D84" s="96"/>
      <c r="E84" s="71"/>
      <c r="F84" s="72"/>
      <c r="G84" s="73">
        <f>SUM(G4:G83)</f>
        <v>44505</v>
      </c>
      <c r="H84" s="74">
        <f>SUM(H4:H83)</f>
        <v>53406</v>
      </c>
      <c r="I84" s="96"/>
    </row>
    <row r="85" spans="1:9" ht="28.5" customHeight="1" x14ac:dyDescent="0.3">
      <c r="A85" s="7"/>
      <c r="B85" s="264" t="s">
        <v>81</v>
      </c>
      <c r="C85" s="133"/>
      <c r="D85" s="133"/>
      <c r="E85" s="133"/>
      <c r="F85" s="133"/>
      <c r="G85" s="133"/>
      <c r="H85" s="133"/>
      <c r="I85" s="131"/>
    </row>
    <row r="86" spans="1:9" ht="111" x14ac:dyDescent="0.3">
      <c r="A86" s="75">
        <v>1</v>
      </c>
      <c r="B86" s="64" t="s">
        <v>4755</v>
      </c>
      <c r="C86" s="64" t="s">
        <v>4756</v>
      </c>
      <c r="D86" s="76" t="s">
        <v>82</v>
      </c>
      <c r="E86" s="65">
        <v>6</v>
      </c>
      <c r="F86" s="66">
        <v>820</v>
      </c>
      <c r="G86" s="67">
        <f t="shared" ref="G86:G105" si="6">E86*F86</f>
        <v>4920</v>
      </c>
      <c r="H86" s="68">
        <f t="shared" ref="H86:H125" si="7">G86*1.2</f>
        <v>5904</v>
      </c>
      <c r="I86" s="126" t="s">
        <v>4845</v>
      </c>
    </row>
    <row r="87" spans="1:9" x14ac:dyDescent="0.3">
      <c r="A87" s="75">
        <v>2</v>
      </c>
      <c r="B87" s="64"/>
      <c r="C87" s="64"/>
      <c r="D87" s="76" t="s">
        <v>82</v>
      </c>
      <c r="E87" s="65">
        <v>0</v>
      </c>
      <c r="F87" s="66">
        <v>0</v>
      </c>
      <c r="G87" s="67">
        <f t="shared" si="6"/>
        <v>0</v>
      </c>
      <c r="H87" s="68">
        <f t="shared" si="7"/>
        <v>0</v>
      </c>
      <c r="I87" s="69"/>
    </row>
    <row r="88" spans="1:9" x14ac:dyDescent="0.3">
      <c r="A88" s="75">
        <v>3</v>
      </c>
      <c r="B88" s="64"/>
      <c r="C88" s="64"/>
      <c r="D88" s="76" t="s">
        <v>82</v>
      </c>
      <c r="E88" s="65">
        <v>0</v>
      </c>
      <c r="F88" s="66">
        <v>0</v>
      </c>
      <c r="G88" s="67">
        <f t="shared" si="6"/>
        <v>0</v>
      </c>
      <c r="H88" s="68">
        <f t="shared" si="7"/>
        <v>0</v>
      </c>
      <c r="I88" s="69"/>
    </row>
    <row r="89" spans="1:9" x14ac:dyDescent="0.3">
      <c r="A89" s="75">
        <v>4</v>
      </c>
      <c r="B89" s="64"/>
      <c r="C89" s="64"/>
      <c r="D89" s="76" t="s">
        <v>82</v>
      </c>
      <c r="E89" s="65">
        <v>0</v>
      </c>
      <c r="F89" s="66">
        <v>0</v>
      </c>
      <c r="G89" s="67">
        <f t="shared" si="6"/>
        <v>0</v>
      </c>
      <c r="H89" s="68">
        <f t="shared" si="7"/>
        <v>0</v>
      </c>
      <c r="I89" s="69"/>
    </row>
    <row r="90" spans="1:9" x14ac:dyDescent="0.3">
      <c r="A90" s="75">
        <v>5</v>
      </c>
      <c r="B90" s="64"/>
      <c r="C90" s="64"/>
      <c r="D90" s="76" t="s">
        <v>82</v>
      </c>
      <c r="E90" s="65">
        <v>0</v>
      </c>
      <c r="F90" s="66">
        <v>0</v>
      </c>
      <c r="G90" s="67">
        <f t="shared" si="6"/>
        <v>0</v>
      </c>
      <c r="H90" s="68">
        <f t="shared" si="7"/>
        <v>0</v>
      </c>
      <c r="I90" s="69"/>
    </row>
    <row r="91" spans="1:9" x14ac:dyDescent="0.3">
      <c r="A91" s="75">
        <v>6</v>
      </c>
      <c r="B91" s="64"/>
      <c r="C91" s="64"/>
      <c r="D91" s="76" t="s">
        <v>82</v>
      </c>
      <c r="E91" s="65">
        <v>0</v>
      </c>
      <c r="F91" s="66">
        <v>0</v>
      </c>
      <c r="G91" s="67">
        <f t="shared" si="6"/>
        <v>0</v>
      </c>
      <c r="H91" s="68">
        <f t="shared" si="7"/>
        <v>0</v>
      </c>
      <c r="I91" s="69"/>
    </row>
    <row r="92" spans="1:9" x14ac:dyDescent="0.3">
      <c r="A92" s="75">
        <v>7</v>
      </c>
      <c r="B92" s="64"/>
      <c r="C92" s="64"/>
      <c r="D92" s="76" t="s">
        <v>82</v>
      </c>
      <c r="E92" s="65">
        <v>0</v>
      </c>
      <c r="F92" s="66">
        <v>0</v>
      </c>
      <c r="G92" s="67">
        <f t="shared" si="6"/>
        <v>0</v>
      </c>
      <c r="H92" s="68">
        <f t="shared" si="7"/>
        <v>0</v>
      </c>
      <c r="I92" s="69"/>
    </row>
    <row r="93" spans="1:9" x14ac:dyDescent="0.3">
      <c r="A93" s="75">
        <v>8</v>
      </c>
      <c r="B93" s="64"/>
      <c r="C93" s="64"/>
      <c r="D93" s="76" t="s">
        <v>82</v>
      </c>
      <c r="E93" s="65">
        <v>0</v>
      </c>
      <c r="F93" s="66">
        <v>0</v>
      </c>
      <c r="G93" s="67">
        <f t="shared" si="6"/>
        <v>0</v>
      </c>
      <c r="H93" s="68">
        <f t="shared" si="7"/>
        <v>0</v>
      </c>
      <c r="I93" s="69"/>
    </row>
    <row r="94" spans="1:9" x14ac:dyDescent="0.3">
      <c r="A94" s="75">
        <v>9</v>
      </c>
      <c r="B94" s="64"/>
      <c r="C94" s="64"/>
      <c r="D94" s="76" t="s">
        <v>82</v>
      </c>
      <c r="E94" s="65">
        <v>0</v>
      </c>
      <c r="F94" s="66">
        <v>0</v>
      </c>
      <c r="G94" s="67">
        <f t="shared" si="6"/>
        <v>0</v>
      </c>
      <c r="H94" s="68">
        <f t="shared" si="7"/>
        <v>0</v>
      </c>
      <c r="I94" s="69"/>
    </row>
    <row r="95" spans="1:9" x14ac:dyDescent="0.3">
      <c r="A95" s="75">
        <v>10</v>
      </c>
      <c r="B95" s="64"/>
      <c r="C95" s="64"/>
      <c r="D95" s="76" t="s">
        <v>82</v>
      </c>
      <c r="E95" s="65">
        <v>0</v>
      </c>
      <c r="F95" s="66">
        <v>0</v>
      </c>
      <c r="G95" s="67">
        <f t="shared" si="6"/>
        <v>0</v>
      </c>
      <c r="H95" s="68">
        <f t="shared" si="7"/>
        <v>0</v>
      </c>
      <c r="I95" s="69"/>
    </row>
    <row r="96" spans="1:9" x14ac:dyDescent="0.3">
      <c r="A96" s="75">
        <v>11</v>
      </c>
      <c r="B96" s="64"/>
      <c r="C96" s="64"/>
      <c r="D96" s="76" t="s">
        <v>82</v>
      </c>
      <c r="E96" s="65">
        <v>0</v>
      </c>
      <c r="F96" s="66">
        <v>0</v>
      </c>
      <c r="G96" s="67">
        <f t="shared" si="6"/>
        <v>0</v>
      </c>
      <c r="H96" s="68">
        <f t="shared" si="7"/>
        <v>0</v>
      </c>
      <c r="I96" s="69"/>
    </row>
    <row r="97" spans="1:9" x14ac:dyDescent="0.3">
      <c r="A97" s="75">
        <v>12</v>
      </c>
      <c r="B97" s="64"/>
      <c r="C97" s="64"/>
      <c r="D97" s="76" t="s">
        <v>82</v>
      </c>
      <c r="E97" s="65">
        <v>0</v>
      </c>
      <c r="F97" s="66">
        <v>0</v>
      </c>
      <c r="G97" s="67">
        <f t="shared" si="6"/>
        <v>0</v>
      </c>
      <c r="H97" s="68">
        <f t="shared" si="7"/>
        <v>0</v>
      </c>
      <c r="I97" s="69"/>
    </row>
    <row r="98" spans="1:9" x14ac:dyDescent="0.3">
      <c r="A98" s="75">
        <v>13</v>
      </c>
      <c r="B98" s="64"/>
      <c r="C98" s="64"/>
      <c r="D98" s="76" t="s">
        <v>82</v>
      </c>
      <c r="E98" s="65">
        <v>0</v>
      </c>
      <c r="F98" s="66">
        <v>0</v>
      </c>
      <c r="G98" s="67">
        <f t="shared" si="6"/>
        <v>0</v>
      </c>
      <c r="H98" s="68">
        <f t="shared" si="7"/>
        <v>0</v>
      </c>
      <c r="I98" s="69"/>
    </row>
    <row r="99" spans="1:9" x14ac:dyDescent="0.3">
      <c r="A99" s="75">
        <v>14</v>
      </c>
      <c r="B99" s="64"/>
      <c r="C99" s="64"/>
      <c r="D99" s="76" t="s">
        <v>82</v>
      </c>
      <c r="E99" s="65">
        <v>0</v>
      </c>
      <c r="F99" s="66">
        <v>0</v>
      </c>
      <c r="G99" s="67">
        <f t="shared" si="6"/>
        <v>0</v>
      </c>
      <c r="H99" s="68">
        <f t="shared" si="7"/>
        <v>0</v>
      </c>
      <c r="I99" s="69"/>
    </row>
    <row r="100" spans="1:9" x14ac:dyDescent="0.3">
      <c r="A100" s="75">
        <v>15</v>
      </c>
      <c r="B100" s="64"/>
      <c r="C100" s="64"/>
      <c r="D100" s="76" t="s">
        <v>82</v>
      </c>
      <c r="E100" s="65">
        <v>0</v>
      </c>
      <c r="F100" s="66">
        <v>0</v>
      </c>
      <c r="G100" s="67">
        <f t="shared" si="6"/>
        <v>0</v>
      </c>
      <c r="H100" s="68">
        <f t="shared" si="7"/>
        <v>0</v>
      </c>
      <c r="I100" s="69"/>
    </row>
    <row r="101" spans="1:9" x14ac:dyDescent="0.3">
      <c r="A101" s="75">
        <v>16</v>
      </c>
      <c r="B101" s="64"/>
      <c r="C101" s="64"/>
      <c r="D101" s="76" t="s">
        <v>82</v>
      </c>
      <c r="E101" s="65">
        <v>0</v>
      </c>
      <c r="F101" s="66">
        <v>0</v>
      </c>
      <c r="G101" s="67">
        <f t="shared" si="6"/>
        <v>0</v>
      </c>
      <c r="H101" s="68">
        <f t="shared" si="7"/>
        <v>0</v>
      </c>
      <c r="I101" s="69"/>
    </row>
    <row r="102" spans="1:9" x14ac:dyDescent="0.3">
      <c r="A102" s="75">
        <v>17</v>
      </c>
      <c r="B102" s="64"/>
      <c r="C102" s="64"/>
      <c r="D102" s="76" t="s">
        <v>82</v>
      </c>
      <c r="E102" s="65">
        <v>0</v>
      </c>
      <c r="F102" s="66">
        <v>0</v>
      </c>
      <c r="G102" s="67">
        <f t="shared" si="6"/>
        <v>0</v>
      </c>
      <c r="H102" s="68">
        <f t="shared" si="7"/>
        <v>0</v>
      </c>
      <c r="I102" s="69"/>
    </row>
    <row r="103" spans="1:9" x14ac:dyDescent="0.3">
      <c r="A103" s="75">
        <v>18</v>
      </c>
      <c r="B103" s="64"/>
      <c r="C103" s="64"/>
      <c r="D103" s="76" t="s">
        <v>82</v>
      </c>
      <c r="E103" s="65">
        <v>0</v>
      </c>
      <c r="F103" s="66">
        <v>0</v>
      </c>
      <c r="G103" s="67">
        <f t="shared" si="6"/>
        <v>0</v>
      </c>
      <c r="H103" s="68">
        <f t="shared" si="7"/>
        <v>0</v>
      </c>
      <c r="I103" s="69"/>
    </row>
    <row r="104" spans="1:9" x14ac:dyDescent="0.3">
      <c r="A104" s="75">
        <v>19</v>
      </c>
      <c r="B104" s="64"/>
      <c r="C104" s="64"/>
      <c r="D104" s="76" t="s">
        <v>82</v>
      </c>
      <c r="E104" s="65">
        <v>0</v>
      </c>
      <c r="F104" s="66">
        <v>0</v>
      </c>
      <c r="G104" s="67">
        <f t="shared" si="6"/>
        <v>0</v>
      </c>
      <c r="H104" s="68">
        <f t="shared" si="7"/>
        <v>0</v>
      </c>
      <c r="I104" s="69"/>
    </row>
    <row r="105" spans="1:9" x14ac:dyDescent="0.3">
      <c r="A105" s="75">
        <v>20</v>
      </c>
      <c r="B105" s="64"/>
      <c r="C105" s="64"/>
      <c r="D105" s="76" t="s">
        <v>82</v>
      </c>
      <c r="E105" s="65">
        <v>0</v>
      </c>
      <c r="F105" s="66">
        <v>0</v>
      </c>
      <c r="G105" s="67">
        <f t="shared" si="6"/>
        <v>0</v>
      </c>
      <c r="H105" s="68">
        <f t="shared" si="7"/>
        <v>0</v>
      </c>
      <c r="I105" s="69"/>
    </row>
    <row r="106" spans="1:9" x14ac:dyDescent="0.3">
      <c r="A106" s="75">
        <v>21</v>
      </c>
      <c r="B106" s="64"/>
      <c r="C106" s="64"/>
      <c r="D106" s="76" t="s">
        <v>82</v>
      </c>
      <c r="E106" s="65">
        <v>0</v>
      </c>
      <c r="F106" s="66">
        <v>0</v>
      </c>
      <c r="G106" s="67">
        <f t="shared" ref="G106:G125" si="8">E106*F106</f>
        <v>0</v>
      </c>
      <c r="H106" s="68">
        <f t="shared" si="7"/>
        <v>0</v>
      </c>
      <c r="I106" s="69"/>
    </row>
    <row r="107" spans="1:9" x14ac:dyDescent="0.3">
      <c r="A107" s="75">
        <v>22</v>
      </c>
      <c r="B107" s="64"/>
      <c r="C107" s="64"/>
      <c r="D107" s="76" t="s">
        <v>82</v>
      </c>
      <c r="E107" s="65">
        <v>0</v>
      </c>
      <c r="F107" s="66">
        <v>0</v>
      </c>
      <c r="G107" s="67">
        <f t="shared" si="8"/>
        <v>0</v>
      </c>
      <c r="H107" s="68">
        <f t="shared" si="7"/>
        <v>0</v>
      </c>
      <c r="I107" s="69"/>
    </row>
    <row r="108" spans="1:9" x14ac:dyDescent="0.3">
      <c r="A108" s="75">
        <v>23</v>
      </c>
      <c r="B108" s="64"/>
      <c r="C108" s="64"/>
      <c r="D108" s="76" t="s">
        <v>82</v>
      </c>
      <c r="E108" s="65">
        <v>0</v>
      </c>
      <c r="F108" s="66">
        <v>0</v>
      </c>
      <c r="G108" s="67">
        <f t="shared" si="8"/>
        <v>0</v>
      </c>
      <c r="H108" s="68">
        <f t="shared" si="7"/>
        <v>0</v>
      </c>
      <c r="I108" s="69"/>
    </row>
    <row r="109" spans="1:9" x14ac:dyDescent="0.3">
      <c r="A109" s="75">
        <v>24</v>
      </c>
      <c r="B109" s="64"/>
      <c r="C109" s="64"/>
      <c r="D109" s="76" t="s">
        <v>82</v>
      </c>
      <c r="E109" s="65">
        <v>0</v>
      </c>
      <c r="F109" s="66">
        <v>0</v>
      </c>
      <c r="G109" s="67">
        <f t="shared" si="8"/>
        <v>0</v>
      </c>
      <c r="H109" s="68">
        <f t="shared" si="7"/>
        <v>0</v>
      </c>
      <c r="I109" s="69"/>
    </row>
    <row r="110" spans="1:9" x14ac:dyDescent="0.3">
      <c r="A110" s="75">
        <v>25</v>
      </c>
      <c r="B110" s="64"/>
      <c r="C110" s="64"/>
      <c r="D110" s="76" t="s">
        <v>82</v>
      </c>
      <c r="E110" s="65">
        <v>0</v>
      </c>
      <c r="F110" s="66">
        <v>0</v>
      </c>
      <c r="G110" s="67">
        <f t="shared" si="8"/>
        <v>0</v>
      </c>
      <c r="H110" s="68">
        <f t="shared" si="7"/>
        <v>0</v>
      </c>
      <c r="I110" s="69"/>
    </row>
    <row r="111" spans="1:9" x14ac:dyDescent="0.3">
      <c r="A111" s="75">
        <v>26</v>
      </c>
      <c r="B111" s="64"/>
      <c r="C111" s="64"/>
      <c r="D111" s="76" t="s">
        <v>82</v>
      </c>
      <c r="E111" s="65">
        <v>0</v>
      </c>
      <c r="F111" s="66">
        <v>0</v>
      </c>
      <c r="G111" s="67">
        <f t="shared" si="8"/>
        <v>0</v>
      </c>
      <c r="H111" s="68">
        <f t="shared" si="7"/>
        <v>0</v>
      </c>
      <c r="I111" s="69"/>
    </row>
    <row r="112" spans="1:9" x14ac:dyDescent="0.3">
      <c r="A112" s="75">
        <v>27</v>
      </c>
      <c r="B112" s="64"/>
      <c r="C112" s="64"/>
      <c r="D112" s="76" t="s">
        <v>82</v>
      </c>
      <c r="E112" s="65">
        <v>0</v>
      </c>
      <c r="F112" s="66">
        <v>0</v>
      </c>
      <c r="G112" s="67">
        <f t="shared" si="8"/>
        <v>0</v>
      </c>
      <c r="H112" s="68">
        <f t="shared" si="7"/>
        <v>0</v>
      </c>
      <c r="I112" s="69"/>
    </row>
    <row r="113" spans="1:9" x14ac:dyDescent="0.3">
      <c r="A113" s="75">
        <v>28</v>
      </c>
      <c r="B113" s="64"/>
      <c r="C113" s="64"/>
      <c r="D113" s="76" t="s">
        <v>82</v>
      </c>
      <c r="E113" s="65">
        <v>0</v>
      </c>
      <c r="F113" s="66">
        <v>0</v>
      </c>
      <c r="G113" s="67">
        <f t="shared" si="8"/>
        <v>0</v>
      </c>
      <c r="H113" s="68">
        <f t="shared" si="7"/>
        <v>0</v>
      </c>
      <c r="I113" s="69"/>
    </row>
    <row r="114" spans="1:9" x14ac:dyDescent="0.3">
      <c r="A114" s="75">
        <v>29</v>
      </c>
      <c r="B114" s="64"/>
      <c r="C114" s="64"/>
      <c r="D114" s="76" t="s">
        <v>82</v>
      </c>
      <c r="E114" s="65">
        <v>0</v>
      </c>
      <c r="F114" s="66">
        <v>0</v>
      </c>
      <c r="G114" s="67">
        <f t="shared" si="8"/>
        <v>0</v>
      </c>
      <c r="H114" s="68">
        <f t="shared" si="7"/>
        <v>0</v>
      </c>
      <c r="I114" s="69"/>
    </row>
    <row r="115" spans="1:9" x14ac:dyDescent="0.3">
      <c r="A115" s="75">
        <v>30</v>
      </c>
      <c r="B115" s="64"/>
      <c r="C115" s="64"/>
      <c r="D115" s="76" t="s">
        <v>82</v>
      </c>
      <c r="E115" s="65">
        <v>0</v>
      </c>
      <c r="F115" s="66">
        <v>0</v>
      </c>
      <c r="G115" s="67">
        <f t="shared" si="8"/>
        <v>0</v>
      </c>
      <c r="H115" s="68">
        <f t="shared" si="7"/>
        <v>0</v>
      </c>
      <c r="I115" s="69"/>
    </row>
    <row r="116" spans="1:9" x14ac:dyDescent="0.3">
      <c r="A116" s="75">
        <v>31</v>
      </c>
      <c r="B116" s="64"/>
      <c r="C116" s="64"/>
      <c r="D116" s="76" t="s">
        <v>82</v>
      </c>
      <c r="E116" s="65">
        <v>0</v>
      </c>
      <c r="F116" s="66">
        <v>0</v>
      </c>
      <c r="G116" s="67">
        <f t="shared" si="8"/>
        <v>0</v>
      </c>
      <c r="H116" s="68">
        <f t="shared" si="7"/>
        <v>0</v>
      </c>
      <c r="I116" s="69"/>
    </row>
    <row r="117" spans="1:9" x14ac:dyDescent="0.3">
      <c r="A117" s="75">
        <v>32</v>
      </c>
      <c r="B117" s="64"/>
      <c r="C117" s="64"/>
      <c r="D117" s="76" t="s">
        <v>82</v>
      </c>
      <c r="E117" s="65">
        <v>0</v>
      </c>
      <c r="F117" s="66">
        <v>0</v>
      </c>
      <c r="G117" s="67">
        <f t="shared" si="8"/>
        <v>0</v>
      </c>
      <c r="H117" s="68">
        <f t="shared" si="7"/>
        <v>0</v>
      </c>
      <c r="I117" s="69"/>
    </row>
    <row r="118" spans="1:9" x14ac:dyDescent="0.3">
      <c r="A118" s="75">
        <v>33</v>
      </c>
      <c r="B118" s="64"/>
      <c r="C118" s="64"/>
      <c r="D118" s="76" t="s">
        <v>82</v>
      </c>
      <c r="E118" s="65">
        <v>0</v>
      </c>
      <c r="F118" s="66">
        <v>0</v>
      </c>
      <c r="G118" s="67">
        <f t="shared" si="8"/>
        <v>0</v>
      </c>
      <c r="H118" s="68">
        <f t="shared" si="7"/>
        <v>0</v>
      </c>
      <c r="I118" s="69"/>
    </row>
    <row r="119" spans="1:9" x14ac:dyDescent="0.3">
      <c r="A119" s="75">
        <v>34</v>
      </c>
      <c r="B119" s="64"/>
      <c r="C119" s="64"/>
      <c r="D119" s="76" t="s">
        <v>82</v>
      </c>
      <c r="E119" s="65">
        <v>0</v>
      </c>
      <c r="F119" s="66">
        <v>0</v>
      </c>
      <c r="G119" s="67">
        <f t="shared" si="8"/>
        <v>0</v>
      </c>
      <c r="H119" s="68">
        <f t="shared" si="7"/>
        <v>0</v>
      </c>
      <c r="I119" s="69"/>
    </row>
    <row r="120" spans="1:9" x14ac:dyDescent="0.3">
      <c r="A120" s="75">
        <v>35</v>
      </c>
      <c r="B120" s="64"/>
      <c r="C120" s="64"/>
      <c r="D120" s="76" t="s">
        <v>82</v>
      </c>
      <c r="E120" s="65">
        <v>0</v>
      </c>
      <c r="F120" s="66">
        <v>0</v>
      </c>
      <c r="G120" s="67">
        <f t="shared" si="8"/>
        <v>0</v>
      </c>
      <c r="H120" s="68">
        <f t="shared" si="7"/>
        <v>0</v>
      </c>
      <c r="I120" s="69"/>
    </row>
    <row r="121" spans="1:9" x14ac:dyDescent="0.3">
      <c r="A121" s="75">
        <v>36</v>
      </c>
      <c r="B121" s="64"/>
      <c r="C121" s="64"/>
      <c r="D121" s="76" t="s">
        <v>82</v>
      </c>
      <c r="E121" s="65">
        <v>0</v>
      </c>
      <c r="F121" s="66">
        <v>0</v>
      </c>
      <c r="G121" s="67">
        <f t="shared" si="8"/>
        <v>0</v>
      </c>
      <c r="H121" s="68">
        <f t="shared" si="7"/>
        <v>0</v>
      </c>
      <c r="I121" s="69"/>
    </row>
    <row r="122" spans="1:9" x14ac:dyDescent="0.3">
      <c r="A122" s="75">
        <v>37</v>
      </c>
      <c r="B122" s="64"/>
      <c r="C122" s="64"/>
      <c r="D122" s="76" t="s">
        <v>82</v>
      </c>
      <c r="E122" s="65">
        <v>0</v>
      </c>
      <c r="F122" s="66">
        <v>0</v>
      </c>
      <c r="G122" s="67">
        <f t="shared" si="8"/>
        <v>0</v>
      </c>
      <c r="H122" s="68">
        <f t="shared" si="7"/>
        <v>0</v>
      </c>
      <c r="I122" s="69"/>
    </row>
    <row r="123" spans="1:9" x14ac:dyDescent="0.3">
      <c r="A123" s="75">
        <v>38</v>
      </c>
      <c r="B123" s="64"/>
      <c r="C123" s="64"/>
      <c r="D123" s="76" t="s">
        <v>82</v>
      </c>
      <c r="E123" s="65">
        <v>0</v>
      </c>
      <c r="F123" s="66">
        <v>0</v>
      </c>
      <c r="G123" s="67">
        <f t="shared" si="8"/>
        <v>0</v>
      </c>
      <c r="H123" s="68">
        <f t="shared" si="7"/>
        <v>0</v>
      </c>
      <c r="I123" s="69"/>
    </row>
    <row r="124" spans="1:9" x14ac:dyDescent="0.3">
      <c r="A124" s="75">
        <v>39</v>
      </c>
      <c r="B124" s="64"/>
      <c r="C124" s="64"/>
      <c r="D124" s="76" t="s">
        <v>82</v>
      </c>
      <c r="E124" s="65">
        <v>0</v>
      </c>
      <c r="F124" s="66">
        <v>0</v>
      </c>
      <c r="G124" s="67">
        <f t="shared" si="8"/>
        <v>0</v>
      </c>
      <c r="H124" s="68">
        <f t="shared" si="7"/>
        <v>0</v>
      </c>
      <c r="I124" s="69"/>
    </row>
    <row r="125" spans="1:9" x14ac:dyDescent="0.3">
      <c r="A125" s="75">
        <v>40</v>
      </c>
      <c r="B125" s="64"/>
      <c r="C125" s="64"/>
      <c r="D125" s="76" t="s">
        <v>82</v>
      </c>
      <c r="E125" s="65">
        <v>0</v>
      </c>
      <c r="F125" s="66">
        <v>0</v>
      </c>
      <c r="G125" s="67">
        <f t="shared" si="8"/>
        <v>0</v>
      </c>
      <c r="H125" s="68">
        <f t="shared" si="7"/>
        <v>0</v>
      </c>
      <c r="I125" s="69"/>
    </row>
    <row r="126" spans="1:9" ht="32.25" customHeight="1" x14ac:dyDescent="0.3">
      <c r="A126" s="263" t="s">
        <v>83</v>
      </c>
      <c r="B126" s="131"/>
      <c r="C126" s="96"/>
      <c r="D126" s="96"/>
      <c r="E126" s="71"/>
      <c r="F126" s="72"/>
      <c r="G126" s="73">
        <f>SUM(G86:G125)</f>
        <v>4920</v>
      </c>
      <c r="H126" s="74">
        <f>SUM(H86:H125)</f>
        <v>5904</v>
      </c>
      <c r="I126" s="96"/>
    </row>
    <row r="127" spans="1:9" ht="48.75" customHeight="1" x14ac:dyDescent="0.3">
      <c r="A127" s="265" t="s">
        <v>97</v>
      </c>
      <c r="B127" s="133"/>
      <c r="C127" s="97"/>
      <c r="D127" s="97"/>
      <c r="E127" s="96"/>
      <c r="F127" s="96"/>
      <c r="G127" s="81">
        <f>G84+G126</f>
        <v>49425</v>
      </c>
      <c r="H127" s="74">
        <f>H84+H126</f>
        <v>59310</v>
      </c>
      <c r="I127" s="96"/>
    </row>
    <row r="128" spans="1:9" ht="32.25" customHeight="1" x14ac:dyDescent="0.3">
      <c r="A128" s="267" t="s">
        <v>98</v>
      </c>
      <c r="B128" s="214"/>
      <c r="C128" s="214"/>
      <c r="D128" s="214"/>
      <c r="E128" s="214"/>
      <c r="F128" s="214"/>
      <c r="G128" s="214"/>
      <c r="H128" s="214"/>
      <c r="I128" s="215"/>
    </row>
    <row r="129" spans="1:9" ht="39" customHeight="1" x14ac:dyDescent="0.3">
      <c r="A129" s="261"/>
      <c r="B129" s="156"/>
      <c r="C129" s="156"/>
      <c r="D129" s="156"/>
      <c r="E129" s="156"/>
      <c r="F129" s="156"/>
      <c r="G129" s="156"/>
      <c r="H129" s="156"/>
      <c r="I129" s="157"/>
    </row>
    <row r="130" spans="1:9" ht="78" customHeight="1" x14ac:dyDescent="0.3"/>
    <row r="131" spans="1:9" ht="31.5" customHeight="1" x14ac:dyDescent="0.3"/>
    <row r="132" spans="1:9" ht="18.75" customHeight="1" x14ac:dyDescent="0.3"/>
    <row r="133" spans="1:9" ht="18" customHeight="1" x14ac:dyDescent="0.3"/>
    <row r="134" spans="1:9" ht="15.75" customHeight="1" x14ac:dyDescent="0.3"/>
    <row r="138" spans="1:9" ht="84" customHeight="1" x14ac:dyDescent="0.3"/>
    <row r="139" spans="1:9" ht="28.5" customHeight="1" x14ac:dyDescent="0.3"/>
    <row r="142" spans="1:9" ht="68.25" customHeight="1" x14ac:dyDescent="0.3"/>
  </sheetData>
  <sheetProtection algorithmName="SHA-512" hashValue="Pc6J7/N3JUiXTNeVpgS0WDwKXGktyw+2Smm0Osh6sHKdH8JaG7JSDfM6xSSt3NpYMFgxamWWIMhm/gJNNX32sQ==" saltValue="x3XxH4aB7mRp2Q1fWs3rGw==" spinCount="100000" sheet="1" objects="1" scenarios="1" selectLockedCells="1"/>
  <mergeCells count="7">
    <mergeCell ref="A127:B127"/>
    <mergeCell ref="A128:I129"/>
    <mergeCell ref="A1:I1"/>
    <mergeCell ref="A3:I3"/>
    <mergeCell ref="A84:B84"/>
    <mergeCell ref="B85:I85"/>
    <mergeCell ref="A126:B1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142"/>
  <sheetViews>
    <sheetView zoomScale="60" zoomScaleNormal="60" workbookViewId="0">
      <pane ySplit="2" topLeftCell="A3" activePane="bottomLeft" state="frozen"/>
      <selection pane="bottomLeft" activeCell="F90" sqref="F90"/>
    </sheetView>
  </sheetViews>
  <sheetFormatPr defaultColWidth="9.33203125" defaultRowHeight="14.4" x14ac:dyDescent="0.3"/>
  <cols>
    <col min="1" max="1" width="7.33203125" style="6" customWidth="1"/>
    <col min="2" max="2" width="28.33203125" style="5" customWidth="1"/>
    <col min="3" max="3" width="37" style="5" customWidth="1"/>
    <col min="4" max="4" width="36.33203125" style="5" customWidth="1"/>
    <col min="5" max="5" width="28.33203125" style="5" customWidth="1"/>
    <col min="6" max="6" width="23.44140625" style="5" customWidth="1"/>
    <col min="7" max="7" width="26.6640625" style="5" customWidth="1"/>
    <col min="8" max="8" width="24.33203125" style="5" customWidth="1"/>
    <col min="9" max="9" width="39.6640625" style="5" customWidth="1"/>
    <col min="10" max="10" width="9.33203125" style="5" customWidth="1"/>
    <col min="11" max="16384" width="9.33203125" style="5"/>
  </cols>
  <sheetData>
    <row r="1" spans="1:9" ht="41.25" customHeight="1" x14ac:dyDescent="0.3">
      <c r="A1" s="259" t="s">
        <v>99</v>
      </c>
      <c r="B1" s="158"/>
      <c r="C1" s="158"/>
      <c r="D1" s="158"/>
      <c r="E1" s="158"/>
      <c r="F1" s="158"/>
      <c r="G1" s="158"/>
      <c r="H1" s="158"/>
      <c r="I1" s="158"/>
    </row>
    <row r="2" spans="1:9" ht="61.95" customHeight="1" x14ac:dyDescent="0.3">
      <c r="A2" s="9" t="s">
        <v>71</v>
      </c>
      <c r="B2" s="9" t="s">
        <v>96</v>
      </c>
      <c r="C2" s="9" t="s">
        <v>73</v>
      </c>
      <c r="D2" s="9" t="s">
        <v>74</v>
      </c>
      <c r="E2" s="9" t="s">
        <v>56</v>
      </c>
      <c r="F2" s="9" t="s">
        <v>75</v>
      </c>
      <c r="G2" s="95" t="s">
        <v>76</v>
      </c>
      <c r="H2" s="8" t="s">
        <v>77</v>
      </c>
      <c r="I2" s="8" t="s">
        <v>78</v>
      </c>
    </row>
    <row r="3" spans="1:9" ht="28.5" customHeight="1" x14ac:dyDescent="0.3">
      <c r="A3" s="262" t="s">
        <v>79</v>
      </c>
      <c r="B3" s="133"/>
      <c r="C3" s="133"/>
      <c r="D3" s="133"/>
      <c r="E3" s="133"/>
      <c r="F3" s="133"/>
      <c r="G3" s="133"/>
      <c r="H3" s="133"/>
      <c r="I3" s="131"/>
    </row>
    <row r="4" spans="1:9" x14ac:dyDescent="0.3">
      <c r="A4" s="75">
        <v>1</v>
      </c>
      <c r="B4" s="125"/>
      <c r="C4" s="125"/>
      <c r="D4" s="64"/>
      <c r="E4" s="65">
        <v>0</v>
      </c>
      <c r="F4" s="66">
        <v>0</v>
      </c>
      <c r="G4" s="67">
        <f t="shared" ref="G4:G43" si="0">E4*F4</f>
        <v>0</v>
      </c>
      <c r="H4" s="68">
        <f t="shared" ref="H4:H67" si="1">G4*1.2</f>
        <v>0</v>
      </c>
      <c r="I4" s="125"/>
    </row>
    <row r="5" spans="1:9" x14ac:dyDescent="0.3">
      <c r="A5" s="75">
        <v>2</v>
      </c>
      <c r="B5" s="125"/>
      <c r="C5" s="125"/>
      <c r="D5" s="64"/>
      <c r="E5" s="65">
        <v>0</v>
      </c>
      <c r="F5" s="66">
        <v>0</v>
      </c>
      <c r="G5" s="67">
        <f t="shared" si="0"/>
        <v>0</v>
      </c>
      <c r="H5" s="68">
        <f t="shared" si="1"/>
        <v>0</v>
      </c>
      <c r="I5" s="125"/>
    </row>
    <row r="6" spans="1:9" x14ac:dyDescent="0.3">
      <c r="A6" s="75">
        <v>3</v>
      </c>
      <c r="B6" s="64"/>
      <c r="C6" s="64"/>
      <c r="D6" s="64"/>
      <c r="E6" s="65">
        <v>0</v>
      </c>
      <c r="F6" s="66">
        <v>0</v>
      </c>
      <c r="G6" s="67">
        <f t="shared" si="0"/>
        <v>0</v>
      </c>
      <c r="H6" s="68">
        <f t="shared" si="1"/>
        <v>0</v>
      </c>
      <c r="I6" s="69"/>
    </row>
    <row r="7" spans="1:9" x14ac:dyDescent="0.3">
      <c r="A7" s="75">
        <v>4</v>
      </c>
      <c r="B7" s="64"/>
      <c r="C7" s="64"/>
      <c r="D7" s="64"/>
      <c r="E7" s="65">
        <v>0</v>
      </c>
      <c r="F7" s="66">
        <v>0</v>
      </c>
      <c r="G7" s="67">
        <f t="shared" si="0"/>
        <v>0</v>
      </c>
      <c r="H7" s="68">
        <f t="shared" si="1"/>
        <v>0</v>
      </c>
      <c r="I7" s="69"/>
    </row>
    <row r="8" spans="1:9" x14ac:dyDescent="0.3">
      <c r="A8" s="75">
        <v>5</v>
      </c>
      <c r="B8" s="64"/>
      <c r="C8" s="64"/>
      <c r="D8" s="64"/>
      <c r="E8" s="65">
        <v>0</v>
      </c>
      <c r="F8" s="66">
        <v>0</v>
      </c>
      <c r="G8" s="67">
        <f t="shared" si="0"/>
        <v>0</v>
      </c>
      <c r="H8" s="68">
        <f t="shared" si="1"/>
        <v>0</v>
      </c>
      <c r="I8" s="69"/>
    </row>
    <row r="9" spans="1:9" x14ac:dyDescent="0.3">
      <c r="A9" s="75">
        <v>6</v>
      </c>
      <c r="B9" s="64"/>
      <c r="C9" s="64"/>
      <c r="D9" s="64"/>
      <c r="E9" s="65">
        <v>0</v>
      </c>
      <c r="F9" s="66">
        <v>0</v>
      </c>
      <c r="G9" s="67">
        <f t="shared" si="0"/>
        <v>0</v>
      </c>
      <c r="H9" s="68">
        <f t="shared" si="1"/>
        <v>0</v>
      </c>
      <c r="I9" s="69"/>
    </row>
    <row r="10" spans="1:9" x14ac:dyDescent="0.3">
      <c r="A10" s="75">
        <v>7</v>
      </c>
      <c r="B10" s="64"/>
      <c r="C10" s="64"/>
      <c r="D10" s="64"/>
      <c r="E10" s="65">
        <v>0</v>
      </c>
      <c r="F10" s="66">
        <v>0</v>
      </c>
      <c r="G10" s="67">
        <f t="shared" si="0"/>
        <v>0</v>
      </c>
      <c r="H10" s="68">
        <f t="shared" si="1"/>
        <v>0</v>
      </c>
      <c r="I10" s="69"/>
    </row>
    <row r="11" spans="1:9" x14ac:dyDescent="0.3">
      <c r="A11" s="75">
        <v>8</v>
      </c>
      <c r="B11" s="64"/>
      <c r="C11" s="64"/>
      <c r="D11" s="64"/>
      <c r="E11" s="65">
        <v>0</v>
      </c>
      <c r="F11" s="66">
        <v>0</v>
      </c>
      <c r="G11" s="67">
        <f t="shared" si="0"/>
        <v>0</v>
      </c>
      <c r="H11" s="68">
        <f t="shared" si="1"/>
        <v>0</v>
      </c>
      <c r="I11" s="69"/>
    </row>
    <row r="12" spans="1:9" x14ac:dyDescent="0.3">
      <c r="A12" s="75">
        <v>9</v>
      </c>
      <c r="B12" s="64"/>
      <c r="C12" s="64"/>
      <c r="D12" s="64"/>
      <c r="E12" s="65">
        <v>0</v>
      </c>
      <c r="F12" s="66">
        <v>0</v>
      </c>
      <c r="G12" s="67">
        <f t="shared" si="0"/>
        <v>0</v>
      </c>
      <c r="H12" s="68">
        <f t="shared" si="1"/>
        <v>0</v>
      </c>
      <c r="I12" s="69"/>
    </row>
    <row r="13" spans="1:9" x14ac:dyDescent="0.3">
      <c r="A13" s="75">
        <v>10</v>
      </c>
      <c r="B13" s="64"/>
      <c r="C13" s="64"/>
      <c r="D13" s="64"/>
      <c r="E13" s="65">
        <v>0</v>
      </c>
      <c r="F13" s="66">
        <v>0</v>
      </c>
      <c r="G13" s="67">
        <f t="shared" si="0"/>
        <v>0</v>
      </c>
      <c r="H13" s="68">
        <f t="shared" si="1"/>
        <v>0</v>
      </c>
      <c r="I13" s="69"/>
    </row>
    <row r="14" spans="1:9" x14ac:dyDescent="0.3">
      <c r="A14" s="75">
        <v>11</v>
      </c>
      <c r="B14" s="64"/>
      <c r="C14" s="64"/>
      <c r="D14" s="64"/>
      <c r="E14" s="65">
        <v>0</v>
      </c>
      <c r="F14" s="66">
        <v>0</v>
      </c>
      <c r="G14" s="67">
        <f t="shared" si="0"/>
        <v>0</v>
      </c>
      <c r="H14" s="68">
        <f t="shared" si="1"/>
        <v>0</v>
      </c>
      <c r="I14" s="69"/>
    </row>
    <row r="15" spans="1:9" x14ac:dyDescent="0.3">
      <c r="A15" s="75">
        <v>12</v>
      </c>
      <c r="B15" s="64"/>
      <c r="C15" s="64"/>
      <c r="D15" s="64"/>
      <c r="E15" s="65">
        <v>0</v>
      </c>
      <c r="F15" s="66">
        <v>0</v>
      </c>
      <c r="G15" s="67">
        <f t="shared" si="0"/>
        <v>0</v>
      </c>
      <c r="H15" s="68">
        <f t="shared" si="1"/>
        <v>0</v>
      </c>
      <c r="I15" s="69"/>
    </row>
    <row r="16" spans="1:9" x14ac:dyDescent="0.3">
      <c r="A16" s="75">
        <v>13</v>
      </c>
      <c r="B16" s="64"/>
      <c r="C16" s="64"/>
      <c r="D16" s="64"/>
      <c r="E16" s="65">
        <v>0</v>
      </c>
      <c r="F16" s="66">
        <v>0</v>
      </c>
      <c r="G16" s="67">
        <f t="shared" si="0"/>
        <v>0</v>
      </c>
      <c r="H16" s="68">
        <f t="shared" si="1"/>
        <v>0</v>
      </c>
      <c r="I16" s="69"/>
    </row>
    <row r="17" spans="1:9" x14ac:dyDescent="0.3">
      <c r="A17" s="75">
        <v>14</v>
      </c>
      <c r="B17" s="64"/>
      <c r="C17" s="64"/>
      <c r="D17" s="64"/>
      <c r="E17" s="65">
        <v>0</v>
      </c>
      <c r="F17" s="66">
        <v>0</v>
      </c>
      <c r="G17" s="67">
        <f t="shared" si="0"/>
        <v>0</v>
      </c>
      <c r="H17" s="68">
        <f t="shared" si="1"/>
        <v>0</v>
      </c>
      <c r="I17" s="69"/>
    </row>
    <row r="18" spans="1:9" x14ac:dyDescent="0.3">
      <c r="A18" s="75">
        <v>15</v>
      </c>
      <c r="B18" s="64"/>
      <c r="C18" s="64"/>
      <c r="D18" s="64"/>
      <c r="E18" s="65">
        <v>0</v>
      </c>
      <c r="F18" s="66">
        <v>0</v>
      </c>
      <c r="G18" s="67">
        <f t="shared" si="0"/>
        <v>0</v>
      </c>
      <c r="H18" s="68">
        <f t="shared" si="1"/>
        <v>0</v>
      </c>
      <c r="I18" s="69"/>
    </row>
    <row r="19" spans="1:9" x14ac:dyDescent="0.3">
      <c r="A19" s="75">
        <v>16</v>
      </c>
      <c r="B19" s="64"/>
      <c r="C19" s="64"/>
      <c r="D19" s="64"/>
      <c r="E19" s="65">
        <v>0</v>
      </c>
      <c r="F19" s="66">
        <v>0</v>
      </c>
      <c r="G19" s="67">
        <f t="shared" si="0"/>
        <v>0</v>
      </c>
      <c r="H19" s="68">
        <f t="shared" si="1"/>
        <v>0</v>
      </c>
      <c r="I19" s="69"/>
    </row>
    <row r="20" spans="1:9" x14ac:dyDescent="0.3">
      <c r="A20" s="75">
        <v>17</v>
      </c>
      <c r="B20" s="64"/>
      <c r="C20" s="64"/>
      <c r="D20" s="64"/>
      <c r="E20" s="65">
        <v>0</v>
      </c>
      <c r="F20" s="66">
        <v>0</v>
      </c>
      <c r="G20" s="67">
        <f t="shared" si="0"/>
        <v>0</v>
      </c>
      <c r="H20" s="68">
        <f t="shared" si="1"/>
        <v>0</v>
      </c>
      <c r="I20" s="69"/>
    </row>
    <row r="21" spans="1:9" x14ac:dyDescent="0.3">
      <c r="A21" s="75">
        <v>18</v>
      </c>
      <c r="B21" s="64"/>
      <c r="C21" s="64"/>
      <c r="D21" s="64"/>
      <c r="E21" s="65">
        <v>0</v>
      </c>
      <c r="F21" s="66">
        <v>0</v>
      </c>
      <c r="G21" s="67">
        <f t="shared" si="0"/>
        <v>0</v>
      </c>
      <c r="H21" s="68">
        <f t="shared" si="1"/>
        <v>0</v>
      </c>
      <c r="I21" s="69"/>
    </row>
    <row r="22" spans="1:9" x14ac:dyDescent="0.3">
      <c r="A22" s="75">
        <v>19</v>
      </c>
      <c r="B22" s="64"/>
      <c r="C22" s="64"/>
      <c r="D22" s="64"/>
      <c r="E22" s="65">
        <v>0</v>
      </c>
      <c r="F22" s="66">
        <v>0</v>
      </c>
      <c r="G22" s="67">
        <f t="shared" si="0"/>
        <v>0</v>
      </c>
      <c r="H22" s="68">
        <f t="shared" si="1"/>
        <v>0</v>
      </c>
      <c r="I22" s="69"/>
    </row>
    <row r="23" spans="1:9" x14ac:dyDescent="0.3">
      <c r="A23" s="75">
        <v>20</v>
      </c>
      <c r="B23" s="64"/>
      <c r="C23" s="64"/>
      <c r="D23" s="64"/>
      <c r="E23" s="65">
        <v>0</v>
      </c>
      <c r="F23" s="66">
        <v>0</v>
      </c>
      <c r="G23" s="67">
        <f t="shared" si="0"/>
        <v>0</v>
      </c>
      <c r="H23" s="68">
        <f t="shared" si="1"/>
        <v>0</v>
      </c>
      <c r="I23" s="69"/>
    </row>
    <row r="24" spans="1:9" x14ac:dyDescent="0.3">
      <c r="A24" s="75">
        <v>21</v>
      </c>
      <c r="B24" s="70"/>
      <c r="C24" s="70"/>
      <c r="D24" s="70"/>
      <c r="E24" s="65">
        <v>0</v>
      </c>
      <c r="F24" s="66">
        <v>0</v>
      </c>
      <c r="G24" s="67">
        <f t="shared" si="0"/>
        <v>0</v>
      </c>
      <c r="H24" s="68">
        <f t="shared" si="1"/>
        <v>0</v>
      </c>
      <c r="I24" s="77"/>
    </row>
    <row r="25" spans="1:9" x14ac:dyDescent="0.3">
      <c r="A25" s="75">
        <v>22</v>
      </c>
      <c r="B25" s="70"/>
      <c r="C25" s="70"/>
      <c r="D25" s="70"/>
      <c r="E25" s="65">
        <v>0</v>
      </c>
      <c r="F25" s="66">
        <v>0</v>
      </c>
      <c r="G25" s="67">
        <f t="shared" si="0"/>
        <v>0</v>
      </c>
      <c r="H25" s="68">
        <f t="shared" si="1"/>
        <v>0</v>
      </c>
      <c r="I25" s="77"/>
    </row>
    <row r="26" spans="1:9" x14ac:dyDescent="0.3">
      <c r="A26" s="75">
        <v>23</v>
      </c>
      <c r="B26" s="70"/>
      <c r="C26" s="70"/>
      <c r="D26" s="70"/>
      <c r="E26" s="65">
        <v>0</v>
      </c>
      <c r="F26" s="66">
        <v>0</v>
      </c>
      <c r="G26" s="67">
        <f t="shared" si="0"/>
        <v>0</v>
      </c>
      <c r="H26" s="68">
        <f t="shared" si="1"/>
        <v>0</v>
      </c>
      <c r="I26" s="77"/>
    </row>
    <row r="27" spans="1:9" x14ac:dyDescent="0.3">
      <c r="A27" s="75">
        <v>24</v>
      </c>
      <c r="B27" s="70"/>
      <c r="C27" s="70"/>
      <c r="D27" s="70"/>
      <c r="E27" s="65">
        <v>0</v>
      </c>
      <c r="F27" s="66">
        <v>0</v>
      </c>
      <c r="G27" s="67">
        <f t="shared" si="0"/>
        <v>0</v>
      </c>
      <c r="H27" s="68">
        <f t="shared" si="1"/>
        <v>0</v>
      </c>
      <c r="I27" s="77"/>
    </row>
    <row r="28" spans="1:9" x14ac:dyDescent="0.3">
      <c r="A28" s="75">
        <v>25</v>
      </c>
      <c r="B28" s="70"/>
      <c r="C28" s="70"/>
      <c r="D28" s="70"/>
      <c r="E28" s="65">
        <v>0</v>
      </c>
      <c r="F28" s="66">
        <v>0</v>
      </c>
      <c r="G28" s="67">
        <f t="shared" si="0"/>
        <v>0</v>
      </c>
      <c r="H28" s="68">
        <f t="shared" si="1"/>
        <v>0</v>
      </c>
      <c r="I28" s="77"/>
    </row>
    <row r="29" spans="1:9" x14ac:dyDescent="0.3">
      <c r="A29" s="75">
        <v>26</v>
      </c>
      <c r="B29" s="70"/>
      <c r="C29" s="70"/>
      <c r="D29" s="70"/>
      <c r="E29" s="65">
        <v>0</v>
      </c>
      <c r="F29" s="66">
        <v>0</v>
      </c>
      <c r="G29" s="67">
        <f t="shared" si="0"/>
        <v>0</v>
      </c>
      <c r="H29" s="68">
        <f t="shared" si="1"/>
        <v>0</v>
      </c>
      <c r="I29" s="77"/>
    </row>
    <row r="30" spans="1:9" x14ac:dyDescent="0.3">
      <c r="A30" s="75">
        <v>27</v>
      </c>
      <c r="B30" s="70"/>
      <c r="C30" s="70"/>
      <c r="D30" s="70"/>
      <c r="E30" s="65">
        <v>0</v>
      </c>
      <c r="F30" s="66">
        <v>0</v>
      </c>
      <c r="G30" s="67">
        <f t="shared" si="0"/>
        <v>0</v>
      </c>
      <c r="H30" s="68">
        <f t="shared" si="1"/>
        <v>0</v>
      </c>
      <c r="I30" s="77"/>
    </row>
    <row r="31" spans="1:9" x14ac:dyDescent="0.3">
      <c r="A31" s="75">
        <v>28</v>
      </c>
      <c r="B31" s="70"/>
      <c r="C31" s="70"/>
      <c r="D31" s="70"/>
      <c r="E31" s="65">
        <v>0</v>
      </c>
      <c r="F31" s="66">
        <v>0</v>
      </c>
      <c r="G31" s="67">
        <f t="shared" si="0"/>
        <v>0</v>
      </c>
      <c r="H31" s="68">
        <f t="shared" si="1"/>
        <v>0</v>
      </c>
      <c r="I31" s="77"/>
    </row>
    <row r="32" spans="1:9" x14ac:dyDescent="0.3">
      <c r="A32" s="75">
        <v>29</v>
      </c>
      <c r="B32" s="70"/>
      <c r="C32" s="70"/>
      <c r="D32" s="70"/>
      <c r="E32" s="65">
        <v>0</v>
      </c>
      <c r="F32" s="66">
        <v>0</v>
      </c>
      <c r="G32" s="67">
        <f t="shared" si="0"/>
        <v>0</v>
      </c>
      <c r="H32" s="68">
        <f t="shared" si="1"/>
        <v>0</v>
      </c>
      <c r="I32" s="77"/>
    </row>
    <row r="33" spans="1:9" x14ac:dyDescent="0.3">
      <c r="A33" s="75">
        <v>30</v>
      </c>
      <c r="B33" s="70"/>
      <c r="C33" s="70"/>
      <c r="D33" s="70"/>
      <c r="E33" s="65">
        <v>0</v>
      </c>
      <c r="F33" s="66">
        <v>0</v>
      </c>
      <c r="G33" s="67">
        <f t="shared" si="0"/>
        <v>0</v>
      </c>
      <c r="H33" s="68">
        <f t="shared" si="1"/>
        <v>0</v>
      </c>
      <c r="I33" s="77"/>
    </row>
    <row r="34" spans="1:9" x14ac:dyDescent="0.3">
      <c r="A34" s="75">
        <v>31</v>
      </c>
      <c r="B34" s="70"/>
      <c r="C34" s="70"/>
      <c r="D34" s="70"/>
      <c r="E34" s="65">
        <v>0</v>
      </c>
      <c r="F34" s="66">
        <v>0</v>
      </c>
      <c r="G34" s="67">
        <f t="shared" si="0"/>
        <v>0</v>
      </c>
      <c r="H34" s="68">
        <f t="shared" si="1"/>
        <v>0</v>
      </c>
      <c r="I34" s="77"/>
    </row>
    <row r="35" spans="1:9" x14ac:dyDescent="0.3">
      <c r="A35" s="75">
        <v>32</v>
      </c>
      <c r="B35" s="70"/>
      <c r="C35" s="70"/>
      <c r="D35" s="70"/>
      <c r="E35" s="65">
        <v>0</v>
      </c>
      <c r="F35" s="66">
        <v>0</v>
      </c>
      <c r="G35" s="67">
        <f t="shared" si="0"/>
        <v>0</v>
      </c>
      <c r="H35" s="68">
        <f t="shared" si="1"/>
        <v>0</v>
      </c>
      <c r="I35" s="77"/>
    </row>
    <row r="36" spans="1:9" x14ac:dyDescent="0.3">
      <c r="A36" s="75">
        <v>33</v>
      </c>
      <c r="B36" s="70"/>
      <c r="C36" s="70"/>
      <c r="D36" s="70"/>
      <c r="E36" s="65">
        <v>0</v>
      </c>
      <c r="F36" s="66">
        <v>0</v>
      </c>
      <c r="G36" s="67">
        <f t="shared" si="0"/>
        <v>0</v>
      </c>
      <c r="H36" s="68">
        <f t="shared" si="1"/>
        <v>0</v>
      </c>
      <c r="I36" s="77"/>
    </row>
    <row r="37" spans="1:9" x14ac:dyDescent="0.3">
      <c r="A37" s="75">
        <v>34</v>
      </c>
      <c r="B37" s="70"/>
      <c r="C37" s="70"/>
      <c r="D37" s="70"/>
      <c r="E37" s="65">
        <v>0</v>
      </c>
      <c r="F37" s="66">
        <v>0</v>
      </c>
      <c r="G37" s="67">
        <f t="shared" si="0"/>
        <v>0</v>
      </c>
      <c r="H37" s="68">
        <f t="shared" si="1"/>
        <v>0</v>
      </c>
      <c r="I37" s="77"/>
    </row>
    <row r="38" spans="1:9" x14ac:dyDescent="0.3">
      <c r="A38" s="75">
        <v>35</v>
      </c>
      <c r="B38" s="70"/>
      <c r="C38" s="70"/>
      <c r="D38" s="70"/>
      <c r="E38" s="65">
        <v>0</v>
      </c>
      <c r="F38" s="66">
        <v>0</v>
      </c>
      <c r="G38" s="67">
        <f t="shared" si="0"/>
        <v>0</v>
      </c>
      <c r="H38" s="68">
        <f t="shared" si="1"/>
        <v>0</v>
      </c>
      <c r="I38" s="77"/>
    </row>
    <row r="39" spans="1:9" x14ac:dyDescent="0.3">
      <c r="A39" s="75">
        <v>36</v>
      </c>
      <c r="B39" s="70"/>
      <c r="C39" s="70"/>
      <c r="D39" s="70"/>
      <c r="E39" s="65">
        <v>0</v>
      </c>
      <c r="F39" s="66">
        <v>0</v>
      </c>
      <c r="G39" s="67">
        <f t="shared" si="0"/>
        <v>0</v>
      </c>
      <c r="H39" s="68">
        <f t="shared" si="1"/>
        <v>0</v>
      </c>
      <c r="I39" s="77"/>
    </row>
    <row r="40" spans="1:9" x14ac:dyDescent="0.3">
      <c r="A40" s="75">
        <v>37</v>
      </c>
      <c r="B40" s="70"/>
      <c r="C40" s="70"/>
      <c r="D40" s="70"/>
      <c r="E40" s="65">
        <v>0</v>
      </c>
      <c r="F40" s="66">
        <v>0</v>
      </c>
      <c r="G40" s="67">
        <f t="shared" si="0"/>
        <v>0</v>
      </c>
      <c r="H40" s="68">
        <f t="shared" si="1"/>
        <v>0</v>
      </c>
      <c r="I40" s="77"/>
    </row>
    <row r="41" spans="1:9" x14ac:dyDescent="0.3">
      <c r="A41" s="75">
        <v>38</v>
      </c>
      <c r="B41" s="70"/>
      <c r="C41" s="70"/>
      <c r="D41" s="70"/>
      <c r="E41" s="65">
        <v>0</v>
      </c>
      <c r="F41" s="66">
        <v>0</v>
      </c>
      <c r="G41" s="67">
        <f t="shared" si="0"/>
        <v>0</v>
      </c>
      <c r="H41" s="68">
        <f t="shared" si="1"/>
        <v>0</v>
      </c>
      <c r="I41" s="77"/>
    </row>
    <row r="42" spans="1:9" x14ac:dyDescent="0.3">
      <c r="A42" s="75">
        <v>39</v>
      </c>
      <c r="B42" s="70"/>
      <c r="C42" s="70"/>
      <c r="D42" s="70"/>
      <c r="E42" s="65">
        <v>0</v>
      </c>
      <c r="F42" s="66">
        <v>0</v>
      </c>
      <c r="G42" s="67">
        <f t="shared" si="0"/>
        <v>0</v>
      </c>
      <c r="H42" s="68">
        <f t="shared" si="1"/>
        <v>0</v>
      </c>
      <c r="I42" s="77"/>
    </row>
    <row r="43" spans="1:9" x14ac:dyDescent="0.3">
      <c r="A43" s="75">
        <v>40</v>
      </c>
      <c r="B43" s="70"/>
      <c r="C43" s="70"/>
      <c r="D43" s="70"/>
      <c r="E43" s="65">
        <v>0</v>
      </c>
      <c r="F43" s="66">
        <v>0</v>
      </c>
      <c r="G43" s="67">
        <f t="shared" si="0"/>
        <v>0</v>
      </c>
      <c r="H43" s="68">
        <f t="shared" si="1"/>
        <v>0</v>
      </c>
      <c r="I43" s="77"/>
    </row>
    <row r="44" spans="1:9" x14ac:dyDescent="0.3">
      <c r="A44" s="75">
        <v>41</v>
      </c>
      <c r="B44" s="70"/>
      <c r="C44" s="70"/>
      <c r="D44" s="70"/>
      <c r="E44" s="65">
        <v>0</v>
      </c>
      <c r="F44" s="66">
        <v>0</v>
      </c>
      <c r="G44" s="67">
        <f t="shared" ref="G44:G83" si="2">E44*F44</f>
        <v>0</v>
      </c>
      <c r="H44" s="68">
        <f t="shared" si="1"/>
        <v>0</v>
      </c>
      <c r="I44" s="77"/>
    </row>
    <row r="45" spans="1:9" x14ac:dyDescent="0.3">
      <c r="A45" s="75">
        <v>42</v>
      </c>
      <c r="B45" s="70"/>
      <c r="C45" s="70"/>
      <c r="D45" s="70"/>
      <c r="E45" s="65">
        <v>0</v>
      </c>
      <c r="F45" s="66">
        <v>0</v>
      </c>
      <c r="G45" s="67">
        <f t="shared" si="2"/>
        <v>0</v>
      </c>
      <c r="H45" s="68">
        <f t="shared" si="1"/>
        <v>0</v>
      </c>
      <c r="I45" s="77"/>
    </row>
    <row r="46" spans="1:9" x14ac:dyDescent="0.3">
      <c r="A46" s="75">
        <v>43</v>
      </c>
      <c r="B46" s="70"/>
      <c r="C46" s="70"/>
      <c r="D46" s="70"/>
      <c r="E46" s="65">
        <v>0</v>
      </c>
      <c r="F46" s="66">
        <v>0</v>
      </c>
      <c r="G46" s="67">
        <f t="shared" si="2"/>
        <v>0</v>
      </c>
      <c r="H46" s="68">
        <f t="shared" si="1"/>
        <v>0</v>
      </c>
      <c r="I46" s="77"/>
    </row>
    <row r="47" spans="1:9" x14ac:dyDescent="0.3">
      <c r="A47" s="75">
        <v>44</v>
      </c>
      <c r="B47" s="70"/>
      <c r="C47" s="70"/>
      <c r="D47" s="70"/>
      <c r="E47" s="65">
        <v>0</v>
      </c>
      <c r="F47" s="66">
        <v>0</v>
      </c>
      <c r="G47" s="67">
        <f t="shared" si="2"/>
        <v>0</v>
      </c>
      <c r="H47" s="68">
        <f t="shared" si="1"/>
        <v>0</v>
      </c>
      <c r="I47" s="77"/>
    </row>
    <row r="48" spans="1:9" x14ac:dyDescent="0.3">
      <c r="A48" s="75">
        <v>45</v>
      </c>
      <c r="B48" s="70"/>
      <c r="C48" s="70"/>
      <c r="D48" s="70"/>
      <c r="E48" s="65">
        <v>0</v>
      </c>
      <c r="F48" s="66">
        <v>0</v>
      </c>
      <c r="G48" s="67">
        <f t="shared" si="2"/>
        <v>0</v>
      </c>
      <c r="H48" s="68">
        <f t="shared" si="1"/>
        <v>0</v>
      </c>
      <c r="I48" s="77"/>
    </row>
    <row r="49" spans="1:9" x14ac:dyDescent="0.3">
      <c r="A49" s="75">
        <v>46</v>
      </c>
      <c r="B49" s="70"/>
      <c r="C49" s="70"/>
      <c r="D49" s="70"/>
      <c r="E49" s="65">
        <v>0</v>
      </c>
      <c r="F49" s="66">
        <v>0</v>
      </c>
      <c r="G49" s="67">
        <f t="shared" si="2"/>
        <v>0</v>
      </c>
      <c r="H49" s="68">
        <f t="shared" si="1"/>
        <v>0</v>
      </c>
      <c r="I49" s="77"/>
    </row>
    <row r="50" spans="1:9" x14ac:dyDescent="0.3">
      <c r="A50" s="75">
        <v>47</v>
      </c>
      <c r="B50" s="70"/>
      <c r="C50" s="70"/>
      <c r="D50" s="70"/>
      <c r="E50" s="65">
        <v>0</v>
      </c>
      <c r="F50" s="66">
        <v>0</v>
      </c>
      <c r="G50" s="67">
        <f t="shared" si="2"/>
        <v>0</v>
      </c>
      <c r="H50" s="68">
        <f t="shared" si="1"/>
        <v>0</v>
      </c>
      <c r="I50" s="77"/>
    </row>
    <row r="51" spans="1:9" x14ac:dyDescent="0.3">
      <c r="A51" s="75">
        <v>48</v>
      </c>
      <c r="B51" s="70"/>
      <c r="C51" s="70"/>
      <c r="D51" s="70"/>
      <c r="E51" s="65">
        <v>0</v>
      </c>
      <c r="F51" s="66">
        <v>0</v>
      </c>
      <c r="G51" s="67">
        <f t="shared" si="2"/>
        <v>0</v>
      </c>
      <c r="H51" s="68">
        <f t="shared" si="1"/>
        <v>0</v>
      </c>
      <c r="I51" s="77"/>
    </row>
    <row r="52" spans="1:9" x14ac:dyDescent="0.3">
      <c r="A52" s="75">
        <v>49</v>
      </c>
      <c r="B52" s="70"/>
      <c r="C52" s="70"/>
      <c r="D52" s="70"/>
      <c r="E52" s="65">
        <v>0</v>
      </c>
      <c r="F52" s="66">
        <v>0</v>
      </c>
      <c r="G52" s="67">
        <f t="shared" si="2"/>
        <v>0</v>
      </c>
      <c r="H52" s="68">
        <f t="shared" si="1"/>
        <v>0</v>
      </c>
      <c r="I52" s="77"/>
    </row>
    <row r="53" spans="1:9" x14ac:dyDescent="0.3">
      <c r="A53" s="75">
        <v>50</v>
      </c>
      <c r="B53" s="70"/>
      <c r="C53" s="70"/>
      <c r="D53" s="70"/>
      <c r="E53" s="65">
        <v>0</v>
      </c>
      <c r="F53" s="66">
        <v>0</v>
      </c>
      <c r="G53" s="67">
        <f t="shared" si="2"/>
        <v>0</v>
      </c>
      <c r="H53" s="68">
        <f t="shared" si="1"/>
        <v>0</v>
      </c>
      <c r="I53" s="77"/>
    </row>
    <row r="54" spans="1:9" x14ac:dyDescent="0.3">
      <c r="A54" s="75">
        <v>51</v>
      </c>
      <c r="B54" s="70"/>
      <c r="C54" s="70"/>
      <c r="D54" s="70"/>
      <c r="E54" s="65">
        <v>0</v>
      </c>
      <c r="F54" s="66">
        <v>0</v>
      </c>
      <c r="G54" s="67">
        <f t="shared" si="2"/>
        <v>0</v>
      </c>
      <c r="H54" s="68">
        <f t="shared" si="1"/>
        <v>0</v>
      </c>
      <c r="I54" s="77"/>
    </row>
    <row r="55" spans="1:9" x14ac:dyDescent="0.3">
      <c r="A55" s="75">
        <v>52</v>
      </c>
      <c r="B55" s="70"/>
      <c r="C55" s="70"/>
      <c r="D55" s="70"/>
      <c r="E55" s="65">
        <v>0</v>
      </c>
      <c r="F55" s="66">
        <v>0</v>
      </c>
      <c r="G55" s="67">
        <f t="shared" si="2"/>
        <v>0</v>
      </c>
      <c r="H55" s="68">
        <f t="shared" si="1"/>
        <v>0</v>
      </c>
      <c r="I55" s="77"/>
    </row>
    <row r="56" spans="1:9" x14ac:dyDescent="0.3">
      <c r="A56" s="75">
        <v>53</v>
      </c>
      <c r="B56" s="70"/>
      <c r="C56" s="70"/>
      <c r="D56" s="70"/>
      <c r="E56" s="65">
        <v>0</v>
      </c>
      <c r="F56" s="66">
        <v>0</v>
      </c>
      <c r="G56" s="67">
        <f t="shared" si="2"/>
        <v>0</v>
      </c>
      <c r="H56" s="68">
        <f t="shared" si="1"/>
        <v>0</v>
      </c>
      <c r="I56" s="77"/>
    </row>
    <row r="57" spans="1:9" x14ac:dyDescent="0.3">
      <c r="A57" s="75">
        <v>54</v>
      </c>
      <c r="B57" s="70"/>
      <c r="C57" s="70"/>
      <c r="D57" s="70"/>
      <c r="E57" s="65">
        <v>0</v>
      </c>
      <c r="F57" s="66">
        <v>0</v>
      </c>
      <c r="G57" s="67">
        <f t="shared" si="2"/>
        <v>0</v>
      </c>
      <c r="H57" s="68">
        <f t="shared" si="1"/>
        <v>0</v>
      </c>
      <c r="I57" s="77"/>
    </row>
    <row r="58" spans="1:9" x14ac:dyDescent="0.3">
      <c r="A58" s="75">
        <v>55</v>
      </c>
      <c r="B58" s="70"/>
      <c r="C58" s="70"/>
      <c r="D58" s="70"/>
      <c r="E58" s="65">
        <v>0</v>
      </c>
      <c r="F58" s="66">
        <v>0</v>
      </c>
      <c r="G58" s="67">
        <f t="shared" si="2"/>
        <v>0</v>
      </c>
      <c r="H58" s="68">
        <f t="shared" si="1"/>
        <v>0</v>
      </c>
      <c r="I58" s="77"/>
    </row>
    <row r="59" spans="1:9" x14ac:dyDescent="0.3">
      <c r="A59" s="75">
        <v>56</v>
      </c>
      <c r="B59" s="70"/>
      <c r="C59" s="70"/>
      <c r="D59" s="70"/>
      <c r="E59" s="65">
        <v>0</v>
      </c>
      <c r="F59" s="66">
        <v>0</v>
      </c>
      <c r="G59" s="67">
        <f t="shared" si="2"/>
        <v>0</v>
      </c>
      <c r="H59" s="68">
        <f t="shared" si="1"/>
        <v>0</v>
      </c>
      <c r="I59" s="77"/>
    </row>
    <row r="60" spans="1:9" x14ac:dyDescent="0.3">
      <c r="A60" s="75">
        <v>57</v>
      </c>
      <c r="B60" s="70"/>
      <c r="C60" s="70"/>
      <c r="D60" s="70"/>
      <c r="E60" s="65">
        <v>0</v>
      </c>
      <c r="F60" s="66">
        <v>0</v>
      </c>
      <c r="G60" s="67">
        <f t="shared" si="2"/>
        <v>0</v>
      </c>
      <c r="H60" s="68">
        <f t="shared" si="1"/>
        <v>0</v>
      </c>
      <c r="I60" s="77"/>
    </row>
    <row r="61" spans="1:9" x14ac:dyDescent="0.3">
      <c r="A61" s="75">
        <v>58</v>
      </c>
      <c r="B61" s="70"/>
      <c r="C61" s="70"/>
      <c r="D61" s="70"/>
      <c r="E61" s="65">
        <v>0</v>
      </c>
      <c r="F61" s="66">
        <v>0</v>
      </c>
      <c r="G61" s="67">
        <f t="shared" si="2"/>
        <v>0</v>
      </c>
      <c r="H61" s="68">
        <f t="shared" si="1"/>
        <v>0</v>
      </c>
      <c r="I61" s="77"/>
    </row>
    <row r="62" spans="1:9" x14ac:dyDescent="0.3">
      <c r="A62" s="75">
        <v>59</v>
      </c>
      <c r="B62" s="70"/>
      <c r="C62" s="70"/>
      <c r="D62" s="70"/>
      <c r="E62" s="65">
        <v>0</v>
      </c>
      <c r="F62" s="66">
        <v>0</v>
      </c>
      <c r="G62" s="67">
        <f t="shared" si="2"/>
        <v>0</v>
      </c>
      <c r="H62" s="68">
        <f t="shared" si="1"/>
        <v>0</v>
      </c>
      <c r="I62" s="77"/>
    </row>
    <row r="63" spans="1:9" x14ac:dyDescent="0.3">
      <c r="A63" s="75">
        <v>60</v>
      </c>
      <c r="B63" s="70"/>
      <c r="C63" s="70"/>
      <c r="D63" s="70"/>
      <c r="E63" s="65">
        <v>0</v>
      </c>
      <c r="F63" s="66">
        <v>0</v>
      </c>
      <c r="G63" s="67">
        <f t="shared" si="2"/>
        <v>0</v>
      </c>
      <c r="H63" s="68">
        <f t="shared" si="1"/>
        <v>0</v>
      </c>
      <c r="I63" s="77"/>
    </row>
    <row r="64" spans="1:9" x14ac:dyDescent="0.3">
      <c r="A64" s="75">
        <v>61</v>
      </c>
      <c r="B64" s="70"/>
      <c r="C64" s="70"/>
      <c r="D64" s="70"/>
      <c r="E64" s="65">
        <v>0</v>
      </c>
      <c r="F64" s="66">
        <v>0</v>
      </c>
      <c r="G64" s="67">
        <f t="shared" si="2"/>
        <v>0</v>
      </c>
      <c r="H64" s="68">
        <f t="shared" si="1"/>
        <v>0</v>
      </c>
      <c r="I64" s="77"/>
    </row>
    <row r="65" spans="1:9" x14ac:dyDescent="0.3">
      <c r="A65" s="75">
        <v>62</v>
      </c>
      <c r="B65" s="70"/>
      <c r="C65" s="70"/>
      <c r="D65" s="70"/>
      <c r="E65" s="65">
        <v>0</v>
      </c>
      <c r="F65" s="66">
        <v>0</v>
      </c>
      <c r="G65" s="67">
        <f t="shared" si="2"/>
        <v>0</v>
      </c>
      <c r="H65" s="68">
        <f t="shared" si="1"/>
        <v>0</v>
      </c>
      <c r="I65" s="77"/>
    </row>
    <row r="66" spans="1:9" x14ac:dyDescent="0.3">
      <c r="A66" s="75">
        <v>63</v>
      </c>
      <c r="B66" s="70"/>
      <c r="C66" s="70"/>
      <c r="D66" s="70"/>
      <c r="E66" s="65">
        <v>0</v>
      </c>
      <c r="F66" s="66">
        <v>0</v>
      </c>
      <c r="G66" s="67">
        <f t="shared" si="2"/>
        <v>0</v>
      </c>
      <c r="H66" s="68">
        <f t="shared" si="1"/>
        <v>0</v>
      </c>
      <c r="I66" s="77"/>
    </row>
    <row r="67" spans="1:9" x14ac:dyDescent="0.3">
      <c r="A67" s="75">
        <v>64</v>
      </c>
      <c r="B67" s="70"/>
      <c r="C67" s="70"/>
      <c r="D67" s="70"/>
      <c r="E67" s="65">
        <v>0</v>
      </c>
      <c r="F67" s="66">
        <v>0</v>
      </c>
      <c r="G67" s="67">
        <f t="shared" si="2"/>
        <v>0</v>
      </c>
      <c r="H67" s="68">
        <f t="shared" si="1"/>
        <v>0</v>
      </c>
      <c r="I67" s="77"/>
    </row>
    <row r="68" spans="1:9" x14ac:dyDescent="0.3">
      <c r="A68" s="75">
        <v>65</v>
      </c>
      <c r="B68" s="70"/>
      <c r="C68" s="70"/>
      <c r="D68" s="70"/>
      <c r="E68" s="65">
        <v>0</v>
      </c>
      <c r="F68" s="66">
        <v>0</v>
      </c>
      <c r="G68" s="67">
        <f t="shared" si="2"/>
        <v>0</v>
      </c>
      <c r="H68" s="68">
        <f t="shared" ref="H68:H83" si="3">G68*1.2</f>
        <v>0</v>
      </c>
      <c r="I68" s="77"/>
    </row>
    <row r="69" spans="1:9" x14ac:dyDescent="0.3">
      <c r="A69" s="75">
        <v>66</v>
      </c>
      <c r="B69" s="70"/>
      <c r="C69" s="70"/>
      <c r="D69" s="70"/>
      <c r="E69" s="65">
        <v>0</v>
      </c>
      <c r="F69" s="66">
        <v>0</v>
      </c>
      <c r="G69" s="67">
        <f t="shared" si="2"/>
        <v>0</v>
      </c>
      <c r="H69" s="68">
        <f t="shared" si="3"/>
        <v>0</v>
      </c>
      <c r="I69" s="77"/>
    </row>
    <row r="70" spans="1:9" x14ac:dyDescent="0.3">
      <c r="A70" s="75">
        <v>67</v>
      </c>
      <c r="B70" s="70"/>
      <c r="C70" s="70"/>
      <c r="D70" s="70"/>
      <c r="E70" s="65">
        <v>0</v>
      </c>
      <c r="F70" s="66">
        <v>0</v>
      </c>
      <c r="G70" s="67">
        <f t="shared" si="2"/>
        <v>0</v>
      </c>
      <c r="H70" s="68">
        <f t="shared" si="3"/>
        <v>0</v>
      </c>
      <c r="I70" s="77"/>
    </row>
    <row r="71" spans="1:9" x14ac:dyDescent="0.3">
      <c r="A71" s="75">
        <v>68</v>
      </c>
      <c r="B71" s="70"/>
      <c r="C71" s="70"/>
      <c r="D71" s="70"/>
      <c r="E71" s="65">
        <v>0</v>
      </c>
      <c r="F71" s="66">
        <v>0</v>
      </c>
      <c r="G71" s="67">
        <f t="shared" si="2"/>
        <v>0</v>
      </c>
      <c r="H71" s="68">
        <f t="shared" si="3"/>
        <v>0</v>
      </c>
      <c r="I71" s="77"/>
    </row>
    <row r="72" spans="1:9" x14ac:dyDescent="0.3">
      <c r="A72" s="75">
        <v>69</v>
      </c>
      <c r="B72" s="70"/>
      <c r="C72" s="70"/>
      <c r="D72" s="70"/>
      <c r="E72" s="65">
        <v>0</v>
      </c>
      <c r="F72" s="66">
        <v>0</v>
      </c>
      <c r="G72" s="67">
        <f t="shared" si="2"/>
        <v>0</v>
      </c>
      <c r="H72" s="68">
        <f t="shared" si="3"/>
        <v>0</v>
      </c>
      <c r="I72" s="77"/>
    </row>
    <row r="73" spans="1:9" x14ac:dyDescent="0.3">
      <c r="A73" s="75">
        <v>70</v>
      </c>
      <c r="B73" s="70"/>
      <c r="C73" s="70"/>
      <c r="D73" s="70"/>
      <c r="E73" s="65">
        <v>0</v>
      </c>
      <c r="F73" s="66">
        <v>0</v>
      </c>
      <c r="G73" s="67">
        <f t="shared" si="2"/>
        <v>0</v>
      </c>
      <c r="H73" s="68">
        <f t="shared" si="3"/>
        <v>0</v>
      </c>
      <c r="I73" s="77"/>
    </row>
    <row r="74" spans="1:9" x14ac:dyDescent="0.3">
      <c r="A74" s="75">
        <v>71</v>
      </c>
      <c r="B74" s="70"/>
      <c r="C74" s="70"/>
      <c r="D74" s="70"/>
      <c r="E74" s="65">
        <v>0</v>
      </c>
      <c r="F74" s="66">
        <v>0</v>
      </c>
      <c r="G74" s="67">
        <f t="shared" si="2"/>
        <v>0</v>
      </c>
      <c r="H74" s="68">
        <f t="shared" si="3"/>
        <v>0</v>
      </c>
      <c r="I74" s="77"/>
    </row>
    <row r="75" spans="1:9" x14ac:dyDescent="0.3">
      <c r="A75" s="75">
        <v>72</v>
      </c>
      <c r="B75" s="70"/>
      <c r="C75" s="70"/>
      <c r="D75" s="70"/>
      <c r="E75" s="65">
        <v>0</v>
      </c>
      <c r="F75" s="66">
        <v>0</v>
      </c>
      <c r="G75" s="67">
        <f t="shared" si="2"/>
        <v>0</v>
      </c>
      <c r="H75" s="68">
        <f t="shared" si="3"/>
        <v>0</v>
      </c>
      <c r="I75" s="77"/>
    </row>
    <row r="76" spans="1:9" x14ac:dyDescent="0.3">
      <c r="A76" s="75">
        <v>73</v>
      </c>
      <c r="B76" s="70"/>
      <c r="C76" s="70"/>
      <c r="D76" s="70"/>
      <c r="E76" s="65">
        <v>0</v>
      </c>
      <c r="F76" s="66">
        <v>0</v>
      </c>
      <c r="G76" s="67">
        <f t="shared" si="2"/>
        <v>0</v>
      </c>
      <c r="H76" s="68">
        <f t="shared" si="3"/>
        <v>0</v>
      </c>
      <c r="I76" s="77"/>
    </row>
    <row r="77" spans="1:9" x14ac:dyDescent="0.3">
      <c r="A77" s="75">
        <v>74</v>
      </c>
      <c r="B77" s="70"/>
      <c r="C77" s="70"/>
      <c r="D77" s="70"/>
      <c r="E77" s="65">
        <v>0</v>
      </c>
      <c r="F77" s="66">
        <v>0</v>
      </c>
      <c r="G77" s="67">
        <f t="shared" si="2"/>
        <v>0</v>
      </c>
      <c r="H77" s="68">
        <f t="shared" si="3"/>
        <v>0</v>
      </c>
      <c r="I77" s="77"/>
    </row>
    <row r="78" spans="1:9" x14ac:dyDescent="0.3">
      <c r="A78" s="75">
        <v>75</v>
      </c>
      <c r="B78" s="70"/>
      <c r="C78" s="70"/>
      <c r="D78" s="70"/>
      <c r="E78" s="65">
        <v>0</v>
      </c>
      <c r="F78" s="66">
        <v>0</v>
      </c>
      <c r="G78" s="67">
        <f t="shared" si="2"/>
        <v>0</v>
      </c>
      <c r="H78" s="68">
        <f t="shared" si="3"/>
        <v>0</v>
      </c>
      <c r="I78" s="77"/>
    </row>
    <row r="79" spans="1:9" x14ac:dyDescent="0.3">
      <c r="A79" s="75">
        <v>76</v>
      </c>
      <c r="B79" s="70"/>
      <c r="C79" s="70"/>
      <c r="D79" s="70"/>
      <c r="E79" s="65">
        <v>0</v>
      </c>
      <c r="F79" s="66">
        <v>0</v>
      </c>
      <c r="G79" s="67">
        <f t="shared" si="2"/>
        <v>0</v>
      </c>
      <c r="H79" s="68">
        <f t="shared" si="3"/>
        <v>0</v>
      </c>
      <c r="I79" s="77"/>
    </row>
    <row r="80" spans="1:9" x14ac:dyDescent="0.3">
      <c r="A80" s="75">
        <v>77</v>
      </c>
      <c r="B80" s="70"/>
      <c r="C80" s="70"/>
      <c r="D80" s="70"/>
      <c r="E80" s="65">
        <v>0</v>
      </c>
      <c r="F80" s="66">
        <v>0</v>
      </c>
      <c r="G80" s="67">
        <f t="shared" si="2"/>
        <v>0</v>
      </c>
      <c r="H80" s="68">
        <f t="shared" si="3"/>
        <v>0</v>
      </c>
      <c r="I80" s="77"/>
    </row>
    <row r="81" spans="1:9" x14ac:dyDescent="0.3">
      <c r="A81" s="75">
        <v>78</v>
      </c>
      <c r="B81" s="70"/>
      <c r="C81" s="70"/>
      <c r="D81" s="70"/>
      <c r="E81" s="65">
        <v>0</v>
      </c>
      <c r="F81" s="66">
        <v>0</v>
      </c>
      <c r="G81" s="67">
        <f t="shared" si="2"/>
        <v>0</v>
      </c>
      <c r="H81" s="68">
        <f t="shared" si="3"/>
        <v>0</v>
      </c>
      <c r="I81" s="77"/>
    </row>
    <row r="82" spans="1:9" x14ac:dyDescent="0.3">
      <c r="A82" s="75">
        <v>79</v>
      </c>
      <c r="B82" s="70"/>
      <c r="C82" s="70"/>
      <c r="D82" s="70"/>
      <c r="E82" s="65">
        <v>0</v>
      </c>
      <c r="F82" s="66">
        <v>0</v>
      </c>
      <c r="G82" s="67">
        <f t="shared" si="2"/>
        <v>0</v>
      </c>
      <c r="H82" s="68">
        <f t="shared" si="3"/>
        <v>0</v>
      </c>
      <c r="I82" s="77"/>
    </row>
    <row r="83" spans="1:9" x14ac:dyDescent="0.3">
      <c r="A83" s="75">
        <v>80</v>
      </c>
      <c r="B83" s="70"/>
      <c r="C83" s="70"/>
      <c r="D83" s="70"/>
      <c r="E83" s="65">
        <v>0</v>
      </c>
      <c r="F83" s="66">
        <v>0</v>
      </c>
      <c r="G83" s="67">
        <f t="shared" si="2"/>
        <v>0</v>
      </c>
      <c r="H83" s="68">
        <f t="shared" si="3"/>
        <v>0</v>
      </c>
      <c r="I83" s="77"/>
    </row>
    <row r="84" spans="1:9" ht="32.25" customHeight="1" x14ac:dyDescent="0.3">
      <c r="A84" s="263" t="s">
        <v>80</v>
      </c>
      <c r="B84" s="131"/>
      <c r="C84" s="96"/>
      <c r="D84" s="96"/>
      <c r="E84" s="71"/>
      <c r="F84" s="72"/>
      <c r="G84" s="73">
        <f>SUM(G4:G43)</f>
        <v>0</v>
      </c>
      <c r="H84" s="74">
        <f>SUM(H4:H43)</f>
        <v>0</v>
      </c>
      <c r="I84" s="96"/>
    </row>
    <row r="85" spans="1:9" ht="28.5" customHeight="1" x14ac:dyDescent="0.3">
      <c r="A85" s="7"/>
      <c r="B85" s="264" t="s">
        <v>81</v>
      </c>
      <c r="C85" s="133"/>
      <c r="D85" s="133"/>
      <c r="E85" s="133"/>
      <c r="F85" s="133"/>
      <c r="G85" s="133"/>
      <c r="H85" s="133"/>
      <c r="I85" s="131"/>
    </row>
    <row r="86" spans="1:9" x14ac:dyDescent="0.3">
      <c r="A86" s="75">
        <v>1</v>
      </c>
      <c r="B86" s="125"/>
      <c r="C86" s="125"/>
      <c r="D86" s="76" t="s">
        <v>82</v>
      </c>
      <c r="E86" s="65">
        <v>0</v>
      </c>
      <c r="F86" s="66">
        <v>0</v>
      </c>
      <c r="G86" s="67">
        <f t="shared" ref="G86:G105" si="4">E86*F86</f>
        <v>0</v>
      </c>
      <c r="H86" s="68">
        <f t="shared" ref="H86:H125" si="5">G86*1.2</f>
        <v>0</v>
      </c>
      <c r="I86" s="125"/>
    </row>
    <row r="87" spans="1:9" x14ac:dyDescent="0.3">
      <c r="A87" s="75">
        <v>2</v>
      </c>
      <c r="B87" s="64"/>
      <c r="C87" s="64"/>
      <c r="D87" s="76" t="s">
        <v>82</v>
      </c>
      <c r="E87" s="65">
        <v>0</v>
      </c>
      <c r="F87" s="66">
        <v>0</v>
      </c>
      <c r="G87" s="67">
        <f t="shared" si="4"/>
        <v>0</v>
      </c>
      <c r="H87" s="68">
        <f t="shared" si="5"/>
        <v>0</v>
      </c>
      <c r="I87" s="125"/>
    </row>
    <row r="88" spans="1:9" x14ac:dyDescent="0.3">
      <c r="A88" s="75">
        <v>3</v>
      </c>
      <c r="B88" s="64"/>
      <c r="C88" s="64"/>
      <c r="D88" s="76" t="s">
        <v>82</v>
      </c>
      <c r="E88" s="65">
        <v>0</v>
      </c>
      <c r="F88" s="66">
        <v>0</v>
      </c>
      <c r="G88" s="67">
        <f t="shared" si="4"/>
        <v>0</v>
      </c>
      <c r="H88" s="68">
        <f t="shared" si="5"/>
        <v>0</v>
      </c>
      <c r="I88" s="125"/>
    </row>
    <row r="89" spans="1:9" x14ac:dyDescent="0.3">
      <c r="A89" s="75">
        <v>4</v>
      </c>
      <c r="B89" s="64"/>
      <c r="C89" s="64"/>
      <c r="D89" s="76" t="s">
        <v>82</v>
      </c>
      <c r="E89" s="65">
        <v>0</v>
      </c>
      <c r="F89" s="66">
        <v>0</v>
      </c>
      <c r="G89" s="67">
        <f t="shared" si="4"/>
        <v>0</v>
      </c>
      <c r="H89" s="68">
        <f t="shared" si="5"/>
        <v>0</v>
      </c>
      <c r="I89" s="69"/>
    </row>
    <row r="90" spans="1:9" x14ac:dyDescent="0.3">
      <c r="A90" s="75">
        <v>5</v>
      </c>
      <c r="B90" s="64"/>
      <c r="C90" s="64"/>
      <c r="D90" s="76" t="s">
        <v>82</v>
      </c>
      <c r="E90" s="65">
        <v>0</v>
      </c>
      <c r="F90" s="66">
        <v>0</v>
      </c>
      <c r="G90" s="67">
        <f t="shared" si="4"/>
        <v>0</v>
      </c>
      <c r="H90" s="68">
        <f t="shared" si="5"/>
        <v>0</v>
      </c>
      <c r="I90" s="69"/>
    </row>
    <row r="91" spans="1:9" x14ac:dyDescent="0.3">
      <c r="A91" s="75">
        <v>6</v>
      </c>
      <c r="B91" s="64"/>
      <c r="C91" s="64"/>
      <c r="D91" s="76" t="s">
        <v>82</v>
      </c>
      <c r="E91" s="65">
        <v>0</v>
      </c>
      <c r="F91" s="66">
        <v>0</v>
      </c>
      <c r="G91" s="67">
        <f t="shared" si="4"/>
        <v>0</v>
      </c>
      <c r="H91" s="68">
        <f t="shared" si="5"/>
        <v>0</v>
      </c>
      <c r="I91" s="69"/>
    </row>
    <row r="92" spans="1:9" x14ac:dyDescent="0.3">
      <c r="A92" s="75">
        <v>7</v>
      </c>
      <c r="B92" s="64"/>
      <c r="C92" s="64"/>
      <c r="D92" s="76" t="s">
        <v>82</v>
      </c>
      <c r="E92" s="65">
        <v>0</v>
      </c>
      <c r="F92" s="66">
        <v>0</v>
      </c>
      <c r="G92" s="67">
        <f t="shared" si="4"/>
        <v>0</v>
      </c>
      <c r="H92" s="68">
        <f t="shared" si="5"/>
        <v>0</v>
      </c>
      <c r="I92" s="69"/>
    </row>
    <row r="93" spans="1:9" x14ac:dyDescent="0.3">
      <c r="A93" s="75">
        <v>8</v>
      </c>
      <c r="B93" s="64"/>
      <c r="C93" s="64"/>
      <c r="D93" s="76" t="s">
        <v>82</v>
      </c>
      <c r="E93" s="65">
        <v>0</v>
      </c>
      <c r="F93" s="66">
        <v>0</v>
      </c>
      <c r="G93" s="67">
        <f t="shared" si="4"/>
        <v>0</v>
      </c>
      <c r="H93" s="68">
        <f t="shared" si="5"/>
        <v>0</v>
      </c>
      <c r="I93" s="69"/>
    </row>
    <row r="94" spans="1:9" x14ac:dyDescent="0.3">
      <c r="A94" s="75">
        <v>9</v>
      </c>
      <c r="B94" s="64"/>
      <c r="C94" s="64"/>
      <c r="D94" s="76" t="s">
        <v>82</v>
      </c>
      <c r="E94" s="65">
        <v>0</v>
      </c>
      <c r="F94" s="66">
        <v>0</v>
      </c>
      <c r="G94" s="67">
        <f t="shared" si="4"/>
        <v>0</v>
      </c>
      <c r="H94" s="68">
        <f t="shared" si="5"/>
        <v>0</v>
      </c>
      <c r="I94" s="69"/>
    </row>
    <row r="95" spans="1:9" x14ac:dyDescent="0.3">
      <c r="A95" s="75">
        <v>10</v>
      </c>
      <c r="B95" s="64"/>
      <c r="C95" s="64"/>
      <c r="D95" s="76" t="s">
        <v>82</v>
      </c>
      <c r="E95" s="65">
        <v>0</v>
      </c>
      <c r="F95" s="66">
        <v>0</v>
      </c>
      <c r="G95" s="67">
        <f t="shared" si="4"/>
        <v>0</v>
      </c>
      <c r="H95" s="68">
        <f t="shared" si="5"/>
        <v>0</v>
      </c>
      <c r="I95" s="69"/>
    </row>
    <row r="96" spans="1:9" x14ac:dyDescent="0.3">
      <c r="A96" s="75">
        <v>11</v>
      </c>
      <c r="B96" s="64"/>
      <c r="C96" s="64"/>
      <c r="D96" s="76" t="s">
        <v>82</v>
      </c>
      <c r="E96" s="65">
        <v>0</v>
      </c>
      <c r="F96" s="66">
        <v>0</v>
      </c>
      <c r="G96" s="67">
        <f t="shared" si="4"/>
        <v>0</v>
      </c>
      <c r="H96" s="68">
        <f t="shared" si="5"/>
        <v>0</v>
      </c>
      <c r="I96" s="69"/>
    </row>
    <row r="97" spans="1:9" x14ac:dyDescent="0.3">
      <c r="A97" s="75">
        <v>12</v>
      </c>
      <c r="B97" s="64"/>
      <c r="C97" s="64"/>
      <c r="D97" s="76" t="s">
        <v>82</v>
      </c>
      <c r="E97" s="65">
        <v>0</v>
      </c>
      <c r="F97" s="66">
        <v>0</v>
      </c>
      <c r="G97" s="67">
        <f t="shared" si="4"/>
        <v>0</v>
      </c>
      <c r="H97" s="68">
        <f t="shared" si="5"/>
        <v>0</v>
      </c>
      <c r="I97" s="69"/>
    </row>
    <row r="98" spans="1:9" x14ac:dyDescent="0.3">
      <c r="A98" s="75">
        <v>13</v>
      </c>
      <c r="B98" s="64"/>
      <c r="C98" s="64"/>
      <c r="D98" s="76" t="s">
        <v>82</v>
      </c>
      <c r="E98" s="65">
        <v>0</v>
      </c>
      <c r="F98" s="66">
        <v>0</v>
      </c>
      <c r="G98" s="67">
        <f t="shared" si="4"/>
        <v>0</v>
      </c>
      <c r="H98" s="68">
        <f t="shared" si="5"/>
        <v>0</v>
      </c>
      <c r="I98" s="69"/>
    </row>
    <row r="99" spans="1:9" x14ac:dyDescent="0.3">
      <c r="A99" s="75">
        <v>14</v>
      </c>
      <c r="B99" s="64"/>
      <c r="C99" s="64"/>
      <c r="D99" s="76" t="s">
        <v>82</v>
      </c>
      <c r="E99" s="65">
        <v>0</v>
      </c>
      <c r="F99" s="66">
        <v>0</v>
      </c>
      <c r="G99" s="67">
        <f t="shared" si="4"/>
        <v>0</v>
      </c>
      <c r="H99" s="68">
        <f t="shared" si="5"/>
        <v>0</v>
      </c>
      <c r="I99" s="69"/>
    </row>
    <row r="100" spans="1:9" x14ac:dyDescent="0.3">
      <c r="A100" s="75">
        <v>15</v>
      </c>
      <c r="B100" s="64"/>
      <c r="C100" s="64"/>
      <c r="D100" s="76" t="s">
        <v>82</v>
      </c>
      <c r="E100" s="65">
        <v>0</v>
      </c>
      <c r="F100" s="66">
        <v>0</v>
      </c>
      <c r="G100" s="67">
        <f t="shared" si="4"/>
        <v>0</v>
      </c>
      <c r="H100" s="68">
        <f t="shared" si="5"/>
        <v>0</v>
      </c>
      <c r="I100" s="69"/>
    </row>
    <row r="101" spans="1:9" x14ac:dyDescent="0.3">
      <c r="A101" s="75">
        <v>16</v>
      </c>
      <c r="B101" s="64"/>
      <c r="C101" s="64"/>
      <c r="D101" s="76" t="s">
        <v>82</v>
      </c>
      <c r="E101" s="65">
        <v>0</v>
      </c>
      <c r="F101" s="66">
        <v>0</v>
      </c>
      <c r="G101" s="67">
        <f t="shared" si="4"/>
        <v>0</v>
      </c>
      <c r="H101" s="68">
        <f t="shared" si="5"/>
        <v>0</v>
      </c>
      <c r="I101" s="69"/>
    </row>
    <row r="102" spans="1:9" x14ac:dyDescent="0.3">
      <c r="A102" s="75">
        <v>17</v>
      </c>
      <c r="B102" s="64"/>
      <c r="C102" s="64"/>
      <c r="D102" s="76" t="s">
        <v>82</v>
      </c>
      <c r="E102" s="65">
        <v>0</v>
      </c>
      <c r="F102" s="66">
        <v>0</v>
      </c>
      <c r="G102" s="67">
        <f t="shared" si="4"/>
        <v>0</v>
      </c>
      <c r="H102" s="68">
        <f t="shared" si="5"/>
        <v>0</v>
      </c>
      <c r="I102" s="69"/>
    </row>
    <row r="103" spans="1:9" x14ac:dyDescent="0.3">
      <c r="A103" s="75">
        <v>18</v>
      </c>
      <c r="B103" s="64"/>
      <c r="C103" s="64"/>
      <c r="D103" s="76" t="s">
        <v>82</v>
      </c>
      <c r="E103" s="65">
        <v>0</v>
      </c>
      <c r="F103" s="66">
        <v>0</v>
      </c>
      <c r="G103" s="67">
        <f t="shared" si="4"/>
        <v>0</v>
      </c>
      <c r="H103" s="68">
        <f t="shared" si="5"/>
        <v>0</v>
      </c>
      <c r="I103" s="69"/>
    </row>
    <row r="104" spans="1:9" x14ac:dyDescent="0.3">
      <c r="A104" s="75">
        <v>19</v>
      </c>
      <c r="B104" s="64"/>
      <c r="C104" s="64"/>
      <c r="D104" s="76" t="s">
        <v>82</v>
      </c>
      <c r="E104" s="65">
        <v>0</v>
      </c>
      <c r="F104" s="66">
        <v>0</v>
      </c>
      <c r="G104" s="67">
        <f t="shared" si="4"/>
        <v>0</v>
      </c>
      <c r="H104" s="68">
        <f t="shared" si="5"/>
        <v>0</v>
      </c>
      <c r="I104" s="69"/>
    </row>
    <row r="105" spans="1:9" x14ac:dyDescent="0.3">
      <c r="A105" s="75">
        <v>20</v>
      </c>
      <c r="B105" s="64"/>
      <c r="C105" s="64"/>
      <c r="D105" s="76" t="s">
        <v>82</v>
      </c>
      <c r="E105" s="65">
        <v>0</v>
      </c>
      <c r="F105" s="66">
        <v>0</v>
      </c>
      <c r="G105" s="67">
        <f t="shared" si="4"/>
        <v>0</v>
      </c>
      <c r="H105" s="68">
        <f t="shared" si="5"/>
        <v>0</v>
      </c>
      <c r="I105" s="69"/>
    </row>
    <row r="106" spans="1:9" x14ac:dyDescent="0.3">
      <c r="A106" s="75">
        <v>21</v>
      </c>
      <c r="B106" s="64"/>
      <c r="C106" s="64"/>
      <c r="D106" s="76" t="s">
        <v>82</v>
      </c>
      <c r="E106" s="65">
        <v>0</v>
      </c>
      <c r="F106" s="66">
        <v>0</v>
      </c>
      <c r="G106" s="67">
        <f t="shared" ref="G106:G125" si="6">E106*F106</f>
        <v>0</v>
      </c>
      <c r="H106" s="68">
        <f t="shared" si="5"/>
        <v>0</v>
      </c>
      <c r="I106" s="69"/>
    </row>
    <row r="107" spans="1:9" x14ac:dyDescent="0.3">
      <c r="A107" s="75">
        <v>22</v>
      </c>
      <c r="B107" s="64"/>
      <c r="C107" s="64"/>
      <c r="D107" s="76" t="s">
        <v>82</v>
      </c>
      <c r="E107" s="65">
        <v>0</v>
      </c>
      <c r="F107" s="66">
        <v>0</v>
      </c>
      <c r="G107" s="67">
        <f t="shared" si="6"/>
        <v>0</v>
      </c>
      <c r="H107" s="68">
        <f t="shared" si="5"/>
        <v>0</v>
      </c>
      <c r="I107" s="69"/>
    </row>
    <row r="108" spans="1:9" x14ac:dyDescent="0.3">
      <c r="A108" s="75">
        <v>23</v>
      </c>
      <c r="B108" s="64"/>
      <c r="C108" s="64"/>
      <c r="D108" s="76" t="s">
        <v>82</v>
      </c>
      <c r="E108" s="65">
        <v>0</v>
      </c>
      <c r="F108" s="66">
        <v>0</v>
      </c>
      <c r="G108" s="67">
        <f t="shared" si="6"/>
        <v>0</v>
      </c>
      <c r="H108" s="68">
        <f t="shared" si="5"/>
        <v>0</v>
      </c>
      <c r="I108" s="69"/>
    </row>
    <row r="109" spans="1:9" x14ac:dyDescent="0.3">
      <c r="A109" s="75">
        <v>24</v>
      </c>
      <c r="B109" s="64"/>
      <c r="C109" s="64"/>
      <c r="D109" s="76" t="s">
        <v>82</v>
      </c>
      <c r="E109" s="65">
        <v>0</v>
      </c>
      <c r="F109" s="66">
        <v>0</v>
      </c>
      <c r="G109" s="67">
        <f t="shared" si="6"/>
        <v>0</v>
      </c>
      <c r="H109" s="68">
        <f t="shared" si="5"/>
        <v>0</v>
      </c>
      <c r="I109" s="69"/>
    </row>
    <row r="110" spans="1:9" x14ac:dyDescent="0.3">
      <c r="A110" s="75">
        <v>25</v>
      </c>
      <c r="B110" s="64"/>
      <c r="C110" s="64"/>
      <c r="D110" s="76" t="s">
        <v>82</v>
      </c>
      <c r="E110" s="65">
        <v>0</v>
      </c>
      <c r="F110" s="66">
        <v>0</v>
      </c>
      <c r="G110" s="67">
        <f t="shared" si="6"/>
        <v>0</v>
      </c>
      <c r="H110" s="68">
        <f t="shared" si="5"/>
        <v>0</v>
      </c>
      <c r="I110" s="69"/>
    </row>
    <row r="111" spans="1:9" x14ac:dyDescent="0.3">
      <c r="A111" s="75">
        <v>26</v>
      </c>
      <c r="B111" s="64"/>
      <c r="C111" s="64"/>
      <c r="D111" s="76" t="s">
        <v>82</v>
      </c>
      <c r="E111" s="65">
        <v>0</v>
      </c>
      <c r="F111" s="66">
        <v>0</v>
      </c>
      <c r="G111" s="67">
        <f t="shared" si="6"/>
        <v>0</v>
      </c>
      <c r="H111" s="68">
        <f t="shared" si="5"/>
        <v>0</v>
      </c>
      <c r="I111" s="69"/>
    </row>
    <row r="112" spans="1:9" x14ac:dyDescent="0.3">
      <c r="A112" s="75">
        <v>27</v>
      </c>
      <c r="B112" s="64"/>
      <c r="C112" s="64"/>
      <c r="D112" s="76" t="s">
        <v>82</v>
      </c>
      <c r="E112" s="65">
        <v>0</v>
      </c>
      <c r="F112" s="66">
        <v>0</v>
      </c>
      <c r="G112" s="67">
        <f t="shared" si="6"/>
        <v>0</v>
      </c>
      <c r="H112" s="68">
        <f t="shared" si="5"/>
        <v>0</v>
      </c>
      <c r="I112" s="69"/>
    </row>
    <row r="113" spans="1:9" x14ac:dyDescent="0.3">
      <c r="A113" s="75">
        <v>28</v>
      </c>
      <c r="B113" s="64"/>
      <c r="C113" s="64"/>
      <c r="D113" s="76" t="s">
        <v>82</v>
      </c>
      <c r="E113" s="65">
        <v>0</v>
      </c>
      <c r="F113" s="66">
        <v>0</v>
      </c>
      <c r="G113" s="67">
        <f t="shared" si="6"/>
        <v>0</v>
      </c>
      <c r="H113" s="68">
        <f t="shared" si="5"/>
        <v>0</v>
      </c>
      <c r="I113" s="69"/>
    </row>
    <row r="114" spans="1:9" x14ac:dyDescent="0.3">
      <c r="A114" s="75">
        <v>29</v>
      </c>
      <c r="B114" s="64"/>
      <c r="C114" s="64"/>
      <c r="D114" s="76" t="s">
        <v>82</v>
      </c>
      <c r="E114" s="65">
        <v>0</v>
      </c>
      <c r="F114" s="66">
        <v>0</v>
      </c>
      <c r="G114" s="67">
        <f t="shared" si="6"/>
        <v>0</v>
      </c>
      <c r="H114" s="68">
        <f t="shared" si="5"/>
        <v>0</v>
      </c>
      <c r="I114" s="69"/>
    </row>
    <row r="115" spans="1:9" x14ac:dyDescent="0.3">
      <c r="A115" s="75">
        <v>30</v>
      </c>
      <c r="B115" s="64"/>
      <c r="C115" s="64"/>
      <c r="D115" s="76" t="s">
        <v>82</v>
      </c>
      <c r="E115" s="65">
        <v>0</v>
      </c>
      <c r="F115" s="66">
        <v>0</v>
      </c>
      <c r="G115" s="67">
        <f t="shared" si="6"/>
        <v>0</v>
      </c>
      <c r="H115" s="68">
        <f t="shared" si="5"/>
        <v>0</v>
      </c>
      <c r="I115" s="69"/>
    </row>
    <row r="116" spans="1:9" x14ac:dyDescent="0.3">
      <c r="A116" s="75">
        <v>31</v>
      </c>
      <c r="B116" s="64"/>
      <c r="C116" s="64"/>
      <c r="D116" s="76" t="s">
        <v>82</v>
      </c>
      <c r="E116" s="65">
        <v>0</v>
      </c>
      <c r="F116" s="66">
        <v>0</v>
      </c>
      <c r="G116" s="67">
        <f t="shared" si="6"/>
        <v>0</v>
      </c>
      <c r="H116" s="68">
        <f t="shared" si="5"/>
        <v>0</v>
      </c>
      <c r="I116" s="69"/>
    </row>
    <row r="117" spans="1:9" x14ac:dyDescent="0.3">
      <c r="A117" s="75">
        <v>32</v>
      </c>
      <c r="B117" s="64"/>
      <c r="C117" s="64"/>
      <c r="D117" s="76" t="s">
        <v>82</v>
      </c>
      <c r="E117" s="65">
        <v>0</v>
      </c>
      <c r="F117" s="66">
        <v>0</v>
      </c>
      <c r="G117" s="67">
        <f t="shared" si="6"/>
        <v>0</v>
      </c>
      <c r="H117" s="68">
        <f t="shared" si="5"/>
        <v>0</v>
      </c>
      <c r="I117" s="69"/>
    </row>
    <row r="118" spans="1:9" x14ac:dyDescent="0.3">
      <c r="A118" s="75">
        <v>33</v>
      </c>
      <c r="B118" s="64"/>
      <c r="C118" s="64"/>
      <c r="D118" s="76" t="s">
        <v>82</v>
      </c>
      <c r="E118" s="65">
        <v>0</v>
      </c>
      <c r="F118" s="66">
        <v>0</v>
      </c>
      <c r="G118" s="67">
        <f t="shared" si="6"/>
        <v>0</v>
      </c>
      <c r="H118" s="68">
        <f t="shared" si="5"/>
        <v>0</v>
      </c>
      <c r="I118" s="69"/>
    </row>
    <row r="119" spans="1:9" x14ac:dyDescent="0.3">
      <c r="A119" s="75">
        <v>34</v>
      </c>
      <c r="B119" s="64"/>
      <c r="C119" s="64"/>
      <c r="D119" s="76" t="s">
        <v>82</v>
      </c>
      <c r="E119" s="65">
        <v>0</v>
      </c>
      <c r="F119" s="66">
        <v>0</v>
      </c>
      <c r="G119" s="67">
        <f t="shared" si="6"/>
        <v>0</v>
      </c>
      <c r="H119" s="68">
        <f t="shared" si="5"/>
        <v>0</v>
      </c>
      <c r="I119" s="69"/>
    </row>
    <row r="120" spans="1:9" x14ac:dyDescent="0.3">
      <c r="A120" s="75">
        <v>35</v>
      </c>
      <c r="B120" s="64"/>
      <c r="C120" s="64"/>
      <c r="D120" s="76" t="s">
        <v>82</v>
      </c>
      <c r="E120" s="65">
        <v>0</v>
      </c>
      <c r="F120" s="66">
        <v>0</v>
      </c>
      <c r="G120" s="67">
        <f t="shared" si="6"/>
        <v>0</v>
      </c>
      <c r="H120" s="68">
        <f t="shared" si="5"/>
        <v>0</v>
      </c>
      <c r="I120" s="69"/>
    </row>
    <row r="121" spans="1:9" x14ac:dyDescent="0.3">
      <c r="A121" s="75">
        <v>36</v>
      </c>
      <c r="B121" s="64"/>
      <c r="C121" s="64"/>
      <c r="D121" s="76" t="s">
        <v>82</v>
      </c>
      <c r="E121" s="65">
        <v>0</v>
      </c>
      <c r="F121" s="66">
        <v>0</v>
      </c>
      <c r="G121" s="67">
        <f t="shared" si="6"/>
        <v>0</v>
      </c>
      <c r="H121" s="68">
        <f t="shared" si="5"/>
        <v>0</v>
      </c>
      <c r="I121" s="69"/>
    </row>
    <row r="122" spans="1:9" x14ac:dyDescent="0.3">
      <c r="A122" s="75">
        <v>37</v>
      </c>
      <c r="B122" s="64"/>
      <c r="C122" s="64"/>
      <c r="D122" s="76" t="s">
        <v>82</v>
      </c>
      <c r="E122" s="65">
        <v>0</v>
      </c>
      <c r="F122" s="66">
        <v>0</v>
      </c>
      <c r="G122" s="67">
        <f t="shared" si="6"/>
        <v>0</v>
      </c>
      <c r="H122" s="68">
        <f t="shared" si="5"/>
        <v>0</v>
      </c>
      <c r="I122" s="69"/>
    </row>
    <row r="123" spans="1:9" x14ac:dyDescent="0.3">
      <c r="A123" s="75">
        <v>38</v>
      </c>
      <c r="B123" s="64"/>
      <c r="C123" s="64"/>
      <c r="D123" s="76" t="s">
        <v>82</v>
      </c>
      <c r="E123" s="65">
        <v>0</v>
      </c>
      <c r="F123" s="66">
        <v>0</v>
      </c>
      <c r="G123" s="67">
        <f t="shared" si="6"/>
        <v>0</v>
      </c>
      <c r="H123" s="68">
        <f t="shared" si="5"/>
        <v>0</v>
      </c>
      <c r="I123" s="69"/>
    </row>
    <row r="124" spans="1:9" x14ac:dyDescent="0.3">
      <c r="A124" s="75">
        <v>39</v>
      </c>
      <c r="B124" s="64"/>
      <c r="C124" s="64"/>
      <c r="D124" s="76" t="s">
        <v>82</v>
      </c>
      <c r="E124" s="65">
        <v>0</v>
      </c>
      <c r="F124" s="66">
        <v>0</v>
      </c>
      <c r="G124" s="67">
        <f t="shared" si="6"/>
        <v>0</v>
      </c>
      <c r="H124" s="68">
        <f t="shared" si="5"/>
        <v>0</v>
      </c>
      <c r="I124" s="69"/>
    </row>
    <row r="125" spans="1:9" x14ac:dyDescent="0.3">
      <c r="A125" s="75">
        <v>40</v>
      </c>
      <c r="B125" s="64"/>
      <c r="C125" s="64"/>
      <c r="D125" s="76" t="s">
        <v>82</v>
      </c>
      <c r="E125" s="65">
        <v>0</v>
      </c>
      <c r="F125" s="66">
        <v>0</v>
      </c>
      <c r="G125" s="67">
        <f t="shared" si="6"/>
        <v>0</v>
      </c>
      <c r="H125" s="68">
        <f t="shared" si="5"/>
        <v>0</v>
      </c>
      <c r="I125" s="69"/>
    </row>
    <row r="126" spans="1:9" ht="32.25" customHeight="1" x14ac:dyDescent="0.3">
      <c r="A126" s="263" t="s">
        <v>83</v>
      </c>
      <c r="B126" s="131"/>
      <c r="C126" s="96"/>
      <c r="D126" s="96"/>
      <c r="E126" s="71"/>
      <c r="F126" s="72"/>
      <c r="G126" s="73">
        <f>SUM(G86:G105)</f>
        <v>0</v>
      </c>
      <c r="H126" s="74">
        <f>SUM(H86:H105)</f>
        <v>0</v>
      </c>
      <c r="I126" s="96"/>
    </row>
    <row r="127" spans="1:9" ht="48.75" customHeight="1" x14ac:dyDescent="0.3">
      <c r="A127" s="265" t="s">
        <v>97</v>
      </c>
      <c r="B127" s="133"/>
      <c r="C127" s="97"/>
      <c r="D127" s="97"/>
      <c r="E127" s="96"/>
      <c r="F127" s="96"/>
      <c r="G127" s="81">
        <f>G84+G126</f>
        <v>0</v>
      </c>
      <c r="H127" s="74">
        <f>H84+H126</f>
        <v>0</v>
      </c>
      <c r="I127" s="96"/>
    </row>
    <row r="128" spans="1:9" ht="32.25" customHeight="1" x14ac:dyDescent="0.3">
      <c r="A128" s="267" t="s">
        <v>98</v>
      </c>
      <c r="B128" s="214"/>
      <c r="C128" s="214"/>
      <c r="D128" s="214"/>
      <c r="E128" s="214"/>
      <c r="F128" s="214"/>
      <c r="G128" s="214"/>
      <c r="H128" s="214"/>
      <c r="I128" s="215"/>
    </row>
    <row r="129" spans="1:9" ht="38.700000000000003" customHeight="1" x14ac:dyDescent="0.3">
      <c r="A129" s="261"/>
      <c r="B129" s="156"/>
      <c r="C129" s="156"/>
      <c r="D129" s="156"/>
      <c r="E129" s="156"/>
      <c r="F129" s="156"/>
      <c r="G129" s="156"/>
      <c r="H129" s="156"/>
      <c r="I129" s="157"/>
    </row>
    <row r="130" spans="1:9" ht="78" customHeight="1" x14ac:dyDescent="0.3"/>
    <row r="131" spans="1:9" ht="31.5" customHeight="1" x14ac:dyDescent="0.3"/>
    <row r="132" spans="1:9" ht="18.75" customHeight="1" x14ac:dyDescent="0.3"/>
    <row r="133" spans="1:9" ht="18" customHeight="1" x14ac:dyDescent="0.3"/>
    <row r="134" spans="1:9" ht="15.75" customHeight="1" x14ac:dyDescent="0.3"/>
    <row r="138" spans="1:9" ht="84" customHeight="1" x14ac:dyDescent="0.3"/>
    <row r="139" spans="1:9" ht="28.5" customHeight="1" x14ac:dyDescent="0.3"/>
    <row r="142" spans="1:9" ht="68.25" customHeight="1" x14ac:dyDescent="0.3"/>
  </sheetData>
  <sheetProtection algorithmName="SHA-512" hashValue="MI/7ubFgn8O0Hm8d9DGjYzOaaKfDIQbNcP5xOQy0HNZOmHR1EX4BId7eu6sEwdt0PfEQ531rh7+bvN4XozD/+g==" saltValue="QIjdXca+cbUs6DtM6h3m3w==" spinCount="100000" sheet="1" objects="1" scenarios="1" selectLockedCells="1"/>
  <mergeCells count="7">
    <mergeCell ref="A127:B127"/>
    <mergeCell ref="A128:I129"/>
    <mergeCell ref="A1:I1"/>
    <mergeCell ref="A3:I3"/>
    <mergeCell ref="A84:B84"/>
    <mergeCell ref="B85:I85"/>
    <mergeCell ref="A126:B1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W2272"/>
  <sheetViews>
    <sheetView zoomScaleNormal="100" workbookViewId="0">
      <selection activeCell="W4" sqref="W4"/>
    </sheetView>
  </sheetViews>
  <sheetFormatPr defaultColWidth="9.33203125" defaultRowHeight="14.4" x14ac:dyDescent="0.3"/>
  <cols>
    <col min="1" max="1" width="10.6640625" customWidth="1"/>
    <col min="2" max="4" width="12.6640625" customWidth="1"/>
    <col min="5" max="5" width="45.6640625" customWidth="1"/>
    <col min="6" max="6" width="25.6640625" customWidth="1"/>
    <col min="7" max="10" width="15.6640625" customWidth="1"/>
    <col min="11" max="11" width="15.5546875" customWidth="1"/>
    <col min="12" max="12" width="11" customWidth="1"/>
    <col min="13" max="16" width="21.6640625" customWidth="1"/>
    <col min="17" max="17" width="18.33203125" customWidth="1"/>
    <col min="18" max="19" width="13.33203125" customWidth="1"/>
    <col min="20" max="20" width="11" customWidth="1"/>
    <col min="21" max="21" width="18.6640625" customWidth="1"/>
    <col min="22" max="22" width="14" customWidth="1"/>
    <col min="23" max="23" width="16" customWidth="1"/>
  </cols>
  <sheetData>
    <row r="1" spans="1:23" ht="114" customHeight="1" x14ac:dyDescent="0.3">
      <c r="A1" s="102" t="s">
        <v>100</v>
      </c>
      <c r="B1" s="102" t="s">
        <v>101</v>
      </c>
      <c r="C1" s="102" t="s">
        <v>102</v>
      </c>
      <c r="D1" s="102" t="s">
        <v>103</v>
      </c>
      <c r="E1" s="102" t="s">
        <v>104</v>
      </c>
      <c r="F1" s="102" t="s">
        <v>105</v>
      </c>
      <c r="G1" s="103" t="s">
        <v>106</v>
      </c>
      <c r="H1" s="104" t="s">
        <v>107</v>
      </c>
      <c r="I1" s="104" t="s">
        <v>108</v>
      </c>
      <c r="J1" s="104" t="s">
        <v>109</v>
      </c>
      <c r="K1" s="102" t="s">
        <v>20</v>
      </c>
      <c r="L1" s="102" t="s">
        <v>30</v>
      </c>
      <c r="M1" s="105" t="s">
        <v>31</v>
      </c>
      <c r="N1" s="106" t="s">
        <v>32</v>
      </c>
      <c r="O1" s="105" t="s">
        <v>33</v>
      </c>
      <c r="P1" s="107" t="s">
        <v>34</v>
      </c>
      <c r="Q1" s="102" t="s">
        <v>35</v>
      </c>
      <c r="R1" s="108" t="s">
        <v>110</v>
      </c>
      <c r="S1" s="109" t="s">
        <v>36</v>
      </c>
      <c r="T1" s="102" t="s">
        <v>37</v>
      </c>
      <c r="U1" s="102" t="s">
        <v>38</v>
      </c>
      <c r="V1" s="102" t="s">
        <v>39</v>
      </c>
      <c r="W1" s="113" t="s">
        <v>4734</v>
      </c>
    </row>
    <row r="2" spans="1:23" x14ac:dyDescent="0.3">
      <c r="A2" s="110">
        <v>1702623</v>
      </c>
      <c r="B2" s="110" t="s">
        <v>1502</v>
      </c>
      <c r="C2" s="110" t="s">
        <v>1502</v>
      </c>
      <c r="D2" s="110" t="s">
        <v>1545</v>
      </c>
      <c r="E2" s="110" t="s">
        <v>1073</v>
      </c>
      <c r="F2" s="110" t="s">
        <v>113</v>
      </c>
      <c r="G2" s="110" t="s">
        <v>114</v>
      </c>
      <c r="H2" s="111">
        <v>39</v>
      </c>
      <c r="I2" s="111">
        <v>36</v>
      </c>
      <c r="J2" s="111">
        <v>15</v>
      </c>
      <c r="K2" s="111">
        <f t="shared" ref="K2:K65" si="0">+(H2+I2+J2)/3</f>
        <v>30</v>
      </c>
      <c r="L2" s="111">
        <v>0</v>
      </c>
      <c r="M2" s="111">
        <f t="shared" ref="M2:M65" si="1">+L2*0.45</f>
        <v>0</v>
      </c>
      <c r="N2" s="111">
        <f t="shared" ref="N2:N65" si="2">+L2*0.45</f>
        <v>0</v>
      </c>
      <c r="O2" s="111">
        <f t="shared" ref="O2:O65" si="3">+N2*0.2</f>
        <v>0</v>
      </c>
      <c r="P2" s="111">
        <f t="shared" ref="P2:P65" si="4">++L2*0.1</f>
        <v>0</v>
      </c>
      <c r="Q2" s="111">
        <v>0</v>
      </c>
      <c r="R2" s="111">
        <v>0</v>
      </c>
      <c r="S2" s="111">
        <f t="shared" ref="S2:S65" si="5">+Q2*0.1</f>
        <v>0</v>
      </c>
      <c r="T2" s="111">
        <f t="shared" ref="T2:T65" si="6">+L2+Q2</f>
        <v>0</v>
      </c>
      <c r="U2" s="111">
        <f t="shared" ref="U2:U65" si="7">+T2*0.01</f>
        <v>0</v>
      </c>
      <c r="V2" s="111">
        <f t="shared" ref="V2:V65" si="8">+T2+U2</f>
        <v>0</v>
      </c>
      <c r="W2" s="112" t="s">
        <v>3813</v>
      </c>
    </row>
    <row r="3" spans="1:23" x14ac:dyDescent="0.3">
      <c r="A3" s="110">
        <v>1900516</v>
      </c>
      <c r="B3" s="110" t="s">
        <v>1609</v>
      </c>
      <c r="C3" s="110" t="s">
        <v>1609</v>
      </c>
      <c r="D3" s="110" t="s">
        <v>1635</v>
      </c>
      <c r="E3" s="110" t="s">
        <v>482</v>
      </c>
      <c r="F3" s="110" t="s">
        <v>113</v>
      </c>
      <c r="G3" s="110" t="s">
        <v>114</v>
      </c>
      <c r="H3" s="111">
        <v>50</v>
      </c>
      <c r="I3" s="111">
        <v>39</v>
      </c>
      <c r="J3" s="111">
        <v>35</v>
      </c>
      <c r="K3" s="111">
        <f t="shared" si="0"/>
        <v>41.333333333333336</v>
      </c>
      <c r="L3" s="111">
        <v>0</v>
      </c>
      <c r="M3" s="111">
        <f t="shared" si="1"/>
        <v>0</v>
      </c>
      <c r="N3" s="111">
        <f t="shared" si="2"/>
        <v>0</v>
      </c>
      <c r="O3" s="111">
        <f t="shared" si="3"/>
        <v>0</v>
      </c>
      <c r="P3" s="111">
        <f t="shared" si="4"/>
        <v>0</v>
      </c>
      <c r="Q3" s="111">
        <v>0</v>
      </c>
      <c r="R3" s="111">
        <v>0</v>
      </c>
      <c r="S3" s="111">
        <f t="shared" si="5"/>
        <v>0</v>
      </c>
      <c r="T3" s="111">
        <f t="shared" si="6"/>
        <v>0</v>
      </c>
      <c r="U3" s="111">
        <f t="shared" si="7"/>
        <v>0</v>
      </c>
      <c r="V3" s="111">
        <f t="shared" si="8"/>
        <v>0</v>
      </c>
      <c r="W3" s="112" t="s">
        <v>3915</v>
      </c>
    </row>
    <row r="4" spans="1:23" x14ac:dyDescent="0.3">
      <c r="A4" s="110">
        <v>100020</v>
      </c>
      <c r="B4" s="110" t="s">
        <v>111</v>
      </c>
      <c r="C4" s="110" t="s">
        <v>111</v>
      </c>
      <c r="D4" s="110" t="s">
        <v>111</v>
      </c>
      <c r="E4" s="110" t="s">
        <v>112</v>
      </c>
      <c r="F4" s="110" t="s">
        <v>113</v>
      </c>
      <c r="G4" s="110" t="s">
        <v>114</v>
      </c>
      <c r="H4" s="111">
        <v>528</v>
      </c>
      <c r="I4" s="111">
        <v>531</v>
      </c>
      <c r="J4" s="111">
        <v>533</v>
      </c>
      <c r="K4" s="111">
        <f t="shared" si="0"/>
        <v>530.66666666666663</v>
      </c>
      <c r="L4" s="111">
        <f>300000*0.7</f>
        <v>210000</v>
      </c>
      <c r="M4" s="111">
        <f t="shared" si="1"/>
        <v>94500</v>
      </c>
      <c r="N4" s="111">
        <f t="shared" si="2"/>
        <v>94500</v>
      </c>
      <c r="O4" s="111">
        <f t="shared" si="3"/>
        <v>18900</v>
      </c>
      <c r="P4" s="111">
        <f t="shared" si="4"/>
        <v>21000</v>
      </c>
      <c r="Q4" s="111">
        <v>60000</v>
      </c>
      <c r="R4" s="111">
        <v>6</v>
      </c>
      <c r="S4" s="111">
        <f t="shared" si="5"/>
        <v>6000</v>
      </c>
      <c r="T4" s="111">
        <f t="shared" si="6"/>
        <v>270000</v>
      </c>
      <c r="U4" s="111">
        <f t="shared" si="7"/>
        <v>2700</v>
      </c>
      <c r="V4" s="111">
        <f t="shared" si="8"/>
        <v>272700</v>
      </c>
      <c r="W4" t="s">
        <v>2463</v>
      </c>
    </row>
    <row r="5" spans="1:23" x14ac:dyDescent="0.3">
      <c r="A5" s="110">
        <v>100040</v>
      </c>
      <c r="B5" s="110" t="s">
        <v>111</v>
      </c>
      <c r="C5" s="110" t="s">
        <v>111</v>
      </c>
      <c r="D5" s="110" t="s">
        <v>111</v>
      </c>
      <c r="E5" s="110" t="s">
        <v>115</v>
      </c>
      <c r="F5" s="110" t="s">
        <v>113</v>
      </c>
      <c r="G5" s="110" t="s">
        <v>114</v>
      </c>
      <c r="H5" s="111">
        <v>261</v>
      </c>
      <c r="I5" s="111">
        <v>271</v>
      </c>
      <c r="J5" s="111">
        <v>281</v>
      </c>
      <c r="K5" s="111">
        <f t="shared" si="0"/>
        <v>271</v>
      </c>
      <c r="L5" s="111">
        <v>200000</v>
      </c>
      <c r="M5" s="111">
        <f t="shared" si="1"/>
        <v>90000</v>
      </c>
      <c r="N5" s="111">
        <f t="shared" si="2"/>
        <v>90000</v>
      </c>
      <c r="O5" s="111">
        <f t="shared" si="3"/>
        <v>18000</v>
      </c>
      <c r="P5" s="111">
        <f t="shared" si="4"/>
        <v>20000</v>
      </c>
      <c r="Q5" s="111">
        <v>50000</v>
      </c>
      <c r="R5" s="111">
        <v>5</v>
      </c>
      <c r="S5" s="111">
        <f t="shared" si="5"/>
        <v>5000</v>
      </c>
      <c r="T5" s="111">
        <f t="shared" si="6"/>
        <v>250000</v>
      </c>
      <c r="U5" s="111">
        <f t="shared" si="7"/>
        <v>2500</v>
      </c>
      <c r="V5" s="111">
        <f t="shared" si="8"/>
        <v>252500</v>
      </c>
      <c r="W5" t="s">
        <v>2464</v>
      </c>
    </row>
    <row r="6" spans="1:23" x14ac:dyDescent="0.3">
      <c r="A6" s="110">
        <v>100052</v>
      </c>
      <c r="B6" s="110" t="s">
        <v>111</v>
      </c>
      <c r="C6" s="110" t="s">
        <v>111</v>
      </c>
      <c r="D6" s="110" t="s">
        <v>111</v>
      </c>
      <c r="E6" s="110" t="s">
        <v>116</v>
      </c>
      <c r="F6" s="110" t="s">
        <v>117</v>
      </c>
      <c r="G6" s="110" t="s">
        <v>114</v>
      </c>
      <c r="H6" s="111">
        <v>253</v>
      </c>
      <c r="I6" s="111">
        <v>280</v>
      </c>
      <c r="J6" s="111">
        <v>298</v>
      </c>
      <c r="K6" s="111">
        <f t="shared" si="0"/>
        <v>277</v>
      </c>
      <c r="L6" s="111">
        <v>200000</v>
      </c>
      <c r="M6" s="111">
        <f t="shared" si="1"/>
        <v>90000</v>
      </c>
      <c r="N6" s="111">
        <f t="shared" si="2"/>
        <v>90000</v>
      </c>
      <c r="O6" s="111">
        <f t="shared" si="3"/>
        <v>18000</v>
      </c>
      <c r="P6" s="111">
        <f t="shared" si="4"/>
        <v>20000</v>
      </c>
      <c r="Q6" s="111">
        <v>50000</v>
      </c>
      <c r="R6" s="111">
        <v>5</v>
      </c>
      <c r="S6" s="111">
        <f t="shared" si="5"/>
        <v>5000</v>
      </c>
      <c r="T6" s="111">
        <f t="shared" si="6"/>
        <v>250000</v>
      </c>
      <c r="U6" s="111">
        <f t="shared" si="7"/>
        <v>2500</v>
      </c>
      <c r="V6" s="111">
        <f t="shared" si="8"/>
        <v>252500</v>
      </c>
      <c r="W6" t="s">
        <v>2465</v>
      </c>
    </row>
    <row r="7" spans="1:23" x14ac:dyDescent="0.3">
      <c r="A7" s="110">
        <v>100070</v>
      </c>
      <c r="B7" s="110" t="s">
        <v>111</v>
      </c>
      <c r="C7" s="110" t="s">
        <v>111</v>
      </c>
      <c r="D7" s="110" t="s">
        <v>111</v>
      </c>
      <c r="E7" s="110" t="s">
        <v>118</v>
      </c>
      <c r="F7" s="110" t="s">
        <v>119</v>
      </c>
      <c r="G7" s="110" t="s">
        <v>114</v>
      </c>
      <c r="H7" s="111">
        <v>888</v>
      </c>
      <c r="I7" s="111">
        <v>923</v>
      </c>
      <c r="J7" s="111">
        <v>923</v>
      </c>
      <c r="K7" s="111">
        <f t="shared" si="0"/>
        <v>911.33333333333337</v>
      </c>
      <c r="L7" s="111">
        <f>300000*0.7</f>
        <v>210000</v>
      </c>
      <c r="M7" s="111">
        <f t="shared" si="1"/>
        <v>94500</v>
      </c>
      <c r="N7" s="111">
        <f t="shared" si="2"/>
        <v>94500</v>
      </c>
      <c r="O7" s="111">
        <f t="shared" si="3"/>
        <v>18900</v>
      </c>
      <c r="P7" s="111">
        <f t="shared" si="4"/>
        <v>21000</v>
      </c>
      <c r="Q7" s="111">
        <v>60000</v>
      </c>
      <c r="R7" s="111">
        <v>6</v>
      </c>
      <c r="S7" s="111">
        <f t="shared" si="5"/>
        <v>6000</v>
      </c>
      <c r="T7" s="111">
        <f t="shared" si="6"/>
        <v>270000</v>
      </c>
      <c r="U7" s="111">
        <f t="shared" si="7"/>
        <v>2700</v>
      </c>
      <c r="V7" s="111">
        <f t="shared" si="8"/>
        <v>272700</v>
      </c>
      <c r="W7" t="s">
        <v>2466</v>
      </c>
    </row>
    <row r="8" spans="1:23" x14ac:dyDescent="0.3">
      <c r="A8" s="110">
        <v>100110</v>
      </c>
      <c r="B8" s="110" t="s">
        <v>111</v>
      </c>
      <c r="C8" s="110" t="s">
        <v>111</v>
      </c>
      <c r="D8" s="110" t="s">
        <v>111</v>
      </c>
      <c r="E8" s="110" t="s">
        <v>120</v>
      </c>
      <c r="F8" s="110" t="s">
        <v>113</v>
      </c>
      <c r="G8" s="110" t="s">
        <v>114</v>
      </c>
      <c r="H8" s="111">
        <v>364</v>
      </c>
      <c r="I8" s="111">
        <v>385</v>
      </c>
      <c r="J8" s="111">
        <v>401</v>
      </c>
      <c r="K8" s="111">
        <f t="shared" si="0"/>
        <v>383.33333333333331</v>
      </c>
      <c r="L8" s="111">
        <v>200000</v>
      </c>
      <c r="M8" s="111">
        <f t="shared" si="1"/>
        <v>90000</v>
      </c>
      <c r="N8" s="111">
        <f t="shared" si="2"/>
        <v>90000</v>
      </c>
      <c r="O8" s="111">
        <f t="shared" si="3"/>
        <v>18000</v>
      </c>
      <c r="P8" s="111">
        <f t="shared" si="4"/>
        <v>20000</v>
      </c>
      <c r="Q8" s="111">
        <v>50000</v>
      </c>
      <c r="R8" s="111">
        <v>5</v>
      </c>
      <c r="S8" s="111">
        <f t="shared" si="5"/>
        <v>5000</v>
      </c>
      <c r="T8" s="111">
        <f t="shared" si="6"/>
        <v>250000</v>
      </c>
      <c r="U8" s="111">
        <f t="shared" si="7"/>
        <v>2500</v>
      </c>
      <c r="V8" s="111">
        <f t="shared" si="8"/>
        <v>252500</v>
      </c>
      <c r="W8" t="s">
        <v>2467</v>
      </c>
    </row>
    <row r="9" spans="1:23" x14ac:dyDescent="0.3">
      <c r="A9" s="110">
        <v>100190</v>
      </c>
      <c r="B9" s="110" t="s">
        <v>111</v>
      </c>
      <c r="C9" s="110" t="s">
        <v>111</v>
      </c>
      <c r="D9" s="110" t="s">
        <v>111</v>
      </c>
      <c r="E9" s="110" t="s">
        <v>121</v>
      </c>
      <c r="F9" s="110" t="s">
        <v>122</v>
      </c>
      <c r="G9" s="110" t="s">
        <v>114</v>
      </c>
      <c r="H9" s="111">
        <v>795</v>
      </c>
      <c r="I9" s="111">
        <v>793</v>
      </c>
      <c r="J9" s="111">
        <v>795</v>
      </c>
      <c r="K9" s="111">
        <f t="shared" si="0"/>
        <v>794.33333333333337</v>
      </c>
      <c r="L9" s="111">
        <f>300000</f>
        <v>300000</v>
      </c>
      <c r="M9" s="111">
        <f t="shared" si="1"/>
        <v>135000</v>
      </c>
      <c r="N9" s="111">
        <f t="shared" si="2"/>
        <v>135000</v>
      </c>
      <c r="O9" s="111">
        <f t="shared" si="3"/>
        <v>27000</v>
      </c>
      <c r="P9" s="111">
        <f t="shared" si="4"/>
        <v>30000</v>
      </c>
      <c r="Q9" s="111">
        <v>60000</v>
      </c>
      <c r="R9" s="111">
        <v>6</v>
      </c>
      <c r="S9" s="111">
        <f t="shared" si="5"/>
        <v>6000</v>
      </c>
      <c r="T9" s="111">
        <f t="shared" si="6"/>
        <v>360000</v>
      </c>
      <c r="U9" s="111">
        <f t="shared" si="7"/>
        <v>3600</v>
      </c>
      <c r="V9" s="111">
        <f t="shared" si="8"/>
        <v>363600</v>
      </c>
      <c r="W9" t="s">
        <v>2468</v>
      </c>
    </row>
    <row r="10" spans="1:23" x14ac:dyDescent="0.3">
      <c r="A10" s="110">
        <v>100200</v>
      </c>
      <c r="B10" s="110" t="s">
        <v>111</v>
      </c>
      <c r="C10" s="110" t="s">
        <v>111</v>
      </c>
      <c r="D10" s="110" t="s">
        <v>111</v>
      </c>
      <c r="E10" s="110" t="s">
        <v>123</v>
      </c>
      <c r="F10" s="110" t="s">
        <v>122</v>
      </c>
      <c r="G10" s="110" t="s">
        <v>114</v>
      </c>
      <c r="H10" s="111">
        <v>868</v>
      </c>
      <c r="I10" s="111">
        <v>866</v>
      </c>
      <c r="J10" s="111">
        <v>863</v>
      </c>
      <c r="K10" s="111">
        <f t="shared" si="0"/>
        <v>865.66666666666663</v>
      </c>
      <c r="L10" s="111">
        <f>300000</f>
        <v>300000</v>
      </c>
      <c r="M10" s="111">
        <f t="shared" si="1"/>
        <v>135000</v>
      </c>
      <c r="N10" s="111">
        <f t="shared" si="2"/>
        <v>135000</v>
      </c>
      <c r="O10" s="111">
        <f t="shared" si="3"/>
        <v>27000</v>
      </c>
      <c r="P10" s="111">
        <f t="shared" si="4"/>
        <v>30000</v>
      </c>
      <c r="Q10" s="111">
        <v>60000</v>
      </c>
      <c r="R10" s="111">
        <v>6</v>
      </c>
      <c r="S10" s="111">
        <f t="shared" si="5"/>
        <v>6000</v>
      </c>
      <c r="T10" s="111">
        <f t="shared" si="6"/>
        <v>360000</v>
      </c>
      <c r="U10" s="111">
        <f t="shared" si="7"/>
        <v>3600</v>
      </c>
      <c r="V10" s="111">
        <f t="shared" si="8"/>
        <v>363600</v>
      </c>
      <c r="W10" t="s">
        <v>2469</v>
      </c>
    </row>
    <row r="11" spans="1:23" x14ac:dyDescent="0.3">
      <c r="A11" s="110">
        <v>100280</v>
      </c>
      <c r="B11" s="110" t="s">
        <v>111</v>
      </c>
      <c r="C11" s="110" t="s">
        <v>111</v>
      </c>
      <c r="D11" s="110" t="s">
        <v>111</v>
      </c>
      <c r="E11" s="110" t="s">
        <v>124</v>
      </c>
      <c r="F11" s="110" t="s">
        <v>117</v>
      </c>
      <c r="G11" s="110" t="s">
        <v>125</v>
      </c>
      <c r="H11" s="111">
        <v>545</v>
      </c>
      <c r="I11" s="111">
        <v>520</v>
      </c>
      <c r="J11" s="111">
        <v>518</v>
      </c>
      <c r="K11" s="111">
        <f t="shared" si="0"/>
        <v>527.66666666666663</v>
      </c>
      <c r="L11" s="111">
        <f>300000</f>
        <v>300000</v>
      </c>
      <c r="M11" s="111">
        <f t="shared" si="1"/>
        <v>135000</v>
      </c>
      <c r="N11" s="111">
        <f t="shared" si="2"/>
        <v>135000</v>
      </c>
      <c r="O11" s="111">
        <f t="shared" si="3"/>
        <v>27000</v>
      </c>
      <c r="P11" s="111">
        <f t="shared" si="4"/>
        <v>30000</v>
      </c>
      <c r="Q11" s="111">
        <v>60000</v>
      </c>
      <c r="R11" s="111">
        <v>6</v>
      </c>
      <c r="S11" s="111">
        <f t="shared" si="5"/>
        <v>6000</v>
      </c>
      <c r="T11" s="111">
        <f t="shared" si="6"/>
        <v>360000</v>
      </c>
      <c r="U11" s="111">
        <f t="shared" si="7"/>
        <v>3600</v>
      </c>
      <c r="V11" s="111">
        <f t="shared" si="8"/>
        <v>363600</v>
      </c>
      <c r="W11" t="s">
        <v>2470</v>
      </c>
    </row>
    <row r="12" spans="1:23" x14ac:dyDescent="0.3">
      <c r="A12" s="110">
        <v>100300</v>
      </c>
      <c r="B12" s="110" t="s">
        <v>111</v>
      </c>
      <c r="C12" s="110" t="s">
        <v>111</v>
      </c>
      <c r="D12" s="110" t="s">
        <v>111</v>
      </c>
      <c r="E12" s="110" t="s">
        <v>126</v>
      </c>
      <c r="F12" s="110" t="s">
        <v>117</v>
      </c>
      <c r="G12" s="110" t="s">
        <v>125</v>
      </c>
      <c r="H12" s="111">
        <v>389</v>
      </c>
      <c r="I12" s="111">
        <v>378</v>
      </c>
      <c r="J12" s="111">
        <v>401</v>
      </c>
      <c r="K12" s="111">
        <f t="shared" si="0"/>
        <v>389.33333333333331</v>
      </c>
      <c r="L12" s="111">
        <v>200000</v>
      </c>
      <c r="M12" s="111">
        <f t="shared" si="1"/>
        <v>90000</v>
      </c>
      <c r="N12" s="111">
        <f t="shared" si="2"/>
        <v>90000</v>
      </c>
      <c r="O12" s="111">
        <f t="shared" si="3"/>
        <v>18000</v>
      </c>
      <c r="P12" s="111">
        <f t="shared" si="4"/>
        <v>20000</v>
      </c>
      <c r="Q12" s="111">
        <v>50000</v>
      </c>
      <c r="R12" s="111">
        <v>5</v>
      </c>
      <c r="S12" s="111">
        <f t="shared" si="5"/>
        <v>5000</v>
      </c>
      <c r="T12" s="111">
        <f t="shared" si="6"/>
        <v>250000</v>
      </c>
      <c r="U12" s="111">
        <f t="shared" si="7"/>
        <v>2500</v>
      </c>
      <c r="V12" s="111">
        <f t="shared" si="8"/>
        <v>252500</v>
      </c>
      <c r="W12" t="s">
        <v>2471</v>
      </c>
    </row>
    <row r="13" spans="1:23" x14ac:dyDescent="0.3">
      <c r="A13" s="110">
        <v>101250</v>
      </c>
      <c r="B13" s="110" t="s">
        <v>111</v>
      </c>
      <c r="C13" s="110" t="s">
        <v>111</v>
      </c>
      <c r="D13" s="110" t="s">
        <v>111</v>
      </c>
      <c r="E13" s="110" t="s">
        <v>127</v>
      </c>
      <c r="F13" s="110" t="s">
        <v>119</v>
      </c>
      <c r="G13" s="110" t="s">
        <v>114</v>
      </c>
      <c r="H13" s="111">
        <v>505</v>
      </c>
      <c r="I13" s="111">
        <v>469</v>
      </c>
      <c r="J13" s="111">
        <v>459</v>
      </c>
      <c r="K13" s="111">
        <f t="shared" si="0"/>
        <v>477.66666666666669</v>
      </c>
      <c r="L13" s="111">
        <f>300000</f>
        <v>300000</v>
      </c>
      <c r="M13" s="111">
        <f t="shared" si="1"/>
        <v>135000</v>
      </c>
      <c r="N13" s="111">
        <f t="shared" si="2"/>
        <v>135000</v>
      </c>
      <c r="O13" s="111">
        <f t="shared" si="3"/>
        <v>27000</v>
      </c>
      <c r="P13" s="111">
        <f t="shared" si="4"/>
        <v>30000</v>
      </c>
      <c r="Q13" s="111">
        <v>60000</v>
      </c>
      <c r="R13" s="111">
        <v>6</v>
      </c>
      <c r="S13" s="111">
        <f t="shared" si="5"/>
        <v>6000</v>
      </c>
      <c r="T13" s="111">
        <f t="shared" si="6"/>
        <v>360000</v>
      </c>
      <c r="U13" s="111">
        <f t="shared" si="7"/>
        <v>3600</v>
      </c>
      <c r="V13" s="111">
        <f t="shared" si="8"/>
        <v>363600</v>
      </c>
      <c r="W13" t="s">
        <v>2472</v>
      </c>
    </row>
    <row r="14" spans="1:23" x14ac:dyDescent="0.3">
      <c r="A14" s="110">
        <v>101290</v>
      </c>
      <c r="B14" s="110" t="s">
        <v>111</v>
      </c>
      <c r="C14" s="110" t="s">
        <v>111</v>
      </c>
      <c r="D14" s="110" t="s">
        <v>111</v>
      </c>
      <c r="E14" s="110" t="s">
        <v>128</v>
      </c>
      <c r="F14" s="110" t="s">
        <v>113</v>
      </c>
      <c r="G14" s="110" t="s">
        <v>114</v>
      </c>
      <c r="H14" s="111">
        <v>782</v>
      </c>
      <c r="I14" s="111">
        <v>741</v>
      </c>
      <c r="J14" s="111">
        <v>695</v>
      </c>
      <c r="K14" s="111">
        <f t="shared" si="0"/>
        <v>739.33333333333337</v>
      </c>
      <c r="L14" s="111">
        <f>300000</f>
        <v>300000</v>
      </c>
      <c r="M14" s="111">
        <f t="shared" si="1"/>
        <v>135000</v>
      </c>
      <c r="N14" s="111">
        <f t="shared" si="2"/>
        <v>135000</v>
      </c>
      <c r="O14" s="111">
        <f t="shared" si="3"/>
        <v>27000</v>
      </c>
      <c r="P14" s="111">
        <f t="shared" si="4"/>
        <v>30000</v>
      </c>
      <c r="Q14" s="111">
        <v>60000</v>
      </c>
      <c r="R14" s="111">
        <v>6</v>
      </c>
      <c r="S14" s="111">
        <f t="shared" si="5"/>
        <v>6000</v>
      </c>
      <c r="T14" s="111">
        <f t="shared" si="6"/>
        <v>360000</v>
      </c>
      <c r="U14" s="111">
        <f t="shared" si="7"/>
        <v>3600</v>
      </c>
      <c r="V14" s="111">
        <f t="shared" si="8"/>
        <v>363600</v>
      </c>
      <c r="W14" t="s">
        <v>2473</v>
      </c>
    </row>
    <row r="15" spans="1:23" x14ac:dyDescent="0.3">
      <c r="A15" s="110">
        <v>101301</v>
      </c>
      <c r="B15" s="110" t="s">
        <v>111</v>
      </c>
      <c r="C15" s="110" t="s">
        <v>129</v>
      </c>
      <c r="D15" s="110" t="s">
        <v>129</v>
      </c>
      <c r="E15" s="110" t="s">
        <v>130</v>
      </c>
      <c r="F15" s="110" t="s">
        <v>119</v>
      </c>
      <c r="G15" s="110" t="s">
        <v>114</v>
      </c>
      <c r="H15" s="111">
        <v>348</v>
      </c>
      <c r="I15" s="111">
        <v>333</v>
      </c>
      <c r="J15" s="111">
        <v>319</v>
      </c>
      <c r="K15" s="111">
        <f t="shared" si="0"/>
        <v>333.33333333333331</v>
      </c>
      <c r="L15" s="111">
        <v>200000</v>
      </c>
      <c r="M15" s="111">
        <f t="shared" si="1"/>
        <v>90000</v>
      </c>
      <c r="N15" s="111">
        <f t="shared" si="2"/>
        <v>90000</v>
      </c>
      <c r="O15" s="111">
        <f t="shared" si="3"/>
        <v>18000</v>
      </c>
      <c r="P15" s="111">
        <f t="shared" si="4"/>
        <v>20000</v>
      </c>
      <c r="Q15" s="111">
        <v>50000</v>
      </c>
      <c r="R15" s="111">
        <v>5</v>
      </c>
      <c r="S15" s="111">
        <f t="shared" si="5"/>
        <v>5000</v>
      </c>
      <c r="T15" s="111">
        <f t="shared" si="6"/>
        <v>250000</v>
      </c>
      <c r="U15" s="111">
        <f t="shared" si="7"/>
        <v>2500</v>
      </c>
      <c r="V15" s="111">
        <f t="shared" si="8"/>
        <v>252500</v>
      </c>
      <c r="W15" t="s">
        <v>2474</v>
      </c>
    </row>
    <row r="16" spans="1:23" x14ac:dyDescent="0.3">
      <c r="A16" s="110">
        <v>101580</v>
      </c>
      <c r="B16" s="110" t="s">
        <v>111</v>
      </c>
      <c r="C16" s="110" t="s">
        <v>111</v>
      </c>
      <c r="D16" s="110" t="s">
        <v>111</v>
      </c>
      <c r="E16" s="110" t="s">
        <v>131</v>
      </c>
      <c r="F16" s="110" t="s">
        <v>119</v>
      </c>
      <c r="G16" s="110" t="s">
        <v>114</v>
      </c>
      <c r="H16" s="111">
        <v>716</v>
      </c>
      <c r="I16" s="111">
        <v>685</v>
      </c>
      <c r="J16" s="111">
        <v>676</v>
      </c>
      <c r="K16" s="111">
        <f t="shared" si="0"/>
        <v>692.33333333333337</v>
      </c>
      <c r="L16" s="111">
        <f>300000</f>
        <v>300000</v>
      </c>
      <c r="M16" s="111">
        <f t="shared" si="1"/>
        <v>135000</v>
      </c>
      <c r="N16" s="111">
        <f t="shared" si="2"/>
        <v>135000</v>
      </c>
      <c r="O16" s="111">
        <f t="shared" si="3"/>
        <v>27000</v>
      </c>
      <c r="P16" s="111">
        <f t="shared" si="4"/>
        <v>30000</v>
      </c>
      <c r="Q16" s="111">
        <v>60000</v>
      </c>
      <c r="R16" s="111">
        <v>6</v>
      </c>
      <c r="S16" s="111">
        <f t="shared" si="5"/>
        <v>6000</v>
      </c>
      <c r="T16" s="111">
        <f t="shared" si="6"/>
        <v>360000</v>
      </c>
      <c r="U16" s="111">
        <f t="shared" si="7"/>
        <v>3600</v>
      </c>
      <c r="V16" s="111">
        <f t="shared" si="8"/>
        <v>363600</v>
      </c>
      <c r="W16" t="s">
        <v>2475</v>
      </c>
    </row>
    <row r="17" spans="1:23" x14ac:dyDescent="0.3">
      <c r="A17" s="110">
        <v>101700</v>
      </c>
      <c r="B17" s="110" t="s">
        <v>111</v>
      </c>
      <c r="C17" s="110" t="s">
        <v>111</v>
      </c>
      <c r="D17" s="110" t="s">
        <v>111</v>
      </c>
      <c r="E17" s="110" t="s">
        <v>132</v>
      </c>
      <c r="F17" s="110" t="s">
        <v>113</v>
      </c>
      <c r="G17" s="110" t="s">
        <v>114</v>
      </c>
      <c r="H17" s="111">
        <v>111</v>
      </c>
      <c r="I17" s="111">
        <v>105</v>
      </c>
      <c r="J17" s="111">
        <v>117</v>
      </c>
      <c r="K17" s="111">
        <f t="shared" si="0"/>
        <v>111</v>
      </c>
      <c r="L17" s="111">
        <v>150000</v>
      </c>
      <c r="M17" s="111">
        <f t="shared" si="1"/>
        <v>67500</v>
      </c>
      <c r="N17" s="111">
        <f t="shared" si="2"/>
        <v>67500</v>
      </c>
      <c r="O17" s="111">
        <f t="shared" si="3"/>
        <v>13500</v>
      </c>
      <c r="P17" s="111">
        <f t="shared" si="4"/>
        <v>15000</v>
      </c>
      <c r="Q17" s="111">
        <v>30000</v>
      </c>
      <c r="R17" s="111">
        <v>3</v>
      </c>
      <c r="S17" s="111">
        <f t="shared" si="5"/>
        <v>3000</v>
      </c>
      <c r="T17" s="111">
        <f t="shared" si="6"/>
        <v>180000</v>
      </c>
      <c r="U17" s="111">
        <f t="shared" si="7"/>
        <v>1800</v>
      </c>
      <c r="V17" s="111">
        <f t="shared" si="8"/>
        <v>181800</v>
      </c>
      <c r="W17" t="s">
        <v>2476</v>
      </c>
    </row>
    <row r="18" spans="1:23" x14ac:dyDescent="0.3">
      <c r="A18" s="110">
        <v>101730</v>
      </c>
      <c r="B18" s="110" t="s">
        <v>111</v>
      </c>
      <c r="C18" s="110" t="s">
        <v>111</v>
      </c>
      <c r="D18" s="110" t="s">
        <v>111</v>
      </c>
      <c r="E18" s="110" t="s">
        <v>133</v>
      </c>
      <c r="F18" s="110" t="s">
        <v>117</v>
      </c>
      <c r="G18" s="110" t="s">
        <v>114</v>
      </c>
      <c r="H18" s="111">
        <v>200</v>
      </c>
      <c r="I18" s="111">
        <v>212</v>
      </c>
      <c r="J18" s="111">
        <v>230</v>
      </c>
      <c r="K18" s="111">
        <f t="shared" si="0"/>
        <v>214</v>
      </c>
      <c r="L18" s="111">
        <v>200000</v>
      </c>
      <c r="M18" s="111">
        <f t="shared" si="1"/>
        <v>90000</v>
      </c>
      <c r="N18" s="111">
        <f t="shared" si="2"/>
        <v>90000</v>
      </c>
      <c r="O18" s="111">
        <f t="shared" si="3"/>
        <v>18000</v>
      </c>
      <c r="P18" s="111">
        <f t="shared" si="4"/>
        <v>20000</v>
      </c>
      <c r="Q18" s="111">
        <v>50000</v>
      </c>
      <c r="R18" s="111">
        <v>5</v>
      </c>
      <c r="S18" s="111">
        <f t="shared" si="5"/>
        <v>5000</v>
      </c>
      <c r="T18" s="111">
        <f t="shared" si="6"/>
        <v>250000</v>
      </c>
      <c r="U18" s="111">
        <f t="shared" si="7"/>
        <v>2500</v>
      </c>
      <c r="V18" s="111">
        <f t="shared" si="8"/>
        <v>252500</v>
      </c>
      <c r="W18" t="s">
        <v>2477</v>
      </c>
    </row>
    <row r="19" spans="1:23" x14ac:dyDescent="0.3">
      <c r="A19" s="110">
        <v>101820</v>
      </c>
      <c r="B19" s="110" t="s">
        <v>111</v>
      </c>
      <c r="C19" s="110" t="s">
        <v>111</v>
      </c>
      <c r="D19" s="110" t="s">
        <v>111</v>
      </c>
      <c r="E19" s="110" t="s">
        <v>134</v>
      </c>
      <c r="F19" s="110" t="s">
        <v>135</v>
      </c>
      <c r="G19" s="110" t="s">
        <v>125</v>
      </c>
      <c r="H19" s="111">
        <v>109</v>
      </c>
      <c r="I19" s="111">
        <v>121</v>
      </c>
      <c r="J19" s="111">
        <v>121</v>
      </c>
      <c r="K19" s="111">
        <f t="shared" si="0"/>
        <v>117</v>
      </c>
      <c r="L19" s="111">
        <v>150000</v>
      </c>
      <c r="M19" s="111">
        <f t="shared" si="1"/>
        <v>67500</v>
      </c>
      <c r="N19" s="111">
        <f t="shared" si="2"/>
        <v>67500</v>
      </c>
      <c r="O19" s="111">
        <f t="shared" si="3"/>
        <v>13500</v>
      </c>
      <c r="P19" s="111">
        <f t="shared" si="4"/>
        <v>15000</v>
      </c>
      <c r="Q19" s="111">
        <v>30000</v>
      </c>
      <c r="R19" s="111">
        <v>3</v>
      </c>
      <c r="S19" s="111">
        <f t="shared" si="5"/>
        <v>3000</v>
      </c>
      <c r="T19" s="111">
        <f t="shared" si="6"/>
        <v>180000</v>
      </c>
      <c r="U19" s="111">
        <f t="shared" si="7"/>
        <v>1800</v>
      </c>
      <c r="V19" s="111">
        <f t="shared" si="8"/>
        <v>181800</v>
      </c>
      <c r="W19" t="s">
        <v>2478</v>
      </c>
    </row>
    <row r="20" spans="1:23" x14ac:dyDescent="0.3">
      <c r="A20" s="110">
        <v>101870</v>
      </c>
      <c r="B20" s="110" t="s">
        <v>111</v>
      </c>
      <c r="C20" s="110" t="s">
        <v>111</v>
      </c>
      <c r="D20" s="110" t="s">
        <v>111</v>
      </c>
      <c r="E20" s="110" t="s">
        <v>136</v>
      </c>
      <c r="F20" s="110" t="s">
        <v>122</v>
      </c>
      <c r="G20" s="110" t="s">
        <v>114</v>
      </c>
      <c r="H20" s="111">
        <v>620</v>
      </c>
      <c r="I20" s="111">
        <v>648</v>
      </c>
      <c r="J20" s="111">
        <v>666</v>
      </c>
      <c r="K20" s="111">
        <f t="shared" si="0"/>
        <v>644.66666666666663</v>
      </c>
      <c r="L20" s="111">
        <f>300000</f>
        <v>300000</v>
      </c>
      <c r="M20" s="111">
        <f t="shared" si="1"/>
        <v>135000</v>
      </c>
      <c r="N20" s="111">
        <f t="shared" si="2"/>
        <v>135000</v>
      </c>
      <c r="O20" s="111">
        <f t="shared" si="3"/>
        <v>27000</v>
      </c>
      <c r="P20" s="111">
        <f t="shared" si="4"/>
        <v>30000</v>
      </c>
      <c r="Q20" s="111">
        <v>60000</v>
      </c>
      <c r="R20" s="111">
        <v>6</v>
      </c>
      <c r="S20" s="111">
        <f t="shared" si="5"/>
        <v>6000</v>
      </c>
      <c r="T20" s="111">
        <f t="shared" si="6"/>
        <v>360000</v>
      </c>
      <c r="U20" s="111">
        <f t="shared" si="7"/>
        <v>3600</v>
      </c>
      <c r="V20" s="111">
        <f t="shared" si="8"/>
        <v>363600</v>
      </c>
      <c r="W20" t="s">
        <v>2479</v>
      </c>
    </row>
    <row r="21" spans="1:23" x14ac:dyDescent="0.3">
      <c r="A21" s="110">
        <v>101880</v>
      </c>
      <c r="B21" s="110" t="s">
        <v>111</v>
      </c>
      <c r="C21" s="110" t="s">
        <v>111</v>
      </c>
      <c r="D21" s="110" t="s">
        <v>111</v>
      </c>
      <c r="E21" s="110" t="s">
        <v>137</v>
      </c>
      <c r="F21" s="110" t="s">
        <v>119</v>
      </c>
      <c r="G21" s="110" t="s">
        <v>114</v>
      </c>
      <c r="H21" s="111">
        <v>445</v>
      </c>
      <c r="I21" s="111">
        <v>452</v>
      </c>
      <c r="J21" s="111">
        <v>467</v>
      </c>
      <c r="K21" s="111">
        <f t="shared" si="0"/>
        <v>454.66666666666669</v>
      </c>
      <c r="L21" s="111">
        <f>300000</f>
        <v>300000</v>
      </c>
      <c r="M21" s="111">
        <f t="shared" si="1"/>
        <v>135000</v>
      </c>
      <c r="N21" s="111">
        <f t="shared" si="2"/>
        <v>135000</v>
      </c>
      <c r="O21" s="111">
        <f t="shared" si="3"/>
        <v>27000</v>
      </c>
      <c r="P21" s="111">
        <f t="shared" si="4"/>
        <v>30000</v>
      </c>
      <c r="Q21" s="111">
        <v>60000</v>
      </c>
      <c r="R21" s="111">
        <v>6</v>
      </c>
      <c r="S21" s="111">
        <f t="shared" si="5"/>
        <v>6000</v>
      </c>
      <c r="T21" s="111">
        <f t="shared" si="6"/>
        <v>360000</v>
      </c>
      <c r="U21" s="111">
        <f t="shared" si="7"/>
        <v>3600</v>
      </c>
      <c r="V21" s="111">
        <f t="shared" si="8"/>
        <v>363600</v>
      </c>
      <c r="W21" t="s">
        <v>2480</v>
      </c>
    </row>
    <row r="22" spans="1:23" x14ac:dyDescent="0.3">
      <c r="A22" s="110">
        <v>102001</v>
      </c>
      <c r="B22" s="110" t="s">
        <v>111</v>
      </c>
      <c r="C22" s="110" t="s">
        <v>138</v>
      </c>
      <c r="D22" s="110" t="s">
        <v>138</v>
      </c>
      <c r="E22" s="110" t="s">
        <v>139</v>
      </c>
      <c r="F22" s="110" t="s">
        <v>117</v>
      </c>
      <c r="G22" s="110" t="s">
        <v>125</v>
      </c>
      <c r="H22" s="111">
        <v>711</v>
      </c>
      <c r="I22" s="111">
        <v>770</v>
      </c>
      <c r="J22" s="111">
        <v>817</v>
      </c>
      <c r="K22" s="111">
        <f t="shared" si="0"/>
        <v>766</v>
      </c>
      <c r="L22" s="111">
        <f>300000</f>
        <v>300000</v>
      </c>
      <c r="M22" s="111">
        <f t="shared" si="1"/>
        <v>135000</v>
      </c>
      <c r="N22" s="111">
        <f t="shared" si="2"/>
        <v>135000</v>
      </c>
      <c r="O22" s="111">
        <f t="shared" si="3"/>
        <v>27000</v>
      </c>
      <c r="P22" s="111">
        <f t="shared" si="4"/>
        <v>30000</v>
      </c>
      <c r="Q22" s="111">
        <v>60000</v>
      </c>
      <c r="R22" s="111">
        <v>6</v>
      </c>
      <c r="S22" s="111">
        <f t="shared" si="5"/>
        <v>6000</v>
      </c>
      <c r="T22" s="111">
        <f t="shared" si="6"/>
        <v>360000</v>
      </c>
      <c r="U22" s="111">
        <f t="shared" si="7"/>
        <v>3600</v>
      </c>
      <c r="V22" s="111">
        <f t="shared" si="8"/>
        <v>363600</v>
      </c>
      <c r="W22" t="s">
        <v>2481</v>
      </c>
    </row>
    <row r="23" spans="1:23" x14ac:dyDescent="0.3">
      <c r="A23" s="110">
        <v>102002</v>
      </c>
      <c r="B23" s="110" t="s">
        <v>111</v>
      </c>
      <c r="C23" s="110" t="s">
        <v>138</v>
      </c>
      <c r="D23" s="110" t="s">
        <v>138</v>
      </c>
      <c r="E23" s="110" t="s">
        <v>140</v>
      </c>
      <c r="F23" s="110" t="s">
        <v>122</v>
      </c>
      <c r="G23" s="110" t="s">
        <v>114</v>
      </c>
      <c r="H23" s="111">
        <v>703</v>
      </c>
      <c r="I23" s="111">
        <v>717</v>
      </c>
      <c r="J23" s="111">
        <v>703</v>
      </c>
      <c r="K23" s="111">
        <f t="shared" si="0"/>
        <v>707.66666666666663</v>
      </c>
      <c r="L23" s="111">
        <f>300000</f>
        <v>300000</v>
      </c>
      <c r="M23" s="111">
        <f t="shared" si="1"/>
        <v>135000</v>
      </c>
      <c r="N23" s="111">
        <f t="shared" si="2"/>
        <v>135000</v>
      </c>
      <c r="O23" s="111">
        <f t="shared" si="3"/>
        <v>27000</v>
      </c>
      <c r="P23" s="111">
        <f t="shared" si="4"/>
        <v>30000</v>
      </c>
      <c r="Q23" s="111">
        <v>60000</v>
      </c>
      <c r="R23" s="111">
        <v>6</v>
      </c>
      <c r="S23" s="111">
        <f t="shared" si="5"/>
        <v>6000</v>
      </c>
      <c r="T23" s="111">
        <f t="shared" si="6"/>
        <v>360000</v>
      </c>
      <c r="U23" s="111">
        <f t="shared" si="7"/>
        <v>3600</v>
      </c>
      <c r="V23" s="111">
        <f t="shared" si="8"/>
        <v>363600</v>
      </c>
      <c r="W23" t="s">
        <v>2482</v>
      </c>
    </row>
    <row r="24" spans="1:23" x14ac:dyDescent="0.3">
      <c r="A24" s="110">
        <v>102003</v>
      </c>
      <c r="B24" s="110" t="s">
        <v>111</v>
      </c>
      <c r="C24" s="110" t="s">
        <v>141</v>
      </c>
      <c r="D24" s="110" t="s">
        <v>142</v>
      </c>
      <c r="E24" s="110" t="s">
        <v>143</v>
      </c>
      <c r="F24" s="110" t="s">
        <v>113</v>
      </c>
      <c r="G24" s="110" t="s">
        <v>114</v>
      </c>
      <c r="H24" s="111">
        <v>51</v>
      </c>
      <c r="I24" s="111">
        <v>51</v>
      </c>
      <c r="J24" s="111">
        <v>48</v>
      </c>
      <c r="K24" s="111">
        <f t="shared" si="0"/>
        <v>50</v>
      </c>
      <c r="L24" s="111">
        <v>50000</v>
      </c>
      <c r="M24" s="111">
        <f t="shared" si="1"/>
        <v>22500</v>
      </c>
      <c r="N24" s="111">
        <f t="shared" si="2"/>
        <v>22500</v>
      </c>
      <c r="O24" s="111">
        <f t="shared" si="3"/>
        <v>4500</v>
      </c>
      <c r="P24" s="111">
        <f t="shared" si="4"/>
        <v>5000</v>
      </c>
      <c r="Q24" s="111">
        <v>10000</v>
      </c>
      <c r="R24" s="111">
        <v>1</v>
      </c>
      <c r="S24" s="111">
        <f t="shared" si="5"/>
        <v>1000</v>
      </c>
      <c r="T24" s="111">
        <f t="shared" si="6"/>
        <v>60000</v>
      </c>
      <c r="U24" s="111">
        <f t="shared" si="7"/>
        <v>600</v>
      </c>
      <c r="V24" s="111">
        <f t="shared" si="8"/>
        <v>60600</v>
      </c>
      <c r="W24" t="s">
        <v>2483</v>
      </c>
    </row>
    <row r="25" spans="1:23" x14ac:dyDescent="0.3">
      <c r="A25" s="110">
        <v>102004</v>
      </c>
      <c r="B25" s="110" t="s">
        <v>111</v>
      </c>
      <c r="C25" s="110" t="s">
        <v>141</v>
      </c>
      <c r="D25" s="110" t="s">
        <v>141</v>
      </c>
      <c r="E25" s="110" t="s">
        <v>144</v>
      </c>
      <c r="F25" s="110" t="s">
        <v>117</v>
      </c>
      <c r="G25" s="110" t="s">
        <v>114</v>
      </c>
      <c r="H25" s="111">
        <v>193</v>
      </c>
      <c r="I25" s="111">
        <v>171</v>
      </c>
      <c r="J25" s="111">
        <v>159</v>
      </c>
      <c r="K25" s="111">
        <f t="shared" si="0"/>
        <v>174.33333333333334</v>
      </c>
      <c r="L25" s="111">
        <f>150000*0.7</f>
        <v>105000</v>
      </c>
      <c r="M25" s="111">
        <f t="shared" si="1"/>
        <v>47250</v>
      </c>
      <c r="N25" s="111">
        <f t="shared" si="2"/>
        <v>47250</v>
      </c>
      <c r="O25" s="111">
        <f t="shared" si="3"/>
        <v>9450</v>
      </c>
      <c r="P25" s="111">
        <f t="shared" si="4"/>
        <v>10500</v>
      </c>
      <c r="Q25" s="111">
        <v>30000</v>
      </c>
      <c r="R25" s="111">
        <v>3</v>
      </c>
      <c r="S25" s="111">
        <f t="shared" si="5"/>
        <v>3000</v>
      </c>
      <c r="T25" s="111">
        <f t="shared" si="6"/>
        <v>135000</v>
      </c>
      <c r="U25" s="111">
        <f t="shared" si="7"/>
        <v>1350</v>
      </c>
      <c r="V25" s="111">
        <f t="shared" si="8"/>
        <v>136350</v>
      </c>
      <c r="W25" t="s">
        <v>2484</v>
      </c>
    </row>
    <row r="26" spans="1:23" x14ac:dyDescent="0.3">
      <c r="A26" s="110">
        <v>102007</v>
      </c>
      <c r="B26" s="110" t="s">
        <v>111</v>
      </c>
      <c r="C26" s="110" t="s">
        <v>145</v>
      </c>
      <c r="D26" s="110" t="s">
        <v>145</v>
      </c>
      <c r="E26" s="110" t="s">
        <v>146</v>
      </c>
      <c r="F26" s="110" t="s">
        <v>117</v>
      </c>
      <c r="G26" s="110" t="s">
        <v>125</v>
      </c>
      <c r="H26" s="111">
        <v>117</v>
      </c>
      <c r="I26" s="111">
        <v>118</v>
      </c>
      <c r="J26" s="111">
        <v>136</v>
      </c>
      <c r="K26" s="111">
        <f t="shared" si="0"/>
        <v>123.66666666666667</v>
      </c>
      <c r="L26" s="111">
        <v>150000</v>
      </c>
      <c r="M26" s="111">
        <f t="shared" si="1"/>
        <v>67500</v>
      </c>
      <c r="N26" s="111">
        <f t="shared" si="2"/>
        <v>67500</v>
      </c>
      <c r="O26" s="111">
        <f t="shared" si="3"/>
        <v>13500</v>
      </c>
      <c r="P26" s="111">
        <f t="shared" si="4"/>
        <v>15000</v>
      </c>
      <c r="Q26" s="111">
        <v>30000</v>
      </c>
      <c r="R26" s="111">
        <v>3</v>
      </c>
      <c r="S26" s="111">
        <f t="shared" si="5"/>
        <v>3000</v>
      </c>
      <c r="T26" s="111">
        <f t="shared" si="6"/>
        <v>180000</v>
      </c>
      <c r="U26" s="111">
        <f t="shared" si="7"/>
        <v>1800</v>
      </c>
      <c r="V26" s="111">
        <f t="shared" si="8"/>
        <v>181800</v>
      </c>
      <c r="W26" t="s">
        <v>2485</v>
      </c>
    </row>
    <row r="27" spans="1:23" x14ac:dyDescent="0.3">
      <c r="A27" s="110">
        <v>102009</v>
      </c>
      <c r="B27" s="110" t="s">
        <v>111</v>
      </c>
      <c r="C27" s="110" t="s">
        <v>147</v>
      </c>
      <c r="D27" s="110" t="s">
        <v>147</v>
      </c>
      <c r="E27" s="110" t="s">
        <v>148</v>
      </c>
      <c r="F27" s="110" t="s">
        <v>117</v>
      </c>
      <c r="G27" s="110" t="s">
        <v>125</v>
      </c>
      <c r="H27" s="111">
        <v>273</v>
      </c>
      <c r="I27" s="111">
        <v>283</v>
      </c>
      <c r="J27" s="111">
        <v>270</v>
      </c>
      <c r="K27" s="111">
        <f t="shared" si="0"/>
        <v>275.33333333333331</v>
      </c>
      <c r="L27" s="111">
        <v>200000</v>
      </c>
      <c r="M27" s="111">
        <f t="shared" si="1"/>
        <v>90000</v>
      </c>
      <c r="N27" s="111">
        <f t="shared" si="2"/>
        <v>90000</v>
      </c>
      <c r="O27" s="111">
        <f t="shared" si="3"/>
        <v>18000</v>
      </c>
      <c r="P27" s="111">
        <f t="shared" si="4"/>
        <v>20000</v>
      </c>
      <c r="Q27" s="111">
        <v>50000</v>
      </c>
      <c r="R27" s="111">
        <v>5</v>
      </c>
      <c r="S27" s="111">
        <f t="shared" si="5"/>
        <v>5000</v>
      </c>
      <c r="T27" s="111">
        <f t="shared" si="6"/>
        <v>250000</v>
      </c>
      <c r="U27" s="111">
        <f t="shared" si="7"/>
        <v>2500</v>
      </c>
      <c r="V27" s="111">
        <f t="shared" si="8"/>
        <v>252500</v>
      </c>
      <c r="W27" t="s">
        <v>2486</v>
      </c>
    </row>
    <row r="28" spans="1:23" x14ac:dyDescent="0.3">
      <c r="A28" s="110">
        <v>102010</v>
      </c>
      <c r="B28" s="110" t="s">
        <v>111</v>
      </c>
      <c r="C28" s="110" t="s">
        <v>141</v>
      </c>
      <c r="D28" s="110" t="s">
        <v>141</v>
      </c>
      <c r="E28" s="110" t="s">
        <v>149</v>
      </c>
      <c r="F28" s="110" t="s">
        <v>117</v>
      </c>
      <c r="G28" s="110" t="s">
        <v>114</v>
      </c>
      <c r="H28" s="111">
        <v>79</v>
      </c>
      <c r="I28" s="111">
        <v>99</v>
      </c>
      <c r="J28" s="111">
        <v>98</v>
      </c>
      <c r="K28" s="111">
        <f t="shared" si="0"/>
        <v>92</v>
      </c>
      <c r="L28" s="111">
        <v>150000</v>
      </c>
      <c r="M28" s="111">
        <f t="shared" si="1"/>
        <v>67500</v>
      </c>
      <c r="N28" s="111">
        <f t="shared" si="2"/>
        <v>67500</v>
      </c>
      <c r="O28" s="111">
        <f t="shared" si="3"/>
        <v>13500</v>
      </c>
      <c r="P28" s="111">
        <f t="shared" si="4"/>
        <v>15000</v>
      </c>
      <c r="Q28" s="111">
        <v>30000</v>
      </c>
      <c r="R28" s="111">
        <v>3</v>
      </c>
      <c r="S28" s="111">
        <f t="shared" si="5"/>
        <v>3000</v>
      </c>
      <c r="T28" s="111">
        <f t="shared" si="6"/>
        <v>180000</v>
      </c>
      <c r="U28" s="111">
        <f t="shared" si="7"/>
        <v>1800</v>
      </c>
      <c r="V28" s="111">
        <f t="shared" si="8"/>
        <v>181800</v>
      </c>
      <c r="W28" t="s">
        <v>2487</v>
      </c>
    </row>
    <row r="29" spans="1:23" x14ac:dyDescent="0.3">
      <c r="A29" s="110">
        <v>102011</v>
      </c>
      <c r="B29" s="110" t="s">
        <v>111</v>
      </c>
      <c r="C29" s="110" t="s">
        <v>150</v>
      </c>
      <c r="D29" s="110" t="s">
        <v>150</v>
      </c>
      <c r="E29" s="110" t="s">
        <v>151</v>
      </c>
      <c r="F29" s="110" t="s">
        <v>117</v>
      </c>
      <c r="G29" s="110" t="s">
        <v>125</v>
      </c>
      <c r="H29" s="111">
        <v>165</v>
      </c>
      <c r="I29" s="111">
        <v>171</v>
      </c>
      <c r="J29" s="111">
        <v>180</v>
      </c>
      <c r="K29" s="111">
        <f t="shared" si="0"/>
        <v>172</v>
      </c>
      <c r="L29" s="111">
        <v>150000</v>
      </c>
      <c r="M29" s="111">
        <f t="shared" si="1"/>
        <v>67500</v>
      </c>
      <c r="N29" s="111">
        <f t="shared" si="2"/>
        <v>67500</v>
      </c>
      <c r="O29" s="111">
        <f t="shared" si="3"/>
        <v>13500</v>
      </c>
      <c r="P29" s="111">
        <f t="shared" si="4"/>
        <v>15000</v>
      </c>
      <c r="Q29" s="111">
        <v>30000</v>
      </c>
      <c r="R29" s="111">
        <v>3</v>
      </c>
      <c r="S29" s="111">
        <f t="shared" si="5"/>
        <v>3000</v>
      </c>
      <c r="T29" s="111">
        <f t="shared" si="6"/>
        <v>180000</v>
      </c>
      <c r="U29" s="111">
        <f t="shared" si="7"/>
        <v>1800</v>
      </c>
      <c r="V29" s="111">
        <f t="shared" si="8"/>
        <v>181800</v>
      </c>
      <c r="W29" t="s">
        <v>2488</v>
      </c>
    </row>
    <row r="30" spans="1:23" x14ac:dyDescent="0.3">
      <c r="A30" s="110">
        <v>102012</v>
      </c>
      <c r="B30" s="110" t="s">
        <v>111</v>
      </c>
      <c r="C30" s="110" t="s">
        <v>152</v>
      </c>
      <c r="D30" s="110" t="s">
        <v>152</v>
      </c>
      <c r="E30" s="110" t="s">
        <v>153</v>
      </c>
      <c r="F30" s="110" t="s">
        <v>117</v>
      </c>
      <c r="G30" s="110" t="s">
        <v>125</v>
      </c>
      <c r="H30" s="111">
        <v>224</v>
      </c>
      <c r="I30" s="111">
        <v>202</v>
      </c>
      <c r="J30" s="111">
        <v>203</v>
      </c>
      <c r="K30" s="111">
        <f t="shared" si="0"/>
        <v>209.66666666666666</v>
      </c>
      <c r="L30" s="111">
        <v>200000</v>
      </c>
      <c r="M30" s="111">
        <f t="shared" si="1"/>
        <v>90000</v>
      </c>
      <c r="N30" s="111">
        <f t="shared" si="2"/>
        <v>90000</v>
      </c>
      <c r="O30" s="111">
        <f t="shared" si="3"/>
        <v>18000</v>
      </c>
      <c r="P30" s="111">
        <f t="shared" si="4"/>
        <v>20000</v>
      </c>
      <c r="Q30" s="111">
        <v>50000</v>
      </c>
      <c r="R30" s="111">
        <v>5</v>
      </c>
      <c r="S30" s="111">
        <f t="shared" si="5"/>
        <v>5000</v>
      </c>
      <c r="T30" s="111">
        <f t="shared" si="6"/>
        <v>250000</v>
      </c>
      <c r="U30" s="111">
        <f t="shared" si="7"/>
        <v>2500</v>
      </c>
      <c r="V30" s="111">
        <f t="shared" si="8"/>
        <v>252500</v>
      </c>
      <c r="W30" t="s">
        <v>2489</v>
      </c>
    </row>
    <row r="31" spans="1:23" x14ac:dyDescent="0.3">
      <c r="A31" s="110">
        <v>102013</v>
      </c>
      <c r="B31" s="110" t="s">
        <v>111</v>
      </c>
      <c r="C31" s="110" t="s">
        <v>145</v>
      </c>
      <c r="D31" s="110" t="s">
        <v>145</v>
      </c>
      <c r="E31" s="110" t="s">
        <v>154</v>
      </c>
      <c r="F31" s="110" t="s">
        <v>117</v>
      </c>
      <c r="G31" s="110" t="s">
        <v>114</v>
      </c>
      <c r="H31" s="111">
        <v>731</v>
      </c>
      <c r="I31" s="111">
        <v>750</v>
      </c>
      <c r="J31" s="111">
        <v>760</v>
      </c>
      <c r="K31" s="111">
        <f t="shared" si="0"/>
        <v>747</v>
      </c>
      <c r="L31" s="111">
        <f>300000*0.7</f>
        <v>210000</v>
      </c>
      <c r="M31" s="111">
        <f t="shared" si="1"/>
        <v>94500</v>
      </c>
      <c r="N31" s="111">
        <f t="shared" si="2"/>
        <v>94500</v>
      </c>
      <c r="O31" s="111">
        <f t="shared" si="3"/>
        <v>18900</v>
      </c>
      <c r="P31" s="111">
        <f t="shared" si="4"/>
        <v>21000</v>
      </c>
      <c r="Q31" s="111">
        <v>60000</v>
      </c>
      <c r="R31" s="111">
        <v>6</v>
      </c>
      <c r="S31" s="111">
        <f t="shared" si="5"/>
        <v>6000</v>
      </c>
      <c r="T31" s="111">
        <f t="shared" si="6"/>
        <v>270000</v>
      </c>
      <c r="U31" s="111">
        <f t="shared" si="7"/>
        <v>2700</v>
      </c>
      <c r="V31" s="111">
        <f t="shared" si="8"/>
        <v>272700</v>
      </c>
      <c r="W31" t="s">
        <v>2490</v>
      </c>
    </row>
    <row r="32" spans="1:23" x14ac:dyDescent="0.3">
      <c r="A32" s="110">
        <v>102014</v>
      </c>
      <c r="B32" s="110" t="s">
        <v>111</v>
      </c>
      <c r="C32" s="110" t="s">
        <v>147</v>
      </c>
      <c r="D32" s="110" t="s">
        <v>147</v>
      </c>
      <c r="E32" s="110" t="s">
        <v>155</v>
      </c>
      <c r="F32" s="110" t="s">
        <v>117</v>
      </c>
      <c r="G32" s="110" t="s">
        <v>125</v>
      </c>
      <c r="H32" s="111">
        <v>527</v>
      </c>
      <c r="I32" s="111">
        <v>530</v>
      </c>
      <c r="J32" s="111">
        <v>504</v>
      </c>
      <c r="K32" s="111">
        <f t="shared" si="0"/>
        <v>520.33333333333337</v>
      </c>
      <c r="L32" s="111">
        <f>300000</f>
        <v>300000</v>
      </c>
      <c r="M32" s="111">
        <f t="shared" si="1"/>
        <v>135000</v>
      </c>
      <c r="N32" s="111">
        <f t="shared" si="2"/>
        <v>135000</v>
      </c>
      <c r="O32" s="111">
        <f t="shared" si="3"/>
        <v>27000</v>
      </c>
      <c r="P32" s="111">
        <f t="shared" si="4"/>
        <v>30000</v>
      </c>
      <c r="Q32" s="111">
        <v>60000</v>
      </c>
      <c r="R32" s="111">
        <v>6</v>
      </c>
      <c r="S32" s="111">
        <f t="shared" si="5"/>
        <v>6000</v>
      </c>
      <c r="T32" s="111">
        <f t="shared" si="6"/>
        <v>360000</v>
      </c>
      <c r="U32" s="111">
        <f t="shared" si="7"/>
        <v>3600</v>
      </c>
      <c r="V32" s="111">
        <f t="shared" si="8"/>
        <v>363600</v>
      </c>
      <c r="W32" t="s">
        <v>2491</v>
      </c>
    </row>
    <row r="33" spans="1:23" x14ac:dyDescent="0.3">
      <c r="A33" s="110">
        <v>102015</v>
      </c>
      <c r="B33" s="110" t="s">
        <v>111</v>
      </c>
      <c r="C33" s="110" t="s">
        <v>141</v>
      </c>
      <c r="D33" s="110" t="s">
        <v>141</v>
      </c>
      <c r="E33" s="110" t="s">
        <v>156</v>
      </c>
      <c r="F33" s="110" t="s">
        <v>117</v>
      </c>
      <c r="G33" s="110" t="s">
        <v>125</v>
      </c>
      <c r="H33" s="111">
        <v>217</v>
      </c>
      <c r="I33" s="111">
        <v>223</v>
      </c>
      <c r="J33" s="111">
        <v>249</v>
      </c>
      <c r="K33" s="111">
        <f t="shared" si="0"/>
        <v>229.66666666666666</v>
      </c>
      <c r="L33" s="111">
        <v>200000</v>
      </c>
      <c r="M33" s="111">
        <f t="shared" si="1"/>
        <v>90000</v>
      </c>
      <c r="N33" s="111">
        <f t="shared" si="2"/>
        <v>90000</v>
      </c>
      <c r="O33" s="111">
        <f t="shared" si="3"/>
        <v>18000</v>
      </c>
      <c r="P33" s="111">
        <f t="shared" si="4"/>
        <v>20000</v>
      </c>
      <c r="Q33" s="111">
        <v>50000</v>
      </c>
      <c r="R33" s="111">
        <v>5</v>
      </c>
      <c r="S33" s="111">
        <f t="shared" si="5"/>
        <v>5000</v>
      </c>
      <c r="T33" s="111">
        <f t="shared" si="6"/>
        <v>250000</v>
      </c>
      <c r="U33" s="111">
        <f t="shared" si="7"/>
        <v>2500</v>
      </c>
      <c r="V33" s="111">
        <f t="shared" si="8"/>
        <v>252500</v>
      </c>
      <c r="W33" t="s">
        <v>2492</v>
      </c>
    </row>
    <row r="34" spans="1:23" x14ac:dyDescent="0.3">
      <c r="A34" s="110">
        <v>102016</v>
      </c>
      <c r="B34" s="110" t="s">
        <v>111</v>
      </c>
      <c r="C34" s="110" t="s">
        <v>138</v>
      </c>
      <c r="D34" s="110" t="s">
        <v>138</v>
      </c>
      <c r="E34" s="110" t="s">
        <v>157</v>
      </c>
      <c r="F34" s="110" t="s">
        <v>117</v>
      </c>
      <c r="G34" s="110" t="s">
        <v>114</v>
      </c>
      <c r="H34" s="111">
        <v>440</v>
      </c>
      <c r="I34" s="111">
        <v>442</v>
      </c>
      <c r="J34" s="111">
        <v>490</v>
      </c>
      <c r="K34" s="111">
        <f t="shared" si="0"/>
        <v>457.33333333333331</v>
      </c>
      <c r="L34" s="111">
        <f>300000*0.7</f>
        <v>210000</v>
      </c>
      <c r="M34" s="111">
        <f t="shared" si="1"/>
        <v>94500</v>
      </c>
      <c r="N34" s="111">
        <f t="shared" si="2"/>
        <v>94500</v>
      </c>
      <c r="O34" s="111">
        <f t="shared" si="3"/>
        <v>18900</v>
      </c>
      <c r="P34" s="111">
        <f t="shared" si="4"/>
        <v>21000</v>
      </c>
      <c r="Q34" s="111">
        <v>60000</v>
      </c>
      <c r="R34" s="111">
        <v>6</v>
      </c>
      <c r="S34" s="111">
        <f t="shared" si="5"/>
        <v>6000</v>
      </c>
      <c r="T34" s="111">
        <f t="shared" si="6"/>
        <v>270000</v>
      </c>
      <c r="U34" s="111">
        <f t="shared" si="7"/>
        <v>2700</v>
      </c>
      <c r="V34" s="111">
        <f t="shared" si="8"/>
        <v>272700</v>
      </c>
      <c r="W34" t="s">
        <v>2493</v>
      </c>
    </row>
    <row r="35" spans="1:23" x14ac:dyDescent="0.3">
      <c r="A35" s="110">
        <v>102017</v>
      </c>
      <c r="B35" s="110" t="s">
        <v>111</v>
      </c>
      <c r="C35" s="110" t="s">
        <v>152</v>
      </c>
      <c r="D35" s="110" t="s">
        <v>152</v>
      </c>
      <c r="E35" s="110" t="s">
        <v>158</v>
      </c>
      <c r="F35" s="110" t="s">
        <v>117</v>
      </c>
      <c r="G35" s="110" t="s">
        <v>114</v>
      </c>
      <c r="H35" s="111">
        <v>241</v>
      </c>
      <c r="I35" s="111">
        <v>258</v>
      </c>
      <c r="J35" s="111">
        <v>304</v>
      </c>
      <c r="K35" s="111">
        <f t="shared" si="0"/>
        <v>267.66666666666669</v>
      </c>
      <c r="L35" s="111">
        <v>200000</v>
      </c>
      <c r="M35" s="111">
        <f t="shared" si="1"/>
        <v>90000</v>
      </c>
      <c r="N35" s="111">
        <f t="shared" si="2"/>
        <v>90000</v>
      </c>
      <c r="O35" s="111">
        <f t="shared" si="3"/>
        <v>18000</v>
      </c>
      <c r="P35" s="111">
        <f t="shared" si="4"/>
        <v>20000</v>
      </c>
      <c r="Q35" s="111">
        <v>50000</v>
      </c>
      <c r="R35" s="111">
        <v>5</v>
      </c>
      <c r="S35" s="111">
        <f t="shared" si="5"/>
        <v>5000</v>
      </c>
      <c r="T35" s="111">
        <f t="shared" si="6"/>
        <v>250000</v>
      </c>
      <c r="U35" s="111">
        <f t="shared" si="7"/>
        <v>2500</v>
      </c>
      <c r="V35" s="111">
        <f t="shared" si="8"/>
        <v>252500</v>
      </c>
      <c r="W35" t="s">
        <v>2494</v>
      </c>
    </row>
    <row r="36" spans="1:23" x14ac:dyDescent="0.3">
      <c r="A36" s="110">
        <v>102060</v>
      </c>
      <c r="B36" s="110" t="s">
        <v>111</v>
      </c>
      <c r="C36" s="110" t="s">
        <v>111</v>
      </c>
      <c r="D36" s="110" t="s">
        <v>111</v>
      </c>
      <c r="E36" s="110" t="s">
        <v>159</v>
      </c>
      <c r="F36" s="110" t="s">
        <v>119</v>
      </c>
      <c r="G36" s="110" t="s">
        <v>114</v>
      </c>
      <c r="H36" s="111">
        <v>436</v>
      </c>
      <c r="I36" s="111">
        <v>463</v>
      </c>
      <c r="J36" s="111">
        <v>490</v>
      </c>
      <c r="K36" s="111">
        <f t="shared" si="0"/>
        <v>463</v>
      </c>
      <c r="L36" s="111">
        <f>300000</f>
        <v>300000</v>
      </c>
      <c r="M36" s="111">
        <f t="shared" si="1"/>
        <v>135000</v>
      </c>
      <c r="N36" s="111">
        <f t="shared" si="2"/>
        <v>135000</v>
      </c>
      <c r="O36" s="111">
        <f t="shared" si="3"/>
        <v>27000</v>
      </c>
      <c r="P36" s="111">
        <f t="shared" si="4"/>
        <v>30000</v>
      </c>
      <c r="Q36" s="111">
        <v>60000</v>
      </c>
      <c r="R36" s="111">
        <v>6</v>
      </c>
      <c r="S36" s="111">
        <f t="shared" si="5"/>
        <v>6000</v>
      </c>
      <c r="T36" s="111">
        <f t="shared" si="6"/>
        <v>360000</v>
      </c>
      <c r="U36" s="111">
        <f t="shared" si="7"/>
        <v>3600</v>
      </c>
      <c r="V36" s="111">
        <f t="shared" si="8"/>
        <v>363600</v>
      </c>
      <c r="W36" t="s">
        <v>2495</v>
      </c>
    </row>
    <row r="37" spans="1:23" x14ac:dyDescent="0.3">
      <c r="A37" s="110">
        <v>102113</v>
      </c>
      <c r="B37" s="110" t="s">
        <v>111</v>
      </c>
      <c r="C37" s="110" t="s">
        <v>152</v>
      </c>
      <c r="D37" s="110" t="s">
        <v>152</v>
      </c>
      <c r="E37" s="110" t="s">
        <v>160</v>
      </c>
      <c r="F37" s="110" t="s">
        <v>117</v>
      </c>
      <c r="G37" s="110" t="s">
        <v>125</v>
      </c>
      <c r="H37" s="111">
        <v>303</v>
      </c>
      <c r="I37" s="111">
        <v>314</v>
      </c>
      <c r="J37" s="111">
        <v>307</v>
      </c>
      <c r="K37" s="111">
        <f t="shared" si="0"/>
        <v>308</v>
      </c>
      <c r="L37" s="111">
        <v>200000</v>
      </c>
      <c r="M37" s="111">
        <f t="shared" si="1"/>
        <v>90000</v>
      </c>
      <c r="N37" s="111">
        <f t="shared" si="2"/>
        <v>90000</v>
      </c>
      <c r="O37" s="111">
        <f t="shared" si="3"/>
        <v>18000</v>
      </c>
      <c r="P37" s="111">
        <f t="shared" si="4"/>
        <v>20000</v>
      </c>
      <c r="Q37" s="111">
        <v>50000</v>
      </c>
      <c r="R37" s="111">
        <v>5</v>
      </c>
      <c r="S37" s="111">
        <f t="shared" si="5"/>
        <v>5000</v>
      </c>
      <c r="T37" s="111">
        <f t="shared" si="6"/>
        <v>250000</v>
      </c>
      <c r="U37" s="111">
        <f t="shared" si="7"/>
        <v>2500</v>
      </c>
      <c r="V37" s="111">
        <f t="shared" si="8"/>
        <v>252500</v>
      </c>
      <c r="W37" t="s">
        <v>2496</v>
      </c>
    </row>
    <row r="38" spans="1:23" x14ac:dyDescent="0.3">
      <c r="A38" s="110">
        <v>102606</v>
      </c>
      <c r="B38" s="110" t="s">
        <v>111</v>
      </c>
      <c r="C38" s="110" t="s">
        <v>145</v>
      </c>
      <c r="D38" s="110" t="s">
        <v>145</v>
      </c>
      <c r="E38" s="110" t="s">
        <v>161</v>
      </c>
      <c r="F38" s="110" t="s">
        <v>113</v>
      </c>
      <c r="G38" s="110" t="s">
        <v>114</v>
      </c>
      <c r="H38" s="111">
        <v>575</v>
      </c>
      <c r="I38" s="111">
        <v>596</v>
      </c>
      <c r="J38" s="111">
        <v>625</v>
      </c>
      <c r="K38" s="111">
        <f t="shared" si="0"/>
        <v>598.66666666666663</v>
      </c>
      <c r="L38" s="111">
        <f>300000</f>
        <v>300000</v>
      </c>
      <c r="M38" s="111">
        <f t="shared" si="1"/>
        <v>135000</v>
      </c>
      <c r="N38" s="111">
        <f t="shared" si="2"/>
        <v>135000</v>
      </c>
      <c r="O38" s="111">
        <f t="shared" si="3"/>
        <v>27000</v>
      </c>
      <c r="P38" s="111">
        <f t="shared" si="4"/>
        <v>30000</v>
      </c>
      <c r="Q38" s="111">
        <v>60000</v>
      </c>
      <c r="R38" s="111">
        <v>6</v>
      </c>
      <c r="S38" s="111">
        <f t="shared" si="5"/>
        <v>6000</v>
      </c>
      <c r="T38" s="111">
        <f t="shared" si="6"/>
        <v>360000</v>
      </c>
      <c r="U38" s="111">
        <f t="shared" si="7"/>
        <v>3600</v>
      </c>
      <c r="V38" s="111">
        <f t="shared" si="8"/>
        <v>363600</v>
      </c>
      <c r="W38" t="s">
        <v>2497</v>
      </c>
    </row>
    <row r="39" spans="1:23" x14ac:dyDescent="0.3">
      <c r="A39" s="110">
        <v>103002</v>
      </c>
      <c r="B39" s="110" t="s">
        <v>111</v>
      </c>
      <c r="C39" s="110" t="s">
        <v>129</v>
      </c>
      <c r="D39" s="110" t="s">
        <v>162</v>
      </c>
      <c r="E39" s="110" t="s">
        <v>163</v>
      </c>
      <c r="F39" s="110" t="s">
        <v>119</v>
      </c>
      <c r="G39" s="110" t="s">
        <v>114</v>
      </c>
      <c r="H39" s="111">
        <v>552</v>
      </c>
      <c r="I39" s="111">
        <v>550</v>
      </c>
      <c r="J39" s="111">
        <v>574</v>
      </c>
      <c r="K39" s="111">
        <f t="shared" si="0"/>
        <v>558.66666666666663</v>
      </c>
      <c r="L39" s="111">
        <f>300000</f>
        <v>300000</v>
      </c>
      <c r="M39" s="111">
        <f t="shared" si="1"/>
        <v>135000</v>
      </c>
      <c r="N39" s="111">
        <f t="shared" si="2"/>
        <v>135000</v>
      </c>
      <c r="O39" s="111">
        <f t="shared" si="3"/>
        <v>27000</v>
      </c>
      <c r="P39" s="111">
        <f t="shared" si="4"/>
        <v>30000</v>
      </c>
      <c r="Q39" s="111">
        <v>60000</v>
      </c>
      <c r="R39" s="111">
        <v>6</v>
      </c>
      <c r="S39" s="111">
        <f t="shared" si="5"/>
        <v>6000</v>
      </c>
      <c r="T39" s="111">
        <f t="shared" si="6"/>
        <v>360000</v>
      </c>
      <c r="U39" s="111">
        <f t="shared" si="7"/>
        <v>3600</v>
      </c>
      <c r="V39" s="111">
        <f t="shared" si="8"/>
        <v>363600</v>
      </c>
      <c r="W39" t="s">
        <v>2498</v>
      </c>
    </row>
    <row r="40" spans="1:23" x14ac:dyDescent="0.3">
      <c r="A40" s="110">
        <v>103004</v>
      </c>
      <c r="B40" s="110" t="s">
        <v>111</v>
      </c>
      <c r="C40" s="110" t="s">
        <v>129</v>
      </c>
      <c r="D40" s="110" t="s">
        <v>164</v>
      </c>
      <c r="E40" s="110" t="s">
        <v>165</v>
      </c>
      <c r="F40" s="110" t="s">
        <v>113</v>
      </c>
      <c r="G40" s="110" t="s">
        <v>114</v>
      </c>
      <c r="H40" s="111">
        <v>127</v>
      </c>
      <c r="I40" s="111">
        <v>135</v>
      </c>
      <c r="J40" s="111">
        <v>126</v>
      </c>
      <c r="K40" s="111">
        <f t="shared" si="0"/>
        <v>129.33333333333334</v>
      </c>
      <c r="L40" s="111">
        <v>150000</v>
      </c>
      <c r="M40" s="111">
        <f t="shared" si="1"/>
        <v>67500</v>
      </c>
      <c r="N40" s="111">
        <f t="shared" si="2"/>
        <v>67500</v>
      </c>
      <c r="O40" s="111">
        <f t="shared" si="3"/>
        <v>13500</v>
      </c>
      <c r="P40" s="111">
        <f t="shared" si="4"/>
        <v>15000</v>
      </c>
      <c r="Q40" s="111">
        <v>30000</v>
      </c>
      <c r="R40" s="111">
        <v>3</v>
      </c>
      <c r="S40" s="111">
        <f t="shared" si="5"/>
        <v>3000</v>
      </c>
      <c r="T40" s="111">
        <f t="shared" si="6"/>
        <v>180000</v>
      </c>
      <c r="U40" s="111">
        <f t="shared" si="7"/>
        <v>1800</v>
      </c>
      <c r="V40" s="111">
        <f t="shared" si="8"/>
        <v>181800</v>
      </c>
      <c r="W40" t="s">
        <v>2499</v>
      </c>
    </row>
    <row r="41" spans="1:23" x14ac:dyDescent="0.3">
      <c r="A41" s="110">
        <v>103005</v>
      </c>
      <c r="B41" s="110" t="s">
        <v>111</v>
      </c>
      <c r="C41" s="110" t="s">
        <v>129</v>
      </c>
      <c r="D41" s="110" t="s">
        <v>166</v>
      </c>
      <c r="E41" s="110" t="s">
        <v>167</v>
      </c>
      <c r="F41" s="110" t="s">
        <v>168</v>
      </c>
      <c r="G41" s="110" t="s">
        <v>114</v>
      </c>
      <c r="H41" s="111">
        <v>215</v>
      </c>
      <c r="I41" s="111">
        <v>219</v>
      </c>
      <c r="J41" s="111">
        <v>219</v>
      </c>
      <c r="K41" s="111">
        <f t="shared" si="0"/>
        <v>217.66666666666666</v>
      </c>
      <c r="L41" s="111">
        <v>200000</v>
      </c>
      <c r="M41" s="111">
        <f t="shared" si="1"/>
        <v>90000</v>
      </c>
      <c r="N41" s="111">
        <f t="shared" si="2"/>
        <v>90000</v>
      </c>
      <c r="O41" s="111">
        <f t="shared" si="3"/>
        <v>18000</v>
      </c>
      <c r="P41" s="111">
        <f t="shared" si="4"/>
        <v>20000</v>
      </c>
      <c r="Q41" s="111">
        <v>50000</v>
      </c>
      <c r="R41" s="111">
        <v>5</v>
      </c>
      <c r="S41" s="111">
        <f t="shared" si="5"/>
        <v>5000</v>
      </c>
      <c r="T41" s="111">
        <f t="shared" si="6"/>
        <v>250000</v>
      </c>
      <c r="U41" s="111">
        <f t="shared" si="7"/>
        <v>2500</v>
      </c>
      <c r="V41" s="111">
        <f t="shared" si="8"/>
        <v>252500</v>
      </c>
      <c r="W41" t="s">
        <v>2500</v>
      </c>
    </row>
    <row r="42" spans="1:23" x14ac:dyDescent="0.3">
      <c r="A42" s="110">
        <v>103006</v>
      </c>
      <c r="B42" s="110" t="s">
        <v>111</v>
      </c>
      <c r="C42" s="110" t="s">
        <v>129</v>
      </c>
      <c r="D42" s="110" t="s">
        <v>169</v>
      </c>
      <c r="E42" s="110" t="s">
        <v>170</v>
      </c>
      <c r="F42" s="110" t="s">
        <v>113</v>
      </c>
      <c r="G42" s="110" t="s">
        <v>114</v>
      </c>
      <c r="H42" s="111">
        <v>100</v>
      </c>
      <c r="I42" s="111">
        <v>91</v>
      </c>
      <c r="J42" s="111">
        <v>83</v>
      </c>
      <c r="K42" s="111">
        <f t="shared" si="0"/>
        <v>91.333333333333329</v>
      </c>
      <c r="L42" s="111">
        <v>150000</v>
      </c>
      <c r="M42" s="111">
        <f t="shared" si="1"/>
        <v>67500</v>
      </c>
      <c r="N42" s="111">
        <f t="shared" si="2"/>
        <v>67500</v>
      </c>
      <c r="O42" s="111">
        <f t="shared" si="3"/>
        <v>13500</v>
      </c>
      <c r="P42" s="111">
        <f t="shared" si="4"/>
        <v>15000</v>
      </c>
      <c r="Q42" s="111">
        <v>30000</v>
      </c>
      <c r="R42" s="111">
        <v>3</v>
      </c>
      <c r="S42" s="111">
        <f t="shared" si="5"/>
        <v>3000</v>
      </c>
      <c r="T42" s="111">
        <f t="shared" si="6"/>
        <v>180000</v>
      </c>
      <c r="U42" s="111">
        <f t="shared" si="7"/>
        <v>1800</v>
      </c>
      <c r="V42" s="111">
        <f t="shared" si="8"/>
        <v>181800</v>
      </c>
      <c r="W42" t="s">
        <v>2501</v>
      </c>
    </row>
    <row r="43" spans="1:23" x14ac:dyDescent="0.3">
      <c r="A43" s="110">
        <v>103008</v>
      </c>
      <c r="B43" s="110" t="s">
        <v>111</v>
      </c>
      <c r="C43" s="110" t="s">
        <v>129</v>
      </c>
      <c r="D43" s="110" t="s">
        <v>171</v>
      </c>
      <c r="E43" s="110" t="s">
        <v>172</v>
      </c>
      <c r="F43" s="110" t="s">
        <v>168</v>
      </c>
      <c r="G43" s="110" t="s">
        <v>114</v>
      </c>
      <c r="H43" s="111">
        <v>179</v>
      </c>
      <c r="I43" s="111">
        <v>179</v>
      </c>
      <c r="J43" s="111">
        <v>174</v>
      </c>
      <c r="K43" s="111">
        <f t="shared" si="0"/>
        <v>177.33333333333334</v>
      </c>
      <c r="L43" s="111">
        <f>150000*0.7</f>
        <v>105000</v>
      </c>
      <c r="M43" s="111">
        <f t="shared" si="1"/>
        <v>47250</v>
      </c>
      <c r="N43" s="111">
        <f t="shared" si="2"/>
        <v>47250</v>
      </c>
      <c r="O43" s="111">
        <f t="shared" si="3"/>
        <v>9450</v>
      </c>
      <c r="P43" s="111">
        <f t="shared" si="4"/>
        <v>10500</v>
      </c>
      <c r="Q43" s="111">
        <v>30000</v>
      </c>
      <c r="R43" s="111">
        <v>3</v>
      </c>
      <c r="S43" s="111">
        <f t="shared" si="5"/>
        <v>3000</v>
      </c>
      <c r="T43" s="111">
        <f t="shared" si="6"/>
        <v>135000</v>
      </c>
      <c r="U43" s="111">
        <f t="shared" si="7"/>
        <v>1350</v>
      </c>
      <c r="V43" s="111">
        <f t="shared" si="8"/>
        <v>136350</v>
      </c>
      <c r="W43" t="s">
        <v>2502</v>
      </c>
    </row>
    <row r="44" spans="1:23" x14ac:dyDescent="0.3">
      <c r="A44" s="110">
        <v>103009</v>
      </c>
      <c r="B44" s="110" t="s">
        <v>111</v>
      </c>
      <c r="C44" s="110" t="s">
        <v>129</v>
      </c>
      <c r="D44" s="110" t="s">
        <v>173</v>
      </c>
      <c r="E44" s="110" t="s">
        <v>174</v>
      </c>
      <c r="F44" s="110" t="s">
        <v>113</v>
      </c>
      <c r="G44" s="110" t="s">
        <v>114</v>
      </c>
      <c r="H44" s="111">
        <v>60</v>
      </c>
      <c r="I44" s="111">
        <v>60</v>
      </c>
      <c r="J44" s="111">
        <v>62</v>
      </c>
      <c r="K44" s="111">
        <f t="shared" si="0"/>
        <v>60.666666666666664</v>
      </c>
      <c r="L44" s="111">
        <v>150000</v>
      </c>
      <c r="M44" s="111">
        <f t="shared" si="1"/>
        <v>67500</v>
      </c>
      <c r="N44" s="111">
        <f t="shared" si="2"/>
        <v>67500</v>
      </c>
      <c r="O44" s="111">
        <f t="shared" si="3"/>
        <v>13500</v>
      </c>
      <c r="P44" s="111">
        <f t="shared" si="4"/>
        <v>15000</v>
      </c>
      <c r="Q44" s="111">
        <v>30000</v>
      </c>
      <c r="R44" s="111">
        <v>3</v>
      </c>
      <c r="S44" s="111">
        <f t="shared" si="5"/>
        <v>3000</v>
      </c>
      <c r="T44" s="111">
        <f t="shared" si="6"/>
        <v>180000</v>
      </c>
      <c r="U44" s="111">
        <f t="shared" si="7"/>
        <v>1800</v>
      </c>
      <c r="V44" s="111">
        <f t="shared" si="8"/>
        <v>181800</v>
      </c>
      <c r="W44" t="s">
        <v>2503</v>
      </c>
    </row>
    <row r="45" spans="1:23" x14ac:dyDescent="0.3">
      <c r="A45" s="110">
        <v>103019</v>
      </c>
      <c r="B45" s="110" t="s">
        <v>111</v>
      </c>
      <c r="C45" s="110" t="s">
        <v>129</v>
      </c>
      <c r="D45" s="110" t="s">
        <v>175</v>
      </c>
      <c r="E45" s="110" t="s">
        <v>172</v>
      </c>
      <c r="F45" s="110" t="s">
        <v>168</v>
      </c>
      <c r="G45" s="110" t="s">
        <v>114</v>
      </c>
      <c r="H45" s="111">
        <v>150</v>
      </c>
      <c r="I45" s="111">
        <v>153</v>
      </c>
      <c r="J45" s="111">
        <v>160</v>
      </c>
      <c r="K45" s="111">
        <f t="shared" si="0"/>
        <v>154.33333333333334</v>
      </c>
      <c r="L45" s="111">
        <f>150000*0.7</f>
        <v>105000</v>
      </c>
      <c r="M45" s="111">
        <f t="shared" si="1"/>
        <v>47250</v>
      </c>
      <c r="N45" s="111">
        <f t="shared" si="2"/>
        <v>47250</v>
      </c>
      <c r="O45" s="111">
        <f t="shared" si="3"/>
        <v>9450</v>
      </c>
      <c r="P45" s="111">
        <f t="shared" si="4"/>
        <v>10500</v>
      </c>
      <c r="Q45" s="111">
        <v>30000</v>
      </c>
      <c r="R45" s="111">
        <v>3</v>
      </c>
      <c r="S45" s="111">
        <f t="shared" si="5"/>
        <v>3000</v>
      </c>
      <c r="T45" s="111">
        <f t="shared" si="6"/>
        <v>135000</v>
      </c>
      <c r="U45" s="111">
        <f t="shared" si="7"/>
        <v>1350</v>
      </c>
      <c r="V45" s="111">
        <f t="shared" si="8"/>
        <v>136350</v>
      </c>
      <c r="W45" t="s">
        <v>2504</v>
      </c>
    </row>
    <row r="46" spans="1:23" x14ac:dyDescent="0.3">
      <c r="A46" s="110">
        <v>103133</v>
      </c>
      <c r="B46" s="110" t="s">
        <v>111</v>
      </c>
      <c r="C46" s="110" t="s">
        <v>176</v>
      </c>
      <c r="D46" s="110" t="s">
        <v>176</v>
      </c>
      <c r="E46" s="110" t="s">
        <v>177</v>
      </c>
      <c r="F46" s="110" t="s">
        <v>119</v>
      </c>
      <c r="G46" s="110" t="s">
        <v>114</v>
      </c>
      <c r="H46" s="111">
        <v>650</v>
      </c>
      <c r="I46" s="111">
        <v>626</v>
      </c>
      <c r="J46" s="111">
        <v>614</v>
      </c>
      <c r="K46" s="111">
        <f t="shared" si="0"/>
        <v>630</v>
      </c>
      <c r="L46" s="111">
        <f>300000</f>
        <v>300000</v>
      </c>
      <c r="M46" s="111">
        <f t="shared" si="1"/>
        <v>135000</v>
      </c>
      <c r="N46" s="111">
        <f t="shared" si="2"/>
        <v>135000</v>
      </c>
      <c r="O46" s="111">
        <f t="shared" si="3"/>
        <v>27000</v>
      </c>
      <c r="P46" s="111">
        <f t="shared" si="4"/>
        <v>30000</v>
      </c>
      <c r="Q46" s="111">
        <v>60000</v>
      </c>
      <c r="R46" s="111">
        <v>6</v>
      </c>
      <c r="S46" s="111">
        <f t="shared" si="5"/>
        <v>6000</v>
      </c>
      <c r="T46" s="111">
        <f t="shared" si="6"/>
        <v>360000</v>
      </c>
      <c r="U46" s="111">
        <f t="shared" si="7"/>
        <v>3600</v>
      </c>
      <c r="V46" s="111">
        <f t="shared" si="8"/>
        <v>363600</v>
      </c>
      <c r="W46" t="s">
        <v>2505</v>
      </c>
    </row>
    <row r="47" spans="1:23" x14ac:dyDescent="0.3">
      <c r="A47" s="110">
        <v>103310</v>
      </c>
      <c r="B47" s="110" t="s">
        <v>111</v>
      </c>
      <c r="C47" s="110" t="s">
        <v>147</v>
      </c>
      <c r="D47" s="110" t="s">
        <v>147</v>
      </c>
      <c r="E47" s="110" t="s">
        <v>178</v>
      </c>
      <c r="F47" s="110" t="s">
        <v>119</v>
      </c>
      <c r="G47" s="110" t="s">
        <v>114</v>
      </c>
      <c r="H47" s="111">
        <v>914</v>
      </c>
      <c r="I47" s="111">
        <v>909</v>
      </c>
      <c r="J47" s="111">
        <v>900</v>
      </c>
      <c r="K47" s="111">
        <f t="shared" si="0"/>
        <v>907.66666666666663</v>
      </c>
      <c r="L47" s="111">
        <f>300000</f>
        <v>300000</v>
      </c>
      <c r="M47" s="111">
        <f t="shared" si="1"/>
        <v>135000</v>
      </c>
      <c r="N47" s="111">
        <f t="shared" si="2"/>
        <v>135000</v>
      </c>
      <c r="O47" s="111">
        <f t="shared" si="3"/>
        <v>27000</v>
      </c>
      <c r="P47" s="111">
        <f t="shared" si="4"/>
        <v>30000</v>
      </c>
      <c r="Q47" s="111">
        <v>60000</v>
      </c>
      <c r="R47" s="111">
        <v>6</v>
      </c>
      <c r="S47" s="111">
        <f t="shared" si="5"/>
        <v>6000</v>
      </c>
      <c r="T47" s="111">
        <f t="shared" si="6"/>
        <v>360000</v>
      </c>
      <c r="U47" s="111">
        <f t="shared" si="7"/>
        <v>3600</v>
      </c>
      <c r="V47" s="111">
        <f t="shared" si="8"/>
        <v>363600</v>
      </c>
      <c r="W47" t="s">
        <v>2506</v>
      </c>
    </row>
    <row r="48" spans="1:23" x14ac:dyDescent="0.3">
      <c r="A48" s="110">
        <v>103401</v>
      </c>
      <c r="B48" s="110" t="s">
        <v>111</v>
      </c>
      <c r="C48" s="110" t="s">
        <v>138</v>
      </c>
      <c r="D48" s="110" t="s">
        <v>179</v>
      </c>
      <c r="E48" s="110" t="s">
        <v>177</v>
      </c>
      <c r="F48" s="110" t="s">
        <v>119</v>
      </c>
      <c r="G48" s="110" t="s">
        <v>114</v>
      </c>
      <c r="H48" s="111">
        <v>398</v>
      </c>
      <c r="I48" s="111">
        <v>410</v>
      </c>
      <c r="J48" s="111">
        <v>401</v>
      </c>
      <c r="K48" s="111">
        <f t="shared" si="0"/>
        <v>403</v>
      </c>
      <c r="L48" s="111">
        <f>300000</f>
        <v>300000</v>
      </c>
      <c r="M48" s="111">
        <f t="shared" si="1"/>
        <v>135000</v>
      </c>
      <c r="N48" s="111">
        <f t="shared" si="2"/>
        <v>135000</v>
      </c>
      <c r="O48" s="111">
        <f t="shared" si="3"/>
        <v>27000</v>
      </c>
      <c r="P48" s="111">
        <f t="shared" si="4"/>
        <v>30000</v>
      </c>
      <c r="Q48" s="111">
        <v>60000</v>
      </c>
      <c r="R48" s="111">
        <v>6</v>
      </c>
      <c r="S48" s="111">
        <f t="shared" si="5"/>
        <v>6000</v>
      </c>
      <c r="T48" s="111">
        <f t="shared" si="6"/>
        <v>360000</v>
      </c>
      <c r="U48" s="111">
        <f t="shared" si="7"/>
        <v>3600</v>
      </c>
      <c r="V48" s="111">
        <f t="shared" si="8"/>
        <v>363600</v>
      </c>
      <c r="W48" t="s">
        <v>2507</v>
      </c>
    </row>
    <row r="49" spans="1:23" x14ac:dyDescent="0.3">
      <c r="A49" s="110">
        <v>103402</v>
      </c>
      <c r="B49" s="110" t="s">
        <v>111</v>
      </c>
      <c r="C49" s="110" t="s">
        <v>138</v>
      </c>
      <c r="D49" s="110" t="s">
        <v>138</v>
      </c>
      <c r="E49" s="110" t="s">
        <v>180</v>
      </c>
      <c r="F49" s="110" t="s">
        <v>113</v>
      </c>
      <c r="G49" s="110" t="s">
        <v>114</v>
      </c>
      <c r="H49" s="111">
        <v>580</v>
      </c>
      <c r="I49" s="111">
        <v>585</v>
      </c>
      <c r="J49" s="111">
        <v>565</v>
      </c>
      <c r="K49" s="111">
        <f t="shared" si="0"/>
        <v>576.66666666666663</v>
      </c>
      <c r="L49" s="111">
        <f>300000</f>
        <v>300000</v>
      </c>
      <c r="M49" s="111">
        <f t="shared" si="1"/>
        <v>135000</v>
      </c>
      <c r="N49" s="111">
        <f t="shared" si="2"/>
        <v>135000</v>
      </c>
      <c r="O49" s="111">
        <f t="shared" si="3"/>
        <v>27000</v>
      </c>
      <c r="P49" s="111">
        <f t="shared" si="4"/>
        <v>30000</v>
      </c>
      <c r="Q49" s="111">
        <v>60000</v>
      </c>
      <c r="R49" s="111">
        <v>6</v>
      </c>
      <c r="S49" s="111">
        <f t="shared" si="5"/>
        <v>6000</v>
      </c>
      <c r="T49" s="111">
        <f t="shared" si="6"/>
        <v>360000</v>
      </c>
      <c r="U49" s="111">
        <f t="shared" si="7"/>
        <v>3600</v>
      </c>
      <c r="V49" s="111">
        <f t="shared" si="8"/>
        <v>363600</v>
      </c>
      <c r="W49" t="s">
        <v>2508</v>
      </c>
    </row>
    <row r="50" spans="1:23" x14ac:dyDescent="0.3">
      <c r="A50" s="110">
        <v>103403</v>
      </c>
      <c r="B50" s="110" t="s">
        <v>111</v>
      </c>
      <c r="C50" s="110" t="s">
        <v>138</v>
      </c>
      <c r="D50" s="110" t="s">
        <v>138</v>
      </c>
      <c r="E50" s="110" t="s">
        <v>181</v>
      </c>
      <c r="F50" s="110" t="s">
        <v>113</v>
      </c>
      <c r="G50" s="110" t="s">
        <v>114</v>
      </c>
      <c r="H50" s="111">
        <v>535</v>
      </c>
      <c r="I50" s="111">
        <v>531</v>
      </c>
      <c r="J50" s="111">
        <v>531</v>
      </c>
      <c r="K50" s="111">
        <f t="shared" si="0"/>
        <v>532.33333333333337</v>
      </c>
      <c r="L50" s="111">
        <f>300000</f>
        <v>300000</v>
      </c>
      <c r="M50" s="111">
        <f t="shared" si="1"/>
        <v>135000</v>
      </c>
      <c r="N50" s="111">
        <f t="shared" si="2"/>
        <v>135000</v>
      </c>
      <c r="O50" s="111">
        <f t="shared" si="3"/>
        <v>27000</v>
      </c>
      <c r="P50" s="111">
        <f t="shared" si="4"/>
        <v>30000</v>
      </c>
      <c r="Q50" s="111">
        <v>60000</v>
      </c>
      <c r="R50" s="111">
        <v>6</v>
      </c>
      <c r="S50" s="111">
        <f t="shared" si="5"/>
        <v>6000</v>
      </c>
      <c r="T50" s="111">
        <f t="shared" si="6"/>
        <v>360000</v>
      </c>
      <c r="U50" s="111">
        <f t="shared" si="7"/>
        <v>3600</v>
      </c>
      <c r="V50" s="111">
        <f t="shared" si="8"/>
        <v>363600</v>
      </c>
      <c r="W50" t="s">
        <v>2509</v>
      </c>
    </row>
    <row r="51" spans="1:23" x14ac:dyDescent="0.3">
      <c r="A51" s="110">
        <v>103404</v>
      </c>
      <c r="B51" s="110" t="s">
        <v>111</v>
      </c>
      <c r="C51" s="110" t="s">
        <v>138</v>
      </c>
      <c r="D51" s="110" t="s">
        <v>138</v>
      </c>
      <c r="E51" s="110" t="s">
        <v>182</v>
      </c>
      <c r="F51" s="110" t="s">
        <v>113</v>
      </c>
      <c r="G51" s="110" t="s">
        <v>114</v>
      </c>
      <c r="H51" s="111">
        <v>310</v>
      </c>
      <c r="I51" s="111">
        <v>294</v>
      </c>
      <c r="J51" s="111">
        <v>312</v>
      </c>
      <c r="K51" s="111">
        <f t="shared" si="0"/>
        <v>305.33333333333331</v>
      </c>
      <c r="L51" s="111">
        <v>200000</v>
      </c>
      <c r="M51" s="111">
        <f t="shared" si="1"/>
        <v>90000</v>
      </c>
      <c r="N51" s="111">
        <f t="shared" si="2"/>
        <v>90000</v>
      </c>
      <c r="O51" s="111">
        <f t="shared" si="3"/>
        <v>18000</v>
      </c>
      <c r="P51" s="111">
        <f t="shared" si="4"/>
        <v>20000</v>
      </c>
      <c r="Q51" s="111">
        <v>50000</v>
      </c>
      <c r="R51" s="111">
        <v>5</v>
      </c>
      <c r="S51" s="111">
        <f t="shared" si="5"/>
        <v>5000</v>
      </c>
      <c r="T51" s="111">
        <f t="shared" si="6"/>
        <v>250000</v>
      </c>
      <c r="U51" s="111">
        <f t="shared" si="7"/>
        <v>2500</v>
      </c>
      <c r="V51" s="111">
        <f t="shared" si="8"/>
        <v>252500</v>
      </c>
      <c r="W51" t="s">
        <v>2510</v>
      </c>
    </row>
    <row r="52" spans="1:23" x14ac:dyDescent="0.3">
      <c r="A52" s="110">
        <v>103405</v>
      </c>
      <c r="B52" s="110" t="s">
        <v>111</v>
      </c>
      <c r="C52" s="110" t="s">
        <v>138</v>
      </c>
      <c r="D52" s="110" t="s">
        <v>183</v>
      </c>
      <c r="E52" s="110" t="s">
        <v>184</v>
      </c>
      <c r="F52" s="110" t="s">
        <v>113</v>
      </c>
      <c r="G52" s="110" t="s">
        <v>114</v>
      </c>
      <c r="H52" s="111">
        <v>103</v>
      </c>
      <c r="I52" s="111">
        <v>99</v>
      </c>
      <c r="J52" s="111">
        <v>85</v>
      </c>
      <c r="K52" s="111">
        <f t="shared" si="0"/>
        <v>95.666666666666671</v>
      </c>
      <c r="L52" s="111">
        <v>150000</v>
      </c>
      <c r="M52" s="111">
        <f t="shared" si="1"/>
        <v>67500</v>
      </c>
      <c r="N52" s="111">
        <f t="shared" si="2"/>
        <v>67500</v>
      </c>
      <c r="O52" s="111">
        <f t="shared" si="3"/>
        <v>13500</v>
      </c>
      <c r="P52" s="111">
        <f t="shared" si="4"/>
        <v>15000</v>
      </c>
      <c r="Q52" s="111">
        <v>30000</v>
      </c>
      <c r="R52" s="111">
        <v>3</v>
      </c>
      <c r="S52" s="111">
        <f t="shared" si="5"/>
        <v>3000</v>
      </c>
      <c r="T52" s="111">
        <f t="shared" si="6"/>
        <v>180000</v>
      </c>
      <c r="U52" s="111">
        <f t="shared" si="7"/>
        <v>1800</v>
      </c>
      <c r="V52" s="111">
        <f t="shared" si="8"/>
        <v>181800</v>
      </c>
      <c r="W52" t="s">
        <v>2511</v>
      </c>
    </row>
    <row r="53" spans="1:23" x14ac:dyDescent="0.3">
      <c r="A53" s="110">
        <v>103406</v>
      </c>
      <c r="B53" s="110" t="s">
        <v>111</v>
      </c>
      <c r="C53" s="110" t="s">
        <v>138</v>
      </c>
      <c r="D53" s="110" t="s">
        <v>185</v>
      </c>
      <c r="E53" s="110" t="s">
        <v>186</v>
      </c>
      <c r="F53" s="110" t="s">
        <v>113</v>
      </c>
      <c r="G53" s="110" t="s">
        <v>114</v>
      </c>
      <c r="H53" s="111">
        <v>65</v>
      </c>
      <c r="I53" s="111">
        <v>67</v>
      </c>
      <c r="J53" s="111">
        <v>69</v>
      </c>
      <c r="K53" s="111">
        <f t="shared" si="0"/>
        <v>67</v>
      </c>
      <c r="L53" s="111">
        <v>150000</v>
      </c>
      <c r="M53" s="111">
        <f t="shared" si="1"/>
        <v>67500</v>
      </c>
      <c r="N53" s="111">
        <f t="shared" si="2"/>
        <v>67500</v>
      </c>
      <c r="O53" s="111">
        <f t="shared" si="3"/>
        <v>13500</v>
      </c>
      <c r="P53" s="111">
        <f t="shared" si="4"/>
        <v>15000</v>
      </c>
      <c r="Q53" s="111">
        <v>30000</v>
      </c>
      <c r="R53" s="111">
        <v>3</v>
      </c>
      <c r="S53" s="111">
        <f t="shared" si="5"/>
        <v>3000</v>
      </c>
      <c r="T53" s="111">
        <f t="shared" si="6"/>
        <v>180000</v>
      </c>
      <c r="U53" s="111">
        <f t="shared" si="7"/>
        <v>1800</v>
      </c>
      <c r="V53" s="111">
        <f t="shared" si="8"/>
        <v>181800</v>
      </c>
      <c r="W53" t="s">
        <v>2512</v>
      </c>
    </row>
    <row r="54" spans="1:23" x14ac:dyDescent="0.3">
      <c r="A54" s="110">
        <v>103407</v>
      </c>
      <c r="B54" s="110" t="s">
        <v>111</v>
      </c>
      <c r="C54" s="110" t="s">
        <v>138</v>
      </c>
      <c r="D54" s="110" t="s">
        <v>187</v>
      </c>
      <c r="E54" s="110" t="s">
        <v>188</v>
      </c>
      <c r="F54" s="110" t="s">
        <v>113</v>
      </c>
      <c r="G54" s="110" t="s">
        <v>114</v>
      </c>
      <c r="H54" s="111">
        <v>83</v>
      </c>
      <c r="I54" s="111">
        <v>79</v>
      </c>
      <c r="J54" s="111">
        <v>69</v>
      </c>
      <c r="K54" s="111">
        <f t="shared" si="0"/>
        <v>77</v>
      </c>
      <c r="L54" s="111">
        <v>150000</v>
      </c>
      <c r="M54" s="111">
        <f t="shared" si="1"/>
        <v>67500</v>
      </c>
      <c r="N54" s="111">
        <f t="shared" si="2"/>
        <v>67500</v>
      </c>
      <c r="O54" s="111">
        <f t="shared" si="3"/>
        <v>13500</v>
      </c>
      <c r="P54" s="111">
        <f t="shared" si="4"/>
        <v>15000</v>
      </c>
      <c r="Q54" s="111">
        <v>30000</v>
      </c>
      <c r="R54" s="111">
        <v>3</v>
      </c>
      <c r="S54" s="111">
        <f t="shared" si="5"/>
        <v>3000</v>
      </c>
      <c r="T54" s="111">
        <f t="shared" si="6"/>
        <v>180000</v>
      </c>
      <c r="U54" s="111">
        <f t="shared" si="7"/>
        <v>1800</v>
      </c>
      <c r="V54" s="111">
        <f t="shared" si="8"/>
        <v>181800</v>
      </c>
      <c r="W54" t="s">
        <v>2513</v>
      </c>
    </row>
    <row r="55" spans="1:23" x14ac:dyDescent="0.3">
      <c r="A55" s="110">
        <v>103408</v>
      </c>
      <c r="B55" s="110" t="s">
        <v>111</v>
      </c>
      <c r="C55" s="110" t="s">
        <v>138</v>
      </c>
      <c r="D55" s="110" t="s">
        <v>189</v>
      </c>
      <c r="E55" s="110" t="s">
        <v>190</v>
      </c>
      <c r="F55" s="110" t="s">
        <v>113</v>
      </c>
      <c r="G55" s="110" t="s">
        <v>114</v>
      </c>
      <c r="H55" s="111">
        <v>43</v>
      </c>
      <c r="I55" s="111">
        <v>36</v>
      </c>
      <c r="J55" s="111">
        <v>33</v>
      </c>
      <c r="K55" s="111">
        <f t="shared" si="0"/>
        <v>37.333333333333336</v>
      </c>
      <c r="L55" s="111">
        <v>50000</v>
      </c>
      <c r="M55" s="111">
        <f t="shared" si="1"/>
        <v>22500</v>
      </c>
      <c r="N55" s="111">
        <f t="shared" si="2"/>
        <v>22500</v>
      </c>
      <c r="O55" s="111">
        <f t="shared" si="3"/>
        <v>4500</v>
      </c>
      <c r="P55" s="111">
        <f t="shared" si="4"/>
        <v>5000</v>
      </c>
      <c r="Q55" s="111">
        <v>10000</v>
      </c>
      <c r="R55" s="111">
        <v>1</v>
      </c>
      <c r="S55" s="111">
        <f t="shared" si="5"/>
        <v>1000</v>
      </c>
      <c r="T55" s="111">
        <f t="shared" si="6"/>
        <v>60000</v>
      </c>
      <c r="U55" s="111">
        <f t="shared" si="7"/>
        <v>600</v>
      </c>
      <c r="V55" s="111">
        <f t="shared" si="8"/>
        <v>60600</v>
      </c>
      <c r="W55" t="s">
        <v>2514</v>
      </c>
    </row>
    <row r="56" spans="1:23" x14ac:dyDescent="0.3">
      <c r="A56" s="110">
        <v>103409</v>
      </c>
      <c r="B56" s="110" t="s">
        <v>111</v>
      </c>
      <c r="C56" s="110" t="s">
        <v>138</v>
      </c>
      <c r="D56" s="110" t="s">
        <v>191</v>
      </c>
      <c r="E56" s="110" t="s">
        <v>192</v>
      </c>
      <c r="F56" s="110" t="s">
        <v>168</v>
      </c>
      <c r="G56" s="110" t="s">
        <v>114</v>
      </c>
      <c r="H56" s="111">
        <v>158</v>
      </c>
      <c r="I56" s="111">
        <v>133</v>
      </c>
      <c r="J56" s="111">
        <v>135</v>
      </c>
      <c r="K56" s="111">
        <f t="shared" si="0"/>
        <v>142</v>
      </c>
      <c r="L56" s="111">
        <v>150000</v>
      </c>
      <c r="M56" s="111">
        <f t="shared" si="1"/>
        <v>67500</v>
      </c>
      <c r="N56" s="111">
        <f t="shared" si="2"/>
        <v>67500</v>
      </c>
      <c r="O56" s="111">
        <f t="shared" si="3"/>
        <v>13500</v>
      </c>
      <c r="P56" s="111">
        <f t="shared" si="4"/>
        <v>15000</v>
      </c>
      <c r="Q56" s="111">
        <v>30000</v>
      </c>
      <c r="R56" s="111">
        <v>3</v>
      </c>
      <c r="S56" s="111">
        <f t="shared" si="5"/>
        <v>3000</v>
      </c>
      <c r="T56" s="111">
        <f t="shared" si="6"/>
        <v>180000</v>
      </c>
      <c r="U56" s="111">
        <f t="shared" si="7"/>
        <v>1800</v>
      </c>
      <c r="V56" s="111">
        <f t="shared" si="8"/>
        <v>181800</v>
      </c>
      <c r="W56" t="s">
        <v>2515</v>
      </c>
    </row>
    <row r="57" spans="1:23" x14ac:dyDescent="0.3">
      <c r="A57" s="110">
        <v>103410</v>
      </c>
      <c r="B57" s="110" t="s">
        <v>111</v>
      </c>
      <c r="C57" s="110" t="s">
        <v>138</v>
      </c>
      <c r="D57" s="110" t="s">
        <v>193</v>
      </c>
      <c r="E57" s="110" t="s">
        <v>194</v>
      </c>
      <c r="F57" s="110" t="s">
        <v>168</v>
      </c>
      <c r="G57" s="110" t="s">
        <v>114</v>
      </c>
      <c r="H57" s="111">
        <v>120</v>
      </c>
      <c r="I57" s="111">
        <v>108</v>
      </c>
      <c r="J57" s="111">
        <v>106</v>
      </c>
      <c r="K57" s="111">
        <f t="shared" si="0"/>
        <v>111.33333333333333</v>
      </c>
      <c r="L57" s="111">
        <v>150000</v>
      </c>
      <c r="M57" s="111">
        <f t="shared" si="1"/>
        <v>67500</v>
      </c>
      <c r="N57" s="111">
        <f t="shared" si="2"/>
        <v>67500</v>
      </c>
      <c r="O57" s="111">
        <f t="shared" si="3"/>
        <v>13500</v>
      </c>
      <c r="P57" s="111">
        <f t="shared" si="4"/>
        <v>15000</v>
      </c>
      <c r="Q57" s="111">
        <v>30000</v>
      </c>
      <c r="R57" s="111">
        <v>3</v>
      </c>
      <c r="S57" s="111">
        <f t="shared" si="5"/>
        <v>3000</v>
      </c>
      <c r="T57" s="111">
        <f t="shared" si="6"/>
        <v>180000</v>
      </c>
      <c r="U57" s="111">
        <f t="shared" si="7"/>
        <v>1800</v>
      </c>
      <c r="V57" s="111">
        <f t="shared" si="8"/>
        <v>181800</v>
      </c>
      <c r="W57" t="s">
        <v>2516</v>
      </c>
    </row>
    <row r="58" spans="1:23" x14ac:dyDescent="0.3">
      <c r="A58" s="110">
        <v>103411</v>
      </c>
      <c r="B58" s="110" t="s">
        <v>111</v>
      </c>
      <c r="C58" s="110" t="s">
        <v>138</v>
      </c>
      <c r="D58" s="110" t="s">
        <v>138</v>
      </c>
      <c r="E58" s="110" t="s">
        <v>195</v>
      </c>
      <c r="F58" s="110" t="s">
        <v>135</v>
      </c>
      <c r="G58" s="110" t="s">
        <v>125</v>
      </c>
      <c r="H58" s="111">
        <v>85</v>
      </c>
      <c r="I58" s="111">
        <v>80</v>
      </c>
      <c r="J58" s="111">
        <v>81</v>
      </c>
      <c r="K58" s="111">
        <f t="shared" si="0"/>
        <v>82</v>
      </c>
      <c r="L58" s="111">
        <v>150000</v>
      </c>
      <c r="M58" s="111">
        <f t="shared" si="1"/>
        <v>67500</v>
      </c>
      <c r="N58" s="111">
        <f t="shared" si="2"/>
        <v>67500</v>
      </c>
      <c r="O58" s="111">
        <f t="shared" si="3"/>
        <v>13500</v>
      </c>
      <c r="P58" s="111">
        <f t="shared" si="4"/>
        <v>15000</v>
      </c>
      <c r="Q58" s="111">
        <v>30000</v>
      </c>
      <c r="R58" s="111">
        <v>3</v>
      </c>
      <c r="S58" s="111">
        <f t="shared" si="5"/>
        <v>3000</v>
      </c>
      <c r="T58" s="111">
        <f t="shared" si="6"/>
        <v>180000</v>
      </c>
      <c r="U58" s="111">
        <f t="shared" si="7"/>
        <v>1800</v>
      </c>
      <c r="V58" s="111">
        <f t="shared" si="8"/>
        <v>181800</v>
      </c>
      <c r="W58" t="s">
        <v>2517</v>
      </c>
    </row>
    <row r="59" spans="1:23" x14ac:dyDescent="0.3">
      <c r="A59" s="110">
        <v>103501</v>
      </c>
      <c r="B59" s="110" t="s">
        <v>111</v>
      </c>
      <c r="C59" s="110" t="s">
        <v>152</v>
      </c>
      <c r="D59" s="110" t="s">
        <v>152</v>
      </c>
      <c r="E59" s="110" t="s">
        <v>196</v>
      </c>
      <c r="F59" s="110" t="s">
        <v>119</v>
      </c>
      <c r="G59" s="110" t="s">
        <v>114</v>
      </c>
      <c r="H59" s="111">
        <v>576</v>
      </c>
      <c r="I59" s="111">
        <v>592</v>
      </c>
      <c r="J59" s="111">
        <v>595</v>
      </c>
      <c r="K59" s="111">
        <f t="shared" si="0"/>
        <v>587.66666666666663</v>
      </c>
      <c r="L59" s="111">
        <f>300000</f>
        <v>300000</v>
      </c>
      <c r="M59" s="111">
        <f t="shared" si="1"/>
        <v>135000</v>
      </c>
      <c r="N59" s="111">
        <f t="shared" si="2"/>
        <v>135000</v>
      </c>
      <c r="O59" s="111">
        <f t="shared" si="3"/>
        <v>27000</v>
      </c>
      <c r="P59" s="111">
        <f t="shared" si="4"/>
        <v>30000</v>
      </c>
      <c r="Q59" s="111">
        <v>60000</v>
      </c>
      <c r="R59" s="111">
        <v>6</v>
      </c>
      <c r="S59" s="111">
        <f t="shared" si="5"/>
        <v>6000</v>
      </c>
      <c r="T59" s="111">
        <f t="shared" si="6"/>
        <v>360000</v>
      </c>
      <c r="U59" s="111">
        <f t="shared" si="7"/>
        <v>3600</v>
      </c>
      <c r="V59" s="111">
        <f t="shared" si="8"/>
        <v>363600</v>
      </c>
      <c r="W59" t="s">
        <v>2518</v>
      </c>
    </row>
    <row r="60" spans="1:23" x14ac:dyDescent="0.3">
      <c r="A60" s="110">
        <v>103502</v>
      </c>
      <c r="B60" s="110" t="s">
        <v>111</v>
      </c>
      <c r="C60" s="110" t="s">
        <v>152</v>
      </c>
      <c r="D60" s="110" t="s">
        <v>152</v>
      </c>
      <c r="E60" s="110" t="s">
        <v>197</v>
      </c>
      <c r="F60" s="110" t="s">
        <v>113</v>
      </c>
      <c r="G60" s="110" t="s">
        <v>114</v>
      </c>
      <c r="H60" s="111">
        <v>396</v>
      </c>
      <c r="I60" s="111">
        <v>401</v>
      </c>
      <c r="J60" s="111">
        <v>396</v>
      </c>
      <c r="K60" s="111">
        <f t="shared" si="0"/>
        <v>397.66666666666669</v>
      </c>
      <c r="L60" s="111">
        <v>200000</v>
      </c>
      <c r="M60" s="111">
        <f t="shared" si="1"/>
        <v>90000</v>
      </c>
      <c r="N60" s="111">
        <f t="shared" si="2"/>
        <v>90000</v>
      </c>
      <c r="O60" s="111">
        <f t="shared" si="3"/>
        <v>18000</v>
      </c>
      <c r="P60" s="111">
        <f t="shared" si="4"/>
        <v>20000</v>
      </c>
      <c r="Q60" s="111">
        <v>50000</v>
      </c>
      <c r="R60" s="111">
        <v>5</v>
      </c>
      <c r="S60" s="111">
        <f t="shared" si="5"/>
        <v>5000</v>
      </c>
      <c r="T60" s="111">
        <f t="shared" si="6"/>
        <v>250000</v>
      </c>
      <c r="U60" s="111">
        <f t="shared" si="7"/>
        <v>2500</v>
      </c>
      <c r="V60" s="111">
        <f t="shared" si="8"/>
        <v>252500</v>
      </c>
      <c r="W60" t="s">
        <v>2519</v>
      </c>
    </row>
    <row r="61" spans="1:23" x14ac:dyDescent="0.3">
      <c r="A61" s="110">
        <v>103503</v>
      </c>
      <c r="B61" s="110" t="s">
        <v>111</v>
      </c>
      <c r="C61" s="110" t="s">
        <v>152</v>
      </c>
      <c r="D61" s="110" t="s">
        <v>198</v>
      </c>
      <c r="E61" s="110" t="s">
        <v>199</v>
      </c>
      <c r="F61" s="110" t="s">
        <v>113</v>
      </c>
      <c r="G61" s="110" t="s">
        <v>114</v>
      </c>
      <c r="H61" s="111">
        <v>228</v>
      </c>
      <c r="I61" s="111">
        <v>214</v>
      </c>
      <c r="J61" s="111">
        <v>204</v>
      </c>
      <c r="K61" s="111">
        <f t="shared" si="0"/>
        <v>215.33333333333334</v>
      </c>
      <c r="L61" s="111">
        <v>200000</v>
      </c>
      <c r="M61" s="111">
        <f t="shared" si="1"/>
        <v>90000</v>
      </c>
      <c r="N61" s="111">
        <f t="shared" si="2"/>
        <v>90000</v>
      </c>
      <c r="O61" s="111">
        <f t="shared" si="3"/>
        <v>18000</v>
      </c>
      <c r="P61" s="111">
        <f t="shared" si="4"/>
        <v>20000</v>
      </c>
      <c r="Q61" s="111">
        <v>50000</v>
      </c>
      <c r="R61" s="111">
        <v>5</v>
      </c>
      <c r="S61" s="111">
        <f t="shared" si="5"/>
        <v>5000</v>
      </c>
      <c r="T61" s="111">
        <f t="shared" si="6"/>
        <v>250000</v>
      </c>
      <c r="U61" s="111">
        <f t="shared" si="7"/>
        <v>2500</v>
      </c>
      <c r="V61" s="111">
        <f t="shared" si="8"/>
        <v>252500</v>
      </c>
      <c r="W61" t="s">
        <v>2520</v>
      </c>
    </row>
    <row r="62" spans="1:23" x14ac:dyDescent="0.3">
      <c r="A62" s="110">
        <v>103504</v>
      </c>
      <c r="B62" s="110" t="s">
        <v>111</v>
      </c>
      <c r="C62" s="110" t="s">
        <v>152</v>
      </c>
      <c r="D62" s="110" t="s">
        <v>200</v>
      </c>
      <c r="E62" s="110" t="s">
        <v>201</v>
      </c>
      <c r="F62" s="110" t="s">
        <v>113</v>
      </c>
      <c r="G62" s="110" t="s">
        <v>114</v>
      </c>
      <c r="H62" s="111">
        <v>93</v>
      </c>
      <c r="I62" s="111">
        <v>98</v>
      </c>
      <c r="J62" s="111">
        <v>105</v>
      </c>
      <c r="K62" s="111">
        <f t="shared" si="0"/>
        <v>98.666666666666671</v>
      </c>
      <c r="L62" s="111">
        <v>150000</v>
      </c>
      <c r="M62" s="111">
        <f t="shared" si="1"/>
        <v>67500</v>
      </c>
      <c r="N62" s="111">
        <f t="shared" si="2"/>
        <v>67500</v>
      </c>
      <c r="O62" s="111">
        <f t="shared" si="3"/>
        <v>13500</v>
      </c>
      <c r="P62" s="111">
        <f t="shared" si="4"/>
        <v>15000</v>
      </c>
      <c r="Q62" s="111">
        <v>30000</v>
      </c>
      <c r="R62" s="111">
        <v>3</v>
      </c>
      <c r="S62" s="111">
        <f t="shared" si="5"/>
        <v>3000</v>
      </c>
      <c r="T62" s="111">
        <f t="shared" si="6"/>
        <v>180000</v>
      </c>
      <c r="U62" s="111">
        <f t="shared" si="7"/>
        <v>1800</v>
      </c>
      <c r="V62" s="111">
        <f t="shared" si="8"/>
        <v>181800</v>
      </c>
      <c r="W62" t="s">
        <v>2521</v>
      </c>
    </row>
    <row r="63" spans="1:23" x14ac:dyDescent="0.3">
      <c r="A63" s="110">
        <v>103506</v>
      </c>
      <c r="B63" s="110" t="s">
        <v>111</v>
      </c>
      <c r="C63" s="110" t="s">
        <v>152</v>
      </c>
      <c r="D63" s="110" t="s">
        <v>202</v>
      </c>
      <c r="E63" s="110" t="s">
        <v>203</v>
      </c>
      <c r="F63" s="110" t="s">
        <v>113</v>
      </c>
      <c r="G63" s="110" t="s">
        <v>114</v>
      </c>
      <c r="H63" s="111">
        <v>62</v>
      </c>
      <c r="I63" s="111">
        <v>62</v>
      </c>
      <c r="J63" s="111">
        <v>70</v>
      </c>
      <c r="K63" s="111">
        <f t="shared" si="0"/>
        <v>64.666666666666671</v>
      </c>
      <c r="L63" s="111">
        <v>150000</v>
      </c>
      <c r="M63" s="111">
        <f t="shared" si="1"/>
        <v>67500</v>
      </c>
      <c r="N63" s="111">
        <f t="shared" si="2"/>
        <v>67500</v>
      </c>
      <c r="O63" s="111">
        <f t="shared" si="3"/>
        <v>13500</v>
      </c>
      <c r="P63" s="111">
        <f t="shared" si="4"/>
        <v>15000</v>
      </c>
      <c r="Q63" s="111">
        <v>30000</v>
      </c>
      <c r="R63" s="111">
        <v>3</v>
      </c>
      <c r="S63" s="111">
        <f t="shared" si="5"/>
        <v>3000</v>
      </c>
      <c r="T63" s="111">
        <f t="shared" si="6"/>
        <v>180000</v>
      </c>
      <c r="U63" s="111">
        <f t="shared" si="7"/>
        <v>1800</v>
      </c>
      <c r="V63" s="111">
        <f t="shared" si="8"/>
        <v>181800</v>
      </c>
      <c r="W63" t="s">
        <v>2522</v>
      </c>
    </row>
    <row r="64" spans="1:23" x14ac:dyDescent="0.3">
      <c r="A64" s="110">
        <v>103508</v>
      </c>
      <c r="B64" s="110" t="s">
        <v>111</v>
      </c>
      <c r="C64" s="110" t="s">
        <v>152</v>
      </c>
      <c r="D64" s="110" t="s">
        <v>204</v>
      </c>
      <c r="E64" s="110" t="s">
        <v>205</v>
      </c>
      <c r="F64" s="110" t="s">
        <v>113</v>
      </c>
      <c r="G64" s="110" t="s">
        <v>114</v>
      </c>
      <c r="H64" s="111">
        <v>84</v>
      </c>
      <c r="I64" s="111">
        <v>83</v>
      </c>
      <c r="J64" s="111">
        <v>81</v>
      </c>
      <c r="K64" s="111">
        <f t="shared" si="0"/>
        <v>82.666666666666671</v>
      </c>
      <c r="L64" s="111">
        <v>150000</v>
      </c>
      <c r="M64" s="111">
        <f t="shared" si="1"/>
        <v>67500</v>
      </c>
      <c r="N64" s="111">
        <f t="shared" si="2"/>
        <v>67500</v>
      </c>
      <c r="O64" s="111">
        <f t="shared" si="3"/>
        <v>13500</v>
      </c>
      <c r="P64" s="111">
        <f t="shared" si="4"/>
        <v>15000</v>
      </c>
      <c r="Q64" s="111">
        <v>30000</v>
      </c>
      <c r="R64" s="111">
        <v>3</v>
      </c>
      <c r="S64" s="111">
        <f t="shared" si="5"/>
        <v>3000</v>
      </c>
      <c r="T64" s="111">
        <f t="shared" si="6"/>
        <v>180000</v>
      </c>
      <c r="U64" s="111">
        <f t="shared" si="7"/>
        <v>1800</v>
      </c>
      <c r="V64" s="111">
        <f t="shared" si="8"/>
        <v>181800</v>
      </c>
      <c r="W64" t="s">
        <v>2523</v>
      </c>
    </row>
    <row r="65" spans="1:23" x14ac:dyDescent="0.3">
      <c r="A65" s="110">
        <v>103509</v>
      </c>
      <c r="B65" s="110" t="s">
        <v>111</v>
      </c>
      <c r="C65" s="110" t="s">
        <v>152</v>
      </c>
      <c r="D65" s="110" t="s">
        <v>206</v>
      </c>
      <c r="E65" s="110" t="s">
        <v>207</v>
      </c>
      <c r="F65" s="110" t="s">
        <v>135</v>
      </c>
      <c r="G65" s="110" t="s">
        <v>125</v>
      </c>
      <c r="H65" s="111">
        <v>50</v>
      </c>
      <c r="I65" s="111">
        <v>46</v>
      </c>
      <c r="J65" s="111">
        <v>40</v>
      </c>
      <c r="K65" s="111">
        <f t="shared" si="0"/>
        <v>45.333333333333336</v>
      </c>
      <c r="L65" s="111">
        <v>50000</v>
      </c>
      <c r="M65" s="111">
        <f t="shared" si="1"/>
        <v>22500</v>
      </c>
      <c r="N65" s="111">
        <f t="shared" si="2"/>
        <v>22500</v>
      </c>
      <c r="O65" s="111">
        <f t="shared" si="3"/>
        <v>4500</v>
      </c>
      <c r="P65" s="111">
        <f t="shared" si="4"/>
        <v>5000</v>
      </c>
      <c r="Q65" s="111">
        <v>10000</v>
      </c>
      <c r="R65" s="111">
        <v>1</v>
      </c>
      <c r="S65" s="111">
        <f t="shared" si="5"/>
        <v>1000</v>
      </c>
      <c r="T65" s="111">
        <f t="shared" si="6"/>
        <v>60000</v>
      </c>
      <c r="U65" s="111">
        <f t="shared" si="7"/>
        <v>600</v>
      </c>
      <c r="V65" s="111">
        <f t="shared" si="8"/>
        <v>60600</v>
      </c>
      <c r="W65" t="s">
        <v>2524</v>
      </c>
    </row>
    <row r="66" spans="1:23" x14ac:dyDescent="0.3">
      <c r="A66" s="110">
        <v>103510</v>
      </c>
      <c r="B66" s="110" t="s">
        <v>111</v>
      </c>
      <c r="C66" s="110" t="s">
        <v>152</v>
      </c>
      <c r="D66" s="110" t="s">
        <v>152</v>
      </c>
      <c r="E66" s="110" t="s">
        <v>208</v>
      </c>
      <c r="F66" s="110" t="s">
        <v>209</v>
      </c>
      <c r="G66" s="110" t="s">
        <v>114</v>
      </c>
      <c r="H66" s="111">
        <v>117</v>
      </c>
      <c r="I66" s="111">
        <v>118</v>
      </c>
      <c r="J66" s="111">
        <v>109</v>
      </c>
      <c r="K66" s="111">
        <f t="shared" ref="K66:K129" si="9">+(H66+I66+J66)/3</f>
        <v>114.66666666666667</v>
      </c>
      <c r="L66" s="111">
        <v>150000</v>
      </c>
      <c r="M66" s="111">
        <f t="shared" ref="M66:M129" si="10">+L66*0.45</f>
        <v>67500</v>
      </c>
      <c r="N66" s="111">
        <f t="shared" ref="N66:N129" si="11">+L66*0.45</f>
        <v>67500</v>
      </c>
      <c r="O66" s="111">
        <f t="shared" ref="O66:O129" si="12">+N66*0.2</f>
        <v>13500</v>
      </c>
      <c r="P66" s="111">
        <f t="shared" ref="P66:P129" si="13">++L66*0.1</f>
        <v>15000</v>
      </c>
      <c r="Q66" s="111">
        <v>30000</v>
      </c>
      <c r="R66" s="111">
        <v>3</v>
      </c>
      <c r="S66" s="111">
        <f t="shared" ref="S66:S129" si="14">+Q66*0.1</f>
        <v>3000</v>
      </c>
      <c r="T66" s="111">
        <f t="shared" ref="T66:T129" si="15">+L66+Q66</f>
        <v>180000</v>
      </c>
      <c r="U66" s="111">
        <f t="shared" ref="U66:U129" si="16">+T66*0.01</f>
        <v>1800</v>
      </c>
      <c r="V66" s="111">
        <f t="shared" ref="V66:V129" si="17">+T66+U66</f>
        <v>181800</v>
      </c>
      <c r="W66" t="s">
        <v>2525</v>
      </c>
    </row>
    <row r="67" spans="1:23" x14ac:dyDescent="0.3">
      <c r="A67" s="110">
        <v>103511</v>
      </c>
      <c r="B67" s="110" t="s">
        <v>111</v>
      </c>
      <c r="C67" s="110" t="s">
        <v>152</v>
      </c>
      <c r="D67" s="110" t="s">
        <v>152</v>
      </c>
      <c r="E67" s="110" t="s">
        <v>210</v>
      </c>
      <c r="F67" s="110" t="s">
        <v>209</v>
      </c>
      <c r="G67" s="110" t="s">
        <v>114</v>
      </c>
      <c r="H67" s="111">
        <v>147</v>
      </c>
      <c r="I67" s="111">
        <v>142</v>
      </c>
      <c r="J67" s="111">
        <v>126</v>
      </c>
      <c r="K67" s="111">
        <f t="shared" si="9"/>
        <v>138.33333333333334</v>
      </c>
      <c r="L67" s="111">
        <v>150000</v>
      </c>
      <c r="M67" s="111">
        <f t="shared" si="10"/>
        <v>67500</v>
      </c>
      <c r="N67" s="111">
        <f t="shared" si="11"/>
        <v>67500</v>
      </c>
      <c r="O67" s="111">
        <f t="shared" si="12"/>
        <v>13500</v>
      </c>
      <c r="P67" s="111">
        <f t="shared" si="13"/>
        <v>15000</v>
      </c>
      <c r="Q67" s="111">
        <v>30000</v>
      </c>
      <c r="R67" s="111">
        <v>3</v>
      </c>
      <c r="S67" s="111">
        <f t="shared" si="14"/>
        <v>3000</v>
      </c>
      <c r="T67" s="111">
        <f t="shared" si="15"/>
        <v>180000</v>
      </c>
      <c r="U67" s="111">
        <f t="shared" si="16"/>
        <v>1800</v>
      </c>
      <c r="V67" s="111">
        <f t="shared" si="17"/>
        <v>181800</v>
      </c>
      <c r="W67" t="s">
        <v>2526</v>
      </c>
    </row>
    <row r="68" spans="1:23" x14ac:dyDescent="0.3">
      <c r="A68" s="110">
        <v>104001</v>
      </c>
      <c r="B68" s="110" t="s">
        <v>111</v>
      </c>
      <c r="C68" s="110" t="s">
        <v>147</v>
      </c>
      <c r="D68" s="110" t="s">
        <v>147</v>
      </c>
      <c r="E68" s="110" t="s">
        <v>211</v>
      </c>
      <c r="F68" s="110" t="s">
        <v>122</v>
      </c>
      <c r="G68" s="110" t="s">
        <v>114</v>
      </c>
      <c r="H68" s="111">
        <v>630</v>
      </c>
      <c r="I68" s="111">
        <v>639</v>
      </c>
      <c r="J68" s="111">
        <v>656</v>
      </c>
      <c r="K68" s="111">
        <f t="shared" si="9"/>
        <v>641.66666666666663</v>
      </c>
      <c r="L68" s="111">
        <f>300000</f>
        <v>300000</v>
      </c>
      <c r="M68" s="111">
        <f t="shared" si="10"/>
        <v>135000</v>
      </c>
      <c r="N68" s="111">
        <f t="shared" si="11"/>
        <v>135000</v>
      </c>
      <c r="O68" s="111">
        <f t="shared" si="12"/>
        <v>27000</v>
      </c>
      <c r="P68" s="111">
        <f t="shared" si="13"/>
        <v>30000</v>
      </c>
      <c r="Q68" s="111">
        <v>60000</v>
      </c>
      <c r="R68" s="111">
        <v>6</v>
      </c>
      <c r="S68" s="111">
        <f t="shared" si="14"/>
        <v>6000</v>
      </c>
      <c r="T68" s="111">
        <f t="shared" si="15"/>
        <v>360000</v>
      </c>
      <c r="U68" s="111">
        <f t="shared" si="16"/>
        <v>3600</v>
      </c>
      <c r="V68" s="111">
        <f t="shared" si="17"/>
        <v>363600</v>
      </c>
      <c r="W68" t="s">
        <v>2527</v>
      </c>
    </row>
    <row r="69" spans="1:23" x14ac:dyDescent="0.3">
      <c r="A69" s="110">
        <v>104002</v>
      </c>
      <c r="B69" s="110" t="s">
        <v>111</v>
      </c>
      <c r="C69" s="110" t="s">
        <v>147</v>
      </c>
      <c r="D69" s="110" t="s">
        <v>147</v>
      </c>
      <c r="E69" s="110" t="s">
        <v>212</v>
      </c>
      <c r="F69" s="110" t="s">
        <v>119</v>
      </c>
      <c r="G69" s="110" t="s">
        <v>114</v>
      </c>
      <c r="H69" s="111">
        <v>332</v>
      </c>
      <c r="I69" s="111">
        <v>343</v>
      </c>
      <c r="J69" s="111">
        <v>373</v>
      </c>
      <c r="K69" s="111">
        <f t="shared" si="9"/>
        <v>349.33333333333331</v>
      </c>
      <c r="L69" s="111">
        <v>200000</v>
      </c>
      <c r="M69" s="111">
        <f t="shared" si="10"/>
        <v>90000</v>
      </c>
      <c r="N69" s="111">
        <f t="shared" si="11"/>
        <v>90000</v>
      </c>
      <c r="O69" s="111">
        <f t="shared" si="12"/>
        <v>18000</v>
      </c>
      <c r="P69" s="111">
        <f t="shared" si="13"/>
        <v>20000</v>
      </c>
      <c r="Q69" s="111">
        <v>50000</v>
      </c>
      <c r="R69" s="111">
        <v>5</v>
      </c>
      <c r="S69" s="111">
        <f t="shared" si="14"/>
        <v>5000</v>
      </c>
      <c r="T69" s="111">
        <f t="shared" si="15"/>
        <v>250000</v>
      </c>
      <c r="U69" s="111">
        <f t="shared" si="16"/>
        <v>2500</v>
      </c>
      <c r="V69" s="111">
        <f t="shared" si="17"/>
        <v>252500</v>
      </c>
      <c r="W69" t="s">
        <v>2528</v>
      </c>
    </row>
    <row r="70" spans="1:23" x14ac:dyDescent="0.3">
      <c r="A70" s="110">
        <v>104003</v>
      </c>
      <c r="B70" s="110" t="s">
        <v>111</v>
      </c>
      <c r="C70" s="110" t="s">
        <v>147</v>
      </c>
      <c r="D70" s="110" t="s">
        <v>213</v>
      </c>
      <c r="E70" s="110" t="s">
        <v>214</v>
      </c>
      <c r="F70" s="110" t="s">
        <v>119</v>
      </c>
      <c r="G70" s="110" t="s">
        <v>114</v>
      </c>
      <c r="H70" s="111">
        <v>204</v>
      </c>
      <c r="I70" s="111">
        <v>212</v>
      </c>
      <c r="J70" s="111">
        <v>211</v>
      </c>
      <c r="K70" s="111">
        <f t="shared" si="9"/>
        <v>209</v>
      </c>
      <c r="L70" s="111">
        <v>200000</v>
      </c>
      <c r="M70" s="111">
        <f t="shared" si="10"/>
        <v>90000</v>
      </c>
      <c r="N70" s="111">
        <f t="shared" si="11"/>
        <v>90000</v>
      </c>
      <c r="O70" s="111">
        <f t="shared" si="12"/>
        <v>18000</v>
      </c>
      <c r="P70" s="111">
        <f t="shared" si="13"/>
        <v>20000</v>
      </c>
      <c r="Q70" s="111">
        <v>50000</v>
      </c>
      <c r="R70" s="111">
        <v>5</v>
      </c>
      <c r="S70" s="111">
        <f t="shared" si="14"/>
        <v>5000</v>
      </c>
      <c r="T70" s="111">
        <f t="shared" si="15"/>
        <v>250000</v>
      </c>
      <c r="U70" s="111">
        <f t="shared" si="16"/>
        <v>2500</v>
      </c>
      <c r="V70" s="111">
        <f t="shared" si="17"/>
        <v>252500</v>
      </c>
      <c r="W70" t="s">
        <v>2529</v>
      </c>
    </row>
    <row r="71" spans="1:23" x14ac:dyDescent="0.3">
      <c r="A71" s="110">
        <v>104004</v>
      </c>
      <c r="B71" s="110" t="s">
        <v>111</v>
      </c>
      <c r="C71" s="110" t="s">
        <v>147</v>
      </c>
      <c r="D71" s="110" t="s">
        <v>215</v>
      </c>
      <c r="E71" s="110" t="s">
        <v>216</v>
      </c>
      <c r="F71" s="110" t="s">
        <v>119</v>
      </c>
      <c r="G71" s="110" t="s">
        <v>114</v>
      </c>
      <c r="H71" s="111">
        <v>392</v>
      </c>
      <c r="I71" s="111">
        <v>377</v>
      </c>
      <c r="J71" s="111">
        <v>367</v>
      </c>
      <c r="K71" s="111">
        <f t="shared" si="9"/>
        <v>378.66666666666669</v>
      </c>
      <c r="L71" s="111">
        <v>200000</v>
      </c>
      <c r="M71" s="111">
        <f t="shared" si="10"/>
        <v>90000</v>
      </c>
      <c r="N71" s="111">
        <f t="shared" si="11"/>
        <v>90000</v>
      </c>
      <c r="O71" s="111">
        <f t="shared" si="12"/>
        <v>18000</v>
      </c>
      <c r="P71" s="111">
        <f t="shared" si="13"/>
        <v>20000</v>
      </c>
      <c r="Q71" s="111">
        <v>50000</v>
      </c>
      <c r="R71" s="111">
        <v>5</v>
      </c>
      <c r="S71" s="111">
        <f t="shared" si="14"/>
        <v>5000</v>
      </c>
      <c r="T71" s="111">
        <f t="shared" si="15"/>
        <v>250000</v>
      </c>
      <c r="U71" s="111">
        <f t="shared" si="16"/>
        <v>2500</v>
      </c>
      <c r="V71" s="111">
        <f t="shared" si="17"/>
        <v>252500</v>
      </c>
      <c r="W71" t="s">
        <v>2530</v>
      </c>
    </row>
    <row r="72" spans="1:23" x14ac:dyDescent="0.3">
      <c r="A72" s="110">
        <v>104005</v>
      </c>
      <c r="B72" s="110" t="s">
        <v>111</v>
      </c>
      <c r="C72" s="110" t="s">
        <v>147</v>
      </c>
      <c r="D72" s="110" t="s">
        <v>217</v>
      </c>
      <c r="E72" s="110" t="s">
        <v>165</v>
      </c>
      <c r="F72" s="110" t="s">
        <v>113</v>
      </c>
      <c r="G72" s="110" t="s">
        <v>114</v>
      </c>
      <c r="H72" s="111">
        <v>114</v>
      </c>
      <c r="I72" s="111">
        <v>102</v>
      </c>
      <c r="J72" s="111">
        <v>103</v>
      </c>
      <c r="K72" s="111">
        <f t="shared" si="9"/>
        <v>106.33333333333333</v>
      </c>
      <c r="L72" s="111">
        <v>150000</v>
      </c>
      <c r="M72" s="111">
        <f t="shared" si="10"/>
        <v>67500</v>
      </c>
      <c r="N72" s="111">
        <f t="shared" si="11"/>
        <v>67500</v>
      </c>
      <c r="O72" s="111">
        <f t="shared" si="12"/>
        <v>13500</v>
      </c>
      <c r="P72" s="111">
        <f t="shared" si="13"/>
        <v>15000</v>
      </c>
      <c r="Q72" s="111">
        <v>30000</v>
      </c>
      <c r="R72" s="111">
        <v>3</v>
      </c>
      <c r="S72" s="111">
        <f t="shared" si="14"/>
        <v>3000</v>
      </c>
      <c r="T72" s="111">
        <f t="shared" si="15"/>
        <v>180000</v>
      </c>
      <c r="U72" s="111">
        <f t="shared" si="16"/>
        <v>1800</v>
      </c>
      <c r="V72" s="111">
        <f t="shared" si="17"/>
        <v>181800</v>
      </c>
      <c r="W72" t="s">
        <v>2531</v>
      </c>
    </row>
    <row r="73" spans="1:23" x14ac:dyDescent="0.3">
      <c r="A73" s="110">
        <v>104006</v>
      </c>
      <c r="B73" s="110" t="s">
        <v>111</v>
      </c>
      <c r="C73" s="110" t="s">
        <v>147</v>
      </c>
      <c r="D73" s="110" t="s">
        <v>147</v>
      </c>
      <c r="E73" s="110" t="s">
        <v>218</v>
      </c>
      <c r="F73" s="110" t="s">
        <v>113</v>
      </c>
      <c r="G73" s="110" t="s">
        <v>114</v>
      </c>
      <c r="H73" s="111">
        <v>303</v>
      </c>
      <c r="I73" s="111">
        <v>295</v>
      </c>
      <c r="J73" s="111">
        <v>295</v>
      </c>
      <c r="K73" s="111">
        <f t="shared" si="9"/>
        <v>297.66666666666669</v>
      </c>
      <c r="L73" s="111">
        <v>200000</v>
      </c>
      <c r="M73" s="111">
        <f t="shared" si="10"/>
        <v>90000</v>
      </c>
      <c r="N73" s="111">
        <f t="shared" si="11"/>
        <v>90000</v>
      </c>
      <c r="O73" s="111">
        <f t="shared" si="12"/>
        <v>18000</v>
      </c>
      <c r="P73" s="111">
        <f t="shared" si="13"/>
        <v>20000</v>
      </c>
      <c r="Q73" s="111">
        <v>50000</v>
      </c>
      <c r="R73" s="111">
        <v>5</v>
      </c>
      <c r="S73" s="111">
        <f t="shared" si="14"/>
        <v>5000</v>
      </c>
      <c r="T73" s="111">
        <f t="shared" si="15"/>
        <v>250000</v>
      </c>
      <c r="U73" s="111">
        <f t="shared" si="16"/>
        <v>2500</v>
      </c>
      <c r="V73" s="111">
        <f t="shared" si="17"/>
        <v>252500</v>
      </c>
      <c r="W73" t="s">
        <v>2532</v>
      </c>
    </row>
    <row r="74" spans="1:23" x14ac:dyDescent="0.3">
      <c r="A74" s="110">
        <v>104007</v>
      </c>
      <c r="B74" s="110" t="s">
        <v>111</v>
      </c>
      <c r="C74" s="110" t="s">
        <v>147</v>
      </c>
      <c r="D74" s="110" t="s">
        <v>147</v>
      </c>
      <c r="E74" s="110" t="s">
        <v>219</v>
      </c>
      <c r="F74" s="110" t="s">
        <v>113</v>
      </c>
      <c r="G74" s="110" t="s">
        <v>114</v>
      </c>
      <c r="H74" s="111">
        <v>480</v>
      </c>
      <c r="I74" s="111">
        <v>466</v>
      </c>
      <c r="J74" s="111">
        <v>434</v>
      </c>
      <c r="K74" s="111">
        <f t="shared" si="9"/>
        <v>460</v>
      </c>
      <c r="L74" s="111">
        <f>300000</f>
        <v>300000</v>
      </c>
      <c r="M74" s="111">
        <f t="shared" si="10"/>
        <v>135000</v>
      </c>
      <c r="N74" s="111">
        <f t="shared" si="11"/>
        <v>135000</v>
      </c>
      <c r="O74" s="111">
        <f t="shared" si="12"/>
        <v>27000</v>
      </c>
      <c r="P74" s="111">
        <f t="shared" si="13"/>
        <v>30000</v>
      </c>
      <c r="Q74" s="111">
        <v>60000</v>
      </c>
      <c r="R74" s="111">
        <v>6</v>
      </c>
      <c r="S74" s="111">
        <f t="shared" si="14"/>
        <v>6000</v>
      </c>
      <c r="T74" s="111">
        <f t="shared" si="15"/>
        <v>360000</v>
      </c>
      <c r="U74" s="111">
        <f t="shared" si="16"/>
        <v>3600</v>
      </c>
      <c r="V74" s="111">
        <f t="shared" si="17"/>
        <v>363600</v>
      </c>
      <c r="W74" t="s">
        <v>2533</v>
      </c>
    </row>
    <row r="75" spans="1:23" x14ac:dyDescent="0.3">
      <c r="A75" s="110">
        <v>104008</v>
      </c>
      <c r="B75" s="110" t="s">
        <v>111</v>
      </c>
      <c r="C75" s="110" t="s">
        <v>147</v>
      </c>
      <c r="D75" s="110" t="s">
        <v>147</v>
      </c>
      <c r="E75" s="110" t="s">
        <v>220</v>
      </c>
      <c r="F75" s="110" t="s">
        <v>113</v>
      </c>
      <c r="G75" s="110" t="s">
        <v>114</v>
      </c>
      <c r="H75" s="111">
        <v>525</v>
      </c>
      <c r="I75" s="111">
        <v>541</v>
      </c>
      <c r="J75" s="111">
        <v>567</v>
      </c>
      <c r="K75" s="111">
        <f t="shared" si="9"/>
        <v>544.33333333333337</v>
      </c>
      <c r="L75" s="111">
        <f>300000</f>
        <v>300000</v>
      </c>
      <c r="M75" s="111">
        <f t="shared" si="10"/>
        <v>135000</v>
      </c>
      <c r="N75" s="111">
        <f t="shared" si="11"/>
        <v>135000</v>
      </c>
      <c r="O75" s="111">
        <f t="shared" si="12"/>
        <v>27000</v>
      </c>
      <c r="P75" s="111">
        <f t="shared" si="13"/>
        <v>30000</v>
      </c>
      <c r="Q75" s="111">
        <v>60000</v>
      </c>
      <c r="R75" s="111">
        <v>6</v>
      </c>
      <c r="S75" s="111">
        <f t="shared" si="14"/>
        <v>6000</v>
      </c>
      <c r="T75" s="111">
        <f t="shared" si="15"/>
        <v>360000</v>
      </c>
      <c r="U75" s="111">
        <f t="shared" si="16"/>
        <v>3600</v>
      </c>
      <c r="V75" s="111">
        <f t="shared" si="17"/>
        <v>363600</v>
      </c>
      <c r="W75" t="s">
        <v>2534</v>
      </c>
    </row>
    <row r="76" spans="1:23" x14ac:dyDescent="0.3">
      <c r="A76" s="110">
        <v>104017</v>
      </c>
      <c r="B76" s="110" t="s">
        <v>111</v>
      </c>
      <c r="C76" s="110" t="s">
        <v>147</v>
      </c>
      <c r="D76" s="110" t="s">
        <v>221</v>
      </c>
      <c r="E76" s="110" t="s">
        <v>222</v>
      </c>
      <c r="F76" s="110" t="s">
        <v>113</v>
      </c>
      <c r="G76" s="110" t="s">
        <v>114</v>
      </c>
      <c r="H76" s="111">
        <v>100</v>
      </c>
      <c r="I76" s="111">
        <v>103</v>
      </c>
      <c r="J76" s="111">
        <v>93</v>
      </c>
      <c r="K76" s="111">
        <f t="shared" si="9"/>
        <v>98.666666666666671</v>
      </c>
      <c r="L76" s="111">
        <v>150000</v>
      </c>
      <c r="M76" s="111">
        <f t="shared" si="10"/>
        <v>67500</v>
      </c>
      <c r="N76" s="111">
        <f t="shared" si="11"/>
        <v>67500</v>
      </c>
      <c r="O76" s="111">
        <f t="shared" si="12"/>
        <v>13500</v>
      </c>
      <c r="P76" s="111">
        <f t="shared" si="13"/>
        <v>15000</v>
      </c>
      <c r="Q76" s="111">
        <v>30000</v>
      </c>
      <c r="R76" s="111">
        <v>3</v>
      </c>
      <c r="S76" s="111">
        <f t="shared" si="14"/>
        <v>3000</v>
      </c>
      <c r="T76" s="111">
        <f t="shared" si="15"/>
        <v>180000</v>
      </c>
      <c r="U76" s="111">
        <f t="shared" si="16"/>
        <v>1800</v>
      </c>
      <c r="V76" s="111">
        <f t="shared" si="17"/>
        <v>181800</v>
      </c>
      <c r="W76" t="s">
        <v>2535</v>
      </c>
    </row>
    <row r="77" spans="1:23" x14ac:dyDescent="0.3">
      <c r="A77" s="110">
        <v>104018</v>
      </c>
      <c r="B77" s="110" t="s">
        <v>111</v>
      </c>
      <c r="C77" s="110" t="s">
        <v>147</v>
      </c>
      <c r="D77" s="110" t="s">
        <v>223</v>
      </c>
      <c r="E77" s="110" t="s">
        <v>201</v>
      </c>
      <c r="F77" s="110" t="s">
        <v>113</v>
      </c>
      <c r="G77" s="110" t="s">
        <v>114</v>
      </c>
      <c r="H77" s="111">
        <v>98</v>
      </c>
      <c r="I77" s="111">
        <v>99</v>
      </c>
      <c r="J77" s="111">
        <v>95</v>
      </c>
      <c r="K77" s="111">
        <f t="shared" si="9"/>
        <v>97.333333333333329</v>
      </c>
      <c r="L77" s="111">
        <v>150000</v>
      </c>
      <c r="M77" s="111">
        <f t="shared" si="10"/>
        <v>67500</v>
      </c>
      <c r="N77" s="111">
        <f t="shared" si="11"/>
        <v>67500</v>
      </c>
      <c r="O77" s="111">
        <f t="shared" si="12"/>
        <v>13500</v>
      </c>
      <c r="P77" s="111">
        <f t="shared" si="13"/>
        <v>15000</v>
      </c>
      <c r="Q77" s="111">
        <v>30000</v>
      </c>
      <c r="R77" s="111">
        <v>3</v>
      </c>
      <c r="S77" s="111">
        <f t="shared" si="14"/>
        <v>3000</v>
      </c>
      <c r="T77" s="111">
        <f t="shared" si="15"/>
        <v>180000</v>
      </c>
      <c r="U77" s="111">
        <f t="shared" si="16"/>
        <v>1800</v>
      </c>
      <c r="V77" s="111">
        <f t="shared" si="17"/>
        <v>181800</v>
      </c>
      <c r="W77" t="s">
        <v>2536</v>
      </c>
    </row>
    <row r="78" spans="1:23" x14ac:dyDescent="0.3">
      <c r="A78" s="110">
        <v>104024</v>
      </c>
      <c r="B78" s="110" t="s">
        <v>111</v>
      </c>
      <c r="C78" s="110" t="s">
        <v>147</v>
      </c>
      <c r="D78" s="110" t="s">
        <v>224</v>
      </c>
      <c r="E78" s="110" t="s">
        <v>201</v>
      </c>
      <c r="F78" s="110" t="s">
        <v>113</v>
      </c>
      <c r="G78" s="110" t="s">
        <v>114</v>
      </c>
      <c r="H78" s="111">
        <v>147</v>
      </c>
      <c r="I78" s="111">
        <v>134</v>
      </c>
      <c r="J78" s="111">
        <v>130</v>
      </c>
      <c r="K78" s="111">
        <f t="shared" si="9"/>
        <v>137</v>
      </c>
      <c r="L78" s="111">
        <v>150000</v>
      </c>
      <c r="M78" s="111">
        <f t="shared" si="10"/>
        <v>67500</v>
      </c>
      <c r="N78" s="111">
        <f t="shared" si="11"/>
        <v>67500</v>
      </c>
      <c r="O78" s="111">
        <f t="shared" si="12"/>
        <v>13500</v>
      </c>
      <c r="P78" s="111">
        <f t="shared" si="13"/>
        <v>15000</v>
      </c>
      <c r="Q78" s="111">
        <v>30000</v>
      </c>
      <c r="R78" s="111">
        <v>3</v>
      </c>
      <c r="S78" s="111">
        <f t="shared" si="14"/>
        <v>3000</v>
      </c>
      <c r="T78" s="111">
        <f t="shared" si="15"/>
        <v>180000</v>
      </c>
      <c r="U78" s="111">
        <f t="shared" si="16"/>
        <v>1800</v>
      </c>
      <c r="V78" s="111">
        <f t="shared" si="17"/>
        <v>181800</v>
      </c>
      <c r="W78" t="s">
        <v>2537</v>
      </c>
    </row>
    <row r="79" spans="1:23" x14ac:dyDescent="0.3">
      <c r="A79" s="110">
        <v>104025</v>
      </c>
      <c r="B79" s="110" t="s">
        <v>111</v>
      </c>
      <c r="C79" s="110" t="s">
        <v>147</v>
      </c>
      <c r="D79" s="110" t="s">
        <v>225</v>
      </c>
      <c r="E79" s="110" t="s">
        <v>226</v>
      </c>
      <c r="F79" s="110" t="s">
        <v>113</v>
      </c>
      <c r="G79" s="110" t="s">
        <v>114</v>
      </c>
      <c r="H79" s="111">
        <v>106</v>
      </c>
      <c r="I79" s="111">
        <v>97</v>
      </c>
      <c r="J79" s="111">
        <v>90</v>
      </c>
      <c r="K79" s="111">
        <f t="shared" si="9"/>
        <v>97.666666666666671</v>
      </c>
      <c r="L79" s="111">
        <v>150000</v>
      </c>
      <c r="M79" s="111">
        <f t="shared" si="10"/>
        <v>67500</v>
      </c>
      <c r="N79" s="111">
        <f t="shared" si="11"/>
        <v>67500</v>
      </c>
      <c r="O79" s="111">
        <f t="shared" si="12"/>
        <v>13500</v>
      </c>
      <c r="P79" s="111">
        <f t="shared" si="13"/>
        <v>15000</v>
      </c>
      <c r="Q79" s="111">
        <v>30000</v>
      </c>
      <c r="R79" s="111">
        <v>3</v>
      </c>
      <c r="S79" s="111">
        <f t="shared" si="14"/>
        <v>3000</v>
      </c>
      <c r="T79" s="111">
        <f t="shared" si="15"/>
        <v>180000</v>
      </c>
      <c r="U79" s="111">
        <f t="shared" si="16"/>
        <v>1800</v>
      </c>
      <c r="V79" s="111">
        <f t="shared" si="17"/>
        <v>181800</v>
      </c>
      <c r="W79" t="s">
        <v>2538</v>
      </c>
    </row>
    <row r="80" spans="1:23" x14ac:dyDescent="0.3">
      <c r="A80" s="110">
        <v>104101</v>
      </c>
      <c r="B80" s="110" t="s">
        <v>111</v>
      </c>
      <c r="C80" s="110" t="s">
        <v>145</v>
      </c>
      <c r="D80" s="110" t="s">
        <v>145</v>
      </c>
      <c r="E80" s="110" t="s">
        <v>227</v>
      </c>
      <c r="F80" s="110" t="s">
        <v>122</v>
      </c>
      <c r="G80" s="110" t="s">
        <v>114</v>
      </c>
      <c r="H80" s="111">
        <v>535</v>
      </c>
      <c r="I80" s="111">
        <v>547</v>
      </c>
      <c r="J80" s="111">
        <v>573</v>
      </c>
      <c r="K80" s="111">
        <f t="shared" si="9"/>
        <v>551.66666666666663</v>
      </c>
      <c r="L80" s="111">
        <f>300000</f>
        <v>300000</v>
      </c>
      <c r="M80" s="111">
        <f t="shared" si="10"/>
        <v>135000</v>
      </c>
      <c r="N80" s="111">
        <f t="shared" si="11"/>
        <v>135000</v>
      </c>
      <c r="O80" s="111">
        <f t="shared" si="12"/>
        <v>27000</v>
      </c>
      <c r="P80" s="111">
        <f t="shared" si="13"/>
        <v>30000</v>
      </c>
      <c r="Q80" s="111">
        <v>60000</v>
      </c>
      <c r="R80" s="111">
        <v>6</v>
      </c>
      <c r="S80" s="111">
        <f t="shared" si="14"/>
        <v>6000</v>
      </c>
      <c r="T80" s="111">
        <f t="shared" si="15"/>
        <v>360000</v>
      </c>
      <c r="U80" s="111">
        <f t="shared" si="16"/>
        <v>3600</v>
      </c>
      <c r="V80" s="111">
        <f t="shared" si="17"/>
        <v>363600</v>
      </c>
      <c r="W80" t="s">
        <v>2539</v>
      </c>
    </row>
    <row r="81" spans="1:23" x14ac:dyDescent="0.3">
      <c r="A81" s="110">
        <v>104104</v>
      </c>
      <c r="B81" s="110" t="s">
        <v>111</v>
      </c>
      <c r="C81" s="110" t="s">
        <v>145</v>
      </c>
      <c r="D81" s="110" t="s">
        <v>145</v>
      </c>
      <c r="E81" s="110" t="s">
        <v>228</v>
      </c>
      <c r="F81" s="110" t="s">
        <v>113</v>
      </c>
      <c r="G81" s="110" t="s">
        <v>114</v>
      </c>
      <c r="H81" s="111">
        <v>463</v>
      </c>
      <c r="I81" s="111">
        <v>457</v>
      </c>
      <c r="J81" s="111">
        <v>475</v>
      </c>
      <c r="K81" s="111">
        <f t="shared" si="9"/>
        <v>465</v>
      </c>
      <c r="L81" s="111">
        <f>300000</f>
        <v>300000</v>
      </c>
      <c r="M81" s="111">
        <f t="shared" si="10"/>
        <v>135000</v>
      </c>
      <c r="N81" s="111">
        <f t="shared" si="11"/>
        <v>135000</v>
      </c>
      <c r="O81" s="111">
        <f t="shared" si="12"/>
        <v>27000</v>
      </c>
      <c r="P81" s="111">
        <f t="shared" si="13"/>
        <v>30000</v>
      </c>
      <c r="Q81" s="111">
        <v>60000</v>
      </c>
      <c r="R81" s="111">
        <v>6</v>
      </c>
      <c r="S81" s="111">
        <f t="shared" si="14"/>
        <v>6000</v>
      </c>
      <c r="T81" s="111">
        <f t="shared" si="15"/>
        <v>360000</v>
      </c>
      <c r="U81" s="111">
        <f t="shared" si="16"/>
        <v>3600</v>
      </c>
      <c r="V81" s="111">
        <f t="shared" si="17"/>
        <v>363600</v>
      </c>
      <c r="W81" t="s">
        <v>2540</v>
      </c>
    </row>
    <row r="82" spans="1:23" x14ac:dyDescent="0.3">
      <c r="A82" s="110">
        <v>104106</v>
      </c>
      <c r="B82" s="110" t="s">
        <v>111</v>
      </c>
      <c r="C82" s="110" t="s">
        <v>145</v>
      </c>
      <c r="D82" s="110" t="s">
        <v>145</v>
      </c>
      <c r="E82" s="110" t="s">
        <v>229</v>
      </c>
      <c r="F82" s="110" t="s">
        <v>113</v>
      </c>
      <c r="G82" s="110" t="s">
        <v>114</v>
      </c>
      <c r="H82" s="111">
        <v>805</v>
      </c>
      <c r="I82" s="111">
        <v>798</v>
      </c>
      <c r="J82" s="111">
        <v>793</v>
      </c>
      <c r="K82" s="111">
        <f t="shared" si="9"/>
        <v>798.66666666666663</v>
      </c>
      <c r="L82" s="111">
        <f>300000</f>
        <v>300000</v>
      </c>
      <c r="M82" s="111">
        <f t="shared" si="10"/>
        <v>135000</v>
      </c>
      <c r="N82" s="111">
        <f t="shared" si="11"/>
        <v>135000</v>
      </c>
      <c r="O82" s="111">
        <f t="shared" si="12"/>
        <v>27000</v>
      </c>
      <c r="P82" s="111">
        <f t="shared" si="13"/>
        <v>30000</v>
      </c>
      <c r="Q82" s="111">
        <v>60000</v>
      </c>
      <c r="R82" s="111">
        <v>6</v>
      </c>
      <c r="S82" s="111">
        <f t="shared" si="14"/>
        <v>6000</v>
      </c>
      <c r="T82" s="111">
        <f t="shared" si="15"/>
        <v>360000</v>
      </c>
      <c r="U82" s="111">
        <f t="shared" si="16"/>
        <v>3600</v>
      </c>
      <c r="V82" s="111">
        <f t="shared" si="17"/>
        <v>363600</v>
      </c>
      <c r="W82" t="s">
        <v>2541</v>
      </c>
    </row>
    <row r="83" spans="1:23" x14ac:dyDescent="0.3">
      <c r="A83" s="110">
        <v>104107</v>
      </c>
      <c r="B83" s="110" t="s">
        <v>111</v>
      </c>
      <c r="C83" s="110" t="s">
        <v>145</v>
      </c>
      <c r="D83" s="110" t="s">
        <v>145</v>
      </c>
      <c r="E83" s="110" t="s">
        <v>230</v>
      </c>
      <c r="F83" s="110" t="s">
        <v>113</v>
      </c>
      <c r="G83" s="110" t="s">
        <v>114</v>
      </c>
      <c r="H83" s="111">
        <v>307</v>
      </c>
      <c r="I83" s="111">
        <v>314</v>
      </c>
      <c r="J83" s="111">
        <v>315</v>
      </c>
      <c r="K83" s="111">
        <f t="shared" si="9"/>
        <v>312</v>
      </c>
      <c r="L83" s="111">
        <v>200000</v>
      </c>
      <c r="M83" s="111">
        <f t="shared" si="10"/>
        <v>90000</v>
      </c>
      <c r="N83" s="111">
        <f t="shared" si="11"/>
        <v>90000</v>
      </c>
      <c r="O83" s="111">
        <f t="shared" si="12"/>
        <v>18000</v>
      </c>
      <c r="P83" s="111">
        <f t="shared" si="13"/>
        <v>20000</v>
      </c>
      <c r="Q83" s="111">
        <v>50000</v>
      </c>
      <c r="R83" s="111">
        <v>5</v>
      </c>
      <c r="S83" s="111">
        <f t="shared" si="14"/>
        <v>5000</v>
      </c>
      <c r="T83" s="111">
        <f t="shared" si="15"/>
        <v>250000</v>
      </c>
      <c r="U83" s="111">
        <f t="shared" si="16"/>
        <v>2500</v>
      </c>
      <c r="V83" s="111">
        <f t="shared" si="17"/>
        <v>252500</v>
      </c>
      <c r="W83" t="s">
        <v>2542</v>
      </c>
    </row>
    <row r="84" spans="1:23" x14ac:dyDescent="0.3">
      <c r="A84" s="110">
        <v>104111</v>
      </c>
      <c r="B84" s="110" t="s">
        <v>111</v>
      </c>
      <c r="C84" s="110" t="s">
        <v>145</v>
      </c>
      <c r="D84" s="110" t="s">
        <v>231</v>
      </c>
      <c r="E84" s="110" t="s">
        <v>226</v>
      </c>
      <c r="F84" s="110" t="s">
        <v>113</v>
      </c>
      <c r="G84" s="110" t="s">
        <v>114</v>
      </c>
      <c r="H84" s="111">
        <v>121</v>
      </c>
      <c r="I84" s="111">
        <v>118</v>
      </c>
      <c r="J84" s="111">
        <v>120</v>
      </c>
      <c r="K84" s="111">
        <f t="shared" si="9"/>
        <v>119.66666666666667</v>
      </c>
      <c r="L84" s="111">
        <v>150000</v>
      </c>
      <c r="M84" s="111">
        <f t="shared" si="10"/>
        <v>67500</v>
      </c>
      <c r="N84" s="111">
        <f t="shared" si="11"/>
        <v>67500</v>
      </c>
      <c r="O84" s="111">
        <f t="shared" si="12"/>
        <v>13500</v>
      </c>
      <c r="P84" s="111">
        <f t="shared" si="13"/>
        <v>15000</v>
      </c>
      <c r="Q84" s="111">
        <v>30000</v>
      </c>
      <c r="R84" s="111">
        <v>3</v>
      </c>
      <c r="S84" s="111">
        <f t="shared" si="14"/>
        <v>3000</v>
      </c>
      <c r="T84" s="111">
        <f t="shared" si="15"/>
        <v>180000</v>
      </c>
      <c r="U84" s="111">
        <f t="shared" si="16"/>
        <v>1800</v>
      </c>
      <c r="V84" s="111">
        <f t="shared" si="17"/>
        <v>181800</v>
      </c>
      <c r="W84" t="s">
        <v>2543</v>
      </c>
    </row>
    <row r="85" spans="1:23" x14ac:dyDescent="0.3">
      <c r="A85" s="110">
        <v>104113</v>
      </c>
      <c r="B85" s="110" t="s">
        <v>111</v>
      </c>
      <c r="C85" s="110" t="s">
        <v>145</v>
      </c>
      <c r="D85" s="110" t="s">
        <v>232</v>
      </c>
      <c r="E85" s="110" t="s">
        <v>222</v>
      </c>
      <c r="F85" s="110" t="s">
        <v>113</v>
      </c>
      <c r="G85" s="110" t="s">
        <v>114</v>
      </c>
      <c r="H85" s="111">
        <v>123</v>
      </c>
      <c r="I85" s="111">
        <v>120</v>
      </c>
      <c r="J85" s="111">
        <v>115</v>
      </c>
      <c r="K85" s="111">
        <f t="shared" si="9"/>
        <v>119.33333333333333</v>
      </c>
      <c r="L85" s="111">
        <v>150000</v>
      </c>
      <c r="M85" s="111">
        <f t="shared" si="10"/>
        <v>67500</v>
      </c>
      <c r="N85" s="111">
        <f t="shared" si="11"/>
        <v>67500</v>
      </c>
      <c r="O85" s="111">
        <f t="shared" si="12"/>
        <v>13500</v>
      </c>
      <c r="P85" s="111">
        <f t="shared" si="13"/>
        <v>15000</v>
      </c>
      <c r="Q85" s="111">
        <v>30000</v>
      </c>
      <c r="R85" s="111">
        <v>3</v>
      </c>
      <c r="S85" s="111">
        <f t="shared" si="14"/>
        <v>3000</v>
      </c>
      <c r="T85" s="111">
        <f t="shared" si="15"/>
        <v>180000</v>
      </c>
      <c r="U85" s="111">
        <f t="shared" si="16"/>
        <v>1800</v>
      </c>
      <c r="V85" s="111">
        <f t="shared" si="17"/>
        <v>181800</v>
      </c>
      <c r="W85" t="s">
        <v>2544</v>
      </c>
    </row>
    <row r="86" spans="1:23" x14ac:dyDescent="0.3">
      <c r="A86" s="110">
        <v>104116</v>
      </c>
      <c r="B86" s="110" t="s">
        <v>111</v>
      </c>
      <c r="C86" s="110" t="s">
        <v>145</v>
      </c>
      <c r="D86" s="110" t="s">
        <v>233</v>
      </c>
      <c r="E86" s="110" t="s">
        <v>234</v>
      </c>
      <c r="F86" s="110" t="s">
        <v>113</v>
      </c>
      <c r="G86" s="110" t="s">
        <v>114</v>
      </c>
      <c r="H86" s="111">
        <v>35</v>
      </c>
      <c r="I86" s="111">
        <v>28</v>
      </c>
      <c r="J86" s="111">
        <v>28</v>
      </c>
      <c r="K86" s="111">
        <f t="shared" si="9"/>
        <v>30.333333333333332</v>
      </c>
      <c r="L86" s="111">
        <v>50000</v>
      </c>
      <c r="M86" s="111">
        <f t="shared" si="10"/>
        <v>22500</v>
      </c>
      <c r="N86" s="111">
        <f t="shared" si="11"/>
        <v>22500</v>
      </c>
      <c r="O86" s="111">
        <f t="shared" si="12"/>
        <v>4500</v>
      </c>
      <c r="P86" s="111">
        <f t="shared" si="13"/>
        <v>5000</v>
      </c>
      <c r="Q86" s="111">
        <v>10000</v>
      </c>
      <c r="R86" s="111">
        <v>1</v>
      </c>
      <c r="S86" s="111">
        <f t="shared" si="14"/>
        <v>1000</v>
      </c>
      <c r="T86" s="111">
        <f t="shared" si="15"/>
        <v>60000</v>
      </c>
      <c r="U86" s="111">
        <f t="shared" si="16"/>
        <v>600</v>
      </c>
      <c r="V86" s="111">
        <f t="shared" si="17"/>
        <v>60600</v>
      </c>
      <c r="W86" t="s">
        <v>2545</v>
      </c>
    </row>
    <row r="87" spans="1:23" x14ac:dyDescent="0.3">
      <c r="A87" s="110">
        <v>105001</v>
      </c>
      <c r="B87" s="110" t="s">
        <v>111</v>
      </c>
      <c r="C87" s="110" t="s">
        <v>235</v>
      </c>
      <c r="D87" s="110" t="s">
        <v>235</v>
      </c>
      <c r="E87" s="110" t="s">
        <v>130</v>
      </c>
      <c r="F87" s="110" t="s">
        <v>119</v>
      </c>
      <c r="G87" s="110" t="s">
        <v>114</v>
      </c>
      <c r="H87" s="111">
        <v>502</v>
      </c>
      <c r="I87" s="111">
        <v>490</v>
      </c>
      <c r="J87" s="111">
        <v>490</v>
      </c>
      <c r="K87" s="111">
        <f t="shared" si="9"/>
        <v>494</v>
      </c>
      <c r="L87" s="111">
        <f>300000</f>
        <v>300000</v>
      </c>
      <c r="M87" s="111">
        <f t="shared" si="10"/>
        <v>135000</v>
      </c>
      <c r="N87" s="111">
        <f t="shared" si="11"/>
        <v>135000</v>
      </c>
      <c r="O87" s="111">
        <f t="shared" si="12"/>
        <v>27000</v>
      </c>
      <c r="P87" s="111">
        <f t="shared" si="13"/>
        <v>30000</v>
      </c>
      <c r="Q87" s="111">
        <v>60000</v>
      </c>
      <c r="R87" s="111">
        <v>6</v>
      </c>
      <c r="S87" s="111">
        <f t="shared" si="14"/>
        <v>6000</v>
      </c>
      <c r="T87" s="111">
        <f t="shared" si="15"/>
        <v>360000</v>
      </c>
      <c r="U87" s="111">
        <f t="shared" si="16"/>
        <v>3600</v>
      </c>
      <c r="V87" s="111">
        <f t="shared" si="17"/>
        <v>363600</v>
      </c>
      <c r="W87" t="s">
        <v>2546</v>
      </c>
    </row>
    <row r="88" spans="1:23" x14ac:dyDescent="0.3">
      <c r="A88" s="110">
        <v>105002</v>
      </c>
      <c r="B88" s="110" t="s">
        <v>111</v>
      </c>
      <c r="C88" s="110" t="s">
        <v>235</v>
      </c>
      <c r="D88" s="110" t="s">
        <v>235</v>
      </c>
      <c r="E88" s="110" t="s">
        <v>236</v>
      </c>
      <c r="F88" s="110" t="s">
        <v>117</v>
      </c>
      <c r="G88" s="110" t="s">
        <v>114</v>
      </c>
      <c r="H88" s="111">
        <v>122</v>
      </c>
      <c r="I88" s="111">
        <v>138</v>
      </c>
      <c r="J88" s="111">
        <v>160</v>
      </c>
      <c r="K88" s="111">
        <f t="shared" si="9"/>
        <v>140</v>
      </c>
      <c r="L88" s="111">
        <v>150000</v>
      </c>
      <c r="M88" s="111">
        <f t="shared" si="10"/>
        <v>67500</v>
      </c>
      <c r="N88" s="111">
        <f t="shared" si="11"/>
        <v>67500</v>
      </c>
      <c r="O88" s="111">
        <f t="shared" si="12"/>
        <v>13500</v>
      </c>
      <c r="P88" s="111">
        <f t="shared" si="13"/>
        <v>15000</v>
      </c>
      <c r="Q88" s="111">
        <v>30000</v>
      </c>
      <c r="R88" s="111">
        <v>3</v>
      </c>
      <c r="S88" s="111">
        <f t="shared" si="14"/>
        <v>3000</v>
      </c>
      <c r="T88" s="111">
        <f t="shared" si="15"/>
        <v>180000</v>
      </c>
      <c r="U88" s="111">
        <f t="shared" si="16"/>
        <v>1800</v>
      </c>
      <c r="V88" s="111">
        <f t="shared" si="17"/>
        <v>181800</v>
      </c>
      <c r="W88" t="s">
        <v>2547</v>
      </c>
    </row>
    <row r="89" spans="1:23" x14ac:dyDescent="0.3">
      <c r="A89" s="110">
        <v>105003</v>
      </c>
      <c r="B89" s="110" t="s">
        <v>111</v>
      </c>
      <c r="C89" s="110" t="s">
        <v>235</v>
      </c>
      <c r="D89" s="110" t="s">
        <v>237</v>
      </c>
      <c r="E89" s="110" t="s">
        <v>238</v>
      </c>
      <c r="F89" s="110" t="s">
        <v>113</v>
      </c>
      <c r="G89" s="110" t="s">
        <v>114</v>
      </c>
      <c r="H89" s="111">
        <v>236</v>
      </c>
      <c r="I89" s="111">
        <v>230</v>
      </c>
      <c r="J89" s="111">
        <v>223</v>
      </c>
      <c r="K89" s="111">
        <f t="shared" si="9"/>
        <v>229.66666666666666</v>
      </c>
      <c r="L89" s="111">
        <v>200000</v>
      </c>
      <c r="M89" s="111">
        <f t="shared" si="10"/>
        <v>90000</v>
      </c>
      <c r="N89" s="111">
        <f t="shared" si="11"/>
        <v>90000</v>
      </c>
      <c r="O89" s="111">
        <f t="shared" si="12"/>
        <v>18000</v>
      </c>
      <c r="P89" s="111">
        <f t="shared" si="13"/>
        <v>20000</v>
      </c>
      <c r="Q89" s="111">
        <v>50000</v>
      </c>
      <c r="R89" s="111">
        <v>5</v>
      </c>
      <c r="S89" s="111">
        <f t="shared" si="14"/>
        <v>5000</v>
      </c>
      <c r="T89" s="111">
        <f t="shared" si="15"/>
        <v>250000</v>
      </c>
      <c r="U89" s="111">
        <f t="shared" si="16"/>
        <v>2500</v>
      </c>
      <c r="V89" s="111">
        <f t="shared" si="17"/>
        <v>252500</v>
      </c>
      <c r="W89" t="s">
        <v>2548</v>
      </c>
    </row>
    <row r="90" spans="1:23" x14ac:dyDescent="0.3">
      <c r="A90" s="110">
        <v>105004</v>
      </c>
      <c r="B90" s="110" t="s">
        <v>111</v>
      </c>
      <c r="C90" s="110" t="s">
        <v>235</v>
      </c>
      <c r="D90" s="110" t="s">
        <v>239</v>
      </c>
      <c r="E90" s="110" t="s">
        <v>165</v>
      </c>
      <c r="F90" s="110" t="s">
        <v>113</v>
      </c>
      <c r="G90" s="110" t="s">
        <v>114</v>
      </c>
      <c r="H90" s="111">
        <v>125</v>
      </c>
      <c r="I90" s="111">
        <v>116</v>
      </c>
      <c r="J90" s="111">
        <v>109</v>
      </c>
      <c r="K90" s="111">
        <f t="shared" si="9"/>
        <v>116.66666666666667</v>
      </c>
      <c r="L90" s="111">
        <v>150000</v>
      </c>
      <c r="M90" s="111">
        <f t="shared" si="10"/>
        <v>67500</v>
      </c>
      <c r="N90" s="111">
        <f t="shared" si="11"/>
        <v>67500</v>
      </c>
      <c r="O90" s="111">
        <f t="shared" si="12"/>
        <v>13500</v>
      </c>
      <c r="P90" s="111">
        <f t="shared" si="13"/>
        <v>15000</v>
      </c>
      <c r="Q90" s="111">
        <v>30000</v>
      </c>
      <c r="R90" s="111">
        <v>3</v>
      </c>
      <c r="S90" s="111">
        <f t="shared" si="14"/>
        <v>3000</v>
      </c>
      <c r="T90" s="111">
        <f t="shared" si="15"/>
        <v>180000</v>
      </c>
      <c r="U90" s="111">
        <f t="shared" si="16"/>
        <v>1800</v>
      </c>
      <c r="V90" s="111">
        <f t="shared" si="17"/>
        <v>181800</v>
      </c>
      <c r="W90" t="s">
        <v>2549</v>
      </c>
    </row>
    <row r="91" spans="1:23" x14ac:dyDescent="0.3">
      <c r="A91" s="110">
        <v>105005</v>
      </c>
      <c r="B91" s="110" t="s">
        <v>111</v>
      </c>
      <c r="C91" s="110" t="s">
        <v>235</v>
      </c>
      <c r="D91" s="110" t="s">
        <v>240</v>
      </c>
      <c r="E91" s="110" t="s">
        <v>241</v>
      </c>
      <c r="F91" s="110" t="s">
        <v>113</v>
      </c>
      <c r="G91" s="110" t="s">
        <v>114</v>
      </c>
      <c r="H91" s="111">
        <v>121</v>
      </c>
      <c r="I91" s="111">
        <v>113</v>
      </c>
      <c r="J91" s="111">
        <v>95</v>
      </c>
      <c r="K91" s="111">
        <f t="shared" si="9"/>
        <v>109.66666666666667</v>
      </c>
      <c r="L91" s="111">
        <v>150000</v>
      </c>
      <c r="M91" s="111">
        <f t="shared" si="10"/>
        <v>67500</v>
      </c>
      <c r="N91" s="111">
        <f t="shared" si="11"/>
        <v>67500</v>
      </c>
      <c r="O91" s="111">
        <f t="shared" si="12"/>
        <v>13500</v>
      </c>
      <c r="P91" s="111">
        <f t="shared" si="13"/>
        <v>15000</v>
      </c>
      <c r="Q91" s="111">
        <v>30000</v>
      </c>
      <c r="R91" s="111">
        <v>3</v>
      </c>
      <c r="S91" s="111">
        <f t="shared" si="14"/>
        <v>3000</v>
      </c>
      <c r="T91" s="111">
        <f t="shared" si="15"/>
        <v>180000</v>
      </c>
      <c r="U91" s="111">
        <f t="shared" si="16"/>
        <v>1800</v>
      </c>
      <c r="V91" s="111">
        <f t="shared" si="17"/>
        <v>181800</v>
      </c>
      <c r="W91" t="s">
        <v>2550</v>
      </c>
    </row>
    <row r="92" spans="1:23" x14ac:dyDescent="0.3">
      <c r="A92" s="110">
        <v>105006</v>
      </c>
      <c r="B92" s="110" t="s">
        <v>111</v>
      </c>
      <c r="C92" s="110" t="s">
        <v>235</v>
      </c>
      <c r="D92" s="110" t="s">
        <v>242</v>
      </c>
      <c r="E92" s="110" t="s">
        <v>243</v>
      </c>
      <c r="F92" s="110" t="s">
        <v>209</v>
      </c>
      <c r="G92" s="110" t="s">
        <v>114</v>
      </c>
      <c r="H92" s="111">
        <v>30</v>
      </c>
      <c r="I92" s="111">
        <v>25</v>
      </c>
      <c r="J92" s="111">
        <v>26</v>
      </c>
      <c r="K92" s="111">
        <f t="shared" si="9"/>
        <v>27</v>
      </c>
      <c r="L92" s="111">
        <v>50000</v>
      </c>
      <c r="M92" s="111">
        <f t="shared" si="10"/>
        <v>22500</v>
      </c>
      <c r="N92" s="111">
        <f t="shared" si="11"/>
        <v>22500</v>
      </c>
      <c r="O92" s="111">
        <f t="shared" si="12"/>
        <v>4500</v>
      </c>
      <c r="P92" s="111">
        <f t="shared" si="13"/>
        <v>5000</v>
      </c>
      <c r="Q92" s="111">
        <v>10000</v>
      </c>
      <c r="R92" s="111">
        <v>1</v>
      </c>
      <c r="S92" s="111">
        <f t="shared" si="14"/>
        <v>1000</v>
      </c>
      <c r="T92" s="111">
        <f t="shared" si="15"/>
        <v>60000</v>
      </c>
      <c r="U92" s="111">
        <f t="shared" si="16"/>
        <v>600</v>
      </c>
      <c r="V92" s="111">
        <f t="shared" si="17"/>
        <v>60600</v>
      </c>
      <c r="W92" t="s">
        <v>2551</v>
      </c>
    </row>
    <row r="93" spans="1:23" x14ac:dyDescent="0.3">
      <c r="A93" s="110">
        <v>105101</v>
      </c>
      <c r="B93" s="110" t="s">
        <v>111</v>
      </c>
      <c r="C93" s="110" t="s">
        <v>244</v>
      </c>
      <c r="D93" s="110" t="s">
        <v>244</v>
      </c>
      <c r="E93" s="110" t="s">
        <v>216</v>
      </c>
      <c r="F93" s="110" t="s">
        <v>119</v>
      </c>
      <c r="G93" s="110" t="s">
        <v>114</v>
      </c>
      <c r="H93" s="111">
        <v>324</v>
      </c>
      <c r="I93" s="111">
        <v>341</v>
      </c>
      <c r="J93" s="111">
        <v>354</v>
      </c>
      <c r="K93" s="111">
        <f t="shared" si="9"/>
        <v>339.66666666666669</v>
      </c>
      <c r="L93" s="111">
        <v>200000</v>
      </c>
      <c r="M93" s="111">
        <f t="shared" si="10"/>
        <v>90000</v>
      </c>
      <c r="N93" s="111">
        <f t="shared" si="11"/>
        <v>90000</v>
      </c>
      <c r="O93" s="111">
        <f t="shared" si="12"/>
        <v>18000</v>
      </c>
      <c r="P93" s="111">
        <f t="shared" si="13"/>
        <v>20000</v>
      </c>
      <c r="Q93" s="111">
        <v>50000</v>
      </c>
      <c r="R93" s="111">
        <v>5</v>
      </c>
      <c r="S93" s="111">
        <f t="shared" si="14"/>
        <v>5000</v>
      </c>
      <c r="T93" s="111">
        <f t="shared" si="15"/>
        <v>250000</v>
      </c>
      <c r="U93" s="111">
        <f t="shared" si="16"/>
        <v>2500</v>
      </c>
      <c r="V93" s="111">
        <f t="shared" si="17"/>
        <v>252500</v>
      </c>
      <c r="W93" t="s">
        <v>2552</v>
      </c>
    </row>
    <row r="94" spans="1:23" x14ac:dyDescent="0.3">
      <c r="A94" s="110">
        <v>105201</v>
      </c>
      <c r="B94" s="110" t="s">
        <v>111</v>
      </c>
      <c r="C94" s="110" t="s">
        <v>141</v>
      </c>
      <c r="D94" s="110" t="s">
        <v>141</v>
      </c>
      <c r="E94" s="110" t="s">
        <v>245</v>
      </c>
      <c r="F94" s="110" t="s">
        <v>119</v>
      </c>
      <c r="G94" s="110" t="s">
        <v>114</v>
      </c>
      <c r="H94" s="111">
        <v>491</v>
      </c>
      <c r="I94" s="111">
        <v>504</v>
      </c>
      <c r="J94" s="111">
        <v>566</v>
      </c>
      <c r="K94" s="111">
        <f t="shared" si="9"/>
        <v>520.33333333333337</v>
      </c>
      <c r="L94" s="111">
        <f>300000</f>
        <v>300000</v>
      </c>
      <c r="M94" s="111">
        <f t="shared" si="10"/>
        <v>135000</v>
      </c>
      <c r="N94" s="111">
        <f t="shared" si="11"/>
        <v>135000</v>
      </c>
      <c r="O94" s="111">
        <f t="shared" si="12"/>
        <v>27000</v>
      </c>
      <c r="P94" s="111">
        <f t="shared" si="13"/>
        <v>30000</v>
      </c>
      <c r="Q94" s="111">
        <v>60000</v>
      </c>
      <c r="R94" s="111">
        <v>6</v>
      </c>
      <c r="S94" s="111">
        <f t="shared" si="14"/>
        <v>6000</v>
      </c>
      <c r="T94" s="111">
        <f t="shared" si="15"/>
        <v>360000</v>
      </c>
      <c r="U94" s="111">
        <f t="shared" si="16"/>
        <v>3600</v>
      </c>
      <c r="V94" s="111">
        <f t="shared" si="17"/>
        <v>363600</v>
      </c>
      <c r="W94" t="s">
        <v>2553</v>
      </c>
    </row>
    <row r="95" spans="1:23" x14ac:dyDescent="0.3">
      <c r="A95" s="110">
        <v>105202</v>
      </c>
      <c r="B95" s="110" t="s">
        <v>111</v>
      </c>
      <c r="C95" s="110" t="s">
        <v>141</v>
      </c>
      <c r="D95" s="110" t="s">
        <v>246</v>
      </c>
      <c r="E95" s="110" t="s">
        <v>247</v>
      </c>
      <c r="F95" s="110" t="s">
        <v>113</v>
      </c>
      <c r="G95" s="110" t="s">
        <v>114</v>
      </c>
      <c r="H95" s="111">
        <v>138</v>
      </c>
      <c r="I95" s="111">
        <v>143</v>
      </c>
      <c r="J95" s="111">
        <v>146</v>
      </c>
      <c r="K95" s="111">
        <f t="shared" si="9"/>
        <v>142.33333333333334</v>
      </c>
      <c r="L95" s="111">
        <v>150000</v>
      </c>
      <c r="M95" s="111">
        <f t="shared" si="10"/>
        <v>67500</v>
      </c>
      <c r="N95" s="111">
        <f t="shared" si="11"/>
        <v>67500</v>
      </c>
      <c r="O95" s="111">
        <f t="shared" si="12"/>
        <v>13500</v>
      </c>
      <c r="P95" s="111">
        <f t="shared" si="13"/>
        <v>15000</v>
      </c>
      <c r="Q95" s="111">
        <v>30000</v>
      </c>
      <c r="R95" s="111">
        <v>3</v>
      </c>
      <c r="S95" s="111">
        <f t="shared" si="14"/>
        <v>3000</v>
      </c>
      <c r="T95" s="111">
        <f t="shared" si="15"/>
        <v>180000</v>
      </c>
      <c r="U95" s="111">
        <f t="shared" si="16"/>
        <v>1800</v>
      </c>
      <c r="V95" s="111">
        <f t="shared" si="17"/>
        <v>181800</v>
      </c>
      <c r="W95" t="s">
        <v>2554</v>
      </c>
    </row>
    <row r="96" spans="1:23" x14ac:dyDescent="0.3">
      <c r="A96" s="110">
        <v>105204</v>
      </c>
      <c r="B96" s="110" t="s">
        <v>111</v>
      </c>
      <c r="C96" s="110" t="s">
        <v>141</v>
      </c>
      <c r="D96" s="110" t="s">
        <v>141</v>
      </c>
      <c r="E96" s="110" t="s">
        <v>248</v>
      </c>
      <c r="F96" s="110" t="s">
        <v>209</v>
      </c>
      <c r="G96" s="110" t="s">
        <v>114</v>
      </c>
      <c r="H96" s="111">
        <v>238</v>
      </c>
      <c r="I96" s="111">
        <v>245</v>
      </c>
      <c r="J96" s="111">
        <v>260</v>
      </c>
      <c r="K96" s="111">
        <f t="shared" si="9"/>
        <v>247.66666666666666</v>
      </c>
      <c r="L96" s="111">
        <v>200000</v>
      </c>
      <c r="M96" s="111">
        <f t="shared" si="10"/>
        <v>90000</v>
      </c>
      <c r="N96" s="111">
        <f t="shared" si="11"/>
        <v>90000</v>
      </c>
      <c r="O96" s="111">
        <f t="shared" si="12"/>
        <v>18000</v>
      </c>
      <c r="P96" s="111">
        <f t="shared" si="13"/>
        <v>20000</v>
      </c>
      <c r="Q96" s="111">
        <v>50000</v>
      </c>
      <c r="R96" s="111">
        <v>5</v>
      </c>
      <c r="S96" s="111">
        <f t="shared" si="14"/>
        <v>5000</v>
      </c>
      <c r="T96" s="111">
        <f t="shared" si="15"/>
        <v>250000</v>
      </c>
      <c r="U96" s="111">
        <f t="shared" si="16"/>
        <v>2500</v>
      </c>
      <c r="V96" s="111">
        <f t="shared" si="17"/>
        <v>252500</v>
      </c>
      <c r="W96" t="s">
        <v>2555</v>
      </c>
    </row>
    <row r="97" spans="1:23" x14ac:dyDescent="0.3">
      <c r="A97" s="110">
        <v>107020</v>
      </c>
      <c r="B97" s="110" t="s">
        <v>111</v>
      </c>
      <c r="C97" s="110" t="s">
        <v>150</v>
      </c>
      <c r="D97" s="110" t="s">
        <v>249</v>
      </c>
      <c r="E97" s="110" t="s">
        <v>203</v>
      </c>
      <c r="F97" s="110" t="s">
        <v>113</v>
      </c>
      <c r="G97" s="110" t="s">
        <v>114</v>
      </c>
      <c r="H97" s="111">
        <v>39</v>
      </c>
      <c r="I97" s="111">
        <v>41</v>
      </c>
      <c r="J97" s="111">
        <v>36</v>
      </c>
      <c r="K97" s="111">
        <f t="shared" si="9"/>
        <v>38.666666666666664</v>
      </c>
      <c r="L97" s="111">
        <v>50000</v>
      </c>
      <c r="M97" s="111">
        <f t="shared" si="10"/>
        <v>22500</v>
      </c>
      <c r="N97" s="111">
        <f t="shared" si="11"/>
        <v>22500</v>
      </c>
      <c r="O97" s="111">
        <f t="shared" si="12"/>
        <v>4500</v>
      </c>
      <c r="P97" s="111">
        <f t="shared" si="13"/>
        <v>5000</v>
      </c>
      <c r="Q97" s="111">
        <v>10000</v>
      </c>
      <c r="R97" s="111">
        <v>1</v>
      </c>
      <c r="S97" s="111">
        <f t="shared" si="14"/>
        <v>1000</v>
      </c>
      <c r="T97" s="111">
        <f t="shared" si="15"/>
        <v>60000</v>
      </c>
      <c r="U97" s="111">
        <f t="shared" si="16"/>
        <v>600</v>
      </c>
      <c r="V97" s="111">
        <f t="shared" si="17"/>
        <v>60600</v>
      </c>
      <c r="W97" t="s">
        <v>2556</v>
      </c>
    </row>
    <row r="98" spans="1:23" x14ac:dyDescent="0.3">
      <c r="A98" s="110">
        <v>107021</v>
      </c>
      <c r="B98" s="110" t="s">
        <v>111</v>
      </c>
      <c r="C98" s="110" t="s">
        <v>150</v>
      </c>
      <c r="D98" s="110" t="s">
        <v>250</v>
      </c>
      <c r="E98" s="110" t="s">
        <v>251</v>
      </c>
      <c r="F98" s="110" t="s">
        <v>168</v>
      </c>
      <c r="G98" s="110" t="s">
        <v>114</v>
      </c>
      <c r="H98" s="111">
        <v>110</v>
      </c>
      <c r="I98" s="111">
        <v>104</v>
      </c>
      <c r="J98" s="111">
        <v>107</v>
      </c>
      <c r="K98" s="111">
        <f t="shared" si="9"/>
        <v>107</v>
      </c>
      <c r="L98" s="111">
        <v>150000</v>
      </c>
      <c r="M98" s="111">
        <f t="shared" si="10"/>
        <v>67500</v>
      </c>
      <c r="N98" s="111">
        <f t="shared" si="11"/>
        <v>67500</v>
      </c>
      <c r="O98" s="111">
        <f t="shared" si="12"/>
        <v>13500</v>
      </c>
      <c r="P98" s="111">
        <f t="shared" si="13"/>
        <v>15000</v>
      </c>
      <c r="Q98" s="111">
        <v>30000</v>
      </c>
      <c r="R98" s="111">
        <v>3</v>
      </c>
      <c r="S98" s="111">
        <f t="shared" si="14"/>
        <v>3000</v>
      </c>
      <c r="T98" s="111">
        <f t="shared" si="15"/>
        <v>180000</v>
      </c>
      <c r="U98" s="111">
        <f t="shared" si="16"/>
        <v>1800</v>
      </c>
      <c r="V98" s="111">
        <f t="shared" si="17"/>
        <v>181800</v>
      </c>
      <c r="W98" t="s">
        <v>2557</v>
      </c>
    </row>
    <row r="99" spans="1:23" x14ac:dyDescent="0.3">
      <c r="A99" s="110">
        <v>107090</v>
      </c>
      <c r="B99" s="110" t="s">
        <v>111</v>
      </c>
      <c r="C99" s="110" t="s">
        <v>150</v>
      </c>
      <c r="D99" s="110" t="s">
        <v>150</v>
      </c>
      <c r="E99" s="110" t="s">
        <v>252</v>
      </c>
      <c r="F99" s="110" t="s">
        <v>119</v>
      </c>
      <c r="G99" s="110" t="s">
        <v>114</v>
      </c>
      <c r="H99" s="111">
        <v>515</v>
      </c>
      <c r="I99" s="111">
        <v>510</v>
      </c>
      <c r="J99" s="111">
        <v>510</v>
      </c>
      <c r="K99" s="111">
        <f t="shared" si="9"/>
        <v>511.66666666666669</v>
      </c>
      <c r="L99" s="111">
        <f>300000*0.7</f>
        <v>210000</v>
      </c>
      <c r="M99" s="111">
        <f t="shared" si="10"/>
        <v>94500</v>
      </c>
      <c r="N99" s="111">
        <f t="shared" si="11"/>
        <v>94500</v>
      </c>
      <c r="O99" s="111">
        <f t="shared" si="12"/>
        <v>18900</v>
      </c>
      <c r="P99" s="111">
        <f t="shared" si="13"/>
        <v>21000</v>
      </c>
      <c r="Q99" s="111">
        <v>60000</v>
      </c>
      <c r="R99" s="111">
        <v>6</v>
      </c>
      <c r="S99" s="111">
        <f t="shared" si="14"/>
        <v>6000</v>
      </c>
      <c r="T99" s="111">
        <f t="shared" si="15"/>
        <v>270000</v>
      </c>
      <c r="U99" s="111">
        <f t="shared" si="16"/>
        <v>2700</v>
      </c>
      <c r="V99" s="111">
        <f t="shared" si="17"/>
        <v>272700</v>
      </c>
      <c r="W99" t="s">
        <v>2558</v>
      </c>
    </row>
    <row r="100" spans="1:23" x14ac:dyDescent="0.3">
      <c r="A100" s="110">
        <v>107092</v>
      </c>
      <c r="B100" s="110" t="s">
        <v>111</v>
      </c>
      <c r="C100" s="110" t="s">
        <v>150</v>
      </c>
      <c r="D100" s="110" t="s">
        <v>253</v>
      </c>
      <c r="E100" s="110" t="s">
        <v>254</v>
      </c>
      <c r="F100" s="110" t="s">
        <v>168</v>
      </c>
      <c r="G100" s="110" t="s">
        <v>114</v>
      </c>
      <c r="H100" s="111">
        <v>144</v>
      </c>
      <c r="I100" s="111">
        <v>143</v>
      </c>
      <c r="J100" s="111">
        <v>134</v>
      </c>
      <c r="K100" s="111">
        <f t="shared" si="9"/>
        <v>140.33333333333334</v>
      </c>
      <c r="L100" s="111">
        <v>150000</v>
      </c>
      <c r="M100" s="111">
        <f t="shared" si="10"/>
        <v>67500</v>
      </c>
      <c r="N100" s="111">
        <f t="shared" si="11"/>
        <v>67500</v>
      </c>
      <c r="O100" s="111">
        <f t="shared" si="12"/>
        <v>13500</v>
      </c>
      <c r="P100" s="111">
        <f t="shared" si="13"/>
        <v>15000</v>
      </c>
      <c r="Q100" s="111">
        <v>30000</v>
      </c>
      <c r="R100" s="111">
        <v>3</v>
      </c>
      <c r="S100" s="111">
        <f t="shared" si="14"/>
        <v>3000</v>
      </c>
      <c r="T100" s="111">
        <f t="shared" si="15"/>
        <v>180000</v>
      </c>
      <c r="U100" s="111">
        <f t="shared" si="16"/>
        <v>1800</v>
      </c>
      <c r="V100" s="111">
        <f t="shared" si="17"/>
        <v>181800</v>
      </c>
      <c r="W100" t="s">
        <v>2559</v>
      </c>
    </row>
    <row r="101" spans="1:23" x14ac:dyDescent="0.3">
      <c r="A101" s="110">
        <v>107094</v>
      </c>
      <c r="B101" s="110" t="s">
        <v>111</v>
      </c>
      <c r="C101" s="110" t="s">
        <v>150</v>
      </c>
      <c r="D101" s="110" t="s">
        <v>255</v>
      </c>
      <c r="E101" s="110" t="s">
        <v>256</v>
      </c>
      <c r="F101" s="110" t="s">
        <v>168</v>
      </c>
      <c r="G101" s="110" t="s">
        <v>114</v>
      </c>
      <c r="H101" s="111">
        <v>105</v>
      </c>
      <c r="I101" s="111">
        <v>97</v>
      </c>
      <c r="J101" s="111">
        <v>90</v>
      </c>
      <c r="K101" s="111">
        <f t="shared" si="9"/>
        <v>97.333333333333329</v>
      </c>
      <c r="L101" s="111">
        <v>150000</v>
      </c>
      <c r="M101" s="111">
        <f t="shared" si="10"/>
        <v>67500</v>
      </c>
      <c r="N101" s="111">
        <f t="shared" si="11"/>
        <v>67500</v>
      </c>
      <c r="O101" s="111">
        <f t="shared" si="12"/>
        <v>13500</v>
      </c>
      <c r="P101" s="111">
        <f t="shared" si="13"/>
        <v>15000</v>
      </c>
      <c r="Q101" s="111">
        <v>30000</v>
      </c>
      <c r="R101" s="111">
        <v>3</v>
      </c>
      <c r="S101" s="111">
        <f t="shared" si="14"/>
        <v>3000</v>
      </c>
      <c r="T101" s="111">
        <f t="shared" si="15"/>
        <v>180000</v>
      </c>
      <c r="U101" s="111">
        <f t="shared" si="16"/>
        <v>1800</v>
      </c>
      <c r="V101" s="111">
        <f t="shared" si="17"/>
        <v>181800</v>
      </c>
      <c r="W101" t="s">
        <v>2560</v>
      </c>
    </row>
    <row r="102" spans="1:23" x14ac:dyDescent="0.3">
      <c r="A102" s="110">
        <v>108001</v>
      </c>
      <c r="B102" s="110" t="s">
        <v>111</v>
      </c>
      <c r="C102" s="110" t="s">
        <v>257</v>
      </c>
      <c r="D102" s="110" t="s">
        <v>257</v>
      </c>
      <c r="E102" s="110" t="s">
        <v>178</v>
      </c>
      <c r="F102" s="110" t="s">
        <v>119</v>
      </c>
      <c r="G102" s="110" t="s">
        <v>114</v>
      </c>
      <c r="H102" s="111">
        <v>365</v>
      </c>
      <c r="I102" s="111">
        <v>352</v>
      </c>
      <c r="J102" s="111">
        <v>332</v>
      </c>
      <c r="K102" s="111">
        <f t="shared" si="9"/>
        <v>349.66666666666669</v>
      </c>
      <c r="L102" s="111">
        <v>200000</v>
      </c>
      <c r="M102" s="111">
        <f t="shared" si="10"/>
        <v>90000</v>
      </c>
      <c r="N102" s="111">
        <f t="shared" si="11"/>
        <v>90000</v>
      </c>
      <c r="O102" s="111">
        <f t="shared" si="12"/>
        <v>18000</v>
      </c>
      <c r="P102" s="111">
        <f t="shared" si="13"/>
        <v>20000</v>
      </c>
      <c r="Q102" s="111">
        <v>50000</v>
      </c>
      <c r="R102" s="111">
        <v>5</v>
      </c>
      <c r="S102" s="111">
        <f t="shared" si="14"/>
        <v>5000</v>
      </c>
      <c r="T102" s="111">
        <f t="shared" si="15"/>
        <v>250000</v>
      </c>
      <c r="U102" s="111">
        <f t="shared" si="16"/>
        <v>2500</v>
      </c>
      <c r="V102" s="111">
        <f t="shared" si="17"/>
        <v>252500</v>
      </c>
      <c r="W102" t="s">
        <v>2561</v>
      </c>
    </row>
    <row r="103" spans="1:23" x14ac:dyDescent="0.3">
      <c r="A103" s="110">
        <v>108003</v>
      </c>
      <c r="B103" s="110" t="s">
        <v>111</v>
      </c>
      <c r="C103" s="110" t="s">
        <v>257</v>
      </c>
      <c r="D103" s="110" t="s">
        <v>258</v>
      </c>
      <c r="E103" s="110" t="s">
        <v>259</v>
      </c>
      <c r="F103" s="110" t="s">
        <v>113</v>
      </c>
      <c r="G103" s="110" t="s">
        <v>114</v>
      </c>
      <c r="H103" s="111">
        <v>67</v>
      </c>
      <c r="I103" s="111">
        <v>59</v>
      </c>
      <c r="J103" s="111">
        <v>58</v>
      </c>
      <c r="K103" s="111">
        <f t="shared" si="9"/>
        <v>61.333333333333336</v>
      </c>
      <c r="L103" s="111">
        <v>150000</v>
      </c>
      <c r="M103" s="111">
        <f t="shared" si="10"/>
        <v>67500</v>
      </c>
      <c r="N103" s="111">
        <f t="shared" si="11"/>
        <v>67500</v>
      </c>
      <c r="O103" s="111">
        <f t="shared" si="12"/>
        <v>13500</v>
      </c>
      <c r="P103" s="111">
        <f t="shared" si="13"/>
        <v>15000</v>
      </c>
      <c r="Q103" s="111">
        <v>30000</v>
      </c>
      <c r="R103" s="111">
        <v>3</v>
      </c>
      <c r="S103" s="111">
        <f t="shared" si="14"/>
        <v>3000</v>
      </c>
      <c r="T103" s="111">
        <f t="shared" si="15"/>
        <v>180000</v>
      </c>
      <c r="U103" s="111">
        <f t="shared" si="16"/>
        <v>1800</v>
      </c>
      <c r="V103" s="111">
        <f t="shared" si="17"/>
        <v>181800</v>
      </c>
      <c r="W103" t="s">
        <v>2562</v>
      </c>
    </row>
    <row r="104" spans="1:23" x14ac:dyDescent="0.3">
      <c r="A104" s="110">
        <v>108004</v>
      </c>
      <c r="B104" s="110" t="s">
        <v>111</v>
      </c>
      <c r="C104" s="110" t="s">
        <v>257</v>
      </c>
      <c r="D104" s="110" t="s">
        <v>260</v>
      </c>
      <c r="E104" s="110" t="s">
        <v>261</v>
      </c>
      <c r="F104" s="110" t="s">
        <v>119</v>
      </c>
      <c r="G104" s="110" t="s">
        <v>114</v>
      </c>
      <c r="H104" s="111">
        <v>329</v>
      </c>
      <c r="I104" s="111">
        <v>312</v>
      </c>
      <c r="J104" s="111">
        <v>304</v>
      </c>
      <c r="K104" s="111">
        <f t="shared" si="9"/>
        <v>315</v>
      </c>
      <c r="L104" s="111">
        <f>200000*0.7</f>
        <v>140000</v>
      </c>
      <c r="M104" s="111">
        <f t="shared" si="10"/>
        <v>63000</v>
      </c>
      <c r="N104" s="111">
        <f t="shared" si="11"/>
        <v>63000</v>
      </c>
      <c r="O104" s="111">
        <f t="shared" si="12"/>
        <v>12600</v>
      </c>
      <c r="P104" s="111">
        <f t="shared" si="13"/>
        <v>14000</v>
      </c>
      <c r="Q104" s="111">
        <v>50000</v>
      </c>
      <c r="R104" s="111">
        <v>5</v>
      </c>
      <c r="S104" s="111">
        <f t="shared" si="14"/>
        <v>5000</v>
      </c>
      <c r="T104" s="111">
        <f t="shared" si="15"/>
        <v>190000</v>
      </c>
      <c r="U104" s="111">
        <f t="shared" si="16"/>
        <v>1900</v>
      </c>
      <c r="V104" s="111">
        <f t="shared" si="17"/>
        <v>191900</v>
      </c>
      <c r="W104" t="s">
        <v>2563</v>
      </c>
    </row>
    <row r="105" spans="1:23" x14ac:dyDescent="0.3">
      <c r="A105" s="110">
        <v>108006</v>
      </c>
      <c r="B105" s="110" t="s">
        <v>111</v>
      </c>
      <c r="C105" s="110" t="s">
        <v>257</v>
      </c>
      <c r="D105" s="110" t="s">
        <v>262</v>
      </c>
      <c r="E105" s="110" t="s">
        <v>263</v>
      </c>
      <c r="F105" s="110" t="s">
        <v>113</v>
      </c>
      <c r="G105" s="110" t="s">
        <v>114</v>
      </c>
      <c r="H105" s="111">
        <v>43</v>
      </c>
      <c r="I105" s="111">
        <v>44</v>
      </c>
      <c r="J105" s="111">
        <v>43</v>
      </c>
      <c r="K105" s="111">
        <f t="shared" si="9"/>
        <v>43.333333333333336</v>
      </c>
      <c r="L105" s="111">
        <v>50000</v>
      </c>
      <c r="M105" s="111">
        <f t="shared" si="10"/>
        <v>22500</v>
      </c>
      <c r="N105" s="111">
        <f t="shared" si="11"/>
        <v>22500</v>
      </c>
      <c r="O105" s="111">
        <f t="shared" si="12"/>
        <v>4500</v>
      </c>
      <c r="P105" s="111">
        <f t="shared" si="13"/>
        <v>5000</v>
      </c>
      <c r="Q105" s="111">
        <v>10000</v>
      </c>
      <c r="R105" s="111">
        <v>1</v>
      </c>
      <c r="S105" s="111">
        <f t="shared" si="14"/>
        <v>1000</v>
      </c>
      <c r="T105" s="111">
        <f t="shared" si="15"/>
        <v>60000</v>
      </c>
      <c r="U105" s="111">
        <f t="shared" si="16"/>
        <v>600</v>
      </c>
      <c r="V105" s="111">
        <f t="shared" si="17"/>
        <v>60600</v>
      </c>
      <c r="W105" t="s">
        <v>2564</v>
      </c>
    </row>
    <row r="106" spans="1:23" x14ac:dyDescent="0.3">
      <c r="A106" s="110">
        <v>108007</v>
      </c>
      <c r="B106" s="110" t="s">
        <v>111</v>
      </c>
      <c r="C106" s="110" t="s">
        <v>257</v>
      </c>
      <c r="D106" s="110" t="s">
        <v>264</v>
      </c>
      <c r="E106" s="110" t="s">
        <v>265</v>
      </c>
      <c r="F106" s="110" t="s">
        <v>113</v>
      </c>
      <c r="G106" s="110" t="s">
        <v>114</v>
      </c>
      <c r="H106" s="111">
        <v>66</v>
      </c>
      <c r="I106" s="111">
        <v>66</v>
      </c>
      <c r="J106" s="111">
        <v>54</v>
      </c>
      <c r="K106" s="111">
        <f t="shared" si="9"/>
        <v>62</v>
      </c>
      <c r="L106" s="111">
        <v>150000</v>
      </c>
      <c r="M106" s="111">
        <f t="shared" si="10"/>
        <v>67500</v>
      </c>
      <c r="N106" s="111">
        <f t="shared" si="11"/>
        <v>67500</v>
      </c>
      <c r="O106" s="111">
        <f t="shared" si="12"/>
        <v>13500</v>
      </c>
      <c r="P106" s="111">
        <f t="shared" si="13"/>
        <v>15000</v>
      </c>
      <c r="Q106" s="111">
        <v>30000</v>
      </c>
      <c r="R106" s="111">
        <v>3</v>
      </c>
      <c r="S106" s="111">
        <f t="shared" si="14"/>
        <v>3000</v>
      </c>
      <c r="T106" s="111">
        <f t="shared" si="15"/>
        <v>180000</v>
      </c>
      <c r="U106" s="111">
        <f t="shared" si="16"/>
        <v>1800</v>
      </c>
      <c r="V106" s="111">
        <f t="shared" si="17"/>
        <v>181800</v>
      </c>
      <c r="W106" t="s">
        <v>2565</v>
      </c>
    </row>
    <row r="107" spans="1:23" x14ac:dyDescent="0.3">
      <c r="A107" s="110">
        <v>108021</v>
      </c>
      <c r="B107" s="110" t="s">
        <v>111</v>
      </c>
      <c r="C107" s="110" t="s">
        <v>145</v>
      </c>
      <c r="D107" s="110" t="s">
        <v>145</v>
      </c>
      <c r="E107" s="110" t="s">
        <v>266</v>
      </c>
      <c r="F107" s="110" t="s">
        <v>122</v>
      </c>
      <c r="G107" s="110" t="s">
        <v>114</v>
      </c>
      <c r="H107" s="111">
        <v>64</v>
      </c>
      <c r="I107" s="111">
        <v>67</v>
      </c>
      <c r="J107" s="111">
        <v>58</v>
      </c>
      <c r="K107" s="111">
        <f t="shared" si="9"/>
        <v>63</v>
      </c>
      <c r="L107" s="111">
        <v>0</v>
      </c>
      <c r="M107" s="111">
        <f t="shared" si="10"/>
        <v>0</v>
      </c>
      <c r="N107" s="111">
        <f t="shared" si="11"/>
        <v>0</v>
      </c>
      <c r="O107" s="111">
        <f t="shared" si="12"/>
        <v>0</v>
      </c>
      <c r="P107" s="111">
        <f t="shared" si="13"/>
        <v>0</v>
      </c>
      <c r="Q107" s="111">
        <v>0</v>
      </c>
      <c r="R107" s="111">
        <v>0</v>
      </c>
      <c r="S107" s="111">
        <f t="shared" si="14"/>
        <v>0</v>
      </c>
      <c r="T107" s="111">
        <f t="shared" si="15"/>
        <v>0</v>
      </c>
      <c r="U107" s="111">
        <f t="shared" si="16"/>
        <v>0</v>
      </c>
      <c r="V107" s="111">
        <f t="shared" si="17"/>
        <v>0</v>
      </c>
      <c r="W107" t="s">
        <v>2566</v>
      </c>
    </row>
    <row r="108" spans="1:23" x14ac:dyDescent="0.3">
      <c r="A108" s="110">
        <v>108100</v>
      </c>
      <c r="B108" s="110" t="s">
        <v>111</v>
      </c>
      <c r="C108" s="110" t="s">
        <v>267</v>
      </c>
      <c r="D108" s="110" t="s">
        <v>268</v>
      </c>
      <c r="E108" s="110" t="s">
        <v>269</v>
      </c>
      <c r="F108" s="110" t="s">
        <v>119</v>
      </c>
      <c r="G108" s="110" t="s">
        <v>114</v>
      </c>
      <c r="H108" s="111">
        <v>358</v>
      </c>
      <c r="I108" s="111">
        <v>336</v>
      </c>
      <c r="J108" s="111">
        <v>324</v>
      </c>
      <c r="K108" s="111">
        <f t="shared" si="9"/>
        <v>339.33333333333331</v>
      </c>
      <c r="L108" s="111">
        <v>200000</v>
      </c>
      <c r="M108" s="111">
        <f t="shared" si="10"/>
        <v>90000</v>
      </c>
      <c r="N108" s="111">
        <f t="shared" si="11"/>
        <v>90000</v>
      </c>
      <c r="O108" s="111">
        <f t="shared" si="12"/>
        <v>18000</v>
      </c>
      <c r="P108" s="111">
        <f t="shared" si="13"/>
        <v>20000</v>
      </c>
      <c r="Q108" s="111">
        <v>50000</v>
      </c>
      <c r="R108" s="111">
        <v>5</v>
      </c>
      <c r="S108" s="111">
        <f t="shared" si="14"/>
        <v>5000</v>
      </c>
      <c r="T108" s="111">
        <f t="shared" si="15"/>
        <v>250000</v>
      </c>
      <c r="U108" s="111">
        <f t="shared" si="16"/>
        <v>2500</v>
      </c>
      <c r="V108" s="111">
        <f t="shared" si="17"/>
        <v>252500</v>
      </c>
      <c r="W108" t="s">
        <v>2567</v>
      </c>
    </row>
    <row r="109" spans="1:23" x14ac:dyDescent="0.3">
      <c r="A109" s="110">
        <v>109030</v>
      </c>
      <c r="B109" s="110" t="s">
        <v>111</v>
      </c>
      <c r="C109" s="110" t="s">
        <v>270</v>
      </c>
      <c r="D109" s="110" t="s">
        <v>271</v>
      </c>
      <c r="E109" s="110" t="s">
        <v>272</v>
      </c>
      <c r="F109" s="110" t="s">
        <v>119</v>
      </c>
      <c r="G109" s="110" t="s">
        <v>114</v>
      </c>
      <c r="H109" s="111">
        <v>340</v>
      </c>
      <c r="I109" s="111">
        <v>327</v>
      </c>
      <c r="J109" s="111">
        <v>325</v>
      </c>
      <c r="K109" s="111">
        <f t="shared" si="9"/>
        <v>330.66666666666669</v>
      </c>
      <c r="L109" s="111">
        <v>200000</v>
      </c>
      <c r="M109" s="111">
        <f t="shared" si="10"/>
        <v>90000</v>
      </c>
      <c r="N109" s="111">
        <f t="shared" si="11"/>
        <v>90000</v>
      </c>
      <c r="O109" s="111">
        <f t="shared" si="12"/>
        <v>18000</v>
      </c>
      <c r="P109" s="111">
        <f t="shared" si="13"/>
        <v>20000</v>
      </c>
      <c r="Q109" s="111">
        <v>50000</v>
      </c>
      <c r="R109" s="111">
        <v>5</v>
      </c>
      <c r="S109" s="111">
        <f t="shared" si="14"/>
        <v>5000</v>
      </c>
      <c r="T109" s="111">
        <f t="shared" si="15"/>
        <v>250000</v>
      </c>
      <c r="U109" s="111">
        <f t="shared" si="16"/>
        <v>2500</v>
      </c>
      <c r="V109" s="111">
        <f t="shared" si="17"/>
        <v>252500</v>
      </c>
      <c r="W109" t="s">
        <v>2568</v>
      </c>
    </row>
    <row r="110" spans="1:23" x14ac:dyDescent="0.3">
      <c r="A110" s="110">
        <v>109037</v>
      </c>
      <c r="B110" s="110" t="s">
        <v>111</v>
      </c>
      <c r="C110" s="110" t="s">
        <v>270</v>
      </c>
      <c r="D110" s="110" t="s">
        <v>273</v>
      </c>
      <c r="E110" s="110" t="s">
        <v>274</v>
      </c>
      <c r="F110" s="110" t="s">
        <v>119</v>
      </c>
      <c r="G110" s="110" t="s">
        <v>114</v>
      </c>
      <c r="H110" s="111">
        <v>218</v>
      </c>
      <c r="I110" s="111">
        <v>205</v>
      </c>
      <c r="J110" s="111">
        <v>208</v>
      </c>
      <c r="K110" s="111">
        <f t="shared" si="9"/>
        <v>210.33333333333334</v>
      </c>
      <c r="L110" s="111">
        <f>200000*0.7</f>
        <v>140000</v>
      </c>
      <c r="M110" s="111">
        <f t="shared" si="10"/>
        <v>63000</v>
      </c>
      <c r="N110" s="111">
        <f t="shared" si="11"/>
        <v>63000</v>
      </c>
      <c r="O110" s="111">
        <f t="shared" si="12"/>
        <v>12600</v>
      </c>
      <c r="P110" s="111">
        <f t="shared" si="13"/>
        <v>14000</v>
      </c>
      <c r="Q110" s="111">
        <v>50000</v>
      </c>
      <c r="R110" s="111">
        <v>5</v>
      </c>
      <c r="S110" s="111">
        <f t="shared" si="14"/>
        <v>5000</v>
      </c>
      <c r="T110" s="111">
        <f t="shared" si="15"/>
        <v>190000</v>
      </c>
      <c r="U110" s="111">
        <f t="shared" si="16"/>
        <v>1900</v>
      </c>
      <c r="V110" s="111">
        <f t="shared" si="17"/>
        <v>191900</v>
      </c>
      <c r="W110" t="s">
        <v>2569</v>
      </c>
    </row>
    <row r="111" spans="1:23" x14ac:dyDescent="0.3">
      <c r="A111" s="110">
        <v>109038</v>
      </c>
      <c r="B111" s="110" t="s">
        <v>111</v>
      </c>
      <c r="C111" s="110" t="s">
        <v>270</v>
      </c>
      <c r="D111" s="110" t="s">
        <v>275</v>
      </c>
      <c r="E111" s="110" t="s">
        <v>226</v>
      </c>
      <c r="F111" s="110" t="s">
        <v>113</v>
      </c>
      <c r="G111" s="110" t="s">
        <v>114</v>
      </c>
      <c r="H111" s="111">
        <v>28</v>
      </c>
      <c r="I111" s="111">
        <v>27</v>
      </c>
      <c r="J111" s="111">
        <v>27</v>
      </c>
      <c r="K111" s="111">
        <f t="shared" si="9"/>
        <v>27.333333333333332</v>
      </c>
      <c r="L111" s="111">
        <v>50000</v>
      </c>
      <c r="M111" s="111">
        <f t="shared" si="10"/>
        <v>22500</v>
      </c>
      <c r="N111" s="111">
        <f t="shared" si="11"/>
        <v>22500</v>
      </c>
      <c r="O111" s="111">
        <f t="shared" si="12"/>
        <v>4500</v>
      </c>
      <c r="P111" s="111">
        <f t="shared" si="13"/>
        <v>5000</v>
      </c>
      <c r="Q111" s="111">
        <v>10000</v>
      </c>
      <c r="R111" s="111">
        <v>1</v>
      </c>
      <c r="S111" s="111">
        <f t="shared" si="14"/>
        <v>1000</v>
      </c>
      <c r="T111" s="111">
        <f t="shared" si="15"/>
        <v>60000</v>
      </c>
      <c r="U111" s="111">
        <f t="shared" si="16"/>
        <v>600</v>
      </c>
      <c r="V111" s="111">
        <f t="shared" si="17"/>
        <v>60600</v>
      </c>
      <c r="W111" t="s">
        <v>2570</v>
      </c>
    </row>
    <row r="112" spans="1:23" x14ac:dyDescent="0.3">
      <c r="A112" s="110">
        <v>109039</v>
      </c>
      <c r="B112" s="110" t="s">
        <v>111</v>
      </c>
      <c r="C112" s="110" t="s">
        <v>270</v>
      </c>
      <c r="D112" s="110" t="s">
        <v>276</v>
      </c>
      <c r="E112" s="110" t="s">
        <v>241</v>
      </c>
      <c r="F112" s="110" t="s">
        <v>113</v>
      </c>
      <c r="G112" s="110" t="s">
        <v>114</v>
      </c>
      <c r="H112" s="111">
        <v>39</v>
      </c>
      <c r="I112" s="111">
        <v>36</v>
      </c>
      <c r="J112" s="111">
        <v>35</v>
      </c>
      <c r="K112" s="111">
        <f t="shared" si="9"/>
        <v>36.666666666666664</v>
      </c>
      <c r="L112" s="111">
        <v>50000</v>
      </c>
      <c r="M112" s="111">
        <f t="shared" si="10"/>
        <v>22500</v>
      </c>
      <c r="N112" s="111">
        <f t="shared" si="11"/>
        <v>22500</v>
      </c>
      <c r="O112" s="111">
        <f t="shared" si="12"/>
        <v>4500</v>
      </c>
      <c r="P112" s="111">
        <f t="shared" si="13"/>
        <v>5000</v>
      </c>
      <c r="Q112" s="111">
        <v>10000</v>
      </c>
      <c r="R112" s="111">
        <v>1</v>
      </c>
      <c r="S112" s="111">
        <f t="shared" si="14"/>
        <v>1000</v>
      </c>
      <c r="T112" s="111">
        <f t="shared" si="15"/>
        <v>60000</v>
      </c>
      <c r="U112" s="111">
        <f t="shared" si="16"/>
        <v>600</v>
      </c>
      <c r="V112" s="111">
        <f t="shared" si="17"/>
        <v>60600</v>
      </c>
      <c r="W112" t="s">
        <v>2571</v>
      </c>
    </row>
    <row r="113" spans="1:23" x14ac:dyDescent="0.3">
      <c r="A113" s="110">
        <v>109050</v>
      </c>
      <c r="B113" s="110" t="s">
        <v>111</v>
      </c>
      <c r="C113" s="110" t="s">
        <v>270</v>
      </c>
      <c r="D113" s="110" t="s">
        <v>270</v>
      </c>
      <c r="E113" s="110" t="s">
        <v>177</v>
      </c>
      <c r="F113" s="110" t="s">
        <v>119</v>
      </c>
      <c r="G113" s="110" t="s">
        <v>114</v>
      </c>
      <c r="H113" s="111">
        <v>309</v>
      </c>
      <c r="I113" s="111">
        <v>304</v>
      </c>
      <c r="J113" s="111">
        <v>299</v>
      </c>
      <c r="K113" s="111">
        <f t="shared" si="9"/>
        <v>304</v>
      </c>
      <c r="L113" s="111">
        <v>200000</v>
      </c>
      <c r="M113" s="111">
        <f t="shared" si="10"/>
        <v>90000</v>
      </c>
      <c r="N113" s="111">
        <f t="shared" si="11"/>
        <v>90000</v>
      </c>
      <c r="O113" s="111">
        <f t="shared" si="12"/>
        <v>18000</v>
      </c>
      <c r="P113" s="111">
        <f t="shared" si="13"/>
        <v>20000</v>
      </c>
      <c r="Q113" s="111">
        <v>50000</v>
      </c>
      <c r="R113" s="111">
        <v>5</v>
      </c>
      <c r="S113" s="111">
        <f t="shared" si="14"/>
        <v>5000</v>
      </c>
      <c r="T113" s="111">
        <f t="shared" si="15"/>
        <v>250000</v>
      </c>
      <c r="U113" s="111">
        <f t="shared" si="16"/>
        <v>2500</v>
      </c>
      <c r="V113" s="111">
        <f t="shared" si="17"/>
        <v>252500</v>
      </c>
      <c r="W113" t="s">
        <v>2572</v>
      </c>
    </row>
    <row r="114" spans="1:23" x14ac:dyDescent="0.3">
      <c r="A114" s="110">
        <v>109051</v>
      </c>
      <c r="B114" s="110" t="s">
        <v>111</v>
      </c>
      <c r="C114" s="110" t="s">
        <v>270</v>
      </c>
      <c r="D114" s="110" t="s">
        <v>277</v>
      </c>
      <c r="E114" s="110" t="s">
        <v>278</v>
      </c>
      <c r="F114" s="110" t="s">
        <v>113</v>
      </c>
      <c r="G114" s="110" t="s">
        <v>114</v>
      </c>
      <c r="H114" s="111">
        <v>16</v>
      </c>
      <c r="I114" s="111">
        <v>17</v>
      </c>
      <c r="J114" s="111">
        <v>11</v>
      </c>
      <c r="K114" s="111">
        <f t="shared" si="9"/>
        <v>14.666666666666666</v>
      </c>
      <c r="L114" s="111">
        <v>50000</v>
      </c>
      <c r="M114" s="111">
        <f t="shared" si="10"/>
        <v>22500</v>
      </c>
      <c r="N114" s="111">
        <f t="shared" si="11"/>
        <v>22500</v>
      </c>
      <c r="O114" s="111">
        <f t="shared" si="12"/>
        <v>4500</v>
      </c>
      <c r="P114" s="111">
        <f t="shared" si="13"/>
        <v>5000</v>
      </c>
      <c r="Q114" s="111">
        <v>10000</v>
      </c>
      <c r="R114" s="111">
        <v>1</v>
      </c>
      <c r="S114" s="111">
        <f t="shared" si="14"/>
        <v>1000</v>
      </c>
      <c r="T114" s="111">
        <f t="shared" si="15"/>
        <v>60000</v>
      </c>
      <c r="U114" s="111">
        <f t="shared" si="16"/>
        <v>600</v>
      </c>
      <c r="V114" s="111">
        <f t="shared" si="17"/>
        <v>60600</v>
      </c>
      <c r="W114" t="s">
        <v>2573</v>
      </c>
    </row>
    <row r="115" spans="1:23" x14ac:dyDescent="0.3">
      <c r="A115" s="110">
        <v>109052</v>
      </c>
      <c r="B115" s="110" t="s">
        <v>111</v>
      </c>
      <c r="C115" s="110" t="s">
        <v>270</v>
      </c>
      <c r="D115" s="110" t="s">
        <v>279</v>
      </c>
      <c r="E115" s="110" t="s">
        <v>280</v>
      </c>
      <c r="F115" s="110" t="s">
        <v>209</v>
      </c>
      <c r="G115" s="110" t="s">
        <v>114</v>
      </c>
      <c r="H115" s="111">
        <v>13</v>
      </c>
      <c r="I115" s="111">
        <v>13</v>
      </c>
      <c r="J115" s="111">
        <v>15</v>
      </c>
      <c r="K115" s="111">
        <f t="shared" si="9"/>
        <v>13.666666666666666</v>
      </c>
      <c r="L115" s="111">
        <v>50000</v>
      </c>
      <c r="M115" s="111">
        <f t="shared" si="10"/>
        <v>22500</v>
      </c>
      <c r="N115" s="111">
        <f t="shared" si="11"/>
        <v>22500</v>
      </c>
      <c r="O115" s="111">
        <f t="shared" si="12"/>
        <v>4500</v>
      </c>
      <c r="P115" s="111">
        <f t="shared" si="13"/>
        <v>5000</v>
      </c>
      <c r="Q115" s="111">
        <v>10000</v>
      </c>
      <c r="R115" s="111">
        <v>1</v>
      </c>
      <c r="S115" s="111">
        <f t="shared" si="14"/>
        <v>1000</v>
      </c>
      <c r="T115" s="111">
        <f t="shared" si="15"/>
        <v>60000</v>
      </c>
      <c r="U115" s="111">
        <f t="shared" si="16"/>
        <v>600</v>
      </c>
      <c r="V115" s="111">
        <f t="shared" si="17"/>
        <v>60600</v>
      </c>
      <c r="W115" t="s">
        <v>2574</v>
      </c>
    </row>
    <row r="116" spans="1:23" x14ac:dyDescent="0.3">
      <c r="A116" s="110">
        <v>109053</v>
      </c>
      <c r="B116" s="110" t="s">
        <v>111</v>
      </c>
      <c r="C116" s="110" t="s">
        <v>270</v>
      </c>
      <c r="D116" s="110" t="s">
        <v>281</v>
      </c>
      <c r="E116" s="110" t="s">
        <v>282</v>
      </c>
      <c r="F116" s="110" t="s">
        <v>209</v>
      </c>
      <c r="G116" s="110" t="s">
        <v>114</v>
      </c>
      <c r="H116" s="111">
        <v>14</v>
      </c>
      <c r="I116" s="111">
        <v>15</v>
      </c>
      <c r="J116" s="111">
        <v>11</v>
      </c>
      <c r="K116" s="111">
        <f t="shared" si="9"/>
        <v>13.333333333333334</v>
      </c>
      <c r="L116" s="111">
        <v>50000</v>
      </c>
      <c r="M116" s="111">
        <f t="shared" si="10"/>
        <v>22500</v>
      </c>
      <c r="N116" s="111">
        <f t="shared" si="11"/>
        <v>22500</v>
      </c>
      <c r="O116" s="111">
        <f t="shared" si="12"/>
        <v>4500</v>
      </c>
      <c r="P116" s="111">
        <f t="shared" si="13"/>
        <v>5000</v>
      </c>
      <c r="Q116" s="111">
        <v>10000</v>
      </c>
      <c r="R116" s="111">
        <v>1</v>
      </c>
      <c r="S116" s="111">
        <f t="shared" si="14"/>
        <v>1000</v>
      </c>
      <c r="T116" s="111">
        <f t="shared" si="15"/>
        <v>60000</v>
      </c>
      <c r="U116" s="111">
        <f t="shared" si="16"/>
        <v>600</v>
      </c>
      <c r="V116" s="111">
        <f t="shared" si="17"/>
        <v>60600</v>
      </c>
      <c r="W116" t="s">
        <v>2575</v>
      </c>
    </row>
    <row r="117" spans="1:23" x14ac:dyDescent="0.3">
      <c r="A117" s="110">
        <v>109054</v>
      </c>
      <c r="B117" s="110" t="s">
        <v>111</v>
      </c>
      <c r="C117" s="110" t="s">
        <v>270</v>
      </c>
      <c r="D117" s="110" t="s">
        <v>283</v>
      </c>
      <c r="E117" s="110" t="s">
        <v>284</v>
      </c>
      <c r="F117" s="110" t="s">
        <v>168</v>
      </c>
      <c r="G117" s="110" t="s">
        <v>114</v>
      </c>
      <c r="H117" s="111">
        <v>129</v>
      </c>
      <c r="I117" s="111">
        <v>116</v>
      </c>
      <c r="J117" s="111">
        <v>133</v>
      </c>
      <c r="K117" s="111">
        <f t="shared" si="9"/>
        <v>126</v>
      </c>
      <c r="L117" s="111">
        <v>150000</v>
      </c>
      <c r="M117" s="111">
        <f t="shared" si="10"/>
        <v>67500</v>
      </c>
      <c r="N117" s="111">
        <f t="shared" si="11"/>
        <v>67500</v>
      </c>
      <c r="O117" s="111">
        <f t="shared" si="12"/>
        <v>13500</v>
      </c>
      <c r="P117" s="111">
        <f t="shared" si="13"/>
        <v>15000</v>
      </c>
      <c r="Q117" s="111">
        <v>30000</v>
      </c>
      <c r="R117" s="111">
        <v>3</v>
      </c>
      <c r="S117" s="111">
        <f t="shared" si="14"/>
        <v>3000</v>
      </c>
      <c r="T117" s="111">
        <f t="shared" si="15"/>
        <v>180000</v>
      </c>
      <c r="U117" s="111">
        <f t="shared" si="16"/>
        <v>1800</v>
      </c>
      <c r="V117" s="111">
        <f t="shared" si="17"/>
        <v>181800</v>
      </c>
      <c r="W117" t="s">
        <v>2576</v>
      </c>
    </row>
    <row r="118" spans="1:23" x14ac:dyDescent="0.3">
      <c r="A118" s="110">
        <v>109055</v>
      </c>
      <c r="B118" s="110" t="s">
        <v>111</v>
      </c>
      <c r="C118" s="110" t="s">
        <v>270</v>
      </c>
      <c r="D118" s="110" t="s">
        <v>285</v>
      </c>
      <c r="E118" s="110" t="s">
        <v>286</v>
      </c>
      <c r="F118" s="110" t="s">
        <v>119</v>
      </c>
      <c r="G118" s="110" t="s">
        <v>114</v>
      </c>
      <c r="H118" s="111">
        <v>290</v>
      </c>
      <c r="I118" s="111">
        <v>296</v>
      </c>
      <c r="J118" s="111">
        <v>284</v>
      </c>
      <c r="K118" s="111">
        <f t="shared" si="9"/>
        <v>290</v>
      </c>
      <c r="L118" s="111">
        <f>200000*0.7</f>
        <v>140000</v>
      </c>
      <c r="M118" s="111">
        <f t="shared" si="10"/>
        <v>63000</v>
      </c>
      <c r="N118" s="111">
        <f t="shared" si="11"/>
        <v>63000</v>
      </c>
      <c r="O118" s="111">
        <f t="shared" si="12"/>
        <v>12600</v>
      </c>
      <c r="P118" s="111">
        <f t="shared" si="13"/>
        <v>14000</v>
      </c>
      <c r="Q118" s="111">
        <v>50000</v>
      </c>
      <c r="R118" s="111">
        <v>5</v>
      </c>
      <c r="S118" s="111">
        <f t="shared" si="14"/>
        <v>5000</v>
      </c>
      <c r="T118" s="111">
        <f t="shared" si="15"/>
        <v>190000</v>
      </c>
      <c r="U118" s="111">
        <f t="shared" si="16"/>
        <v>1900</v>
      </c>
      <c r="V118" s="111">
        <f t="shared" si="17"/>
        <v>191900</v>
      </c>
      <c r="W118" t="s">
        <v>2577</v>
      </c>
    </row>
    <row r="119" spans="1:23" x14ac:dyDescent="0.3">
      <c r="A119" s="110">
        <v>109056</v>
      </c>
      <c r="B119" s="110" t="s">
        <v>111</v>
      </c>
      <c r="C119" s="110" t="s">
        <v>270</v>
      </c>
      <c r="D119" s="110" t="s">
        <v>287</v>
      </c>
      <c r="E119" s="110" t="s">
        <v>208</v>
      </c>
      <c r="F119" s="110" t="s">
        <v>209</v>
      </c>
      <c r="G119" s="110" t="s">
        <v>114</v>
      </c>
      <c r="H119" s="111">
        <v>5</v>
      </c>
      <c r="I119" s="111">
        <v>4</v>
      </c>
      <c r="J119" s="111">
        <v>6</v>
      </c>
      <c r="K119" s="111">
        <f t="shared" si="9"/>
        <v>5</v>
      </c>
      <c r="L119" s="111">
        <v>50000</v>
      </c>
      <c r="M119" s="111">
        <f t="shared" si="10"/>
        <v>22500</v>
      </c>
      <c r="N119" s="111">
        <f t="shared" si="11"/>
        <v>22500</v>
      </c>
      <c r="O119" s="111">
        <f t="shared" si="12"/>
        <v>4500</v>
      </c>
      <c r="P119" s="111">
        <f t="shared" si="13"/>
        <v>5000</v>
      </c>
      <c r="Q119" s="111">
        <v>10000</v>
      </c>
      <c r="R119" s="111">
        <v>1</v>
      </c>
      <c r="S119" s="111">
        <f t="shared" si="14"/>
        <v>1000</v>
      </c>
      <c r="T119" s="111">
        <f t="shared" si="15"/>
        <v>60000</v>
      </c>
      <c r="U119" s="111">
        <f t="shared" si="16"/>
        <v>600</v>
      </c>
      <c r="V119" s="111">
        <f t="shared" si="17"/>
        <v>60600</v>
      </c>
      <c r="W119" t="s">
        <v>2578</v>
      </c>
    </row>
    <row r="120" spans="1:23" x14ac:dyDescent="0.3">
      <c r="A120" s="110">
        <v>109057</v>
      </c>
      <c r="B120" s="110" t="s">
        <v>111</v>
      </c>
      <c r="C120" s="110" t="s">
        <v>270</v>
      </c>
      <c r="D120" s="110" t="s">
        <v>288</v>
      </c>
      <c r="E120" s="110" t="s">
        <v>289</v>
      </c>
      <c r="F120" s="110" t="s">
        <v>113</v>
      </c>
      <c r="G120" s="110" t="s">
        <v>114</v>
      </c>
      <c r="H120" s="111">
        <v>41</v>
      </c>
      <c r="I120" s="111">
        <v>48</v>
      </c>
      <c r="J120" s="111">
        <v>39</v>
      </c>
      <c r="K120" s="111">
        <f t="shared" si="9"/>
        <v>42.666666666666664</v>
      </c>
      <c r="L120" s="111">
        <v>50000</v>
      </c>
      <c r="M120" s="111">
        <f t="shared" si="10"/>
        <v>22500</v>
      </c>
      <c r="N120" s="111">
        <f t="shared" si="11"/>
        <v>22500</v>
      </c>
      <c r="O120" s="111">
        <f t="shared" si="12"/>
        <v>4500</v>
      </c>
      <c r="P120" s="111">
        <f t="shared" si="13"/>
        <v>5000</v>
      </c>
      <c r="Q120" s="111">
        <v>10000</v>
      </c>
      <c r="R120" s="111">
        <v>1</v>
      </c>
      <c r="S120" s="111">
        <f t="shared" si="14"/>
        <v>1000</v>
      </c>
      <c r="T120" s="111">
        <f t="shared" si="15"/>
        <v>60000</v>
      </c>
      <c r="U120" s="111">
        <f t="shared" si="16"/>
        <v>600</v>
      </c>
      <c r="V120" s="111">
        <f t="shared" si="17"/>
        <v>60600</v>
      </c>
      <c r="W120" t="s">
        <v>2579</v>
      </c>
    </row>
    <row r="121" spans="1:23" x14ac:dyDescent="0.3">
      <c r="A121" s="110">
        <v>109068</v>
      </c>
      <c r="B121" s="110" t="s">
        <v>111</v>
      </c>
      <c r="C121" s="110" t="s">
        <v>270</v>
      </c>
      <c r="D121" s="110" t="s">
        <v>290</v>
      </c>
      <c r="E121" s="110" t="s">
        <v>201</v>
      </c>
      <c r="F121" s="110" t="s">
        <v>113</v>
      </c>
      <c r="G121" s="110" t="s">
        <v>114</v>
      </c>
      <c r="H121" s="111">
        <v>11</v>
      </c>
      <c r="I121" s="111">
        <v>11</v>
      </c>
      <c r="J121" s="111">
        <v>6</v>
      </c>
      <c r="K121" s="111">
        <f t="shared" si="9"/>
        <v>9.3333333333333339</v>
      </c>
      <c r="L121" s="111">
        <v>50000</v>
      </c>
      <c r="M121" s="111">
        <f t="shared" si="10"/>
        <v>22500</v>
      </c>
      <c r="N121" s="111">
        <f t="shared" si="11"/>
        <v>22500</v>
      </c>
      <c r="O121" s="111">
        <f t="shared" si="12"/>
        <v>4500</v>
      </c>
      <c r="P121" s="111">
        <f t="shared" si="13"/>
        <v>5000</v>
      </c>
      <c r="Q121" s="111">
        <v>10000</v>
      </c>
      <c r="R121" s="111">
        <v>1</v>
      </c>
      <c r="S121" s="111">
        <f t="shared" si="14"/>
        <v>1000</v>
      </c>
      <c r="T121" s="111">
        <f t="shared" si="15"/>
        <v>60000</v>
      </c>
      <c r="U121" s="111">
        <f t="shared" si="16"/>
        <v>600</v>
      </c>
      <c r="V121" s="111">
        <f t="shared" si="17"/>
        <v>60600</v>
      </c>
      <c r="W121" t="s">
        <v>2580</v>
      </c>
    </row>
    <row r="122" spans="1:23" x14ac:dyDescent="0.3">
      <c r="A122" s="110">
        <v>109102</v>
      </c>
      <c r="B122" s="110" t="s">
        <v>111</v>
      </c>
      <c r="C122" s="110" t="s">
        <v>176</v>
      </c>
      <c r="D122" s="110" t="s">
        <v>291</v>
      </c>
      <c r="E122" s="110" t="s">
        <v>292</v>
      </c>
      <c r="F122" s="110" t="s">
        <v>119</v>
      </c>
      <c r="G122" s="110" t="s">
        <v>114</v>
      </c>
      <c r="H122" s="111">
        <v>266</v>
      </c>
      <c r="I122" s="111">
        <v>273</v>
      </c>
      <c r="J122" s="111">
        <v>277</v>
      </c>
      <c r="K122" s="111">
        <f t="shared" si="9"/>
        <v>272</v>
      </c>
      <c r="L122" s="111">
        <v>200000</v>
      </c>
      <c r="M122" s="111">
        <f t="shared" si="10"/>
        <v>90000</v>
      </c>
      <c r="N122" s="111">
        <f t="shared" si="11"/>
        <v>90000</v>
      </c>
      <c r="O122" s="111">
        <f t="shared" si="12"/>
        <v>18000</v>
      </c>
      <c r="P122" s="111">
        <f t="shared" si="13"/>
        <v>20000</v>
      </c>
      <c r="Q122" s="111">
        <v>50000</v>
      </c>
      <c r="R122" s="111">
        <v>5</v>
      </c>
      <c r="S122" s="111">
        <f t="shared" si="14"/>
        <v>5000</v>
      </c>
      <c r="T122" s="111">
        <f t="shared" si="15"/>
        <v>250000</v>
      </c>
      <c r="U122" s="111">
        <f t="shared" si="16"/>
        <v>2500</v>
      </c>
      <c r="V122" s="111">
        <f t="shared" si="17"/>
        <v>252500</v>
      </c>
      <c r="W122" t="s">
        <v>2581</v>
      </c>
    </row>
    <row r="123" spans="1:23" x14ac:dyDescent="0.3">
      <c r="A123" s="110">
        <v>109107</v>
      </c>
      <c r="B123" s="110" t="s">
        <v>111</v>
      </c>
      <c r="C123" s="110" t="s">
        <v>176</v>
      </c>
      <c r="D123" s="110" t="s">
        <v>293</v>
      </c>
      <c r="E123" s="110" t="s">
        <v>294</v>
      </c>
      <c r="F123" s="110" t="s">
        <v>168</v>
      </c>
      <c r="G123" s="110" t="s">
        <v>114</v>
      </c>
      <c r="H123" s="111">
        <v>184</v>
      </c>
      <c r="I123" s="111">
        <v>179</v>
      </c>
      <c r="J123" s="111">
        <v>181</v>
      </c>
      <c r="K123" s="111">
        <f t="shared" si="9"/>
        <v>181.33333333333334</v>
      </c>
      <c r="L123" s="111">
        <v>150000</v>
      </c>
      <c r="M123" s="111">
        <f t="shared" si="10"/>
        <v>67500</v>
      </c>
      <c r="N123" s="111">
        <f t="shared" si="11"/>
        <v>67500</v>
      </c>
      <c r="O123" s="111">
        <f t="shared" si="12"/>
        <v>13500</v>
      </c>
      <c r="P123" s="111">
        <f t="shared" si="13"/>
        <v>15000</v>
      </c>
      <c r="Q123" s="111">
        <v>30000</v>
      </c>
      <c r="R123" s="111">
        <v>3</v>
      </c>
      <c r="S123" s="111">
        <f t="shared" si="14"/>
        <v>3000</v>
      </c>
      <c r="T123" s="111">
        <f t="shared" si="15"/>
        <v>180000</v>
      </c>
      <c r="U123" s="111">
        <f t="shared" si="16"/>
        <v>1800</v>
      </c>
      <c r="V123" s="111">
        <f t="shared" si="17"/>
        <v>181800</v>
      </c>
      <c r="W123" t="s">
        <v>2582</v>
      </c>
    </row>
    <row r="124" spans="1:23" x14ac:dyDescent="0.3">
      <c r="A124" s="110">
        <v>109185</v>
      </c>
      <c r="B124" s="110" t="s">
        <v>111</v>
      </c>
      <c r="C124" s="110" t="s">
        <v>145</v>
      </c>
      <c r="D124" s="110" t="s">
        <v>145</v>
      </c>
      <c r="E124" s="110" t="s">
        <v>295</v>
      </c>
      <c r="F124" s="110" t="s">
        <v>296</v>
      </c>
      <c r="G124" s="110" t="s">
        <v>114</v>
      </c>
      <c r="H124" s="111">
        <v>137</v>
      </c>
      <c r="I124" s="111">
        <v>148</v>
      </c>
      <c r="J124" s="111">
        <v>149</v>
      </c>
      <c r="K124" s="111">
        <f t="shared" si="9"/>
        <v>144.66666666666666</v>
      </c>
      <c r="L124" s="111">
        <f>150000*0.7</f>
        <v>105000</v>
      </c>
      <c r="M124" s="111">
        <f t="shared" si="10"/>
        <v>47250</v>
      </c>
      <c r="N124" s="111">
        <f t="shared" si="11"/>
        <v>47250</v>
      </c>
      <c r="O124" s="111">
        <f t="shared" si="12"/>
        <v>9450</v>
      </c>
      <c r="P124" s="111">
        <f t="shared" si="13"/>
        <v>10500</v>
      </c>
      <c r="Q124" s="111">
        <v>30000</v>
      </c>
      <c r="R124" s="111">
        <v>3</v>
      </c>
      <c r="S124" s="111">
        <f t="shared" si="14"/>
        <v>3000</v>
      </c>
      <c r="T124" s="111">
        <f t="shared" si="15"/>
        <v>135000</v>
      </c>
      <c r="U124" s="111">
        <f t="shared" si="16"/>
        <v>1350</v>
      </c>
      <c r="V124" s="111">
        <f t="shared" si="17"/>
        <v>136350</v>
      </c>
      <c r="W124" t="s">
        <v>2583</v>
      </c>
    </row>
    <row r="125" spans="1:23" x14ac:dyDescent="0.3">
      <c r="A125" s="110">
        <v>200104</v>
      </c>
      <c r="B125" s="110" t="s">
        <v>297</v>
      </c>
      <c r="C125" s="110" t="s">
        <v>298</v>
      </c>
      <c r="D125" s="110" t="s">
        <v>298</v>
      </c>
      <c r="E125" s="110" t="s">
        <v>299</v>
      </c>
      <c r="F125" s="110" t="s">
        <v>113</v>
      </c>
      <c r="G125" s="110" t="s">
        <v>114</v>
      </c>
      <c r="H125" s="111">
        <v>315</v>
      </c>
      <c r="I125" s="111">
        <v>296</v>
      </c>
      <c r="J125" s="111">
        <v>299</v>
      </c>
      <c r="K125" s="111">
        <f t="shared" si="9"/>
        <v>303.33333333333331</v>
      </c>
      <c r="L125" s="111">
        <v>200000</v>
      </c>
      <c r="M125" s="111">
        <f t="shared" si="10"/>
        <v>90000</v>
      </c>
      <c r="N125" s="111">
        <f t="shared" si="11"/>
        <v>90000</v>
      </c>
      <c r="O125" s="111">
        <f t="shared" si="12"/>
        <v>18000</v>
      </c>
      <c r="P125" s="111">
        <f t="shared" si="13"/>
        <v>20000</v>
      </c>
      <c r="Q125" s="111">
        <v>50000</v>
      </c>
      <c r="R125" s="111">
        <v>5</v>
      </c>
      <c r="S125" s="111">
        <f t="shared" si="14"/>
        <v>5000</v>
      </c>
      <c r="T125" s="111">
        <f t="shared" si="15"/>
        <v>250000</v>
      </c>
      <c r="U125" s="111">
        <f t="shared" si="16"/>
        <v>2500</v>
      </c>
      <c r="V125" s="111">
        <f t="shared" si="17"/>
        <v>252500</v>
      </c>
      <c r="W125" t="s">
        <v>2584</v>
      </c>
    </row>
    <row r="126" spans="1:23" x14ac:dyDescent="0.3">
      <c r="A126" s="110">
        <v>200105</v>
      </c>
      <c r="B126" s="110" t="s">
        <v>297</v>
      </c>
      <c r="C126" s="110" t="s">
        <v>298</v>
      </c>
      <c r="D126" s="110" t="s">
        <v>300</v>
      </c>
      <c r="E126" s="110" t="s">
        <v>301</v>
      </c>
      <c r="F126" s="110" t="s">
        <v>113</v>
      </c>
      <c r="G126" s="110" t="s">
        <v>114</v>
      </c>
      <c r="H126" s="111">
        <v>57</v>
      </c>
      <c r="I126" s="111">
        <v>73</v>
      </c>
      <c r="J126" s="111">
        <v>70</v>
      </c>
      <c r="K126" s="111">
        <f t="shared" si="9"/>
        <v>66.666666666666671</v>
      </c>
      <c r="L126" s="111">
        <v>150000</v>
      </c>
      <c r="M126" s="111">
        <f t="shared" si="10"/>
        <v>67500</v>
      </c>
      <c r="N126" s="111">
        <f t="shared" si="11"/>
        <v>67500</v>
      </c>
      <c r="O126" s="111">
        <f t="shared" si="12"/>
        <v>13500</v>
      </c>
      <c r="P126" s="111">
        <f t="shared" si="13"/>
        <v>15000</v>
      </c>
      <c r="Q126" s="111">
        <v>30000</v>
      </c>
      <c r="R126" s="111">
        <v>3</v>
      </c>
      <c r="S126" s="111">
        <f t="shared" si="14"/>
        <v>3000</v>
      </c>
      <c r="T126" s="111">
        <f t="shared" si="15"/>
        <v>180000</v>
      </c>
      <c r="U126" s="111">
        <f t="shared" si="16"/>
        <v>1800</v>
      </c>
      <c r="V126" s="111">
        <f t="shared" si="17"/>
        <v>181800</v>
      </c>
      <c r="W126" t="s">
        <v>2585</v>
      </c>
    </row>
    <row r="127" spans="1:23" x14ac:dyDescent="0.3">
      <c r="A127" s="110">
        <v>200107</v>
      </c>
      <c r="B127" s="110" t="s">
        <v>297</v>
      </c>
      <c r="C127" s="110" t="s">
        <v>298</v>
      </c>
      <c r="D127" s="110" t="s">
        <v>302</v>
      </c>
      <c r="E127" s="110" t="s">
        <v>184</v>
      </c>
      <c r="F127" s="110" t="s">
        <v>113</v>
      </c>
      <c r="G127" s="110" t="s">
        <v>114</v>
      </c>
      <c r="H127" s="111">
        <v>134</v>
      </c>
      <c r="I127" s="111">
        <v>131</v>
      </c>
      <c r="J127" s="111">
        <v>128</v>
      </c>
      <c r="K127" s="111">
        <f t="shared" si="9"/>
        <v>131</v>
      </c>
      <c r="L127" s="111">
        <f>150000*0.7</f>
        <v>105000</v>
      </c>
      <c r="M127" s="111">
        <f t="shared" si="10"/>
        <v>47250</v>
      </c>
      <c r="N127" s="111">
        <f t="shared" si="11"/>
        <v>47250</v>
      </c>
      <c r="O127" s="111">
        <f t="shared" si="12"/>
        <v>9450</v>
      </c>
      <c r="P127" s="111">
        <f t="shared" si="13"/>
        <v>10500</v>
      </c>
      <c r="Q127" s="111">
        <v>30000</v>
      </c>
      <c r="R127" s="111">
        <v>3</v>
      </c>
      <c r="S127" s="111">
        <f t="shared" si="14"/>
        <v>3000</v>
      </c>
      <c r="T127" s="111">
        <f t="shared" si="15"/>
        <v>135000</v>
      </c>
      <c r="U127" s="111">
        <f t="shared" si="16"/>
        <v>1350</v>
      </c>
      <c r="V127" s="111">
        <f t="shared" si="17"/>
        <v>136350</v>
      </c>
      <c r="W127" t="s">
        <v>2586</v>
      </c>
    </row>
    <row r="128" spans="1:23" x14ac:dyDescent="0.3">
      <c r="A128" s="110">
        <v>200109</v>
      </c>
      <c r="B128" s="110" t="s">
        <v>297</v>
      </c>
      <c r="C128" s="110" t="s">
        <v>298</v>
      </c>
      <c r="D128" s="110" t="s">
        <v>303</v>
      </c>
      <c r="E128" s="110" t="s">
        <v>184</v>
      </c>
      <c r="F128" s="110" t="s">
        <v>113</v>
      </c>
      <c r="G128" s="110" t="s">
        <v>114</v>
      </c>
      <c r="H128" s="111">
        <v>160</v>
      </c>
      <c r="I128" s="111">
        <v>150</v>
      </c>
      <c r="J128" s="111">
        <v>134</v>
      </c>
      <c r="K128" s="111">
        <f t="shared" si="9"/>
        <v>148</v>
      </c>
      <c r="L128" s="111">
        <v>150000</v>
      </c>
      <c r="M128" s="111">
        <f t="shared" si="10"/>
        <v>67500</v>
      </c>
      <c r="N128" s="111">
        <f t="shared" si="11"/>
        <v>67500</v>
      </c>
      <c r="O128" s="111">
        <f t="shared" si="12"/>
        <v>13500</v>
      </c>
      <c r="P128" s="111">
        <f t="shared" si="13"/>
        <v>15000</v>
      </c>
      <c r="Q128" s="111">
        <v>30000</v>
      </c>
      <c r="R128" s="111">
        <v>3</v>
      </c>
      <c r="S128" s="111">
        <f t="shared" si="14"/>
        <v>3000</v>
      </c>
      <c r="T128" s="111">
        <f t="shared" si="15"/>
        <v>180000</v>
      </c>
      <c r="U128" s="111">
        <f t="shared" si="16"/>
        <v>1800</v>
      </c>
      <c r="V128" s="111">
        <f t="shared" si="17"/>
        <v>181800</v>
      </c>
      <c r="W128" t="s">
        <v>2587</v>
      </c>
    </row>
    <row r="129" spans="1:23" x14ac:dyDescent="0.3">
      <c r="A129" s="110">
        <v>200110</v>
      </c>
      <c r="B129" s="110" t="s">
        <v>297</v>
      </c>
      <c r="C129" s="110" t="s">
        <v>298</v>
      </c>
      <c r="D129" s="110" t="s">
        <v>304</v>
      </c>
      <c r="E129" s="110" t="s">
        <v>278</v>
      </c>
      <c r="F129" s="110" t="s">
        <v>113</v>
      </c>
      <c r="G129" s="110" t="s">
        <v>114</v>
      </c>
      <c r="H129" s="111">
        <v>84</v>
      </c>
      <c r="I129" s="111">
        <v>74</v>
      </c>
      <c r="J129" s="111">
        <v>74</v>
      </c>
      <c r="K129" s="111">
        <f t="shared" si="9"/>
        <v>77.333333333333329</v>
      </c>
      <c r="L129" s="111">
        <f>150000*0.7</f>
        <v>105000</v>
      </c>
      <c r="M129" s="111">
        <f t="shared" si="10"/>
        <v>47250</v>
      </c>
      <c r="N129" s="111">
        <f t="shared" si="11"/>
        <v>47250</v>
      </c>
      <c r="O129" s="111">
        <f t="shared" si="12"/>
        <v>9450</v>
      </c>
      <c r="P129" s="111">
        <f t="shared" si="13"/>
        <v>10500</v>
      </c>
      <c r="Q129" s="111">
        <v>30000</v>
      </c>
      <c r="R129" s="111">
        <v>3</v>
      </c>
      <c r="S129" s="111">
        <f t="shared" si="14"/>
        <v>3000</v>
      </c>
      <c r="T129" s="111">
        <f t="shared" si="15"/>
        <v>135000</v>
      </c>
      <c r="U129" s="111">
        <f t="shared" si="16"/>
        <v>1350</v>
      </c>
      <c r="V129" s="111">
        <f t="shared" si="17"/>
        <v>136350</v>
      </c>
      <c r="W129" t="s">
        <v>2588</v>
      </c>
    </row>
    <row r="130" spans="1:23" x14ac:dyDescent="0.3">
      <c r="A130" s="110">
        <v>200112</v>
      </c>
      <c r="B130" s="110" t="s">
        <v>297</v>
      </c>
      <c r="C130" s="110" t="s">
        <v>298</v>
      </c>
      <c r="D130" s="110" t="s">
        <v>298</v>
      </c>
      <c r="E130" s="110" t="s">
        <v>272</v>
      </c>
      <c r="F130" s="110" t="s">
        <v>119</v>
      </c>
      <c r="G130" s="110" t="s">
        <v>114</v>
      </c>
      <c r="H130" s="111">
        <v>1035</v>
      </c>
      <c r="I130" s="111">
        <v>981</v>
      </c>
      <c r="J130" s="111">
        <v>931</v>
      </c>
      <c r="K130" s="111">
        <f t="shared" ref="K130:K193" si="18">+(H130+I130+J130)/3</f>
        <v>982.33333333333337</v>
      </c>
      <c r="L130" s="111">
        <f>300000</f>
        <v>300000</v>
      </c>
      <c r="M130" s="111">
        <f t="shared" ref="M130:M193" si="19">+L130*0.45</f>
        <v>135000</v>
      </c>
      <c r="N130" s="111">
        <f t="shared" ref="N130:N193" si="20">+L130*0.45</f>
        <v>135000</v>
      </c>
      <c r="O130" s="111">
        <f t="shared" ref="O130:O193" si="21">+N130*0.2</f>
        <v>27000</v>
      </c>
      <c r="P130" s="111">
        <f t="shared" ref="P130:P193" si="22">++L130*0.1</f>
        <v>30000</v>
      </c>
      <c r="Q130" s="111">
        <v>60000</v>
      </c>
      <c r="R130" s="111">
        <v>6</v>
      </c>
      <c r="S130" s="111">
        <f t="shared" ref="S130:S193" si="23">+Q130*0.1</f>
        <v>6000</v>
      </c>
      <c r="T130" s="111">
        <f t="shared" ref="T130:T193" si="24">+L130+Q130</f>
        <v>360000</v>
      </c>
      <c r="U130" s="111">
        <f t="shared" ref="U130:U193" si="25">+T130*0.01</f>
        <v>3600</v>
      </c>
      <c r="V130" s="111">
        <f t="shared" ref="V130:V193" si="26">+T130+U130</f>
        <v>363600</v>
      </c>
      <c r="W130" t="s">
        <v>2589</v>
      </c>
    </row>
    <row r="131" spans="1:23" x14ac:dyDescent="0.3">
      <c r="A131" s="110">
        <v>200113</v>
      </c>
      <c r="B131" s="110" t="s">
        <v>297</v>
      </c>
      <c r="C131" s="110" t="s">
        <v>298</v>
      </c>
      <c r="D131" s="110" t="s">
        <v>298</v>
      </c>
      <c r="E131" s="110" t="s">
        <v>178</v>
      </c>
      <c r="F131" s="110" t="s">
        <v>119</v>
      </c>
      <c r="G131" s="110" t="s">
        <v>114</v>
      </c>
      <c r="H131" s="111">
        <v>766</v>
      </c>
      <c r="I131" s="111">
        <v>809</v>
      </c>
      <c r="J131" s="111">
        <v>846</v>
      </c>
      <c r="K131" s="111">
        <f t="shared" si="18"/>
        <v>807</v>
      </c>
      <c r="L131" s="111">
        <f>300000*0.7</f>
        <v>210000</v>
      </c>
      <c r="M131" s="111">
        <f t="shared" si="19"/>
        <v>94500</v>
      </c>
      <c r="N131" s="111">
        <f t="shared" si="20"/>
        <v>94500</v>
      </c>
      <c r="O131" s="111">
        <f t="shared" si="21"/>
        <v>18900</v>
      </c>
      <c r="P131" s="111">
        <f t="shared" si="22"/>
        <v>21000</v>
      </c>
      <c r="Q131" s="111">
        <v>60000</v>
      </c>
      <c r="R131" s="111">
        <v>6</v>
      </c>
      <c r="S131" s="111">
        <f t="shared" si="23"/>
        <v>6000</v>
      </c>
      <c r="T131" s="111">
        <f t="shared" si="24"/>
        <v>270000</v>
      </c>
      <c r="U131" s="111">
        <f t="shared" si="25"/>
        <v>2700</v>
      </c>
      <c r="V131" s="111">
        <f t="shared" si="26"/>
        <v>272700</v>
      </c>
      <c r="W131" t="s">
        <v>2590</v>
      </c>
    </row>
    <row r="132" spans="1:23" x14ac:dyDescent="0.3">
      <c r="A132" s="110">
        <v>200114</v>
      </c>
      <c r="B132" s="110" t="s">
        <v>297</v>
      </c>
      <c r="C132" s="110" t="s">
        <v>298</v>
      </c>
      <c r="D132" s="110" t="s">
        <v>298</v>
      </c>
      <c r="E132" s="110" t="s">
        <v>305</v>
      </c>
      <c r="F132" s="110" t="s">
        <v>117</v>
      </c>
      <c r="G132" s="110" t="s">
        <v>114</v>
      </c>
      <c r="H132" s="111">
        <v>333</v>
      </c>
      <c r="I132" s="111">
        <v>333</v>
      </c>
      <c r="J132" s="111">
        <v>291</v>
      </c>
      <c r="K132" s="111">
        <f t="shared" si="18"/>
        <v>319</v>
      </c>
      <c r="L132" s="111">
        <f>200000*0.7</f>
        <v>140000</v>
      </c>
      <c r="M132" s="111">
        <f t="shared" si="19"/>
        <v>63000</v>
      </c>
      <c r="N132" s="111">
        <f t="shared" si="20"/>
        <v>63000</v>
      </c>
      <c r="O132" s="111">
        <f t="shared" si="21"/>
        <v>12600</v>
      </c>
      <c r="P132" s="111">
        <f t="shared" si="22"/>
        <v>14000</v>
      </c>
      <c r="Q132" s="111">
        <v>50000</v>
      </c>
      <c r="R132" s="111">
        <v>5</v>
      </c>
      <c r="S132" s="111">
        <f t="shared" si="23"/>
        <v>5000</v>
      </c>
      <c r="T132" s="111">
        <f t="shared" si="24"/>
        <v>190000</v>
      </c>
      <c r="U132" s="111">
        <f t="shared" si="25"/>
        <v>1900</v>
      </c>
      <c r="V132" s="111">
        <f t="shared" si="26"/>
        <v>191900</v>
      </c>
      <c r="W132" t="s">
        <v>2591</v>
      </c>
    </row>
    <row r="133" spans="1:23" x14ac:dyDescent="0.3">
      <c r="A133" s="110">
        <v>200120</v>
      </c>
      <c r="B133" s="110" t="s">
        <v>297</v>
      </c>
      <c r="C133" s="110" t="s">
        <v>297</v>
      </c>
      <c r="D133" s="110" t="s">
        <v>297</v>
      </c>
      <c r="E133" s="110" t="s">
        <v>306</v>
      </c>
      <c r="F133" s="110" t="s">
        <v>117</v>
      </c>
      <c r="G133" s="110" t="s">
        <v>114</v>
      </c>
      <c r="H133" s="111">
        <v>318</v>
      </c>
      <c r="I133" s="111">
        <v>406</v>
      </c>
      <c r="J133" s="111">
        <v>489</v>
      </c>
      <c r="K133" s="111">
        <f t="shared" si="18"/>
        <v>404.33333333333331</v>
      </c>
      <c r="L133" s="111">
        <f>300000*0.7</f>
        <v>210000</v>
      </c>
      <c r="M133" s="111">
        <f t="shared" si="19"/>
        <v>94500</v>
      </c>
      <c r="N133" s="111">
        <f t="shared" si="20"/>
        <v>94500</v>
      </c>
      <c r="O133" s="111">
        <f t="shared" si="21"/>
        <v>18900</v>
      </c>
      <c r="P133" s="111">
        <f t="shared" si="22"/>
        <v>21000</v>
      </c>
      <c r="Q133" s="111">
        <v>60000</v>
      </c>
      <c r="R133" s="111">
        <v>6</v>
      </c>
      <c r="S133" s="111">
        <f t="shared" si="23"/>
        <v>6000</v>
      </c>
      <c r="T133" s="111">
        <f t="shared" si="24"/>
        <v>270000</v>
      </c>
      <c r="U133" s="111">
        <f t="shared" si="25"/>
        <v>2700</v>
      </c>
      <c r="V133" s="111">
        <f t="shared" si="26"/>
        <v>272700</v>
      </c>
      <c r="W133" t="s">
        <v>2592</v>
      </c>
    </row>
    <row r="134" spans="1:23" x14ac:dyDescent="0.3">
      <c r="A134" s="110">
        <v>200201</v>
      </c>
      <c r="B134" s="110" t="s">
        <v>297</v>
      </c>
      <c r="C134" s="110" t="s">
        <v>297</v>
      </c>
      <c r="D134" s="110" t="s">
        <v>297</v>
      </c>
      <c r="E134" s="110" t="s">
        <v>307</v>
      </c>
      <c r="F134" s="110" t="s">
        <v>209</v>
      </c>
      <c r="G134" s="110" t="s">
        <v>114</v>
      </c>
      <c r="H134" s="111">
        <v>448</v>
      </c>
      <c r="I134" s="111">
        <v>438</v>
      </c>
      <c r="J134" s="111">
        <v>430</v>
      </c>
      <c r="K134" s="111">
        <f t="shared" si="18"/>
        <v>438.66666666666669</v>
      </c>
      <c r="L134" s="111">
        <f t="shared" ref="L134:L143" si="27">300000</f>
        <v>300000</v>
      </c>
      <c r="M134" s="111">
        <f t="shared" si="19"/>
        <v>135000</v>
      </c>
      <c r="N134" s="111">
        <f t="shared" si="20"/>
        <v>135000</v>
      </c>
      <c r="O134" s="111">
        <f t="shared" si="21"/>
        <v>27000</v>
      </c>
      <c r="P134" s="111">
        <f t="shared" si="22"/>
        <v>30000</v>
      </c>
      <c r="Q134" s="111">
        <v>60000</v>
      </c>
      <c r="R134" s="111">
        <v>6</v>
      </c>
      <c r="S134" s="111">
        <f t="shared" si="23"/>
        <v>6000</v>
      </c>
      <c r="T134" s="111">
        <f t="shared" si="24"/>
        <v>360000</v>
      </c>
      <c r="U134" s="111">
        <f t="shared" si="25"/>
        <v>3600</v>
      </c>
      <c r="V134" s="111">
        <f t="shared" si="26"/>
        <v>363600</v>
      </c>
      <c r="W134" t="s">
        <v>2593</v>
      </c>
    </row>
    <row r="135" spans="1:23" x14ac:dyDescent="0.3">
      <c r="A135" s="110">
        <v>200205</v>
      </c>
      <c r="B135" s="110" t="s">
        <v>297</v>
      </c>
      <c r="C135" s="110" t="s">
        <v>297</v>
      </c>
      <c r="D135" s="110" t="s">
        <v>297</v>
      </c>
      <c r="E135" s="110" t="s">
        <v>308</v>
      </c>
      <c r="F135" s="110" t="s">
        <v>113</v>
      </c>
      <c r="G135" s="110" t="s">
        <v>114</v>
      </c>
      <c r="H135" s="111">
        <v>564</v>
      </c>
      <c r="I135" s="111">
        <v>524</v>
      </c>
      <c r="J135" s="111">
        <v>565</v>
      </c>
      <c r="K135" s="111">
        <f t="shared" si="18"/>
        <v>551</v>
      </c>
      <c r="L135" s="111">
        <f t="shared" si="27"/>
        <v>300000</v>
      </c>
      <c r="M135" s="111">
        <f t="shared" si="19"/>
        <v>135000</v>
      </c>
      <c r="N135" s="111">
        <f t="shared" si="20"/>
        <v>135000</v>
      </c>
      <c r="O135" s="111">
        <f t="shared" si="21"/>
        <v>27000</v>
      </c>
      <c r="P135" s="111">
        <f t="shared" si="22"/>
        <v>30000</v>
      </c>
      <c r="Q135" s="111">
        <v>60000</v>
      </c>
      <c r="R135" s="111">
        <v>6</v>
      </c>
      <c r="S135" s="111">
        <f t="shared" si="23"/>
        <v>6000</v>
      </c>
      <c r="T135" s="111">
        <f t="shared" si="24"/>
        <v>360000</v>
      </c>
      <c r="U135" s="111">
        <f t="shared" si="25"/>
        <v>3600</v>
      </c>
      <c r="V135" s="111">
        <f t="shared" si="26"/>
        <v>363600</v>
      </c>
      <c r="W135" t="s">
        <v>2594</v>
      </c>
    </row>
    <row r="136" spans="1:23" x14ac:dyDescent="0.3">
      <c r="A136" s="110">
        <v>200206</v>
      </c>
      <c r="B136" s="110" t="s">
        <v>297</v>
      </c>
      <c r="C136" s="110" t="s">
        <v>297</v>
      </c>
      <c r="D136" s="110" t="s">
        <v>297</v>
      </c>
      <c r="E136" s="110" t="s">
        <v>309</v>
      </c>
      <c r="F136" s="110" t="s">
        <v>113</v>
      </c>
      <c r="G136" s="110" t="s">
        <v>114</v>
      </c>
      <c r="H136" s="111">
        <v>620</v>
      </c>
      <c r="I136" s="111">
        <v>581</v>
      </c>
      <c r="J136" s="111">
        <v>560</v>
      </c>
      <c r="K136" s="111">
        <f t="shared" si="18"/>
        <v>587</v>
      </c>
      <c r="L136" s="111">
        <f t="shared" si="27"/>
        <v>300000</v>
      </c>
      <c r="M136" s="111">
        <f t="shared" si="19"/>
        <v>135000</v>
      </c>
      <c r="N136" s="111">
        <f t="shared" si="20"/>
        <v>135000</v>
      </c>
      <c r="O136" s="111">
        <f t="shared" si="21"/>
        <v>27000</v>
      </c>
      <c r="P136" s="111">
        <f t="shared" si="22"/>
        <v>30000</v>
      </c>
      <c r="Q136" s="111">
        <v>60000</v>
      </c>
      <c r="R136" s="111">
        <v>6</v>
      </c>
      <c r="S136" s="111">
        <f t="shared" si="23"/>
        <v>6000</v>
      </c>
      <c r="T136" s="111">
        <f t="shared" si="24"/>
        <v>360000</v>
      </c>
      <c r="U136" s="111">
        <f t="shared" si="25"/>
        <v>3600</v>
      </c>
      <c r="V136" s="111">
        <f t="shared" si="26"/>
        <v>363600</v>
      </c>
      <c r="W136" t="s">
        <v>2595</v>
      </c>
    </row>
    <row r="137" spans="1:23" x14ac:dyDescent="0.3">
      <c r="A137" s="110">
        <v>200207</v>
      </c>
      <c r="B137" s="110" t="s">
        <v>297</v>
      </c>
      <c r="C137" s="110" t="s">
        <v>297</v>
      </c>
      <c r="D137" s="110" t="s">
        <v>297</v>
      </c>
      <c r="E137" s="110" t="s">
        <v>310</v>
      </c>
      <c r="F137" s="110" t="s">
        <v>113</v>
      </c>
      <c r="G137" s="110" t="s">
        <v>114</v>
      </c>
      <c r="H137" s="111">
        <v>562</v>
      </c>
      <c r="I137" s="111">
        <v>575</v>
      </c>
      <c r="J137" s="111">
        <v>596</v>
      </c>
      <c r="K137" s="111">
        <f t="shared" si="18"/>
        <v>577.66666666666663</v>
      </c>
      <c r="L137" s="111">
        <f t="shared" si="27"/>
        <v>300000</v>
      </c>
      <c r="M137" s="111">
        <f t="shared" si="19"/>
        <v>135000</v>
      </c>
      <c r="N137" s="111">
        <f t="shared" si="20"/>
        <v>135000</v>
      </c>
      <c r="O137" s="111">
        <f t="shared" si="21"/>
        <v>27000</v>
      </c>
      <c r="P137" s="111">
        <f t="shared" si="22"/>
        <v>30000</v>
      </c>
      <c r="Q137" s="111">
        <v>60000</v>
      </c>
      <c r="R137" s="111">
        <v>6</v>
      </c>
      <c r="S137" s="111">
        <f t="shared" si="23"/>
        <v>6000</v>
      </c>
      <c r="T137" s="111">
        <f t="shared" si="24"/>
        <v>360000</v>
      </c>
      <c r="U137" s="111">
        <f t="shared" si="25"/>
        <v>3600</v>
      </c>
      <c r="V137" s="111">
        <f t="shared" si="26"/>
        <v>363600</v>
      </c>
      <c r="W137" t="s">
        <v>2596</v>
      </c>
    </row>
    <row r="138" spans="1:23" x14ac:dyDescent="0.3">
      <c r="A138" s="110">
        <v>200208</v>
      </c>
      <c r="B138" s="110" t="s">
        <v>297</v>
      </c>
      <c r="C138" s="110" t="s">
        <v>297</v>
      </c>
      <c r="D138" s="110" t="s">
        <v>297</v>
      </c>
      <c r="E138" s="110" t="s">
        <v>311</v>
      </c>
      <c r="F138" s="110" t="s">
        <v>113</v>
      </c>
      <c r="G138" s="110" t="s">
        <v>114</v>
      </c>
      <c r="H138" s="111">
        <v>600</v>
      </c>
      <c r="I138" s="111">
        <v>590</v>
      </c>
      <c r="J138" s="111">
        <v>585</v>
      </c>
      <c r="K138" s="111">
        <f t="shared" si="18"/>
        <v>591.66666666666663</v>
      </c>
      <c r="L138" s="111">
        <f t="shared" si="27"/>
        <v>300000</v>
      </c>
      <c r="M138" s="111">
        <f t="shared" si="19"/>
        <v>135000</v>
      </c>
      <c r="N138" s="111">
        <f t="shared" si="20"/>
        <v>135000</v>
      </c>
      <c r="O138" s="111">
        <f t="shared" si="21"/>
        <v>27000</v>
      </c>
      <c r="P138" s="111">
        <f t="shared" si="22"/>
        <v>30000</v>
      </c>
      <c r="Q138" s="111">
        <v>60000</v>
      </c>
      <c r="R138" s="111">
        <v>6</v>
      </c>
      <c r="S138" s="111">
        <f t="shared" si="23"/>
        <v>6000</v>
      </c>
      <c r="T138" s="111">
        <f t="shared" si="24"/>
        <v>360000</v>
      </c>
      <c r="U138" s="111">
        <f t="shared" si="25"/>
        <v>3600</v>
      </c>
      <c r="V138" s="111">
        <f t="shared" si="26"/>
        <v>363600</v>
      </c>
      <c r="W138" t="s">
        <v>2597</v>
      </c>
    </row>
    <row r="139" spans="1:23" x14ac:dyDescent="0.3">
      <c r="A139" s="110">
        <v>200209</v>
      </c>
      <c r="B139" s="110" t="s">
        <v>297</v>
      </c>
      <c r="C139" s="110" t="s">
        <v>297</v>
      </c>
      <c r="D139" s="110" t="s">
        <v>297</v>
      </c>
      <c r="E139" s="110" t="s">
        <v>312</v>
      </c>
      <c r="F139" s="110" t="s">
        <v>113</v>
      </c>
      <c r="G139" s="110" t="s">
        <v>114</v>
      </c>
      <c r="H139" s="111">
        <v>984</v>
      </c>
      <c r="I139" s="111">
        <v>944</v>
      </c>
      <c r="J139" s="111">
        <v>919</v>
      </c>
      <c r="K139" s="111">
        <f t="shared" si="18"/>
        <v>949</v>
      </c>
      <c r="L139" s="111">
        <f t="shared" si="27"/>
        <v>300000</v>
      </c>
      <c r="M139" s="111">
        <f t="shared" si="19"/>
        <v>135000</v>
      </c>
      <c r="N139" s="111">
        <f t="shared" si="20"/>
        <v>135000</v>
      </c>
      <c r="O139" s="111">
        <f t="shared" si="21"/>
        <v>27000</v>
      </c>
      <c r="P139" s="111">
        <f t="shared" si="22"/>
        <v>30000</v>
      </c>
      <c r="Q139" s="111">
        <v>60000</v>
      </c>
      <c r="R139" s="111">
        <v>6</v>
      </c>
      <c r="S139" s="111">
        <f t="shared" si="23"/>
        <v>6000</v>
      </c>
      <c r="T139" s="111">
        <f t="shared" si="24"/>
        <v>360000</v>
      </c>
      <c r="U139" s="111">
        <f t="shared" si="25"/>
        <v>3600</v>
      </c>
      <c r="V139" s="111">
        <f t="shared" si="26"/>
        <v>363600</v>
      </c>
      <c r="W139" t="s">
        <v>2598</v>
      </c>
    </row>
    <row r="140" spans="1:23" x14ac:dyDescent="0.3">
      <c r="A140" s="110">
        <v>200210</v>
      </c>
      <c r="B140" s="110" t="s">
        <v>297</v>
      </c>
      <c r="C140" s="110" t="s">
        <v>297</v>
      </c>
      <c r="D140" s="110" t="s">
        <v>297</v>
      </c>
      <c r="E140" s="110" t="s">
        <v>247</v>
      </c>
      <c r="F140" s="110" t="s">
        <v>113</v>
      </c>
      <c r="G140" s="110" t="s">
        <v>114</v>
      </c>
      <c r="H140" s="111">
        <v>591</v>
      </c>
      <c r="I140" s="111">
        <v>543</v>
      </c>
      <c r="J140" s="111">
        <v>510</v>
      </c>
      <c r="K140" s="111">
        <f t="shared" si="18"/>
        <v>548</v>
      </c>
      <c r="L140" s="111">
        <f t="shared" si="27"/>
        <v>300000</v>
      </c>
      <c r="M140" s="111">
        <f t="shared" si="19"/>
        <v>135000</v>
      </c>
      <c r="N140" s="111">
        <f t="shared" si="20"/>
        <v>135000</v>
      </c>
      <c r="O140" s="111">
        <f t="shared" si="21"/>
        <v>27000</v>
      </c>
      <c r="P140" s="111">
        <f t="shared" si="22"/>
        <v>30000</v>
      </c>
      <c r="Q140" s="111">
        <v>60000</v>
      </c>
      <c r="R140" s="111">
        <v>6</v>
      </c>
      <c r="S140" s="111">
        <f t="shared" si="23"/>
        <v>6000</v>
      </c>
      <c r="T140" s="111">
        <f t="shared" si="24"/>
        <v>360000</v>
      </c>
      <c r="U140" s="111">
        <f t="shared" si="25"/>
        <v>3600</v>
      </c>
      <c r="V140" s="111">
        <f t="shared" si="26"/>
        <v>363600</v>
      </c>
      <c r="W140" t="s">
        <v>2599</v>
      </c>
    </row>
    <row r="141" spans="1:23" x14ac:dyDescent="0.3">
      <c r="A141" s="110">
        <v>200211</v>
      </c>
      <c r="B141" s="110" t="s">
        <v>297</v>
      </c>
      <c r="C141" s="110" t="s">
        <v>297</v>
      </c>
      <c r="D141" s="110" t="s">
        <v>297</v>
      </c>
      <c r="E141" s="110" t="s">
        <v>313</v>
      </c>
      <c r="F141" s="110" t="s">
        <v>113</v>
      </c>
      <c r="G141" s="110" t="s">
        <v>114</v>
      </c>
      <c r="H141" s="111">
        <v>483</v>
      </c>
      <c r="I141" s="111">
        <v>495</v>
      </c>
      <c r="J141" s="111">
        <v>527</v>
      </c>
      <c r="K141" s="111">
        <f t="shared" si="18"/>
        <v>501.66666666666669</v>
      </c>
      <c r="L141" s="111">
        <f t="shared" si="27"/>
        <v>300000</v>
      </c>
      <c r="M141" s="111">
        <f t="shared" si="19"/>
        <v>135000</v>
      </c>
      <c r="N141" s="111">
        <f t="shared" si="20"/>
        <v>135000</v>
      </c>
      <c r="O141" s="111">
        <f t="shared" si="21"/>
        <v>27000</v>
      </c>
      <c r="P141" s="111">
        <f t="shared" si="22"/>
        <v>30000</v>
      </c>
      <c r="Q141" s="111">
        <v>60000</v>
      </c>
      <c r="R141" s="111">
        <v>6</v>
      </c>
      <c r="S141" s="111">
        <f t="shared" si="23"/>
        <v>6000</v>
      </c>
      <c r="T141" s="111">
        <f t="shared" si="24"/>
        <v>360000</v>
      </c>
      <c r="U141" s="111">
        <f t="shared" si="25"/>
        <v>3600</v>
      </c>
      <c r="V141" s="111">
        <f t="shared" si="26"/>
        <v>363600</v>
      </c>
      <c r="W141" t="s">
        <v>2600</v>
      </c>
    </row>
    <row r="142" spans="1:23" x14ac:dyDescent="0.3">
      <c r="A142" s="110">
        <v>200212</v>
      </c>
      <c r="B142" s="110" t="s">
        <v>297</v>
      </c>
      <c r="C142" s="110" t="s">
        <v>297</v>
      </c>
      <c r="D142" s="110" t="s">
        <v>297</v>
      </c>
      <c r="E142" s="110" t="s">
        <v>165</v>
      </c>
      <c r="F142" s="110" t="s">
        <v>113</v>
      </c>
      <c r="G142" s="110" t="s">
        <v>114</v>
      </c>
      <c r="H142" s="111">
        <v>537</v>
      </c>
      <c r="I142" s="111">
        <v>539</v>
      </c>
      <c r="J142" s="111">
        <v>519</v>
      </c>
      <c r="K142" s="111">
        <f t="shared" si="18"/>
        <v>531.66666666666663</v>
      </c>
      <c r="L142" s="111">
        <f t="shared" si="27"/>
        <v>300000</v>
      </c>
      <c r="M142" s="111">
        <f t="shared" si="19"/>
        <v>135000</v>
      </c>
      <c r="N142" s="111">
        <f t="shared" si="20"/>
        <v>135000</v>
      </c>
      <c r="O142" s="111">
        <f t="shared" si="21"/>
        <v>27000</v>
      </c>
      <c r="P142" s="111">
        <f t="shared" si="22"/>
        <v>30000</v>
      </c>
      <c r="Q142" s="111">
        <v>60000</v>
      </c>
      <c r="R142" s="111">
        <v>6</v>
      </c>
      <c r="S142" s="111">
        <f t="shared" si="23"/>
        <v>6000</v>
      </c>
      <c r="T142" s="111">
        <f t="shared" si="24"/>
        <v>360000</v>
      </c>
      <c r="U142" s="111">
        <f t="shared" si="25"/>
        <v>3600</v>
      </c>
      <c r="V142" s="111">
        <f t="shared" si="26"/>
        <v>363600</v>
      </c>
      <c r="W142" t="s">
        <v>2601</v>
      </c>
    </row>
    <row r="143" spans="1:23" x14ac:dyDescent="0.3">
      <c r="A143" s="110">
        <v>200213</v>
      </c>
      <c r="B143" s="110" t="s">
        <v>297</v>
      </c>
      <c r="C143" s="110" t="s">
        <v>297</v>
      </c>
      <c r="D143" s="110" t="s">
        <v>297</v>
      </c>
      <c r="E143" s="110" t="s">
        <v>314</v>
      </c>
      <c r="F143" s="110" t="s">
        <v>113</v>
      </c>
      <c r="G143" s="110" t="s">
        <v>114</v>
      </c>
      <c r="H143" s="111">
        <v>710</v>
      </c>
      <c r="I143" s="111">
        <v>701</v>
      </c>
      <c r="J143" s="111">
        <v>691</v>
      </c>
      <c r="K143" s="111">
        <f t="shared" si="18"/>
        <v>700.66666666666663</v>
      </c>
      <c r="L143" s="111">
        <f t="shared" si="27"/>
        <v>300000</v>
      </c>
      <c r="M143" s="111">
        <f t="shared" si="19"/>
        <v>135000</v>
      </c>
      <c r="N143" s="111">
        <f t="shared" si="20"/>
        <v>135000</v>
      </c>
      <c r="O143" s="111">
        <f t="shared" si="21"/>
        <v>27000</v>
      </c>
      <c r="P143" s="111">
        <f t="shared" si="22"/>
        <v>30000</v>
      </c>
      <c r="Q143" s="111">
        <v>60000</v>
      </c>
      <c r="R143" s="111">
        <v>6</v>
      </c>
      <c r="S143" s="111">
        <f t="shared" si="23"/>
        <v>6000</v>
      </c>
      <c r="T143" s="111">
        <f t="shared" si="24"/>
        <v>360000</v>
      </c>
      <c r="U143" s="111">
        <f t="shared" si="25"/>
        <v>3600</v>
      </c>
      <c r="V143" s="111">
        <f t="shared" si="26"/>
        <v>363600</v>
      </c>
      <c r="W143" t="s">
        <v>2602</v>
      </c>
    </row>
    <row r="144" spans="1:23" x14ac:dyDescent="0.3">
      <c r="A144" s="110">
        <v>200214</v>
      </c>
      <c r="B144" s="110" t="s">
        <v>297</v>
      </c>
      <c r="C144" s="110" t="s">
        <v>297</v>
      </c>
      <c r="D144" s="110" t="s">
        <v>297</v>
      </c>
      <c r="E144" s="110" t="s">
        <v>226</v>
      </c>
      <c r="F144" s="110" t="s">
        <v>113</v>
      </c>
      <c r="G144" s="110" t="s">
        <v>114</v>
      </c>
      <c r="H144" s="111">
        <v>1158</v>
      </c>
      <c r="I144" s="111">
        <v>1095</v>
      </c>
      <c r="J144" s="111">
        <v>1025</v>
      </c>
      <c r="K144" s="111">
        <f t="shared" si="18"/>
        <v>1092.6666666666667</v>
      </c>
      <c r="L144" s="111">
        <f>600000*0.7</f>
        <v>420000</v>
      </c>
      <c r="M144" s="111">
        <f t="shared" si="19"/>
        <v>189000</v>
      </c>
      <c r="N144" s="111">
        <f t="shared" si="20"/>
        <v>189000</v>
      </c>
      <c r="O144" s="111">
        <f t="shared" si="21"/>
        <v>37800</v>
      </c>
      <c r="P144" s="111">
        <f t="shared" si="22"/>
        <v>42000</v>
      </c>
      <c r="Q144" s="111">
        <v>80000</v>
      </c>
      <c r="R144" s="111">
        <v>8</v>
      </c>
      <c r="S144" s="111">
        <f t="shared" si="23"/>
        <v>8000</v>
      </c>
      <c r="T144" s="111">
        <f t="shared" si="24"/>
        <v>500000</v>
      </c>
      <c r="U144" s="111">
        <f t="shared" si="25"/>
        <v>5000</v>
      </c>
      <c r="V144" s="111">
        <f t="shared" si="26"/>
        <v>505000</v>
      </c>
      <c r="W144" t="s">
        <v>2603</v>
      </c>
    </row>
    <row r="145" spans="1:23" x14ac:dyDescent="0.3">
      <c r="A145" s="110">
        <v>200215</v>
      </c>
      <c r="B145" s="110" t="s">
        <v>297</v>
      </c>
      <c r="C145" s="110" t="s">
        <v>297</v>
      </c>
      <c r="D145" s="110" t="s">
        <v>297</v>
      </c>
      <c r="E145" s="110" t="s">
        <v>315</v>
      </c>
      <c r="F145" s="110" t="s">
        <v>113</v>
      </c>
      <c r="G145" s="110" t="s">
        <v>114</v>
      </c>
      <c r="H145" s="111">
        <v>1008</v>
      </c>
      <c r="I145" s="111">
        <v>1049</v>
      </c>
      <c r="J145" s="111">
        <v>1068</v>
      </c>
      <c r="K145" s="111">
        <f t="shared" si="18"/>
        <v>1041.6666666666667</v>
      </c>
      <c r="L145" s="111">
        <f>600000*0.7</f>
        <v>420000</v>
      </c>
      <c r="M145" s="111">
        <f t="shared" si="19"/>
        <v>189000</v>
      </c>
      <c r="N145" s="111">
        <f t="shared" si="20"/>
        <v>189000</v>
      </c>
      <c r="O145" s="111">
        <f t="shared" si="21"/>
        <v>37800</v>
      </c>
      <c r="P145" s="111">
        <f t="shared" si="22"/>
        <v>42000</v>
      </c>
      <c r="Q145" s="111">
        <v>80000</v>
      </c>
      <c r="R145" s="111">
        <v>8</v>
      </c>
      <c r="S145" s="111">
        <f t="shared" si="23"/>
        <v>8000</v>
      </c>
      <c r="T145" s="111">
        <f t="shared" si="24"/>
        <v>500000</v>
      </c>
      <c r="U145" s="111">
        <f t="shared" si="25"/>
        <v>5000</v>
      </c>
      <c r="V145" s="111">
        <f t="shared" si="26"/>
        <v>505000</v>
      </c>
      <c r="W145" t="s">
        <v>2604</v>
      </c>
    </row>
    <row r="146" spans="1:23" x14ac:dyDescent="0.3">
      <c r="A146" s="110">
        <v>200216</v>
      </c>
      <c r="B146" s="110" t="s">
        <v>297</v>
      </c>
      <c r="C146" s="110" t="s">
        <v>297</v>
      </c>
      <c r="D146" s="110" t="s">
        <v>297</v>
      </c>
      <c r="E146" s="110" t="s">
        <v>316</v>
      </c>
      <c r="F146" s="110" t="s">
        <v>168</v>
      </c>
      <c r="G146" s="110" t="s">
        <v>114</v>
      </c>
      <c r="H146" s="111">
        <v>357</v>
      </c>
      <c r="I146" s="111">
        <v>369</v>
      </c>
      <c r="J146" s="111">
        <v>381</v>
      </c>
      <c r="K146" s="111">
        <f t="shared" si="18"/>
        <v>369</v>
      </c>
      <c r="L146" s="111">
        <v>200000</v>
      </c>
      <c r="M146" s="111">
        <f t="shared" si="19"/>
        <v>90000</v>
      </c>
      <c r="N146" s="111">
        <f t="shared" si="20"/>
        <v>90000</v>
      </c>
      <c r="O146" s="111">
        <f t="shared" si="21"/>
        <v>18000</v>
      </c>
      <c r="P146" s="111">
        <f t="shared" si="22"/>
        <v>20000</v>
      </c>
      <c r="Q146" s="111">
        <v>50000</v>
      </c>
      <c r="R146" s="111">
        <v>5</v>
      </c>
      <c r="S146" s="111">
        <f t="shared" si="23"/>
        <v>5000</v>
      </c>
      <c r="T146" s="111">
        <f t="shared" si="24"/>
        <v>250000</v>
      </c>
      <c r="U146" s="111">
        <f t="shared" si="25"/>
        <v>2500</v>
      </c>
      <c r="V146" s="111">
        <f t="shared" si="26"/>
        <v>252500</v>
      </c>
      <c r="W146" t="s">
        <v>2605</v>
      </c>
    </row>
    <row r="147" spans="1:23" x14ac:dyDescent="0.3">
      <c r="A147" s="110">
        <v>200217</v>
      </c>
      <c r="B147" s="110" t="s">
        <v>297</v>
      </c>
      <c r="C147" s="110" t="s">
        <v>297</v>
      </c>
      <c r="D147" s="110" t="s">
        <v>297</v>
      </c>
      <c r="E147" s="110" t="s">
        <v>184</v>
      </c>
      <c r="F147" s="110" t="s">
        <v>113</v>
      </c>
      <c r="G147" s="110" t="s">
        <v>114</v>
      </c>
      <c r="H147" s="111">
        <v>221</v>
      </c>
      <c r="I147" s="111">
        <v>228</v>
      </c>
      <c r="J147" s="111">
        <v>271</v>
      </c>
      <c r="K147" s="111">
        <f t="shared" si="18"/>
        <v>240</v>
      </c>
      <c r="L147" s="111">
        <v>200000</v>
      </c>
      <c r="M147" s="111">
        <f t="shared" si="19"/>
        <v>90000</v>
      </c>
      <c r="N147" s="111">
        <f t="shared" si="20"/>
        <v>90000</v>
      </c>
      <c r="O147" s="111">
        <f t="shared" si="21"/>
        <v>18000</v>
      </c>
      <c r="P147" s="111">
        <f t="shared" si="22"/>
        <v>20000</v>
      </c>
      <c r="Q147" s="111">
        <v>50000</v>
      </c>
      <c r="R147" s="111">
        <v>5</v>
      </c>
      <c r="S147" s="111">
        <f t="shared" si="23"/>
        <v>5000</v>
      </c>
      <c r="T147" s="111">
        <f t="shared" si="24"/>
        <v>250000</v>
      </c>
      <c r="U147" s="111">
        <f t="shared" si="25"/>
        <v>2500</v>
      </c>
      <c r="V147" s="111">
        <f t="shared" si="26"/>
        <v>252500</v>
      </c>
      <c r="W147" t="s">
        <v>2606</v>
      </c>
    </row>
    <row r="148" spans="1:23" x14ac:dyDescent="0.3">
      <c r="A148" s="110">
        <v>200218</v>
      </c>
      <c r="B148" s="110" t="s">
        <v>297</v>
      </c>
      <c r="C148" s="110" t="s">
        <v>297</v>
      </c>
      <c r="D148" s="110" t="s">
        <v>297</v>
      </c>
      <c r="E148" s="110" t="s">
        <v>184</v>
      </c>
      <c r="F148" s="110" t="s">
        <v>113</v>
      </c>
      <c r="G148" s="110" t="s">
        <v>114</v>
      </c>
      <c r="H148" s="111">
        <v>612</v>
      </c>
      <c r="I148" s="111">
        <v>570</v>
      </c>
      <c r="J148" s="111">
        <v>566</v>
      </c>
      <c r="K148" s="111">
        <f t="shared" si="18"/>
        <v>582.66666666666663</v>
      </c>
      <c r="L148" s="111">
        <f>300000</f>
        <v>300000</v>
      </c>
      <c r="M148" s="111">
        <f t="shared" si="19"/>
        <v>135000</v>
      </c>
      <c r="N148" s="111">
        <f t="shared" si="20"/>
        <v>135000</v>
      </c>
      <c r="O148" s="111">
        <f t="shared" si="21"/>
        <v>27000</v>
      </c>
      <c r="P148" s="111">
        <f t="shared" si="22"/>
        <v>30000</v>
      </c>
      <c r="Q148" s="111">
        <v>60000</v>
      </c>
      <c r="R148" s="111">
        <v>6</v>
      </c>
      <c r="S148" s="111">
        <f t="shared" si="23"/>
        <v>6000</v>
      </c>
      <c r="T148" s="111">
        <f t="shared" si="24"/>
        <v>360000</v>
      </c>
      <c r="U148" s="111">
        <f t="shared" si="25"/>
        <v>3600</v>
      </c>
      <c r="V148" s="111">
        <f t="shared" si="26"/>
        <v>363600</v>
      </c>
      <c r="W148" t="s">
        <v>2607</v>
      </c>
    </row>
    <row r="149" spans="1:23" x14ac:dyDescent="0.3">
      <c r="A149" s="110">
        <v>200219</v>
      </c>
      <c r="B149" s="110" t="s">
        <v>297</v>
      </c>
      <c r="C149" s="110" t="s">
        <v>297</v>
      </c>
      <c r="D149" s="110" t="s">
        <v>297</v>
      </c>
      <c r="E149" s="110" t="s">
        <v>317</v>
      </c>
      <c r="F149" s="110" t="s">
        <v>113</v>
      </c>
      <c r="G149" s="110" t="s">
        <v>114</v>
      </c>
      <c r="H149" s="111">
        <v>205</v>
      </c>
      <c r="I149" s="111">
        <v>203</v>
      </c>
      <c r="J149" s="111">
        <v>199</v>
      </c>
      <c r="K149" s="111">
        <f t="shared" si="18"/>
        <v>202.33333333333334</v>
      </c>
      <c r="L149" s="111">
        <f>200000*0.7</f>
        <v>140000</v>
      </c>
      <c r="M149" s="111">
        <f t="shared" si="19"/>
        <v>63000</v>
      </c>
      <c r="N149" s="111">
        <f t="shared" si="20"/>
        <v>63000</v>
      </c>
      <c r="O149" s="111">
        <f t="shared" si="21"/>
        <v>12600</v>
      </c>
      <c r="P149" s="111">
        <f t="shared" si="22"/>
        <v>14000</v>
      </c>
      <c r="Q149" s="111">
        <v>50000</v>
      </c>
      <c r="R149" s="111">
        <v>5</v>
      </c>
      <c r="S149" s="111">
        <f t="shared" si="23"/>
        <v>5000</v>
      </c>
      <c r="T149" s="111">
        <f t="shared" si="24"/>
        <v>190000</v>
      </c>
      <c r="U149" s="111">
        <f t="shared" si="25"/>
        <v>1900</v>
      </c>
      <c r="V149" s="111">
        <f t="shared" si="26"/>
        <v>191900</v>
      </c>
      <c r="W149" t="s">
        <v>2608</v>
      </c>
    </row>
    <row r="150" spans="1:23" x14ac:dyDescent="0.3">
      <c r="A150" s="110">
        <v>200220</v>
      </c>
      <c r="B150" s="110" t="s">
        <v>297</v>
      </c>
      <c r="C150" s="110" t="s">
        <v>297</v>
      </c>
      <c r="D150" s="110" t="s">
        <v>318</v>
      </c>
      <c r="E150" s="110" t="s">
        <v>319</v>
      </c>
      <c r="F150" s="110" t="s">
        <v>113</v>
      </c>
      <c r="G150" s="110" t="s">
        <v>114</v>
      </c>
      <c r="H150" s="111">
        <v>85</v>
      </c>
      <c r="I150" s="111">
        <v>77</v>
      </c>
      <c r="J150" s="111">
        <v>77</v>
      </c>
      <c r="K150" s="111">
        <f t="shared" si="18"/>
        <v>79.666666666666671</v>
      </c>
      <c r="L150" s="111">
        <f>150000*0.7</f>
        <v>105000</v>
      </c>
      <c r="M150" s="111">
        <f t="shared" si="19"/>
        <v>47250</v>
      </c>
      <c r="N150" s="111">
        <f t="shared" si="20"/>
        <v>47250</v>
      </c>
      <c r="O150" s="111">
        <f t="shared" si="21"/>
        <v>9450</v>
      </c>
      <c r="P150" s="111">
        <f t="shared" si="22"/>
        <v>10500</v>
      </c>
      <c r="Q150" s="111">
        <v>30000</v>
      </c>
      <c r="R150" s="111">
        <v>3</v>
      </c>
      <c r="S150" s="111">
        <f t="shared" si="23"/>
        <v>3000</v>
      </c>
      <c r="T150" s="111">
        <f t="shared" si="24"/>
        <v>135000</v>
      </c>
      <c r="U150" s="111">
        <f t="shared" si="25"/>
        <v>1350</v>
      </c>
      <c r="V150" s="111">
        <f t="shared" si="26"/>
        <v>136350</v>
      </c>
      <c r="W150" t="s">
        <v>2609</v>
      </c>
    </row>
    <row r="151" spans="1:23" x14ac:dyDescent="0.3">
      <c r="A151" s="110">
        <v>200221</v>
      </c>
      <c r="B151" s="110" t="s">
        <v>297</v>
      </c>
      <c r="C151" s="110" t="s">
        <v>297</v>
      </c>
      <c r="D151" s="110" t="s">
        <v>297</v>
      </c>
      <c r="E151" s="110" t="s">
        <v>272</v>
      </c>
      <c r="F151" s="110" t="s">
        <v>119</v>
      </c>
      <c r="G151" s="110" t="s">
        <v>114</v>
      </c>
      <c r="H151" s="111">
        <v>204</v>
      </c>
      <c r="I151" s="111">
        <v>178</v>
      </c>
      <c r="J151" s="111">
        <v>170</v>
      </c>
      <c r="K151" s="111">
        <f t="shared" si="18"/>
        <v>184</v>
      </c>
      <c r="L151" s="111">
        <v>150000</v>
      </c>
      <c r="M151" s="111">
        <f t="shared" si="19"/>
        <v>67500</v>
      </c>
      <c r="N151" s="111">
        <f t="shared" si="20"/>
        <v>67500</v>
      </c>
      <c r="O151" s="111">
        <f t="shared" si="21"/>
        <v>13500</v>
      </c>
      <c r="P151" s="111">
        <f t="shared" si="22"/>
        <v>15000</v>
      </c>
      <c r="Q151" s="111">
        <v>30000</v>
      </c>
      <c r="R151" s="111">
        <v>3</v>
      </c>
      <c r="S151" s="111">
        <f t="shared" si="23"/>
        <v>3000</v>
      </c>
      <c r="T151" s="111">
        <f t="shared" si="24"/>
        <v>180000</v>
      </c>
      <c r="U151" s="111">
        <f t="shared" si="25"/>
        <v>1800</v>
      </c>
      <c r="V151" s="111">
        <f t="shared" si="26"/>
        <v>181800</v>
      </c>
      <c r="W151" t="s">
        <v>2610</v>
      </c>
    </row>
    <row r="152" spans="1:23" x14ac:dyDescent="0.3">
      <c r="A152" s="110">
        <v>200222</v>
      </c>
      <c r="B152" s="110" t="s">
        <v>297</v>
      </c>
      <c r="C152" s="110" t="s">
        <v>297</v>
      </c>
      <c r="D152" s="110" t="s">
        <v>297</v>
      </c>
      <c r="E152" s="110" t="s">
        <v>320</v>
      </c>
      <c r="F152" s="110" t="s">
        <v>113</v>
      </c>
      <c r="G152" s="110" t="s">
        <v>114</v>
      </c>
      <c r="H152" s="111">
        <v>97</v>
      </c>
      <c r="I152" s="111">
        <v>101</v>
      </c>
      <c r="J152" s="111">
        <v>94</v>
      </c>
      <c r="K152" s="111">
        <f t="shared" si="18"/>
        <v>97.333333333333329</v>
      </c>
      <c r="L152" s="111">
        <f>150000*0.7</f>
        <v>105000</v>
      </c>
      <c r="M152" s="111">
        <f t="shared" si="19"/>
        <v>47250</v>
      </c>
      <c r="N152" s="111">
        <f t="shared" si="20"/>
        <v>47250</v>
      </c>
      <c r="O152" s="111">
        <f t="shared" si="21"/>
        <v>9450</v>
      </c>
      <c r="P152" s="111">
        <f t="shared" si="22"/>
        <v>10500</v>
      </c>
      <c r="Q152" s="111">
        <v>30000</v>
      </c>
      <c r="R152" s="111">
        <v>3</v>
      </c>
      <c r="S152" s="111">
        <f t="shared" si="23"/>
        <v>3000</v>
      </c>
      <c r="T152" s="111">
        <f t="shared" si="24"/>
        <v>135000</v>
      </c>
      <c r="U152" s="111">
        <f t="shared" si="25"/>
        <v>1350</v>
      </c>
      <c r="V152" s="111">
        <f t="shared" si="26"/>
        <v>136350</v>
      </c>
      <c r="W152" t="s">
        <v>2611</v>
      </c>
    </row>
    <row r="153" spans="1:23" x14ac:dyDescent="0.3">
      <c r="A153" s="110">
        <v>200223</v>
      </c>
      <c r="B153" s="110" t="s">
        <v>297</v>
      </c>
      <c r="C153" s="110" t="s">
        <v>297</v>
      </c>
      <c r="D153" s="110" t="s">
        <v>297</v>
      </c>
      <c r="E153" s="110" t="s">
        <v>317</v>
      </c>
      <c r="F153" s="110" t="s">
        <v>113</v>
      </c>
      <c r="G153" s="110" t="s">
        <v>114</v>
      </c>
      <c r="H153" s="111">
        <v>135</v>
      </c>
      <c r="I153" s="111">
        <v>138</v>
      </c>
      <c r="J153" s="111">
        <v>125</v>
      </c>
      <c r="K153" s="111">
        <f t="shared" si="18"/>
        <v>132.66666666666666</v>
      </c>
      <c r="L153" s="111">
        <v>150000</v>
      </c>
      <c r="M153" s="111">
        <f t="shared" si="19"/>
        <v>67500</v>
      </c>
      <c r="N153" s="111">
        <f t="shared" si="20"/>
        <v>67500</v>
      </c>
      <c r="O153" s="111">
        <f t="shared" si="21"/>
        <v>13500</v>
      </c>
      <c r="P153" s="111">
        <f t="shared" si="22"/>
        <v>15000</v>
      </c>
      <c r="Q153" s="111">
        <v>30000</v>
      </c>
      <c r="R153" s="111">
        <v>3</v>
      </c>
      <c r="S153" s="111">
        <f t="shared" si="23"/>
        <v>3000</v>
      </c>
      <c r="T153" s="111">
        <f t="shared" si="24"/>
        <v>180000</v>
      </c>
      <c r="U153" s="111">
        <f t="shared" si="25"/>
        <v>1800</v>
      </c>
      <c r="V153" s="111">
        <f t="shared" si="26"/>
        <v>181800</v>
      </c>
      <c r="W153" t="s">
        <v>2612</v>
      </c>
    </row>
    <row r="154" spans="1:23" x14ac:dyDescent="0.3">
      <c r="A154" s="110">
        <v>200224</v>
      </c>
      <c r="B154" s="110" t="s">
        <v>297</v>
      </c>
      <c r="C154" s="110" t="s">
        <v>297</v>
      </c>
      <c r="D154" s="110" t="s">
        <v>321</v>
      </c>
      <c r="E154" s="110" t="s">
        <v>184</v>
      </c>
      <c r="F154" s="110" t="s">
        <v>113</v>
      </c>
      <c r="G154" s="110" t="s">
        <v>114</v>
      </c>
      <c r="H154" s="111">
        <v>98</v>
      </c>
      <c r="I154" s="111">
        <v>96</v>
      </c>
      <c r="J154" s="111">
        <v>86</v>
      </c>
      <c r="K154" s="111">
        <f t="shared" si="18"/>
        <v>93.333333333333329</v>
      </c>
      <c r="L154" s="111">
        <v>150000</v>
      </c>
      <c r="M154" s="111">
        <f t="shared" si="19"/>
        <v>67500</v>
      </c>
      <c r="N154" s="111">
        <f t="shared" si="20"/>
        <v>67500</v>
      </c>
      <c r="O154" s="111">
        <f t="shared" si="21"/>
        <v>13500</v>
      </c>
      <c r="P154" s="111">
        <f t="shared" si="22"/>
        <v>15000</v>
      </c>
      <c r="Q154" s="111">
        <v>30000</v>
      </c>
      <c r="R154" s="111">
        <v>3</v>
      </c>
      <c r="S154" s="111">
        <f t="shared" si="23"/>
        <v>3000</v>
      </c>
      <c r="T154" s="111">
        <f t="shared" si="24"/>
        <v>180000</v>
      </c>
      <c r="U154" s="111">
        <f t="shared" si="25"/>
        <v>1800</v>
      </c>
      <c r="V154" s="111">
        <f t="shared" si="26"/>
        <v>181800</v>
      </c>
      <c r="W154" t="s">
        <v>2613</v>
      </c>
    </row>
    <row r="155" spans="1:23" x14ac:dyDescent="0.3">
      <c r="A155" s="110">
        <v>200225</v>
      </c>
      <c r="B155" s="110" t="s">
        <v>297</v>
      </c>
      <c r="C155" s="110" t="s">
        <v>297</v>
      </c>
      <c r="D155" s="110" t="s">
        <v>322</v>
      </c>
      <c r="E155" s="110" t="s">
        <v>201</v>
      </c>
      <c r="F155" s="110" t="s">
        <v>113</v>
      </c>
      <c r="G155" s="110" t="s">
        <v>114</v>
      </c>
      <c r="H155" s="111">
        <v>111</v>
      </c>
      <c r="I155" s="111">
        <v>107</v>
      </c>
      <c r="J155" s="111">
        <v>102</v>
      </c>
      <c r="K155" s="111">
        <f t="shared" si="18"/>
        <v>106.66666666666667</v>
      </c>
      <c r="L155" s="111">
        <v>150000</v>
      </c>
      <c r="M155" s="111">
        <f t="shared" si="19"/>
        <v>67500</v>
      </c>
      <c r="N155" s="111">
        <f t="shared" si="20"/>
        <v>67500</v>
      </c>
      <c r="O155" s="111">
        <f t="shared" si="21"/>
        <v>13500</v>
      </c>
      <c r="P155" s="111">
        <f t="shared" si="22"/>
        <v>15000</v>
      </c>
      <c r="Q155" s="111">
        <v>30000</v>
      </c>
      <c r="R155" s="111">
        <v>3</v>
      </c>
      <c r="S155" s="111">
        <f t="shared" si="23"/>
        <v>3000</v>
      </c>
      <c r="T155" s="111">
        <f t="shared" si="24"/>
        <v>180000</v>
      </c>
      <c r="U155" s="111">
        <f t="shared" si="25"/>
        <v>1800</v>
      </c>
      <c r="V155" s="111">
        <f t="shared" si="26"/>
        <v>181800</v>
      </c>
      <c r="W155" t="s">
        <v>2614</v>
      </c>
    </row>
    <row r="156" spans="1:23" x14ac:dyDescent="0.3">
      <c r="A156" s="110">
        <v>200226</v>
      </c>
      <c r="B156" s="110" t="s">
        <v>297</v>
      </c>
      <c r="C156" s="110" t="s">
        <v>297</v>
      </c>
      <c r="D156" s="110" t="s">
        <v>297</v>
      </c>
      <c r="E156" s="110" t="s">
        <v>167</v>
      </c>
      <c r="F156" s="110" t="s">
        <v>168</v>
      </c>
      <c r="G156" s="110" t="s">
        <v>114</v>
      </c>
      <c r="H156" s="111">
        <v>195</v>
      </c>
      <c r="I156" s="111">
        <v>180</v>
      </c>
      <c r="J156" s="111">
        <v>166</v>
      </c>
      <c r="K156" s="111">
        <f t="shared" si="18"/>
        <v>180.33333333333334</v>
      </c>
      <c r="L156" s="111">
        <v>150000</v>
      </c>
      <c r="M156" s="111">
        <f t="shared" si="19"/>
        <v>67500</v>
      </c>
      <c r="N156" s="111">
        <f t="shared" si="20"/>
        <v>67500</v>
      </c>
      <c r="O156" s="111">
        <f t="shared" si="21"/>
        <v>13500</v>
      </c>
      <c r="P156" s="111">
        <f t="shared" si="22"/>
        <v>15000</v>
      </c>
      <c r="Q156" s="111">
        <v>30000</v>
      </c>
      <c r="R156" s="111">
        <v>3</v>
      </c>
      <c r="S156" s="111">
        <f t="shared" si="23"/>
        <v>3000</v>
      </c>
      <c r="T156" s="111">
        <f t="shared" si="24"/>
        <v>180000</v>
      </c>
      <c r="U156" s="111">
        <f t="shared" si="25"/>
        <v>1800</v>
      </c>
      <c r="V156" s="111">
        <f t="shared" si="26"/>
        <v>181800</v>
      </c>
      <c r="W156" t="s">
        <v>2615</v>
      </c>
    </row>
    <row r="157" spans="1:23" x14ac:dyDescent="0.3">
      <c r="A157" s="110">
        <v>200227</v>
      </c>
      <c r="B157" s="110" t="s">
        <v>297</v>
      </c>
      <c r="C157" s="110" t="s">
        <v>297</v>
      </c>
      <c r="D157" s="110" t="s">
        <v>297</v>
      </c>
      <c r="E157" s="110" t="s">
        <v>137</v>
      </c>
      <c r="F157" s="110" t="s">
        <v>119</v>
      </c>
      <c r="G157" s="110" t="s">
        <v>114</v>
      </c>
      <c r="H157" s="111">
        <v>173</v>
      </c>
      <c r="I157" s="111">
        <v>191</v>
      </c>
      <c r="J157" s="111">
        <v>250</v>
      </c>
      <c r="K157" s="111">
        <f t="shared" si="18"/>
        <v>204.66666666666666</v>
      </c>
      <c r="L157" s="111">
        <v>200000</v>
      </c>
      <c r="M157" s="111">
        <f t="shared" si="19"/>
        <v>90000</v>
      </c>
      <c r="N157" s="111">
        <f t="shared" si="20"/>
        <v>90000</v>
      </c>
      <c r="O157" s="111">
        <f t="shared" si="21"/>
        <v>18000</v>
      </c>
      <c r="P157" s="111">
        <f t="shared" si="22"/>
        <v>20000</v>
      </c>
      <c r="Q157" s="111">
        <v>50000</v>
      </c>
      <c r="R157" s="111">
        <v>5</v>
      </c>
      <c r="S157" s="111">
        <f t="shared" si="23"/>
        <v>5000</v>
      </c>
      <c r="T157" s="111">
        <f t="shared" si="24"/>
        <v>250000</v>
      </c>
      <c r="U157" s="111">
        <f t="shared" si="25"/>
        <v>2500</v>
      </c>
      <c r="V157" s="111">
        <f t="shared" si="26"/>
        <v>252500</v>
      </c>
      <c r="W157" t="s">
        <v>2616</v>
      </c>
    </row>
    <row r="158" spans="1:23" x14ac:dyDescent="0.3">
      <c r="A158" s="110">
        <v>200228</v>
      </c>
      <c r="B158" s="110" t="s">
        <v>297</v>
      </c>
      <c r="C158" s="110" t="s">
        <v>297</v>
      </c>
      <c r="D158" s="110" t="s">
        <v>297</v>
      </c>
      <c r="E158" s="110" t="s">
        <v>323</v>
      </c>
      <c r="F158" s="110" t="s">
        <v>119</v>
      </c>
      <c r="G158" s="110" t="s">
        <v>114</v>
      </c>
      <c r="H158" s="111">
        <v>377</v>
      </c>
      <c r="I158" s="111">
        <v>399</v>
      </c>
      <c r="J158" s="111">
        <v>450</v>
      </c>
      <c r="K158" s="111">
        <f t="shared" si="18"/>
        <v>408.66666666666669</v>
      </c>
      <c r="L158" s="111">
        <f>300000</f>
        <v>300000</v>
      </c>
      <c r="M158" s="111">
        <f t="shared" si="19"/>
        <v>135000</v>
      </c>
      <c r="N158" s="111">
        <f t="shared" si="20"/>
        <v>135000</v>
      </c>
      <c r="O158" s="111">
        <f t="shared" si="21"/>
        <v>27000</v>
      </c>
      <c r="P158" s="111">
        <f t="shared" si="22"/>
        <v>30000</v>
      </c>
      <c r="Q158" s="111">
        <v>60000</v>
      </c>
      <c r="R158" s="111">
        <v>6</v>
      </c>
      <c r="S158" s="111">
        <f t="shared" si="23"/>
        <v>6000</v>
      </c>
      <c r="T158" s="111">
        <f t="shared" si="24"/>
        <v>360000</v>
      </c>
      <c r="U158" s="111">
        <f t="shared" si="25"/>
        <v>3600</v>
      </c>
      <c r="V158" s="111">
        <f t="shared" si="26"/>
        <v>363600</v>
      </c>
      <c r="W158" t="s">
        <v>2617</v>
      </c>
    </row>
    <row r="159" spans="1:23" x14ac:dyDescent="0.3">
      <c r="A159" s="110">
        <v>200229</v>
      </c>
      <c r="B159" s="110" t="s">
        <v>297</v>
      </c>
      <c r="C159" s="110" t="s">
        <v>297</v>
      </c>
      <c r="D159" s="110" t="s">
        <v>297</v>
      </c>
      <c r="E159" s="110" t="s">
        <v>324</v>
      </c>
      <c r="F159" s="110" t="s">
        <v>119</v>
      </c>
      <c r="G159" s="110" t="s">
        <v>114</v>
      </c>
      <c r="H159" s="111">
        <v>736</v>
      </c>
      <c r="I159" s="111">
        <v>769</v>
      </c>
      <c r="J159" s="111">
        <v>849</v>
      </c>
      <c r="K159" s="111">
        <f t="shared" si="18"/>
        <v>784.66666666666663</v>
      </c>
      <c r="L159" s="111">
        <f>300000</f>
        <v>300000</v>
      </c>
      <c r="M159" s="111">
        <f t="shared" si="19"/>
        <v>135000</v>
      </c>
      <c r="N159" s="111">
        <f t="shared" si="20"/>
        <v>135000</v>
      </c>
      <c r="O159" s="111">
        <f t="shared" si="21"/>
        <v>27000</v>
      </c>
      <c r="P159" s="111">
        <f t="shared" si="22"/>
        <v>30000</v>
      </c>
      <c r="Q159" s="111">
        <v>60000</v>
      </c>
      <c r="R159" s="111">
        <v>6</v>
      </c>
      <c r="S159" s="111">
        <f t="shared" si="23"/>
        <v>6000</v>
      </c>
      <c r="T159" s="111">
        <f t="shared" si="24"/>
        <v>360000</v>
      </c>
      <c r="U159" s="111">
        <f t="shared" si="25"/>
        <v>3600</v>
      </c>
      <c r="V159" s="111">
        <f t="shared" si="26"/>
        <v>363600</v>
      </c>
      <c r="W159" t="s">
        <v>2618</v>
      </c>
    </row>
    <row r="160" spans="1:23" x14ac:dyDescent="0.3">
      <c r="A160" s="110">
        <v>200230</v>
      </c>
      <c r="B160" s="110" t="s">
        <v>297</v>
      </c>
      <c r="C160" s="110" t="s">
        <v>297</v>
      </c>
      <c r="D160" s="110" t="s">
        <v>297</v>
      </c>
      <c r="E160" s="110" t="s">
        <v>325</v>
      </c>
      <c r="F160" s="110" t="s">
        <v>119</v>
      </c>
      <c r="G160" s="110" t="s">
        <v>114</v>
      </c>
      <c r="H160" s="111">
        <v>466</v>
      </c>
      <c r="I160" s="111">
        <v>465</v>
      </c>
      <c r="J160" s="111">
        <v>495</v>
      </c>
      <c r="K160" s="111">
        <f t="shared" si="18"/>
        <v>475.33333333333331</v>
      </c>
      <c r="L160" s="111">
        <f>300000</f>
        <v>300000</v>
      </c>
      <c r="M160" s="111">
        <f t="shared" si="19"/>
        <v>135000</v>
      </c>
      <c r="N160" s="111">
        <f t="shared" si="20"/>
        <v>135000</v>
      </c>
      <c r="O160" s="111">
        <f t="shared" si="21"/>
        <v>27000</v>
      </c>
      <c r="P160" s="111">
        <f t="shared" si="22"/>
        <v>30000</v>
      </c>
      <c r="Q160" s="111">
        <v>60000</v>
      </c>
      <c r="R160" s="111">
        <v>6</v>
      </c>
      <c r="S160" s="111">
        <f t="shared" si="23"/>
        <v>6000</v>
      </c>
      <c r="T160" s="111">
        <f t="shared" si="24"/>
        <v>360000</v>
      </c>
      <c r="U160" s="111">
        <f t="shared" si="25"/>
        <v>3600</v>
      </c>
      <c r="V160" s="111">
        <f t="shared" si="26"/>
        <v>363600</v>
      </c>
      <c r="W160" t="s">
        <v>2619</v>
      </c>
    </row>
    <row r="161" spans="1:23" x14ac:dyDescent="0.3">
      <c r="A161" s="110">
        <v>200231</v>
      </c>
      <c r="B161" s="110" t="s">
        <v>297</v>
      </c>
      <c r="C161" s="110" t="s">
        <v>297</v>
      </c>
      <c r="D161" s="110" t="s">
        <v>297</v>
      </c>
      <c r="E161" s="110" t="s">
        <v>326</v>
      </c>
      <c r="F161" s="110" t="s">
        <v>119</v>
      </c>
      <c r="G161" s="110" t="s">
        <v>114</v>
      </c>
      <c r="H161" s="111">
        <v>266</v>
      </c>
      <c r="I161" s="111">
        <v>271</v>
      </c>
      <c r="J161" s="111">
        <v>334</v>
      </c>
      <c r="K161" s="111">
        <f t="shared" si="18"/>
        <v>290.33333333333331</v>
      </c>
      <c r="L161" s="111">
        <v>200000</v>
      </c>
      <c r="M161" s="111">
        <f t="shared" si="19"/>
        <v>90000</v>
      </c>
      <c r="N161" s="111">
        <f t="shared" si="20"/>
        <v>90000</v>
      </c>
      <c r="O161" s="111">
        <f t="shared" si="21"/>
        <v>18000</v>
      </c>
      <c r="P161" s="111">
        <f t="shared" si="22"/>
        <v>20000</v>
      </c>
      <c r="Q161" s="111">
        <v>50000</v>
      </c>
      <c r="R161" s="111">
        <v>5</v>
      </c>
      <c r="S161" s="111">
        <f t="shared" si="23"/>
        <v>5000</v>
      </c>
      <c r="T161" s="111">
        <f t="shared" si="24"/>
        <v>250000</v>
      </c>
      <c r="U161" s="111">
        <f t="shared" si="25"/>
        <v>2500</v>
      </c>
      <c r="V161" s="111">
        <f t="shared" si="26"/>
        <v>252500</v>
      </c>
      <c r="W161" t="s">
        <v>2620</v>
      </c>
    </row>
    <row r="162" spans="1:23" x14ac:dyDescent="0.3">
      <c r="A162" s="110">
        <v>200232</v>
      </c>
      <c r="B162" s="110" t="s">
        <v>297</v>
      </c>
      <c r="C162" s="110" t="s">
        <v>297</v>
      </c>
      <c r="D162" s="110" t="s">
        <v>297</v>
      </c>
      <c r="E162" s="110" t="s">
        <v>327</v>
      </c>
      <c r="F162" s="110" t="s">
        <v>119</v>
      </c>
      <c r="G162" s="110" t="s">
        <v>114</v>
      </c>
      <c r="H162" s="111">
        <v>558</v>
      </c>
      <c r="I162" s="111">
        <v>621</v>
      </c>
      <c r="J162" s="111">
        <v>688</v>
      </c>
      <c r="K162" s="111">
        <f t="shared" si="18"/>
        <v>622.33333333333337</v>
      </c>
      <c r="L162" s="111">
        <f>300000</f>
        <v>300000</v>
      </c>
      <c r="M162" s="111">
        <f t="shared" si="19"/>
        <v>135000</v>
      </c>
      <c r="N162" s="111">
        <f t="shared" si="20"/>
        <v>135000</v>
      </c>
      <c r="O162" s="111">
        <f t="shared" si="21"/>
        <v>27000</v>
      </c>
      <c r="P162" s="111">
        <f t="shared" si="22"/>
        <v>30000</v>
      </c>
      <c r="Q162" s="111">
        <v>60000</v>
      </c>
      <c r="R162" s="111">
        <v>6</v>
      </c>
      <c r="S162" s="111">
        <f t="shared" si="23"/>
        <v>6000</v>
      </c>
      <c r="T162" s="111">
        <f t="shared" si="24"/>
        <v>360000</v>
      </c>
      <c r="U162" s="111">
        <f t="shared" si="25"/>
        <v>3600</v>
      </c>
      <c r="V162" s="111">
        <f t="shared" si="26"/>
        <v>363600</v>
      </c>
      <c r="W162" t="s">
        <v>2621</v>
      </c>
    </row>
    <row r="163" spans="1:23" x14ac:dyDescent="0.3">
      <c r="A163" s="110">
        <v>200233</v>
      </c>
      <c r="B163" s="110" t="s">
        <v>297</v>
      </c>
      <c r="C163" s="110" t="s">
        <v>297</v>
      </c>
      <c r="D163" s="110" t="s">
        <v>297</v>
      </c>
      <c r="E163" s="110" t="s">
        <v>328</v>
      </c>
      <c r="F163" s="110" t="s">
        <v>119</v>
      </c>
      <c r="G163" s="110" t="s">
        <v>114</v>
      </c>
      <c r="H163" s="111">
        <v>695</v>
      </c>
      <c r="I163" s="111">
        <v>658</v>
      </c>
      <c r="J163" s="111">
        <v>652</v>
      </c>
      <c r="K163" s="111">
        <f t="shared" si="18"/>
        <v>668.33333333333337</v>
      </c>
      <c r="L163" s="111">
        <f>300000</f>
        <v>300000</v>
      </c>
      <c r="M163" s="111">
        <f t="shared" si="19"/>
        <v>135000</v>
      </c>
      <c r="N163" s="111">
        <f t="shared" si="20"/>
        <v>135000</v>
      </c>
      <c r="O163" s="111">
        <f t="shared" si="21"/>
        <v>27000</v>
      </c>
      <c r="P163" s="111">
        <f t="shared" si="22"/>
        <v>30000</v>
      </c>
      <c r="Q163" s="111">
        <v>60000</v>
      </c>
      <c r="R163" s="111">
        <v>6</v>
      </c>
      <c r="S163" s="111">
        <f t="shared" si="23"/>
        <v>6000</v>
      </c>
      <c r="T163" s="111">
        <f t="shared" si="24"/>
        <v>360000</v>
      </c>
      <c r="U163" s="111">
        <f t="shared" si="25"/>
        <v>3600</v>
      </c>
      <c r="V163" s="111">
        <f t="shared" si="26"/>
        <v>363600</v>
      </c>
      <c r="W163" t="s">
        <v>2622</v>
      </c>
    </row>
    <row r="164" spans="1:23" x14ac:dyDescent="0.3">
      <c r="A164" s="110">
        <v>200234</v>
      </c>
      <c r="B164" s="110" t="s">
        <v>297</v>
      </c>
      <c r="C164" s="110" t="s">
        <v>297</v>
      </c>
      <c r="D164" s="110" t="s">
        <v>297</v>
      </c>
      <c r="E164" s="110" t="s">
        <v>329</v>
      </c>
      <c r="F164" s="110" t="s">
        <v>119</v>
      </c>
      <c r="G164" s="110" t="s">
        <v>114</v>
      </c>
      <c r="H164" s="111">
        <v>1138</v>
      </c>
      <c r="I164" s="111">
        <v>1139</v>
      </c>
      <c r="J164" s="111">
        <v>1110</v>
      </c>
      <c r="K164" s="111">
        <f t="shared" si="18"/>
        <v>1129</v>
      </c>
      <c r="L164" s="111">
        <f>600000</f>
        <v>600000</v>
      </c>
      <c r="M164" s="111">
        <f t="shared" si="19"/>
        <v>270000</v>
      </c>
      <c r="N164" s="111">
        <f t="shared" si="20"/>
        <v>270000</v>
      </c>
      <c r="O164" s="111">
        <f t="shared" si="21"/>
        <v>54000</v>
      </c>
      <c r="P164" s="111">
        <f t="shared" si="22"/>
        <v>60000</v>
      </c>
      <c r="Q164" s="111">
        <v>80000</v>
      </c>
      <c r="R164" s="111">
        <v>8</v>
      </c>
      <c r="S164" s="111">
        <f t="shared" si="23"/>
        <v>8000</v>
      </c>
      <c r="T164" s="111">
        <f t="shared" si="24"/>
        <v>680000</v>
      </c>
      <c r="U164" s="111">
        <f t="shared" si="25"/>
        <v>6800</v>
      </c>
      <c r="V164" s="111">
        <f t="shared" si="26"/>
        <v>686800</v>
      </c>
      <c r="W164" t="s">
        <v>2623</v>
      </c>
    </row>
    <row r="165" spans="1:23" x14ac:dyDescent="0.3">
      <c r="A165" s="110">
        <v>200235</v>
      </c>
      <c r="B165" s="110" t="s">
        <v>297</v>
      </c>
      <c r="C165" s="110" t="s">
        <v>297</v>
      </c>
      <c r="D165" s="110" t="s">
        <v>297</v>
      </c>
      <c r="E165" s="110" t="s">
        <v>330</v>
      </c>
      <c r="F165" s="110" t="s">
        <v>122</v>
      </c>
      <c r="G165" s="110" t="s">
        <v>114</v>
      </c>
      <c r="H165" s="111">
        <v>901</v>
      </c>
      <c r="I165" s="111">
        <v>906</v>
      </c>
      <c r="J165" s="111">
        <v>905</v>
      </c>
      <c r="K165" s="111">
        <f t="shared" si="18"/>
        <v>904</v>
      </c>
      <c r="L165" s="111">
        <f>300000</f>
        <v>300000</v>
      </c>
      <c r="M165" s="111">
        <f t="shared" si="19"/>
        <v>135000</v>
      </c>
      <c r="N165" s="111">
        <f t="shared" si="20"/>
        <v>135000</v>
      </c>
      <c r="O165" s="111">
        <f t="shared" si="21"/>
        <v>27000</v>
      </c>
      <c r="P165" s="111">
        <f t="shared" si="22"/>
        <v>30000</v>
      </c>
      <c r="Q165" s="111">
        <v>60000</v>
      </c>
      <c r="R165" s="111">
        <v>6</v>
      </c>
      <c r="S165" s="111">
        <f t="shared" si="23"/>
        <v>6000</v>
      </c>
      <c r="T165" s="111">
        <f t="shared" si="24"/>
        <v>360000</v>
      </c>
      <c r="U165" s="111">
        <f t="shared" si="25"/>
        <v>3600</v>
      </c>
      <c r="V165" s="111">
        <f t="shared" si="26"/>
        <v>363600</v>
      </c>
      <c r="W165" t="s">
        <v>2624</v>
      </c>
    </row>
    <row r="166" spans="1:23" x14ac:dyDescent="0.3">
      <c r="A166" s="110">
        <v>200236</v>
      </c>
      <c r="B166" s="110" t="s">
        <v>297</v>
      </c>
      <c r="C166" s="110" t="s">
        <v>297</v>
      </c>
      <c r="D166" s="110" t="s">
        <v>297</v>
      </c>
      <c r="E166" s="110" t="s">
        <v>331</v>
      </c>
      <c r="F166" s="110" t="s">
        <v>122</v>
      </c>
      <c r="G166" s="110" t="s">
        <v>114</v>
      </c>
      <c r="H166" s="111">
        <v>801</v>
      </c>
      <c r="I166" s="111">
        <v>795</v>
      </c>
      <c r="J166" s="111">
        <v>792</v>
      </c>
      <c r="K166" s="111">
        <f t="shared" si="18"/>
        <v>796</v>
      </c>
      <c r="L166" s="111">
        <f>300000</f>
        <v>300000</v>
      </c>
      <c r="M166" s="111">
        <f t="shared" si="19"/>
        <v>135000</v>
      </c>
      <c r="N166" s="111">
        <f t="shared" si="20"/>
        <v>135000</v>
      </c>
      <c r="O166" s="111">
        <f t="shared" si="21"/>
        <v>27000</v>
      </c>
      <c r="P166" s="111">
        <f t="shared" si="22"/>
        <v>30000</v>
      </c>
      <c r="Q166" s="111">
        <v>60000</v>
      </c>
      <c r="R166" s="111">
        <v>6</v>
      </c>
      <c r="S166" s="111">
        <f t="shared" si="23"/>
        <v>6000</v>
      </c>
      <c r="T166" s="111">
        <f t="shared" si="24"/>
        <v>360000</v>
      </c>
      <c r="U166" s="111">
        <f t="shared" si="25"/>
        <v>3600</v>
      </c>
      <c r="V166" s="111">
        <f t="shared" si="26"/>
        <v>363600</v>
      </c>
      <c r="W166" t="s">
        <v>2625</v>
      </c>
    </row>
    <row r="167" spans="1:23" x14ac:dyDescent="0.3">
      <c r="A167" s="110">
        <v>200237</v>
      </c>
      <c r="B167" s="110" t="s">
        <v>297</v>
      </c>
      <c r="C167" s="110" t="s">
        <v>297</v>
      </c>
      <c r="D167" s="110" t="s">
        <v>297</v>
      </c>
      <c r="E167" s="110" t="s">
        <v>332</v>
      </c>
      <c r="F167" s="110" t="s">
        <v>122</v>
      </c>
      <c r="G167" s="110" t="s">
        <v>114</v>
      </c>
      <c r="H167" s="111">
        <v>781</v>
      </c>
      <c r="I167" s="111">
        <v>782</v>
      </c>
      <c r="J167" s="111">
        <v>785</v>
      </c>
      <c r="K167" s="111">
        <f t="shared" si="18"/>
        <v>782.66666666666663</v>
      </c>
      <c r="L167" s="111">
        <f>300000</f>
        <v>300000</v>
      </c>
      <c r="M167" s="111">
        <f t="shared" si="19"/>
        <v>135000</v>
      </c>
      <c r="N167" s="111">
        <f t="shared" si="20"/>
        <v>135000</v>
      </c>
      <c r="O167" s="111">
        <f t="shared" si="21"/>
        <v>27000</v>
      </c>
      <c r="P167" s="111">
        <f t="shared" si="22"/>
        <v>30000</v>
      </c>
      <c r="Q167" s="111">
        <v>60000</v>
      </c>
      <c r="R167" s="111">
        <v>6</v>
      </c>
      <c r="S167" s="111">
        <f t="shared" si="23"/>
        <v>6000</v>
      </c>
      <c r="T167" s="111">
        <f t="shared" si="24"/>
        <v>360000</v>
      </c>
      <c r="U167" s="111">
        <f t="shared" si="25"/>
        <v>3600</v>
      </c>
      <c r="V167" s="111">
        <f t="shared" si="26"/>
        <v>363600</v>
      </c>
      <c r="W167" t="s">
        <v>2626</v>
      </c>
    </row>
    <row r="168" spans="1:23" x14ac:dyDescent="0.3">
      <c r="A168" s="110">
        <v>200238</v>
      </c>
      <c r="B168" s="110" t="s">
        <v>297</v>
      </c>
      <c r="C168" s="110" t="s">
        <v>297</v>
      </c>
      <c r="D168" s="110" t="s">
        <v>297</v>
      </c>
      <c r="E168" s="110" t="s">
        <v>333</v>
      </c>
      <c r="F168" s="110" t="s">
        <v>122</v>
      </c>
      <c r="G168" s="110" t="s">
        <v>114</v>
      </c>
      <c r="H168" s="111">
        <v>778</v>
      </c>
      <c r="I168" s="111">
        <v>785</v>
      </c>
      <c r="J168" s="111">
        <v>792</v>
      </c>
      <c r="K168" s="111">
        <f t="shared" si="18"/>
        <v>785</v>
      </c>
      <c r="L168" s="111">
        <f>300000</f>
        <v>300000</v>
      </c>
      <c r="M168" s="111">
        <f t="shared" si="19"/>
        <v>135000</v>
      </c>
      <c r="N168" s="111">
        <f t="shared" si="20"/>
        <v>135000</v>
      </c>
      <c r="O168" s="111">
        <f t="shared" si="21"/>
        <v>27000</v>
      </c>
      <c r="P168" s="111">
        <f t="shared" si="22"/>
        <v>30000</v>
      </c>
      <c r="Q168" s="111">
        <v>60000</v>
      </c>
      <c r="R168" s="111">
        <v>6</v>
      </c>
      <c r="S168" s="111">
        <f t="shared" si="23"/>
        <v>6000</v>
      </c>
      <c r="T168" s="111">
        <f t="shared" si="24"/>
        <v>360000</v>
      </c>
      <c r="U168" s="111">
        <f t="shared" si="25"/>
        <v>3600</v>
      </c>
      <c r="V168" s="111">
        <f t="shared" si="26"/>
        <v>363600</v>
      </c>
      <c r="W168" t="s">
        <v>2627</v>
      </c>
    </row>
    <row r="169" spans="1:23" x14ac:dyDescent="0.3">
      <c r="A169" s="110">
        <v>200239</v>
      </c>
      <c r="B169" s="110" t="s">
        <v>297</v>
      </c>
      <c r="C169" s="110" t="s">
        <v>297</v>
      </c>
      <c r="D169" s="110" t="s">
        <v>297</v>
      </c>
      <c r="E169" s="110" t="s">
        <v>334</v>
      </c>
      <c r="F169" s="110" t="s">
        <v>122</v>
      </c>
      <c r="G169" s="110" t="s">
        <v>114</v>
      </c>
      <c r="H169" s="111">
        <v>1028</v>
      </c>
      <c r="I169" s="111">
        <v>1025</v>
      </c>
      <c r="J169" s="111">
        <v>1029</v>
      </c>
      <c r="K169" s="111">
        <f t="shared" si="18"/>
        <v>1027.3333333333333</v>
      </c>
      <c r="L169" s="111">
        <f>600000*0.7</f>
        <v>420000</v>
      </c>
      <c r="M169" s="111">
        <f t="shared" si="19"/>
        <v>189000</v>
      </c>
      <c r="N169" s="111">
        <f t="shared" si="20"/>
        <v>189000</v>
      </c>
      <c r="O169" s="111">
        <f t="shared" si="21"/>
        <v>37800</v>
      </c>
      <c r="P169" s="111">
        <f t="shared" si="22"/>
        <v>42000</v>
      </c>
      <c r="Q169" s="111">
        <v>80000</v>
      </c>
      <c r="R169" s="111">
        <v>8</v>
      </c>
      <c r="S169" s="111">
        <f t="shared" si="23"/>
        <v>8000</v>
      </c>
      <c r="T169" s="111">
        <f t="shared" si="24"/>
        <v>500000</v>
      </c>
      <c r="U169" s="111">
        <f t="shared" si="25"/>
        <v>5000</v>
      </c>
      <c r="V169" s="111">
        <f t="shared" si="26"/>
        <v>505000</v>
      </c>
      <c r="W169" t="s">
        <v>2628</v>
      </c>
    </row>
    <row r="170" spans="1:23" x14ac:dyDescent="0.3">
      <c r="A170" s="110">
        <v>200240</v>
      </c>
      <c r="B170" s="110" t="s">
        <v>297</v>
      </c>
      <c r="C170" s="110" t="s">
        <v>297</v>
      </c>
      <c r="D170" s="110" t="s">
        <v>297</v>
      </c>
      <c r="E170" s="110" t="s">
        <v>335</v>
      </c>
      <c r="F170" s="110" t="s">
        <v>296</v>
      </c>
      <c r="G170" s="110" t="s">
        <v>125</v>
      </c>
      <c r="H170" s="111">
        <v>300</v>
      </c>
      <c r="I170" s="111">
        <v>312</v>
      </c>
      <c r="J170" s="111">
        <v>362</v>
      </c>
      <c r="K170" s="111">
        <f t="shared" si="18"/>
        <v>324.66666666666669</v>
      </c>
      <c r="L170" s="111">
        <v>200000</v>
      </c>
      <c r="M170" s="111">
        <f t="shared" si="19"/>
        <v>90000</v>
      </c>
      <c r="N170" s="111">
        <f t="shared" si="20"/>
        <v>90000</v>
      </c>
      <c r="O170" s="111">
        <f t="shared" si="21"/>
        <v>18000</v>
      </c>
      <c r="P170" s="111">
        <f t="shared" si="22"/>
        <v>20000</v>
      </c>
      <c r="Q170" s="111">
        <v>50000</v>
      </c>
      <c r="R170" s="111">
        <v>5</v>
      </c>
      <c r="S170" s="111">
        <f t="shared" si="23"/>
        <v>5000</v>
      </c>
      <c r="T170" s="111">
        <f t="shared" si="24"/>
        <v>250000</v>
      </c>
      <c r="U170" s="111">
        <f t="shared" si="25"/>
        <v>2500</v>
      </c>
      <c r="V170" s="111">
        <f t="shared" si="26"/>
        <v>252500</v>
      </c>
      <c r="W170" t="s">
        <v>2629</v>
      </c>
    </row>
    <row r="171" spans="1:23" x14ac:dyDescent="0.3">
      <c r="A171" s="110">
        <v>200241</v>
      </c>
      <c r="B171" s="110" t="s">
        <v>297</v>
      </c>
      <c r="C171" s="110" t="s">
        <v>297</v>
      </c>
      <c r="D171" s="110" t="s">
        <v>297</v>
      </c>
      <c r="E171" s="110" t="s">
        <v>336</v>
      </c>
      <c r="F171" s="110" t="s">
        <v>113</v>
      </c>
      <c r="G171" s="110" t="s">
        <v>114</v>
      </c>
      <c r="H171" s="111">
        <v>399</v>
      </c>
      <c r="I171" s="111">
        <v>399</v>
      </c>
      <c r="J171" s="111">
        <v>405</v>
      </c>
      <c r="K171" s="111">
        <f t="shared" si="18"/>
        <v>401</v>
      </c>
      <c r="L171" s="111">
        <f>300000*0.7</f>
        <v>210000</v>
      </c>
      <c r="M171" s="111">
        <f t="shared" si="19"/>
        <v>94500</v>
      </c>
      <c r="N171" s="111">
        <f t="shared" si="20"/>
        <v>94500</v>
      </c>
      <c r="O171" s="111">
        <f t="shared" si="21"/>
        <v>18900</v>
      </c>
      <c r="P171" s="111">
        <f t="shared" si="22"/>
        <v>21000</v>
      </c>
      <c r="Q171" s="111">
        <v>60000</v>
      </c>
      <c r="R171" s="111">
        <v>6</v>
      </c>
      <c r="S171" s="111">
        <f t="shared" si="23"/>
        <v>6000</v>
      </c>
      <c r="T171" s="111">
        <f t="shared" si="24"/>
        <v>270000</v>
      </c>
      <c r="U171" s="111">
        <f t="shared" si="25"/>
        <v>2700</v>
      </c>
      <c r="V171" s="111">
        <f t="shared" si="26"/>
        <v>272700</v>
      </c>
      <c r="W171" t="s">
        <v>2630</v>
      </c>
    </row>
    <row r="172" spans="1:23" x14ac:dyDescent="0.3">
      <c r="A172" s="110">
        <v>200242</v>
      </c>
      <c r="B172" s="110" t="s">
        <v>297</v>
      </c>
      <c r="C172" s="110" t="s">
        <v>297</v>
      </c>
      <c r="D172" s="110" t="s">
        <v>297</v>
      </c>
      <c r="E172" s="110" t="s">
        <v>337</v>
      </c>
      <c r="F172" s="110" t="s">
        <v>117</v>
      </c>
      <c r="G172" s="110" t="s">
        <v>114</v>
      </c>
      <c r="H172" s="111">
        <v>892</v>
      </c>
      <c r="I172" s="111">
        <v>920</v>
      </c>
      <c r="J172" s="111">
        <v>914</v>
      </c>
      <c r="K172" s="111">
        <f t="shared" si="18"/>
        <v>908.66666666666663</v>
      </c>
      <c r="L172" s="111">
        <f>300000</f>
        <v>300000</v>
      </c>
      <c r="M172" s="111">
        <f t="shared" si="19"/>
        <v>135000</v>
      </c>
      <c r="N172" s="111">
        <f t="shared" si="20"/>
        <v>135000</v>
      </c>
      <c r="O172" s="111">
        <f t="shared" si="21"/>
        <v>27000</v>
      </c>
      <c r="P172" s="111">
        <f t="shared" si="22"/>
        <v>30000</v>
      </c>
      <c r="Q172" s="111">
        <v>60000</v>
      </c>
      <c r="R172" s="111">
        <v>6</v>
      </c>
      <c r="S172" s="111">
        <f t="shared" si="23"/>
        <v>6000</v>
      </c>
      <c r="T172" s="111">
        <f t="shared" si="24"/>
        <v>360000</v>
      </c>
      <c r="U172" s="111">
        <f t="shared" si="25"/>
        <v>3600</v>
      </c>
      <c r="V172" s="111">
        <f t="shared" si="26"/>
        <v>363600</v>
      </c>
      <c r="W172" t="s">
        <v>2631</v>
      </c>
    </row>
    <row r="173" spans="1:23" x14ac:dyDescent="0.3">
      <c r="A173" s="110">
        <v>200243</v>
      </c>
      <c r="B173" s="110" t="s">
        <v>297</v>
      </c>
      <c r="C173" s="110" t="s">
        <v>297</v>
      </c>
      <c r="D173" s="110" t="s">
        <v>297</v>
      </c>
      <c r="E173" s="110" t="s">
        <v>338</v>
      </c>
      <c r="F173" s="110" t="s">
        <v>117</v>
      </c>
      <c r="G173" s="110" t="s">
        <v>114</v>
      </c>
      <c r="H173" s="111">
        <v>268</v>
      </c>
      <c r="I173" s="111">
        <v>364</v>
      </c>
      <c r="J173" s="111">
        <v>435</v>
      </c>
      <c r="K173" s="111">
        <f t="shared" si="18"/>
        <v>355.66666666666669</v>
      </c>
      <c r="L173" s="111">
        <v>200000</v>
      </c>
      <c r="M173" s="111">
        <f t="shared" si="19"/>
        <v>90000</v>
      </c>
      <c r="N173" s="111">
        <f t="shared" si="20"/>
        <v>90000</v>
      </c>
      <c r="O173" s="111">
        <f t="shared" si="21"/>
        <v>18000</v>
      </c>
      <c r="P173" s="111">
        <f t="shared" si="22"/>
        <v>20000</v>
      </c>
      <c r="Q173" s="111">
        <v>50000</v>
      </c>
      <c r="R173" s="111">
        <v>5</v>
      </c>
      <c r="S173" s="111">
        <f t="shared" si="23"/>
        <v>5000</v>
      </c>
      <c r="T173" s="111">
        <f t="shared" si="24"/>
        <v>250000</v>
      </c>
      <c r="U173" s="111">
        <f t="shared" si="25"/>
        <v>2500</v>
      </c>
      <c r="V173" s="111">
        <f t="shared" si="26"/>
        <v>252500</v>
      </c>
      <c r="W173" t="s">
        <v>2632</v>
      </c>
    </row>
    <row r="174" spans="1:23" x14ac:dyDescent="0.3">
      <c r="A174" s="110">
        <v>200244</v>
      </c>
      <c r="B174" s="110" t="s">
        <v>297</v>
      </c>
      <c r="C174" s="110" t="s">
        <v>297</v>
      </c>
      <c r="D174" s="110" t="s">
        <v>297</v>
      </c>
      <c r="E174" s="110" t="s">
        <v>339</v>
      </c>
      <c r="F174" s="110" t="s">
        <v>117</v>
      </c>
      <c r="G174" s="110" t="s">
        <v>114</v>
      </c>
      <c r="H174" s="111">
        <v>801</v>
      </c>
      <c r="I174" s="111">
        <v>853</v>
      </c>
      <c r="J174" s="111">
        <v>878</v>
      </c>
      <c r="K174" s="111">
        <f t="shared" si="18"/>
        <v>844</v>
      </c>
      <c r="L174" s="111">
        <f>300000*0.7</f>
        <v>210000</v>
      </c>
      <c r="M174" s="111">
        <f t="shared" si="19"/>
        <v>94500</v>
      </c>
      <c r="N174" s="111">
        <f t="shared" si="20"/>
        <v>94500</v>
      </c>
      <c r="O174" s="111">
        <f t="shared" si="21"/>
        <v>18900</v>
      </c>
      <c r="P174" s="111">
        <f t="shared" si="22"/>
        <v>21000</v>
      </c>
      <c r="Q174" s="111">
        <v>60000</v>
      </c>
      <c r="R174" s="111">
        <v>6</v>
      </c>
      <c r="S174" s="111">
        <f t="shared" si="23"/>
        <v>6000</v>
      </c>
      <c r="T174" s="111">
        <f t="shared" si="24"/>
        <v>270000</v>
      </c>
      <c r="U174" s="111">
        <f t="shared" si="25"/>
        <v>2700</v>
      </c>
      <c r="V174" s="111">
        <f t="shared" si="26"/>
        <v>272700</v>
      </c>
      <c r="W174" t="s">
        <v>2633</v>
      </c>
    </row>
    <row r="175" spans="1:23" x14ac:dyDescent="0.3">
      <c r="A175" s="110">
        <v>200245</v>
      </c>
      <c r="B175" s="110" t="s">
        <v>297</v>
      </c>
      <c r="C175" s="110" t="s">
        <v>297</v>
      </c>
      <c r="D175" s="110" t="s">
        <v>297</v>
      </c>
      <c r="E175" s="110" t="s">
        <v>340</v>
      </c>
      <c r="F175" s="110" t="s">
        <v>117</v>
      </c>
      <c r="G175" s="110" t="s">
        <v>114</v>
      </c>
      <c r="H175" s="111">
        <v>792</v>
      </c>
      <c r="I175" s="111">
        <v>793</v>
      </c>
      <c r="J175" s="111">
        <v>800</v>
      </c>
      <c r="K175" s="111">
        <f t="shared" si="18"/>
        <v>795</v>
      </c>
      <c r="L175" s="111">
        <f>300000</f>
        <v>300000</v>
      </c>
      <c r="M175" s="111">
        <f t="shared" si="19"/>
        <v>135000</v>
      </c>
      <c r="N175" s="111">
        <f t="shared" si="20"/>
        <v>135000</v>
      </c>
      <c r="O175" s="111">
        <f t="shared" si="21"/>
        <v>27000</v>
      </c>
      <c r="P175" s="111">
        <f t="shared" si="22"/>
        <v>30000</v>
      </c>
      <c r="Q175" s="111">
        <v>60000</v>
      </c>
      <c r="R175" s="111">
        <v>6</v>
      </c>
      <c r="S175" s="111">
        <f t="shared" si="23"/>
        <v>6000</v>
      </c>
      <c r="T175" s="111">
        <f t="shared" si="24"/>
        <v>360000</v>
      </c>
      <c r="U175" s="111">
        <f t="shared" si="25"/>
        <v>3600</v>
      </c>
      <c r="V175" s="111">
        <f t="shared" si="26"/>
        <v>363600</v>
      </c>
      <c r="W175" t="s">
        <v>2634</v>
      </c>
    </row>
    <row r="176" spans="1:23" x14ac:dyDescent="0.3">
      <c r="A176" s="110">
        <v>200246</v>
      </c>
      <c r="B176" s="110" t="s">
        <v>297</v>
      </c>
      <c r="C176" s="110" t="s">
        <v>297</v>
      </c>
      <c r="D176" s="110" t="s">
        <v>297</v>
      </c>
      <c r="E176" s="110" t="s">
        <v>341</v>
      </c>
      <c r="F176" s="110" t="s">
        <v>117</v>
      </c>
      <c r="G176" s="110" t="s">
        <v>114</v>
      </c>
      <c r="H176" s="111">
        <v>799</v>
      </c>
      <c r="I176" s="111">
        <v>808</v>
      </c>
      <c r="J176" s="111">
        <v>808</v>
      </c>
      <c r="K176" s="111">
        <f t="shared" si="18"/>
        <v>805</v>
      </c>
      <c r="L176" s="111">
        <f>300000*0.7</f>
        <v>210000</v>
      </c>
      <c r="M176" s="111">
        <f t="shared" si="19"/>
        <v>94500</v>
      </c>
      <c r="N176" s="111">
        <f t="shared" si="20"/>
        <v>94500</v>
      </c>
      <c r="O176" s="111">
        <f t="shared" si="21"/>
        <v>18900</v>
      </c>
      <c r="P176" s="111">
        <f t="shared" si="22"/>
        <v>21000</v>
      </c>
      <c r="Q176" s="111">
        <v>60000</v>
      </c>
      <c r="R176" s="111">
        <v>6</v>
      </c>
      <c r="S176" s="111">
        <f t="shared" si="23"/>
        <v>6000</v>
      </c>
      <c r="T176" s="111">
        <f t="shared" si="24"/>
        <v>270000</v>
      </c>
      <c r="U176" s="111">
        <f t="shared" si="25"/>
        <v>2700</v>
      </c>
      <c r="V176" s="111">
        <f t="shared" si="26"/>
        <v>272700</v>
      </c>
      <c r="W176" t="s">
        <v>2635</v>
      </c>
    </row>
    <row r="177" spans="1:23" x14ac:dyDescent="0.3">
      <c r="A177" s="110">
        <v>200247</v>
      </c>
      <c r="B177" s="110" t="s">
        <v>297</v>
      </c>
      <c r="C177" s="110" t="s">
        <v>297</v>
      </c>
      <c r="D177" s="110" t="s">
        <v>297</v>
      </c>
      <c r="E177" s="110" t="s">
        <v>342</v>
      </c>
      <c r="F177" s="110" t="s">
        <v>117</v>
      </c>
      <c r="G177" s="110" t="s">
        <v>125</v>
      </c>
      <c r="H177" s="111">
        <v>588</v>
      </c>
      <c r="I177" s="111">
        <v>588</v>
      </c>
      <c r="J177" s="111">
        <v>620</v>
      </c>
      <c r="K177" s="111">
        <f t="shared" si="18"/>
        <v>598.66666666666663</v>
      </c>
      <c r="L177" s="111">
        <f>300000</f>
        <v>300000</v>
      </c>
      <c r="M177" s="111">
        <f t="shared" si="19"/>
        <v>135000</v>
      </c>
      <c r="N177" s="111">
        <f t="shared" si="20"/>
        <v>135000</v>
      </c>
      <c r="O177" s="111">
        <f t="shared" si="21"/>
        <v>27000</v>
      </c>
      <c r="P177" s="111">
        <f t="shared" si="22"/>
        <v>30000</v>
      </c>
      <c r="Q177" s="111">
        <v>60000</v>
      </c>
      <c r="R177" s="111">
        <v>6</v>
      </c>
      <c r="S177" s="111">
        <f t="shared" si="23"/>
        <v>6000</v>
      </c>
      <c r="T177" s="111">
        <f t="shared" si="24"/>
        <v>360000</v>
      </c>
      <c r="U177" s="111">
        <f t="shared" si="25"/>
        <v>3600</v>
      </c>
      <c r="V177" s="111">
        <f t="shared" si="26"/>
        <v>363600</v>
      </c>
      <c r="W177" t="s">
        <v>2636</v>
      </c>
    </row>
    <row r="178" spans="1:23" x14ac:dyDescent="0.3">
      <c r="A178" s="110">
        <v>200248</v>
      </c>
      <c r="B178" s="110" t="s">
        <v>297</v>
      </c>
      <c r="C178" s="110" t="s">
        <v>297</v>
      </c>
      <c r="D178" s="110" t="s">
        <v>297</v>
      </c>
      <c r="E178" s="110" t="s">
        <v>343</v>
      </c>
      <c r="F178" s="110" t="s">
        <v>117</v>
      </c>
      <c r="G178" s="110" t="s">
        <v>114</v>
      </c>
      <c r="H178" s="111">
        <v>560</v>
      </c>
      <c r="I178" s="111">
        <v>640</v>
      </c>
      <c r="J178" s="111">
        <v>682</v>
      </c>
      <c r="K178" s="111">
        <f t="shared" si="18"/>
        <v>627.33333333333337</v>
      </c>
      <c r="L178" s="111">
        <f>300000</f>
        <v>300000</v>
      </c>
      <c r="M178" s="111">
        <f t="shared" si="19"/>
        <v>135000</v>
      </c>
      <c r="N178" s="111">
        <f t="shared" si="20"/>
        <v>135000</v>
      </c>
      <c r="O178" s="111">
        <f t="shared" si="21"/>
        <v>27000</v>
      </c>
      <c r="P178" s="111">
        <f t="shared" si="22"/>
        <v>30000</v>
      </c>
      <c r="Q178" s="111">
        <v>60000</v>
      </c>
      <c r="R178" s="111">
        <v>6</v>
      </c>
      <c r="S178" s="111">
        <f t="shared" si="23"/>
        <v>6000</v>
      </c>
      <c r="T178" s="111">
        <f t="shared" si="24"/>
        <v>360000</v>
      </c>
      <c r="U178" s="111">
        <f t="shared" si="25"/>
        <v>3600</v>
      </c>
      <c r="V178" s="111">
        <f t="shared" si="26"/>
        <v>363600</v>
      </c>
      <c r="W178" t="s">
        <v>2637</v>
      </c>
    </row>
    <row r="179" spans="1:23" x14ac:dyDescent="0.3">
      <c r="A179" s="110">
        <v>200249</v>
      </c>
      <c r="B179" s="110" t="s">
        <v>297</v>
      </c>
      <c r="C179" s="110" t="s">
        <v>297</v>
      </c>
      <c r="D179" s="110" t="s">
        <v>297</v>
      </c>
      <c r="E179" s="110" t="s">
        <v>160</v>
      </c>
      <c r="F179" s="110" t="s">
        <v>117</v>
      </c>
      <c r="G179" s="110" t="s">
        <v>114</v>
      </c>
      <c r="H179" s="111">
        <v>297</v>
      </c>
      <c r="I179" s="111">
        <v>320</v>
      </c>
      <c r="J179" s="111">
        <v>338</v>
      </c>
      <c r="K179" s="111">
        <f t="shared" si="18"/>
        <v>318.33333333333331</v>
      </c>
      <c r="L179" s="111">
        <f>200000*0.7</f>
        <v>140000</v>
      </c>
      <c r="M179" s="111">
        <f t="shared" si="19"/>
        <v>63000</v>
      </c>
      <c r="N179" s="111">
        <f t="shared" si="20"/>
        <v>63000</v>
      </c>
      <c r="O179" s="111">
        <f t="shared" si="21"/>
        <v>12600</v>
      </c>
      <c r="P179" s="111">
        <f t="shared" si="22"/>
        <v>14000</v>
      </c>
      <c r="Q179" s="111">
        <v>50000</v>
      </c>
      <c r="R179" s="111">
        <v>5</v>
      </c>
      <c r="S179" s="111">
        <f t="shared" si="23"/>
        <v>5000</v>
      </c>
      <c r="T179" s="111">
        <f t="shared" si="24"/>
        <v>190000</v>
      </c>
      <c r="U179" s="111">
        <f t="shared" si="25"/>
        <v>1900</v>
      </c>
      <c r="V179" s="111">
        <f t="shared" si="26"/>
        <v>191900</v>
      </c>
      <c r="W179" t="s">
        <v>2638</v>
      </c>
    </row>
    <row r="180" spans="1:23" x14ac:dyDescent="0.3">
      <c r="A180" s="110">
        <v>200250</v>
      </c>
      <c r="B180" s="110" t="s">
        <v>297</v>
      </c>
      <c r="C180" s="110" t="s">
        <v>297</v>
      </c>
      <c r="D180" s="110" t="s">
        <v>297</v>
      </c>
      <c r="E180" s="110" t="s">
        <v>146</v>
      </c>
      <c r="F180" s="110" t="s">
        <v>117</v>
      </c>
      <c r="G180" s="110" t="s">
        <v>125</v>
      </c>
      <c r="H180" s="111">
        <v>712</v>
      </c>
      <c r="I180" s="111">
        <v>745</v>
      </c>
      <c r="J180" s="111">
        <v>690</v>
      </c>
      <c r="K180" s="111">
        <f t="shared" si="18"/>
        <v>715.66666666666663</v>
      </c>
      <c r="L180" s="111">
        <f>300000</f>
        <v>300000</v>
      </c>
      <c r="M180" s="111">
        <f t="shared" si="19"/>
        <v>135000</v>
      </c>
      <c r="N180" s="111">
        <f t="shared" si="20"/>
        <v>135000</v>
      </c>
      <c r="O180" s="111">
        <f t="shared" si="21"/>
        <v>27000</v>
      </c>
      <c r="P180" s="111">
        <f t="shared" si="22"/>
        <v>30000</v>
      </c>
      <c r="Q180" s="111">
        <v>60000</v>
      </c>
      <c r="R180" s="111">
        <v>6</v>
      </c>
      <c r="S180" s="111">
        <f t="shared" si="23"/>
        <v>6000</v>
      </c>
      <c r="T180" s="111">
        <f t="shared" si="24"/>
        <v>360000</v>
      </c>
      <c r="U180" s="111">
        <f t="shared" si="25"/>
        <v>3600</v>
      </c>
      <c r="V180" s="111">
        <f t="shared" si="26"/>
        <v>363600</v>
      </c>
      <c r="W180" t="s">
        <v>2639</v>
      </c>
    </row>
    <row r="181" spans="1:23" x14ac:dyDescent="0.3">
      <c r="A181" s="110">
        <v>200252</v>
      </c>
      <c r="B181" s="110" t="s">
        <v>297</v>
      </c>
      <c r="C181" s="110" t="s">
        <v>297</v>
      </c>
      <c r="D181" s="110" t="s">
        <v>297</v>
      </c>
      <c r="E181" s="110" t="s">
        <v>344</v>
      </c>
      <c r="F181" s="110" t="s">
        <v>117</v>
      </c>
      <c r="G181" s="110" t="s">
        <v>114</v>
      </c>
      <c r="H181" s="111">
        <v>248</v>
      </c>
      <c r="I181" s="111">
        <v>268</v>
      </c>
      <c r="J181" s="111">
        <v>297</v>
      </c>
      <c r="K181" s="111">
        <f t="shared" si="18"/>
        <v>271</v>
      </c>
      <c r="L181" s="111">
        <v>200000</v>
      </c>
      <c r="M181" s="111">
        <f t="shared" si="19"/>
        <v>90000</v>
      </c>
      <c r="N181" s="111">
        <f t="shared" si="20"/>
        <v>90000</v>
      </c>
      <c r="O181" s="111">
        <f t="shared" si="21"/>
        <v>18000</v>
      </c>
      <c r="P181" s="111">
        <f t="shared" si="22"/>
        <v>20000</v>
      </c>
      <c r="Q181" s="111">
        <v>50000</v>
      </c>
      <c r="R181" s="111">
        <v>5</v>
      </c>
      <c r="S181" s="111">
        <f t="shared" si="23"/>
        <v>5000</v>
      </c>
      <c r="T181" s="111">
        <f t="shared" si="24"/>
        <v>250000</v>
      </c>
      <c r="U181" s="111">
        <f t="shared" si="25"/>
        <v>2500</v>
      </c>
      <c r="V181" s="111">
        <f t="shared" si="26"/>
        <v>252500</v>
      </c>
      <c r="W181" t="s">
        <v>2640</v>
      </c>
    </row>
    <row r="182" spans="1:23" x14ac:dyDescent="0.3">
      <c r="A182" s="110">
        <v>200253</v>
      </c>
      <c r="B182" s="110" t="s">
        <v>297</v>
      </c>
      <c r="C182" s="110" t="s">
        <v>297</v>
      </c>
      <c r="D182" s="110" t="s">
        <v>297</v>
      </c>
      <c r="E182" s="110" t="s">
        <v>345</v>
      </c>
      <c r="F182" s="110" t="s">
        <v>135</v>
      </c>
      <c r="G182" s="110" t="s">
        <v>114</v>
      </c>
      <c r="H182" s="111">
        <v>93</v>
      </c>
      <c r="I182" s="111">
        <v>99</v>
      </c>
      <c r="J182" s="111">
        <v>97</v>
      </c>
      <c r="K182" s="111">
        <f t="shared" si="18"/>
        <v>96.333333333333329</v>
      </c>
      <c r="L182" s="111">
        <v>150000</v>
      </c>
      <c r="M182" s="111">
        <f t="shared" si="19"/>
        <v>67500</v>
      </c>
      <c r="N182" s="111">
        <f t="shared" si="20"/>
        <v>67500</v>
      </c>
      <c r="O182" s="111">
        <f t="shared" si="21"/>
        <v>13500</v>
      </c>
      <c r="P182" s="111">
        <f t="shared" si="22"/>
        <v>15000</v>
      </c>
      <c r="Q182" s="111">
        <v>30000</v>
      </c>
      <c r="R182" s="111">
        <v>3</v>
      </c>
      <c r="S182" s="111">
        <f t="shared" si="23"/>
        <v>3000</v>
      </c>
      <c r="T182" s="111">
        <f t="shared" si="24"/>
        <v>180000</v>
      </c>
      <c r="U182" s="111">
        <f t="shared" si="25"/>
        <v>1800</v>
      </c>
      <c r="V182" s="111">
        <f t="shared" si="26"/>
        <v>181800</v>
      </c>
      <c r="W182" t="s">
        <v>2641</v>
      </c>
    </row>
    <row r="183" spans="1:23" x14ac:dyDescent="0.3">
      <c r="A183" s="110">
        <v>200255</v>
      </c>
      <c r="B183" s="110" t="s">
        <v>297</v>
      </c>
      <c r="C183" s="110" t="s">
        <v>297</v>
      </c>
      <c r="D183" s="110" t="s">
        <v>297</v>
      </c>
      <c r="E183" s="110" t="s">
        <v>346</v>
      </c>
      <c r="F183" s="110" t="s">
        <v>119</v>
      </c>
      <c r="G183" s="110" t="s">
        <v>114</v>
      </c>
      <c r="H183" s="111">
        <v>486</v>
      </c>
      <c r="I183" s="111">
        <v>539</v>
      </c>
      <c r="J183" s="111">
        <v>297</v>
      </c>
      <c r="K183" s="111">
        <f t="shared" si="18"/>
        <v>440.66666666666669</v>
      </c>
      <c r="L183" s="111">
        <f>300000</f>
        <v>300000</v>
      </c>
      <c r="M183" s="111">
        <f t="shared" si="19"/>
        <v>135000</v>
      </c>
      <c r="N183" s="111">
        <f t="shared" si="20"/>
        <v>135000</v>
      </c>
      <c r="O183" s="111">
        <f t="shared" si="21"/>
        <v>27000</v>
      </c>
      <c r="P183" s="111">
        <f t="shared" si="22"/>
        <v>30000</v>
      </c>
      <c r="Q183" s="111">
        <v>60000</v>
      </c>
      <c r="R183" s="111">
        <v>6</v>
      </c>
      <c r="S183" s="111">
        <f t="shared" si="23"/>
        <v>6000</v>
      </c>
      <c r="T183" s="111">
        <f t="shared" si="24"/>
        <v>360000</v>
      </c>
      <c r="U183" s="111">
        <f t="shared" si="25"/>
        <v>3600</v>
      </c>
      <c r="V183" s="111">
        <f t="shared" si="26"/>
        <v>363600</v>
      </c>
      <c r="W183" t="s">
        <v>2642</v>
      </c>
    </row>
    <row r="184" spans="1:23" x14ac:dyDescent="0.3">
      <c r="A184" s="110">
        <v>200301</v>
      </c>
      <c r="B184" s="110" t="s">
        <v>297</v>
      </c>
      <c r="C184" s="110" t="s">
        <v>347</v>
      </c>
      <c r="D184" s="110" t="s">
        <v>348</v>
      </c>
      <c r="E184" s="110" t="s">
        <v>349</v>
      </c>
      <c r="F184" s="110" t="s">
        <v>209</v>
      </c>
      <c r="G184" s="110" t="s">
        <v>114</v>
      </c>
      <c r="H184" s="111">
        <v>38</v>
      </c>
      <c r="I184" s="111">
        <v>38</v>
      </c>
      <c r="J184" s="111">
        <v>34</v>
      </c>
      <c r="K184" s="111">
        <f t="shared" si="18"/>
        <v>36.666666666666664</v>
      </c>
      <c r="L184" s="111">
        <v>50000</v>
      </c>
      <c r="M184" s="111">
        <f t="shared" si="19"/>
        <v>22500</v>
      </c>
      <c r="N184" s="111">
        <f t="shared" si="20"/>
        <v>22500</v>
      </c>
      <c r="O184" s="111">
        <f t="shared" si="21"/>
        <v>4500</v>
      </c>
      <c r="P184" s="111">
        <f t="shared" si="22"/>
        <v>5000</v>
      </c>
      <c r="Q184" s="111">
        <v>10000</v>
      </c>
      <c r="R184" s="111">
        <v>1</v>
      </c>
      <c r="S184" s="111">
        <f t="shared" si="23"/>
        <v>1000</v>
      </c>
      <c r="T184" s="111">
        <f t="shared" si="24"/>
        <v>60000</v>
      </c>
      <c r="U184" s="111">
        <f t="shared" si="25"/>
        <v>600</v>
      </c>
      <c r="V184" s="111">
        <f t="shared" si="26"/>
        <v>60600</v>
      </c>
      <c r="W184" t="s">
        <v>2643</v>
      </c>
    </row>
    <row r="185" spans="1:23" x14ac:dyDescent="0.3">
      <c r="A185" s="110">
        <v>200304</v>
      </c>
      <c r="B185" s="110" t="s">
        <v>297</v>
      </c>
      <c r="C185" s="110" t="s">
        <v>347</v>
      </c>
      <c r="D185" s="110" t="s">
        <v>350</v>
      </c>
      <c r="E185" s="110" t="s">
        <v>188</v>
      </c>
      <c r="F185" s="110" t="s">
        <v>113</v>
      </c>
      <c r="G185" s="110" t="s">
        <v>114</v>
      </c>
      <c r="H185" s="111">
        <v>105</v>
      </c>
      <c r="I185" s="111">
        <v>94</v>
      </c>
      <c r="J185" s="111">
        <v>94</v>
      </c>
      <c r="K185" s="111">
        <f t="shared" si="18"/>
        <v>97.666666666666671</v>
      </c>
      <c r="L185" s="111">
        <v>150000</v>
      </c>
      <c r="M185" s="111">
        <f t="shared" si="19"/>
        <v>67500</v>
      </c>
      <c r="N185" s="111">
        <f t="shared" si="20"/>
        <v>67500</v>
      </c>
      <c r="O185" s="111">
        <f t="shared" si="21"/>
        <v>13500</v>
      </c>
      <c r="P185" s="111">
        <f t="shared" si="22"/>
        <v>15000</v>
      </c>
      <c r="Q185" s="111">
        <v>30000</v>
      </c>
      <c r="R185" s="111">
        <v>3</v>
      </c>
      <c r="S185" s="111">
        <f t="shared" si="23"/>
        <v>3000</v>
      </c>
      <c r="T185" s="111">
        <f t="shared" si="24"/>
        <v>180000</v>
      </c>
      <c r="U185" s="111">
        <f t="shared" si="25"/>
        <v>1800</v>
      </c>
      <c r="V185" s="111">
        <f t="shared" si="26"/>
        <v>181800</v>
      </c>
      <c r="W185" t="s">
        <v>2644</v>
      </c>
    </row>
    <row r="186" spans="1:23" x14ac:dyDescent="0.3">
      <c r="A186" s="110">
        <v>200306</v>
      </c>
      <c r="B186" s="110" t="s">
        <v>297</v>
      </c>
      <c r="C186" s="110" t="s">
        <v>347</v>
      </c>
      <c r="D186" s="110" t="s">
        <v>351</v>
      </c>
      <c r="E186" s="110" t="s">
        <v>317</v>
      </c>
      <c r="F186" s="110" t="s">
        <v>113</v>
      </c>
      <c r="G186" s="110" t="s">
        <v>114</v>
      </c>
      <c r="H186" s="111">
        <v>96</v>
      </c>
      <c r="I186" s="111">
        <v>88</v>
      </c>
      <c r="J186" s="111">
        <v>96</v>
      </c>
      <c r="K186" s="111">
        <f t="shared" si="18"/>
        <v>93.333333333333329</v>
      </c>
      <c r="L186" s="111">
        <v>150000</v>
      </c>
      <c r="M186" s="111">
        <f t="shared" si="19"/>
        <v>67500</v>
      </c>
      <c r="N186" s="111">
        <f t="shared" si="20"/>
        <v>67500</v>
      </c>
      <c r="O186" s="111">
        <f t="shared" si="21"/>
        <v>13500</v>
      </c>
      <c r="P186" s="111">
        <f t="shared" si="22"/>
        <v>15000</v>
      </c>
      <c r="Q186" s="111">
        <v>30000</v>
      </c>
      <c r="R186" s="111">
        <v>3</v>
      </c>
      <c r="S186" s="111">
        <f t="shared" si="23"/>
        <v>3000</v>
      </c>
      <c r="T186" s="111">
        <f t="shared" si="24"/>
        <v>180000</v>
      </c>
      <c r="U186" s="111">
        <f t="shared" si="25"/>
        <v>1800</v>
      </c>
      <c r="V186" s="111">
        <f t="shared" si="26"/>
        <v>181800</v>
      </c>
      <c r="W186" t="s">
        <v>2645</v>
      </c>
    </row>
    <row r="187" spans="1:23" x14ac:dyDescent="0.3">
      <c r="A187" s="110">
        <v>200308</v>
      </c>
      <c r="B187" s="110" t="s">
        <v>297</v>
      </c>
      <c r="C187" s="110" t="s">
        <v>347</v>
      </c>
      <c r="D187" s="110" t="s">
        <v>347</v>
      </c>
      <c r="E187" s="110" t="s">
        <v>272</v>
      </c>
      <c r="F187" s="110" t="s">
        <v>119</v>
      </c>
      <c r="G187" s="110" t="s">
        <v>114</v>
      </c>
      <c r="H187" s="111">
        <v>382</v>
      </c>
      <c r="I187" s="111">
        <v>350</v>
      </c>
      <c r="J187" s="111">
        <v>321</v>
      </c>
      <c r="K187" s="111">
        <f t="shared" si="18"/>
        <v>351</v>
      </c>
      <c r="L187" s="111">
        <v>200000</v>
      </c>
      <c r="M187" s="111">
        <f t="shared" si="19"/>
        <v>90000</v>
      </c>
      <c r="N187" s="111">
        <f t="shared" si="20"/>
        <v>90000</v>
      </c>
      <c r="O187" s="111">
        <f t="shared" si="21"/>
        <v>18000</v>
      </c>
      <c r="P187" s="111">
        <f t="shared" si="22"/>
        <v>20000</v>
      </c>
      <c r="Q187" s="111">
        <v>50000</v>
      </c>
      <c r="R187" s="111">
        <v>5</v>
      </c>
      <c r="S187" s="111">
        <f t="shared" si="23"/>
        <v>5000</v>
      </c>
      <c r="T187" s="111">
        <f t="shared" si="24"/>
        <v>250000</v>
      </c>
      <c r="U187" s="111">
        <f t="shared" si="25"/>
        <v>2500</v>
      </c>
      <c r="V187" s="111">
        <f t="shared" si="26"/>
        <v>252500</v>
      </c>
      <c r="W187" t="s">
        <v>2646</v>
      </c>
    </row>
    <row r="188" spans="1:23" x14ac:dyDescent="0.3">
      <c r="A188" s="110">
        <v>200404</v>
      </c>
      <c r="B188" s="110" t="s">
        <v>297</v>
      </c>
      <c r="C188" s="110" t="s">
        <v>352</v>
      </c>
      <c r="D188" s="110" t="s">
        <v>352</v>
      </c>
      <c r="E188" s="110" t="s">
        <v>353</v>
      </c>
      <c r="F188" s="110" t="s">
        <v>113</v>
      </c>
      <c r="G188" s="110" t="s">
        <v>114</v>
      </c>
      <c r="H188" s="111">
        <v>322</v>
      </c>
      <c r="I188" s="111">
        <v>295</v>
      </c>
      <c r="J188" s="111">
        <v>295</v>
      </c>
      <c r="K188" s="111">
        <f t="shared" si="18"/>
        <v>304</v>
      </c>
      <c r="L188" s="111">
        <v>200000</v>
      </c>
      <c r="M188" s="111">
        <f t="shared" si="19"/>
        <v>90000</v>
      </c>
      <c r="N188" s="111">
        <f t="shared" si="20"/>
        <v>90000</v>
      </c>
      <c r="O188" s="111">
        <f t="shared" si="21"/>
        <v>18000</v>
      </c>
      <c r="P188" s="111">
        <f t="shared" si="22"/>
        <v>20000</v>
      </c>
      <c r="Q188" s="111">
        <v>50000</v>
      </c>
      <c r="R188" s="111">
        <v>5</v>
      </c>
      <c r="S188" s="111">
        <f t="shared" si="23"/>
        <v>5000</v>
      </c>
      <c r="T188" s="111">
        <f t="shared" si="24"/>
        <v>250000</v>
      </c>
      <c r="U188" s="111">
        <f t="shared" si="25"/>
        <v>2500</v>
      </c>
      <c r="V188" s="111">
        <f t="shared" si="26"/>
        <v>252500</v>
      </c>
      <c r="W188" t="s">
        <v>2647</v>
      </c>
    </row>
    <row r="189" spans="1:23" x14ac:dyDescent="0.3">
      <c r="A189" s="110">
        <v>200405</v>
      </c>
      <c r="B189" s="110" t="s">
        <v>297</v>
      </c>
      <c r="C189" s="110" t="s">
        <v>352</v>
      </c>
      <c r="D189" s="110" t="s">
        <v>352</v>
      </c>
      <c r="E189" s="110" t="s">
        <v>308</v>
      </c>
      <c r="F189" s="110" t="s">
        <v>113</v>
      </c>
      <c r="G189" s="110" t="s">
        <v>114</v>
      </c>
      <c r="H189" s="111">
        <v>182</v>
      </c>
      <c r="I189" s="111">
        <v>162</v>
      </c>
      <c r="J189" s="111">
        <v>153</v>
      </c>
      <c r="K189" s="111">
        <f t="shared" si="18"/>
        <v>165.66666666666666</v>
      </c>
      <c r="L189" s="111">
        <v>150000</v>
      </c>
      <c r="M189" s="111">
        <f t="shared" si="19"/>
        <v>67500</v>
      </c>
      <c r="N189" s="111">
        <f t="shared" si="20"/>
        <v>67500</v>
      </c>
      <c r="O189" s="111">
        <f t="shared" si="21"/>
        <v>13500</v>
      </c>
      <c r="P189" s="111">
        <f t="shared" si="22"/>
        <v>15000</v>
      </c>
      <c r="Q189" s="111">
        <v>30000</v>
      </c>
      <c r="R189" s="111">
        <v>3</v>
      </c>
      <c r="S189" s="111">
        <f t="shared" si="23"/>
        <v>3000</v>
      </c>
      <c r="T189" s="111">
        <f t="shared" si="24"/>
        <v>180000</v>
      </c>
      <c r="U189" s="111">
        <f t="shared" si="25"/>
        <v>1800</v>
      </c>
      <c r="V189" s="111">
        <f t="shared" si="26"/>
        <v>181800</v>
      </c>
      <c r="W189" t="s">
        <v>2648</v>
      </c>
    </row>
    <row r="190" spans="1:23" x14ac:dyDescent="0.3">
      <c r="A190" s="110">
        <v>200406</v>
      </c>
      <c r="B190" s="110" t="s">
        <v>297</v>
      </c>
      <c r="C190" s="110" t="s">
        <v>352</v>
      </c>
      <c r="D190" s="110" t="s">
        <v>354</v>
      </c>
      <c r="E190" s="110" t="s">
        <v>234</v>
      </c>
      <c r="F190" s="110" t="s">
        <v>113</v>
      </c>
      <c r="G190" s="110" t="s">
        <v>114</v>
      </c>
      <c r="H190" s="111">
        <v>128</v>
      </c>
      <c r="I190" s="111">
        <v>139</v>
      </c>
      <c r="J190" s="111">
        <v>132</v>
      </c>
      <c r="K190" s="111">
        <f t="shared" si="18"/>
        <v>133</v>
      </c>
      <c r="L190" s="111">
        <v>150000</v>
      </c>
      <c r="M190" s="111">
        <f t="shared" si="19"/>
        <v>67500</v>
      </c>
      <c r="N190" s="111">
        <f t="shared" si="20"/>
        <v>67500</v>
      </c>
      <c r="O190" s="111">
        <f t="shared" si="21"/>
        <v>13500</v>
      </c>
      <c r="P190" s="111">
        <f t="shared" si="22"/>
        <v>15000</v>
      </c>
      <c r="Q190" s="111">
        <v>30000</v>
      </c>
      <c r="R190" s="111">
        <v>3</v>
      </c>
      <c r="S190" s="111">
        <f t="shared" si="23"/>
        <v>3000</v>
      </c>
      <c r="T190" s="111">
        <f t="shared" si="24"/>
        <v>180000</v>
      </c>
      <c r="U190" s="111">
        <f t="shared" si="25"/>
        <v>1800</v>
      </c>
      <c r="V190" s="111">
        <f t="shared" si="26"/>
        <v>181800</v>
      </c>
      <c r="W190" t="s">
        <v>2649</v>
      </c>
    </row>
    <row r="191" spans="1:23" x14ac:dyDescent="0.3">
      <c r="A191" s="110">
        <v>200408</v>
      </c>
      <c r="B191" s="110" t="s">
        <v>297</v>
      </c>
      <c r="C191" s="110" t="s">
        <v>352</v>
      </c>
      <c r="D191" s="110" t="s">
        <v>355</v>
      </c>
      <c r="E191" s="110" t="s">
        <v>356</v>
      </c>
      <c r="F191" s="110" t="s">
        <v>113</v>
      </c>
      <c r="G191" s="110" t="s">
        <v>114</v>
      </c>
      <c r="H191" s="111">
        <v>60</v>
      </c>
      <c r="I191" s="111">
        <v>55</v>
      </c>
      <c r="J191" s="111">
        <v>56</v>
      </c>
      <c r="K191" s="111">
        <f t="shared" si="18"/>
        <v>57</v>
      </c>
      <c r="L191" s="111">
        <v>150000</v>
      </c>
      <c r="M191" s="111">
        <f t="shared" si="19"/>
        <v>67500</v>
      </c>
      <c r="N191" s="111">
        <f t="shared" si="20"/>
        <v>67500</v>
      </c>
      <c r="O191" s="111">
        <f t="shared" si="21"/>
        <v>13500</v>
      </c>
      <c r="P191" s="111">
        <f t="shared" si="22"/>
        <v>15000</v>
      </c>
      <c r="Q191" s="111">
        <v>30000</v>
      </c>
      <c r="R191" s="111">
        <v>3</v>
      </c>
      <c r="S191" s="111">
        <f t="shared" si="23"/>
        <v>3000</v>
      </c>
      <c r="T191" s="111">
        <f t="shared" si="24"/>
        <v>180000</v>
      </c>
      <c r="U191" s="111">
        <f t="shared" si="25"/>
        <v>1800</v>
      </c>
      <c r="V191" s="111">
        <f t="shared" si="26"/>
        <v>181800</v>
      </c>
      <c r="W191" t="s">
        <v>2650</v>
      </c>
    </row>
    <row r="192" spans="1:23" x14ac:dyDescent="0.3">
      <c r="A192" s="110">
        <v>200411</v>
      </c>
      <c r="B192" s="110" t="s">
        <v>297</v>
      </c>
      <c r="C192" s="110" t="s">
        <v>352</v>
      </c>
      <c r="D192" s="110" t="s">
        <v>352</v>
      </c>
      <c r="E192" s="110" t="s">
        <v>130</v>
      </c>
      <c r="F192" s="110" t="s">
        <v>119</v>
      </c>
      <c r="G192" s="110" t="s">
        <v>114</v>
      </c>
      <c r="H192" s="111">
        <v>713</v>
      </c>
      <c r="I192" s="111">
        <v>686</v>
      </c>
      <c r="J192" s="111">
        <v>685</v>
      </c>
      <c r="K192" s="111">
        <f t="shared" si="18"/>
        <v>694.66666666666663</v>
      </c>
      <c r="L192" s="111">
        <f>300000*0.7</f>
        <v>210000</v>
      </c>
      <c r="M192" s="111">
        <f t="shared" si="19"/>
        <v>94500</v>
      </c>
      <c r="N192" s="111">
        <f t="shared" si="20"/>
        <v>94500</v>
      </c>
      <c r="O192" s="111">
        <f t="shared" si="21"/>
        <v>18900</v>
      </c>
      <c r="P192" s="111">
        <f t="shared" si="22"/>
        <v>21000</v>
      </c>
      <c r="Q192" s="111">
        <v>60000</v>
      </c>
      <c r="R192" s="111">
        <v>6</v>
      </c>
      <c r="S192" s="111">
        <f t="shared" si="23"/>
        <v>6000</v>
      </c>
      <c r="T192" s="111">
        <f t="shared" si="24"/>
        <v>270000</v>
      </c>
      <c r="U192" s="111">
        <f t="shared" si="25"/>
        <v>2700</v>
      </c>
      <c r="V192" s="111">
        <f t="shared" si="26"/>
        <v>272700</v>
      </c>
      <c r="W192" t="s">
        <v>2651</v>
      </c>
    </row>
    <row r="193" spans="1:23" x14ac:dyDescent="0.3">
      <c r="A193" s="110">
        <v>200412</v>
      </c>
      <c r="B193" s="110" t="s">
        <v>297</v>
      </c>
      <c r="C193" s="110" t="s">
        <v>352</v>
      </c>
      <c r="D193" s="110" t="s">
        <v>352</v>
      </c>
      <c r="E193" s="110" t="s">
        <v>272</v>
      </c>
      <c r="F193" s="110" t="s">
        <v>119</v>
      </c>
      <c r="G193" s="110" t="s">
        <v>114</v>
      </c>
      <c r="H193" s="111">
        <v>756</v>
      </c>
      <c r="I193" s="111">
        <v>701</v>
      </c>
      <c r="J193" s="111">
        <v>710</v>
      </c>
      <c r="K193" s="111">
        <f t="shared" si="18"/>
        <v>722.33333333333337</v>
      </c>
      <c r="L193" s="111">
        <f>300000*0.7</f>
        <v>210000</v>
      </c>
      <c r="M193" s="111">
        <f t="shared" si="19"/>
        <v>94500</v>
      </c>
      <c r="N193" s="111">
        <f t="shared" si="20"/>
        <v>94500</v>
      </c>
      <c r="O193" s="111">
        <f t="shared" si="21"/>
        <v>18900</v>
      </c>
      <c r="P193" s="111">
        <f t="shared" si="22"/>
        <v>21000</v>
      </c>
      <c r="Q193" s="111">
        <v>60000</v>
      </c>
      <c r="R193" s="111">
        <v>6</v>
      </c>
      <c r="S193" s="111">
        <f t="shared" si="23"/>
        <v>6000</v>
      </c>
      <c r="T193" s="111">
        <f t="shared" si="24"/>
        <v>270000</v>
      </c>
      <c r="U193" s="111">
        <f t="shared" si="25"/>
        <v>2700</v>
      </c>
      <c r="V193" s="111">
        <f t="shared" si="26"/>
        <v>272700</v>
      </c>
      <c r="W193" t="s">
        <v>2652</v>
      </c>
    </row>
    <row r="194" spans="1:23" x14ac:dyDescent="0.3">
      <c r="A194" s="110">
        <v>200413</v>
      </c>
      <c r="B194" s="110" t="s">
        <v>297</v>
      </c>
      <c r="C194" s="110" t="s">
        <v>352</v>
      </c>
      <c r="D194" s="110" t="s">
        <v>352</v>
      </c>
      <c r="E194" s="110" t="s">
        <v>357</v>
      </c>
      <c r="F194" s="110" t="s">
        <v>117</v>
      </c>
      <c r="G194" s="110" t="s">
        <v>114</v>
      </c>
      <c r="H194" s="111">
        <v>476</v>
      </c>
      <c r="I194" s="111">
        <v>490</v>
      </c>
      <c r="J194" s="111">
        <v>531</v>
      </c>
      <c r="K194" s="111">
        <f t="shared" ref="K194:K257" si="28">+(H194+I194+J194)/3</f>
        <v>499</v>
      </c>
      <c r="L194" s="111">
        <f>300000</f>
        <v>300000</v>
      </c>
      <c r="M194" s="111">
        <f t="shared" ref="M194:M257" si="29">+L194*0.45</f>
        <v>135000</v>
      </c>
      <c r="N194" s="111">
        <f t="shared" ref="N194:N257" si="30">+L194*0.45</f>
        <v>135000</v>
      </c>
      <c r="O194" s="111">
        <f t="shared" ref="O194:O257" si="31">+N194*0.2</f>
        <v>27000</v>
      </c>
      <c r="P194" s="111">
        <f t="shared" ref="P194:P257" si="32">++L194*0.1</f>
        <v>30000</v>
      </c>
      <c r="Q194" s="111">
        <v>60000</v>
      </c>
      <c r="R194" s="111">
        <v>6</v>
      </c>
      <c r="S194" s="111">
        <f t="shared" ref="S194:S257" si="33">+Q194*0.1</f>
        <v>6000</v>
      </c>
      <c r="T194" s="111">
        <f t="shared" ref="T194:T257" si="34">+L194+Q194</f>
        <v>360000</v>
      </c>
      <c r="U194" s="111">
        <f t="shared" ref="U194:U257" si="35">+T194*0.01</f>
        <v>3600</v>
      </c>
      <c r="V194" s="111">
        <f t="shared" ref="V194:V257" si="36">+T194+U194</f>
        <v>363600</v>
      </c>
      <c r="W194" t="s">
        <v>2653</v>
      </c>
    </row>
    <row r="195" spans="1:23" x14ac:dyDescent="0.3">
      <c r="A195" s="110">
        <v>200503</v>
      </c>
      <c r="B195" s="110" t="s">
        <v>297</v>
      </c>
      <c r="C195" s="110" t="s">
        <v>358</v>
      </c>
      <c r="D195" s="110" t="s">
        <v>358</v>
      </c>
      <c r="E195" s="110" t="s">
        <v>359</v>
      </c>
      <c r="F195" s="110" t="s">
        <v>119</v>
      </c>
      <c r="G195" s="110" t="s">
        <v>114</v>
      </c>
      <c r="H195" s="111">
        <v>207</v>
      </c>
      <c r="I195" s="111">
        <v>212</v>
      </c>
      <c r="J195" s="111">
        <v>198</v>
      </c>
      <c r="K195" s="111">
        <f t="shared" si="28"/>
        <v>205.66666666666666</v>
      </c>
      <c r="L195" s="111">
        <v>200000</v>
      </c>
      <c r="M195" s="111">
        <f t="shared" si="29"/>
        <v>90000</v>
      </c>
      <c r="N195" s="111">
        <f t="shared" si="30"/>
        <v>90000</v>
      </c>
      <c r="O195" s="111">
        <f t="shared" si="31"/>
        <v>18000</v>
      </c>
      <c r="P195" s="111">
        <f t="shared" si="32"/>
        <v>20000</v>
      </c>
      <c r="Q195" s="111">
        <v>50000</v>
      </c>
      <c r="R195" s="111">
        <v>5</v>
      </c>
      <c r="S195" s="111">
        <f t="shared" si="33"/>
        <v>5000</v>
      </c>
      <c r="T195" s="111">
        <f t="shared" si="34"/>
        <v>250000</v>
      </c>
      <c r="U195" s="111">
        <f t="shared" si="35"/>
        <v>2500</v>
      </c>
      <c r="V195" s="111">
        <f t="shared" si="36"/>
        <v>252500</v>
      </c>
      <c r="W195" t="s">
        <v>2654</v>
      </c>
    </row>
    <row r="196" spans="1:23" x14ac:dyDescent="0.3">
      <c r="A196" s="110">
        <v>200601</v>
      </c>
      <c r="B196" s="110" t="s">
        <v>297</v>
      </c>
      <c r="C196" s="110" t="s">
        <v>360</v>
      </c>
      <c r="D196" s="110" t="s">
        <v>361</v>
      </c>
      <c r="E196" s="110" t="s">
        <v>362</v>
      </c>
      <c r="F196" s="110" t="s">
        <v>168</v>
      </c>
      <c r="G196" s="110" t="s">
        <v>114</v>
      </c>
      <c r="H196" s="111">
        <v>141</v>
      </c>
      <c r="I196" s="111">
        <v>133</v>
      </c>
      <c r="J196" s="111">
        <v>141</v>
      </c>
      <c r="K196" s="111">
        <f t="shared" si="28"/>
        <v>138.33333333333334</v>
      </c>
      <c r="L196" s="111">
        <v>150000</v>
      </c>
      <c r="M196" s="111">
        <f t="shared" si="29"/>
        <v>67500</v>
      </c>
      <c r="N196" s="111">
        <f t="shared" si="30"/>
        <v>67500</v>
      </c>
      <c r="O196" s="111">
        <f t="shared" si="31"/>
        <v>13500</v>
      </c>
      <c r="P196" s="111">
        <f t="shared" si="32"/>
        <v>15000</v>
      </c>
      <c r="Q196" s="111">
        <v>30000</v>
      </c>
      <c r="R196" s="111">
        <v>3</v>
      </c>
      <c r="S196" s="111">
        <f t="shared" si="33"/>
        <v>3000</v>
      </c>
      <c r="T196" s="111">
        <f t="shared" si="34"/>
        <v>180000</v>
      </c>
      <c r="U196" s="111">
        <f t="shared" si="35"/>
        <v>1800</v>
      </c>
      <c r="V196" s="111">
        <f t="shared" si="36"/>
        <v>181800</v>
      </c>
      <c r="W196" t="s">
        <v>2655</v>
      </c>
    </row>
    <row r="197" spans="1:23" x14ac:dyDescent="0.3">
      <c r="A197" s="110">
        <v>200602</v>
      </c>
      <c r="B197" s="110" t="s">
        <v>297</v>
      </c>
      <c r="C197" s="110" t="s">
        <v>360</v>
      </c>
      <c r="D197" s="110" t="s">
        <v>363</v>
      </c>
      <c r="E197" s="110" t="s">
        <v>364</v>
      </c>
      <c r="F197" s="110" t="s">
        <v>113</v>
      </c>
      <c r="G197" s="110" t="s">
        <v>114</v>
      </c>
      <c r="H197" s="111">
        <v>81</v>
      </c>
      <c r="I197" s="111">
        <v>78</v>
      </c>
      <c r="J197" s="111">
        <v>80</v>
      </c>
      <c r="K197" s="111">
        <f t="shared" si="28"/>
        <v>79.666666666666671</v>
      </c>
      <c r="L197" s="111">
        <v>150000</v>
      </c>
      <c r="M197" s="111">
        <f t="shared" si="29"/>
        <v>67500</v>
      </c>
      <c r="N197" s="111">
        <f t="shared" si="30"/>
        <v>67500</v>
      </c>
      <c r="O197" s="111">
        <f t="shared" si="31"/>
        <v>13500</v>
      </c>
      <c r="P197" s="111">
        <f t="shared" si="32"/>
        <v>15000</v>
      </c>
      <c r="Q197" s="111">
        <v>30000</v>
      </c>
      <c r="R197" s="111">
        <v>3</v>
      </c>
      <c r="S197" s="111">
        <f t="shared" si="33"/>
        <v>3000</v>
      </c>
      <c r="T197" s="111">
        <f t="shared" si="34"/>
        <v>180000</v>
      </c>
      <c r="U197" s="111">
        <f t="shared" si="35"/>
        <v>1800</v>
      </c>
      <c r="V197" s="111">
        <f t="shared" si="36"/>
        <v>181800</v>
      </c>
      <c r="W197" t="s">
        <v>2656</v>
      </c>
    </row>
    <row r="198" spans="1:23" x14ac:dyDescent="0.3">
      <c r="A198" s="110">
        <v>200603</v>
      </c>
      <c r="B198" s="110" t="s">
        <v>297</v>
      </c>
      <c r="C198" s="110" t="s">
        <v>360</v>
      </c>
      <c r="D198" s="110" t="s">
        <v>365</v>
      </c>
      <c r="E198" s="110" t="s">
        <v>366</v>
      </c>
      <c r="F198" s="110" t="s">
        <v>113</v>
      </c>
      <c r="G198" s="110" t="s">
        <v>114</v>
      </c>
      <c r="H198" s="111">
        <v>47</v>
      </c>
      <c r="I198" s="111">
        <v>51</v>
      </c>
      <c r="J198" s="111">
        <v>64</v>
      </c>
      <c r="K198" s="111">
        <f t="shared" si="28"/>
        <v>54</v>
      </c>
      <c r="L198" s="111">
        <v>150000</v>
      </c>
      <c r="M198" s="111">
        <f t="shared" si="29"/>
        <v>67500</v>
      </c>
      <c r="N198" s="111">
        <f t="shared" si="30"/>
        <v>67500</v>
      </c>
      <c r="O198" s="111">
        <f t="shared" si="31"/>
        <v>13500</v>
      </c>
      <c r="P198" s="111">
        <f t="shared" si="32"/>
        <v>15000</v>
      </c>
      <c r="Q198" s="111">
        <v>30000</v>
      </c>
      <c r="R198" s="111">
        <v>3</v>
      </c>
      <c r="S198" s="111">
        <f t="shared" si="33"/>
        <v>3000</v>
      </c>
      <c r="T198" s="111">
        <f t="shared" si="34"/>
        <v>180000</v>
      </c>
      <c r="U198" s="111">
        <f t="shared" si="35"/>
        <v>1800</v>
      </c>
      <c r="V198" s="111">
        <f t="shared" si="36"/>
        <v>181800</v>
      </c>
      <c r="W198" t="s">
        <v>2657</v>
      </c>
    </row>
    <row r="199" spans="1:23" x14ac:dyDescent="0.3">
      <c r="A199" s="110">
        <v>200604</v>
      </c>
      <c r="B199" s="110" t="s">
        <v>297</v>
      </c>
      <c r="C199" s="110" t="s">
        <v>360</v>
      </c>
      <c r="D199" s="110" t="s">
        <v>367</v>
      </c>
      <c r="E199" s="110" t="s">
        <v>368</v>
      </c>
      <c r="F199" s="110" t="s">
        <v>113</v>
      </c>
      <c r="G199" s="110" t="s">
        <v>114</v>
      </c>
      <c r="H199" s="111">
        <v>142</v>
      </c>
      <c r="I199" s="111">
        <v>133</v>
      </c>
      <c r="J199" s="111">
        <v>117</v>
      </c>
      <c r="K199" s="111">
        <f t="shared" si="28"/>
        <v>130.66666666666666</v>
      </c>
      <c r="L199" s="111">
        <v>150000</v>
      </c>
      <c r="M199" s="111">
        <f t="shared" si="29"/>
        <v>67500</v>
      </c>
      <c r="N199" s="111">
        <f t="shared" si="30"/>
        <v>67500</v>
      </c>
      <c r="O199" s="111">
        <f t="shared" si="31"/>
        <v>13500</v>
      </c>
      <c r="P199" s="111">
        <f t="shared" si="32"/>
        <v>15000</v>
      </c>
      <c r="Q199" s="111">
        <v>30000</v>
      </c>
      <c r="R199" s="111">
        <v>3</v>
      </c>
      <c r="S199" s="111">
        <f t="shared" si="33"/>
        <v>3000</v>
      </c>
      <c r="T199" s="111">
        <f t="shared" si="34"/>
        <v>180000</v>
      </c>
      <c r="U199" s="111">
        <f t="shared" si="35"/>
        <v>1800</v>
      </c>
      <c r="V199" s="111">
        <f t="shared" si="36"/>
        <v>181800</v>
      </c>
      <c r="W199" t="s">
        <v>2658</v>
      </c>
    </row>
    <row r="200" spans="1:23" x14ac:dyDescent="0.3">
      <c r="A200" s="110">
        <v>200605</v>
      </c>
      <c r="B200" s="110" t="s">
        <v>297</v>
      </c>
      <c r="C200" s="110" t="s">
        <v>360</v>
      </c>
      <c r="D200" s="110" t="s">
        <v>369</v>
      </c>
      <c r="E200" s="110" t="s">
        <v>370</v>
      </c>
      <c r="F200" s="110" t="s">
        <v>113</v>
      </c>
      <c r="G200" s="110" t="s">
        <v>114</v>
      </c>
      <c r="H200" s="111">
        <v>172</v>
      </c>
      <c r="I200" s="111">
        <v>170</v>
      </c>
      <c r="J200" s="111">
        <v>193</v>
      </c>
      <c r="K200" s="111">
        <f t="shared" si="28"/>
        <v>178.33333333333334</v>
      </c>
      <c r="L200" s="111">
        <v>150000</v>
      </c>
      <c r="M200" s="111">
        <f t="shared" si="29"/>
        <v>67500</v>
      </c>
      <c r="N200" s="111">
        <f t="shared" si="30"/>
        <v>67500</v>
      </c>
      <c r="O200" s="111">
        <f t="shared" si="31"/>
        <v>13500</v>
      </c>
      <c r="P200" s="111">
        <f t="shared" si="32"/>
        <v>15000</v>
      </c>
      <c r="Q200" s="111">
        <v>30000</v>
      </c>
      <c r="R200" s="111">
        <v>3</v>
      </c>
      <c r="S200" s="111">
        <f t="shared" si="33"/>
        <v>3000</v>
      </c>
      <c r="T200" s="111">
        <f t="shared" si="34"/>
        <v>180000</v>
      </c>
      <c r="U200" s="111">
        <f t="shared" si="35"/>
        <v>1800</v>
      </c>
      <c r="V200" s="111">
        <f t="shared" si="36"/>
        <v>181800</v>
      </c>
      <c r="W200" t="s">
        <v>2659</v>
      </c>
    </row>
    <row r="201" spans="1:23" x14ac:dyDescent="0.3">
      <c r="A201" s="110">
        <v>200606</v>
      </c>
      <c r="B201" s="110" t="s">
        <v>297</v>
      </c>
      <c r="C201" s="110" t="s">
        <v>360</v>
      </c>
      <c r="D201" s="110" t="s">
        <v>371</v>
      </c>
      <c r="E201" s="110" t="s">
        <v>143</v>
      </c>
      <c r="F201" s="110" t="s">
        <v>113</v>
      </c>
      <c r="G201" s="110" t="s">
        <v>114</v>
      </c>
      <c r="H201" s="111">
        <v>348</v>
      </c>
      <c r="I201" s="111">
        <v>404</v>
      </c>
      <c r="J201" s="111">
        <v>431</v>
      </c>
      <c r="K201" s="111">
        <f t="shared" si="28"/>
        <v>394.33333333333331</v>
      </c>
      <c r="L201" s="111">
        <v>200000</v>
      </c>
      <c r="M201" s="111">
        <f t="shared" si="29"/>
        <v>90000</v>
      </c>
      <c r="N201" s="111">
        <f t="shared" si="30"/>
        <v>90000</v>
      </c>
      <c r="O201" s="111">
        <f t="shared" si="31"/>
        <v>18000</v>
      </c>
      <c r="P201" s="111">
        <f t="shared" si="32"/>
        <v>20000</v>
      </c>
      <c r="Q201" s="111">
        <v>50000</v>
      </c>
      <c r="R201" s="111">
        <v>5</v>
      </c>
      <c r="S201" s="111">
        <f t="shared" si="33"/>
        <v>5000</v>
      </c>
      <c r="T201" s="111">
        <f t="shared" si="34"/>
        <v>250000</v>
      </c>
      <c r="U201" s="111">
        <f t="shared" si="35"/>
        <v>2500</v>
      </c>
      <c r="V201" s="111">
        <f t="shared" si="36"/>
        <v>252500</v>
      </c>
      <c r="W201" t="s">
        <v>2660</v>
      </c>
    </row>
    <row r="202" spans="1:23" x14ac:dyDescent="0.3">
      <c r="A202" s="110">
        <v>200607</v>
      </c>
      <c r="B202" s="110" t="s">
        <v>297</v>
      </c>
      <c r="C202" s="110" t="s">
        <v>360</v>
      </c>
      <c r="D202" s="110" t="s">
        <v>372</v>
      </c>
      <c r="E202" s="110" t="s">
        <v>373</v>
      </c>
      <c r="F202" s="110" t="s">
        <v>113</v>
      </c>
      <c r="G202" s="110" t="s">
        <v>114</v>
      </c>
      <c r="H202" s="111">
        <v>83</v>
      </c>
      <c r="I202" s="111">
        <v>77</v>
      </c>
      <c r="J202" s="111">
        <v>75</v>
      </c>
      <c r="K202" s="111">
        <f t="shared" si="28"/>
        <v>78.333333333333329</v>
      </c>
      <c r="L202" s="111">
        <v>150000</v>
      </c>
      <c r="M202" s="111">
        <f t="shared" si="29"/>
        <v>67500</v>
      </c>
      <c r="N202" s="111">
        <f t="shared" si="30"/>
        <v>67500</v>
      </c>
      <c r="O202" s="111">
        <f t="shared" si="31"/>
        <v>13500</v>
      </c>
      <c r="P202" s="111">
        <f t="shared" si="32"/>
        <v>15000</v>
      </c>
      <c r="Q202" s="111">
        <v>30000</v>
      </c>
      <c r="R202" s="111">
        <v>3</v>
      </c>
      <c r="S202" s="111">
        <f t="shared" si="33"/>
        <v>3000</v>
      </c>
      <c r="T202" s="111">
        <f t="shared" si="34"/>
        <v>180000</v>
      </c>
      <c r="U202" s="111">
        <f t="shared" si="35"/>
        <v>1800</v>
      </c>
      <c r="V202" s="111">
        <f t="shared" si="36"/>
        <v>181800</v>
      </c>
      <c r="W202" t="s">
        <v>2661</v>
      </c>
    </row>
    <row r="203" spans="1:23" x14ac:dyDescent="0.3">
      <c r="A203" s="110">
        <v>200608</v>
      </c>
      <c r="B203" s="110" t="s">
        <v>297</v>
      </c>
      <c r="C203" s="110" t="s">
        <v>360</v>
      </c>
      <c r="D203" s="110" t="s">
        <v>360</v>
      </c>
      <c r="E203" s="110" t="s">
        <v>374</v>
      </c>
      <c r="F203" s="110" t="s">
        <v>119</v>
      </c>
      <c r="G203" s="110" t="s">
        <v>114</v>
      </c>
      <c r="H203" s="111">
        <v>1081</v>
      </c>
      <c r="I203" s="111">
        <v>1101</v>
      </c>
      <c r="J203" s="111">
        <v>1180</v>
      </c>
      <c r="K203" s="111">
        <f t="shared" si="28"/>
        <v>1120.6666666666667</v>
      </c>
      <c r="L203" s="111">
        <f>600000</f>
        <v>600000</v>
      </c>
      <c r="M203" s="111">
        <f t="shared" si="29"/>
        <v>270000</v>
      </c>
      <c r="N203" s="111">
        <f t="shared" si="30"/>
        <v>270000</v>
      </c>
      <c r="O203" s="111">
        <f t="shared" si="31"/>
        <v>54000</v>
      </c>
      <c r="P203" s="111">
        <f t="shared" si="32"/>
        <v>60000</v>
      </c>
      <c r="Q203" s="111">
        <v>80000</v>
      </c>
      <c r="R203" s="111">
        <v>8</v>
      </c>
      <c r="S203" s="111">
        <f t="shared" si="33"/>
        <v>8000</v>
      </c>
      <c r="T203" s="111">
        <f t="shared" si="34"/>
        <v>680000</v>
      </c>
      <c r="U203" s="111">
        <f t="shared" si="35"/>
        <v>6800</v>
      </c>
      <c r="V203" s="111">
        <f t="shared" si="36"/>
        <v>686800</v>
      </c>
      <c r="W203" t="s">
        <v>2662</v>
      </c>
    </row>
    <row r="204" spans="1:23" x14ac:dyDescent="0.3">
      <c r="A204" s="110">
        <v>200609</v>
      </c>
      <c r="B204" s="110" t="s">
        <v>297</v>
      </c>
      <c r="C204" s="110" t="s">
        <v>360</v>
      </c>
      <c r="D204" s="110" t="s">
        <v>360</v>
      </c>
      <c r="E204" s="110" t="s">
        <v>375</v>
      </c>
      <c r="F204" s="110" t="s">
        <v>117</v>
      </c>
      <c r="G204" s="110" t="s">
        <v>114</v>
      </c>
      <c r="H204" s="111">
        <v>319</v>
      </c>
      <c r="I204" s="111">
        <v>302</v>
      </c>
      <c r="J204" s="111">
        <v>296</v>
      </c>
      <c r="K204" s="111">
        <f t="shared" si="28"/>
        <v>305.66666666666669</v>
      </c>
      <c r="L204" s="111">
        <v>200000</v>
      </c>
      <c r="M204" s="111">
        <f t="shared" si="29"/>
        <v>90000</v>
      </c>
      <c r="N204" s="111">
        <f t="shared" si="30"/>
        <v>90000</v>
      </c>
      <c r="O204" s="111">
        <f t="shared" si="31"/>
        <v>18000</v>
      </c>
      <c r="P204" s="111">
        <f t="shared" si="32"/>
        <v>20000</v>
      </c>
      <c r="Q204" s="111">
        <v>50000</v>
      </c>
      <c r="R204" s="111">
        <v>5</v>
      </c>
      <c r="S204" s="111">
        <f t="shared" si="33"/>
        <v>5000</v>
      </c>
      <c r="T204" s="111">
        <f t="shared" si="34"/>
        <v>250000</v>
      </c>
      <c r="U204" s="111">
        <f t="shared" si="35"/>
        <v>2500</v>
      </c>
      <c r="V204" s="111">
        <f t="shared" si="36"/>
        <v>252500</v>
      </c>
      <c r="W204" t="s">
        <v>2663</v>
      </c>
    </row>
    <row r="205" spans="1:23" x14ac:dyDescent="0.3">
      <c r="A205" s="110">
        <v>200701</v>
      </c>
      <c r="B205" s="110" t="s">
        <v>297</v>
      </c>
      <c r="C205" s="110" t="s">
        <v>376</v>
      </c>
      <c r="D205" s="110" t="s">
        <v>377</v>
      </c>
      <c r="E205" s="110" t="s">
        <v>378</v>
      </c>
      <c r="F205" s="110" t="s">
        <v>209</v>
      </c>
      <c r="G205" s="110" t="s">
        <v>114</v>
      </c>
      <c r="H205" s="111">
        <v>19</v>
      </c>
      <c r="I205" s="111">
        <v>28</v>
      </c>
      <c r="J205" s="111">
        <v>19</v>
      </c>
      <c r="K205" s="111">
        <f t="shared" si="28"/>
        <v>22</v>
      </c>
      <c r="L205" s="111">
        <v>50000</v>
      </c>
      <c r="M205" s="111">
        <f t="shared" si="29"/>
        <v>22500</v>
      </c>
      <c r="N205" s="111">
        <f t="shared" si="30"/>
        <v>22500</v>
      </c>
      <c r="O205" s="111">
        <f t="shared" si="31"/>
        <v>4500</v>
      </c>
      <c r="P205" s="111">
        <f t="shared" si="32"/>
        <v>5000</v>
      </c>
      <c r="Q205" s="111">
        <v>10000</v>
      </c>
      <c r="R205" s="111">
        <v>1</v>
      </c>
      <c r="S205" s="111">
        <f t="shared" si="33"/>
        <v>1000</v>
      </c>
      <c r="T205" s="111">
        <f t="shared" si="34"/>
        <v>60000</v>
      </c>
      <c r="U205" s="111">
        <f t="shared" si="35"/>
        <v>600</v>
      </c>
      <c r="V205" s="111">
        <f t="shared" si="36"/>
        <v>60600</v>
      </c>
      <c r="W205" t="s">
        <v>2664</v>
      </c>
    </row>
    <row r="206" spans="1:23" x14ac:dyDescent="0.3">
      <c r="A206" s="110">
        <v>200702</v>
      </c>
      <c r="B206" s="110" t="s">
        <v>297</v>
      </c>
      <c r="C206" s="110" t="s">
        <v>376</v>
      </c>
      <c r="D206" s="110" t="s">
        <v>379</v>
      </c>
      <c r="E206" s="110" t="s">
        <v>190</v>
      </c>
      <c r="F206" s="110" t="s">
        <v>113</v>
      </c>
      <c r="G206" s="110" t="s">
        <v>114</v>
      </c>
      <c r="H206" s="111">
        <v>213</v>
      </c>
      <c r="I206" s="111">
        <v>223</v>
      </c>
      <c r="J206" s="111">
        <v>220</v>
      </c>
      <c r="K206" s="111">
        <f t="shared" si="28"/>
        <v>218.66666666666666</v>
      </c>
      <c r="L206" s="111">
        <v>200000</v>
      </c>
      <c r="M206" s="111">
        <f t="shared" si="29"/>
        <v>90000</v>
      </c>
      <c r="N206" s="111">
        <f t="shared" si="30"/>
        <v>90000</v>
      </c>
      <c r="O206" s="111">
        <f t="shared" si="31"/>
        <v>18000</v>
      </c>
      <c r="P206" s="111">
        <f t="shared" si="32"/>
        <v>20000</v>
      </c>
      <c r="Q206" s="111">
        <v>50000</v>
      </c>
      <c r="R206" s="111">
        <v>5</v>
      </c>
      <c r="S206" s="111">
        <f t="shared" si="33"/>
        <v>5000</v>
      </c>
      <c r="T206" s="111">
        <f t="shared" si="34"/>
        <v>250000</v>
      </c>
      <c r="U206" s="111">
        <f t="shared" si="35"/>
        <v>2500</v>
      </c>
      <c r="V206" s="111">
        <f t="shared" si="36"/>
        <v>252500</v>
      </c>
      <c r="W206" t="s">
        <v>2665</v>
      </c>
    </row>
    <row r="207" spans="1:23" x14ac:dyDescent="0.3">
      <c r="A207" s="110">
        <v>200703</v>
      </c>
      <c r="B207" s="110" t="s">
        <v>297</v>
      </c>
      <c r="C207" s="110" t="s">
        <v>376</v>
      </c>
      <c r="D207" s="110" t="s">
        <v>376</v>
      </c>
      <c r="E207" s="110" t="s">
        <v>184</v>
      </c>
      <c r="F207" s="110" t="s">
        <v>113</v>
      </c>
      <c r="G207" s="110" t="s">
        <v>114</v>
      </c>
      <c r="H207" s="111">
        <v>251</v>
      </c>
      <c r="I207" s="111">
        <v>237</v>
      </c>
      <c r="J207" s="111">
        <v>219</v>
      </c>
      <c r="K207" s="111">
        <f t="shared" si="28"/>
        <v>235.66666666666666</v>
      </c>
      <c r="L207" s="111">
        <v>200000</v>
      </c>
      <c r="M207" s="111">
        <f t="shared" si="29"/>
        <v>90000</v>
      </c>
      <c r="N207" s="111">
        <f t="shared" si="30"/>
        <v>90000</v>
      </c>
      <c r="O207" s="111">
        <f t="shared" si="31"/>
        <v>18000</v>
      </c>
      <c r="P207" s="111">
        <f t="shared" si="32"/>
        <v>20000</v>
      </c>
      <c r="Q207" s="111">
        <v>50000</v>
      </c>
      <c r="R207" s="111">
        <v>5</v>
      </c>
      <c r="S207" s="111">
        <f t="shared" si="33"/>
        <v>5000</v>
      </c>
      <c r="T207" s="111">
        <f t="shared" si="34"/>
        <v>250000</v>
      </c>
      <c r="U207" s="111">
        <f t="shared" si="35"/>
        <v>2500</v>
      </c>
      <c r="V207" s="111">
        <f t="shared" si="36"/>
        <v>252500</v>
      </c>
      <c r="W207" t="s">
        <v>2666</v>
      </c>
    </row>
    <row r="208" spans="1:23" x14ac:dyDescent="0.3">
      <c r="A208" s="110">
        <v>200704</v>
      </c>
      <c r="B208" s="110" t="s">
        <v>297</v>
      </c>
      <c r="C208" s="110" t="s">
        <v>376</v>
      </c>
      <c r="D208" s="110" t="s">
        <v>380</v>
      </c>
      <c r="E208" s="110" t="s">
        <v>381</v>
      </c>
      <c r="F208" s="110" t="s">
        <v>113</v>
      </c>
      <c r="G208" s="110" t="s">
        <v>114</v>
      </c>
      <c r="H208" s="111">
        <v>220</v>
      </c>
      <c r="I208" s="111">
        <v>215</v>
      </c>
      <c r="J208" s="111">
        <v>220</v>
      </c>
      <c r="K208" s="111">
        <f t="shared" si="28"/>
        <v>218.33333333333334</v>
      </c>
      <c r="L208" s="111">
        <f>200000*0.7</f>
        <v>140000</v>
      </c>
      <c r="M208" s="111">
        <f t="shared" si="29"/>
        <v>63000</v>
      </c>
      <c r="N208" s="111">
        <f t="shared" si="30"/>
        <v>63000</v>
      </c>
      <c r="O208" s="111">
        <f t="shared" si="31"/>
        <v>12600</v>
      </c>
      <c r="P208" s="111">
        <f t="shared" si="32"/>
        <v>14000</v>
      </c>
      <c r="Q208" s="111">
        <v>50000</v>
      </c>
      <c r="R208" s="111">
        <v>5</v>
      </c>
      <c r="S208" s="111">
        <f t="shared" si="33"/>
        <v>5000</v>
      </c>
      <c r="T208" s="111">
        <f t="shared" si="34"/>
        <v>190000</v>
      </c>
      <c r="U208" s="111">
        <f t="shared" si="35"/>
        <v>1900</v>
      </c>
      <c r="V208" s="111">
        <f t="shared" si="36"/>
        <v>191900</v>
      </c>
      <c r="W208" t="s">
        <v>2667</v>
      </c>
    </row>
    <row r="209" spans="1:23" x14ac:dyDescent="0.3">
      <c r="A209" s="110">
        <v>200705</v>
      </c>
      <c r="B209" s="110" t="s">
        <v>297</v>
      </c>
      <c r="C209" s="110" t="s">
        <v>376</v>
      </c>
      <c r="D209" s="110" t="s">
        <v>382</v>
      </c>
      <c r="E209" s="110" t="s">
        <v>383</v>
      </c>
      <c r="F209" s="110" t="s">
        <v>113</v>
      </c>
      <c r="G209" s="110" t="s">
        <v>114</v>
      </c>
      <c r="H209" s="111">
        <v>109</v>
      </c>
      <c r="I209" s="111">
        <v>103</v>
      </c>
      <c r="J209" s="111">
        <v>98</v>
      </c>
      <c r="K209" s="111">
        <f t="shared" si="28"/>
        <v>103.33333333333333</v>
      </c>
      <c r="L209" s="111">
        <v>150000</v>
      </c>
      <c r="M209" s="111">
        <f t="shared" si="29"/>
        <v>67500</v>
      </c>
      <c r="N209" s="111">
        <f t="shared" si="30"/>
        <v>67500</v>
      </c>
      <c r="O209" s="111">
        <f t="shared" si="31"/>
        <v>13500</v>
      </c>
      <c r="P209" s="111">
        <f t="shared" si="32"/>
        <v>15000</v>
      </c>
      <c r="Q209" s="111">
        <v>30000</v>
      </c>
      <c r="R209" s="111">
        <v>3</v>
      </c>
      <c r="S209" s="111">
        <f t="shared" si="33"/>
        <v>3000</v>
      </c>
      <c r="T209" s="111">
        <f t="shared" si="34"/>
        <v>180000</v>
      </c>
      <c r="U209" s="111">
        <f t="shared" si="35"/>
        <v>1800</v>
      </c>
      <c r="V209" s="111">
        <f t="shared" si="36"/>
        <v>181800</v>
      </c>
      <c r="W209" t="s">
        <v>2668</v>
      </c>
    </row>
    <row r="210" spans="1:23" x14ac:dyDescent="0.3">
      <c r="A210" s="110">
        <v>200706</v>
      </c>
      <c r="B210" s="110" t="s">
        <v>297</v>
      </c>
      <c r="C210" s="110" t="s">
        <v>376</v>
      </c>
      <c r="D210" s="110" t="s">
        <v>384</v>
      </c>
      <c r="E210" s="110" t="s">
        <v>184</v>
      </c>
      <c r="F210" s="110" t="s">
        <v>113</v>
      </c>
      <c r="G210" s="110" t="s">
        <v>114</v>
      </c>
      <c r="H210" s="111">
        <v>49</v>
      </c>
      <c r="I210" s="111">
        <v>45</v>
      </c>
      <c r="J210" s="111">
        <v>44</v>
      </c>
      <c r="K210" s="111">
        <f t="shared" si="28"/>
        <v>46</v>
      </c>
      <c r="L210" s="111">
        <v>50000</v>
      </c>
      <c r="M210" s="111">
        <f t="shared" si="29"/>
        <v>22500</v>
      </c>
      <c r="N210" s="111">
        <f t="shared" si="30"/>
        <v>22500</v>
      </c>
      <c r="O210" s="111">
        <f t="shared" si="31"/>
        <v>4500</v>
      </c>
      <c r="P210" s="111">
        <f t="shared" si="32"/>
        <v>5000</v>
      </c>
      <c r="Q210" s="111">
        <v>10000</v>
      </c>
      <c r="R210" s="111">
        <v>1</v>
      </c>
      <c r="S210" s="111">
        <f t="shared" si="33"/>
        <v>1000</v>
      </c>
      <c r="T210" s="111">
        <f t="shared" si="34"/>
        <v>60000</v>
      </c>
      <c r="U210" s="111">
        <f t="shared" si="35"/>
        <v>600</v>
      </c>
      <c r="V210" s="111">
        <f t="shared" si="36"/>
        <v>60600</v>
      </c>
      <c r="W210" t="s">
        <v>2669</v>
      </c>
    </row>
    <row r="211" spans="1:23" x14ac:dyDescent="0.3">
      <c r="A211" s="110">
        <v>200707</v>
      </c>
      <c r="B211" s="110" t="s">
        <v>297</v>
      </c>
      <c r="C211" s="110" t="s">
        <v>376</v>
      </c>
      <c r="D211" s="110" t="s">
        <v>385</v>
      </c>
      <c r="E211" s="110" t="s">
        <v>368</v>
      </c>
      <c r="F211" s="110" t="s">
        <v>113</v>
      </c>
      <c r="G211" s="110" t="s">
        <v>114</v>
      </c>
      <c r="H211" s="111">
        <v>114</v>
      </c>
      <c r="I211" s="111">
        <v>108</v>
      </c>
      <c r="J211" s="111">
        <v>102</v>
      </c>
      <c r="K211" s="111">
        <f t="shared" si="28"/>
        <v>108</v>
      </c>
      <c r="L211" s="111">
        <v>150000</v>
      </c>
      <c r="M211" s="111">
        <f t="shared" si="29"/>
        <v>67500</v>
      </c>
      <c r="N211" s="111">
        <f t="shared" si="30"/>
        <v>67500</v>
      </c>
      <c r="O211" s="111">
        <f t="shared" si="31"/>
        <v>13500</v>
      </c>
      <c r="P211" s="111">
        <f t="shared" si="32"/>
        <v>15000</v>
      </c>
      <c r="Q211" s="111">
        <v>30000</v>
      </c>
      <c r="R211" s="111">
        <v>3</v>
      </c>
      <c r="S211" s="111">
        <f t="shared" si="33"/>
        <v>3000</v>
      </c>
      <c r="T211" s="111">
        <f t="shared" si="34"/>
        <v>180000</v>
      </c>
      <c r="U211" s="111">
        <f t="shared" si="35"/>
        <v>1800</v>
      </c>
      <c r="V211" s="111">
        <f t="shared" si="36"/>
        <v>181800</v>
      </c>
      <c r="W211" t="s">
        <v>2670</v>
      </c>
    </row>
    <row r="212" spans="1:23" x14ac:dyDescent="0.3">
      <c r="A212" s="110">
        <v>200708</v>
      </c>
      <c r="B212" s="110" t="s">
        <v>297</v>
      </c>
      <c r="C212" s="110" t="s">
        <v>376</v>
      </c>
      <c r="D212" s="110" t="s">
        <v>386</v>
      </c>
      <c r="E212" s="110" t="s">
        <v>387</v>
      </c>
      <c r="F212" s="110" t="s">
        <v>113</v>
      </c>
      <c r="G212" s="110" t="s">
        <v>114</v>
      </c>
      <c r="H212" s="111">
        <v>31</v>
      </c>
      <c r="I212" s="111">
        <v>37</v>
      </c>
      <c r="J212" s="111">
        <v>34</v>
      </c>
      <c r="K212" s="111">
        <f t="shared" si="28"/>
        <v>34</v>
      </c>
      <c r="L212" s="111">
        <v>50000</v>
      </c>
      <c r="M212" s="111">
        <f t="shared" si="29"/>
        <v>22500</v>
      </c>
      <c r="N212" s="111">
        <f t="shared" si="30"/>
        <v>22500</v>
      </c>
      <c r="O212" s="111">
        <f t="shared" si="31"/>
        <v>4500</v>
      </c>
      <c r="P212" s="111">
        <f t="shared" si="32"/>
        <v>5000</v>
      </c>
      <c r="Q212" s="111">
        <v>10000</v>
      </c>
      <c r="R212" s="111">
        <v>1</v>
      </c>
      <c r="S212" s="111">
        <f t="shared" si="33"/>
        <v>1000</v>
      </c>
      <c r="T212" s="111">
        <f t="shared" si="34"/>
        <v>60000</v>
      </c>
      <c r="U212" s="111">
        <f t="shared" si="35"/>
        <v>600</v>
      </c>
      <c r="V212" s="111">
        <f t="shared" si="36"/>
        <v>60600</v>
      </c>
      <c r="W212" t="s">
        <v>2671</v>
      </c>
    </row>
    <row r="213" spans="1:23" x14ac:dyDescent="0.3">
      <c r="A213" s="110">
        <v>200709</v>
      </c>
      <c r="B213" s="110" t="s">
        <v>297</v>
      </c>
      <c r="C213" s="110" t="s">
        <v>376</v>
      </c>
      <c r="D213" s="110" t="s">
        <v>388</v>
      </c>
      <c r="E213" s="110" t="s">
        <v>143</v>
      </c>
      <c r="F213" s="110" t="s">
        <v>113</v>
      </c>
      <c r="G213" s="110" t="s">
        <v>114</v>
      </c>
      <c r="H213" s="111">
        <v>60</v>
      </c>
      <c r="I213" s="111">
        <v>51</v>
      </c>
      <c r="J213" s="111">
        <v>48</v>
      </c>
      <c r="K213" s="111">
        <f t="shared" si="28"/>
        <v>53</v>
      </c>
      <c r="L213" s="111">
        <v>150000</v>
      </c>
      <c r="M213" s="111">
        <f t="shared" si="29"/>
        <v>67500</v>
      </c>
      <c r="N213" s="111">
        <f t="shared" si="30"/>
        <v>67500</v>
      </c>
      <c r="O213" s="111">
        <f t="shared" si="31"/>
        <v>13500</v>
      </c>
      <c r="P213" s="111">
        <f t="shared" si="32"/>
        <v>15000</v>
      </c>
      <c r="Q213" s="111">
        <v>30000</v>
      </c>
      <c r="R213" s="111">
        <v>3</v>
      </c>
      <c r="S213" s="111">
        <f t="shared" si="33"/>
        <v>3000</v>
      </c>
      <c r="T213" s="111">
        <f t="shared" si="34"/>
        <v>180000</v>
      </c>
      <c r="U213" s="111">
        <f t="shared" si="35"/>
        <v>1800</v>
      </c>
      <c r="V213" s="111">
        <f t="shared" si="36"/>
        <v>181800</v>
      </c>
      <c r="W213" t="s">
        <v>2672</v>
      </c>
    </row>
    <row r="214" spans="1:23" x14ac:dyDescent="0.3">
      <c r="A214" s="110">
        <v>200710</v>
      </c>
      <c r="B214" s="110" t="s">
        <v>297</v>
      </c>
      <c r="C214" s="110" t="s">
        <v>376</v>
      </c>
      <c r="D214" s="110" t="s">
        <v>389</v>
      </c>
      <c r="E214" s="110" t="s">
        <v>390</v>
      </c>
      <c r="F214" s="110" t="s">
        <v>113</v>
      </c>
      <c r="G214" s="110" t="s">
        <v>114</v>
      </c>
      <c r="H214" s="111">
        <v>112</v>
      </c>
      <c r="I214" s="111">
        <v>102</v>
      </c>
      <c r="J214" s="111">
        <v>117</v>
      </c>
      <c r="K214" s="111">
        <f t="shared" si="28"/>
        <v>110.33333333333333</v>
      </c>
      <c r="L214" s="111">
        <v>150000</v>
      </c>
      <c r="M214" s="111">
        <f t="shared" si="29"/>
        <v>67500</v>
      </c>
      <c r="N214" s="111">
        <f t="shared" si="30"/>
        <v>67500</v>
      </c>
      <c r="O214" s="111">
        <f t="shared" si="31"/>
        <v>13500</v>
      </c>
      <c r="P214" s="111">
        <f t="shared" si="32"/>
        <v>15000</v>
      </c>
      <c r="Q214" s="111">
        <v>30000</v>
      </c>
      <c r="R214" s="111">
        <v>3</v>
      </c>
      <c r="S214" s="111">
        <f t="shared" si="33"/>
        <v>3000</v>
      </c>
      <c r="T214" s="111">
        <f t="shared" si="34"/>
        <v>180000</v>
      </c>
      <c r="U214" s="111">
        <f t="shared" si="35"/>
        <v>1800</v>
      </c>
      <c r="V214" s="111">
        <f t="shared" si="36"/>
        <v>181800</v>
      </c>
      <c r="W214" t="s">
        <v>2673</v>
      </c>
    </row>
    <row r="215" spans="1:23" x14ac:dyDescent="0.3">
      <c r="A215" s="110">
        <v>200711</v>
      </c>
      <c r="B215" s="110" t="s">
        <v>297</v>
      </c>
      <c r="C215" s="110" t="s">
        <v>376</v>
      </c>
      <c r="D215" s="110" t="s">
        <v>376</v>
      </c>
      <c r="E215" s="110" t="s">
        <v>137</v>
      </c>
      <c r="F215" s="110" t="s">
        <v>119</v>
      </c>
      <c r="G215" s="110" t="s">
        <v>114</v>
      </c>
      <c r="H215" s="111">
        <v>640</v>
      </c>
      <c r="I215" s="111">
        <v>634</v>
      </c>
      <c r="J215" s="111">
        <v>670</v>
      </c>
      <c r="K215" s="111">
        <f t="shared" si="28"/>
        <v>648</v>
      </c>
      <c r="L215" s="111">
        <f>300000</f>
        <v>300000</v>
      </c>
      <c r="M215" s="111">
        <f t="shared" si="29"/>
        <v>135000</v>
      </c>
      <c r="N215" s="111">
        <f t="shared" si="30"/>
        <v>135000</v>
      </c>
      <c r="O215" s="111">
        <f t="shared" si="31"/>
        <v>27000</v>
      </c>
      <c r="P215" s="111">
        <f t="shared" si="32"/>
        <v>30000</v>
      </c>
      <c r="Q215" s="111">
        <v>60000</v>
      </c>
      <c r="R215" s="111">
        <v>6</v>
      </c>
      <c r="S215" s="111">
        <f t="shared" si="33"/>
        <v>6000</v>
      </c>
      <c r="T215" s="111">
        <f t="shared" si="34"/>
        <v>360000</v>
      </c>
      <c r="U215" s="111">
        <f t="shared" si="35"/>
        <v>3600</v>
      </c>
      <c r="V215" s="111">
        <f t="shared" si="36"/>
        <v>363600</v>
      </c>
      <c r="W215" t="s">
        <v>2674</v>
      </c>
    </row>
    <row r="216" spans="1:23" x14ac:dyDescent="0.3">
      <c r="A216" s="110">
        <v>200712</v>
      </c>
      <c r="B216" s="110" t="s">
        <v>297</v>
      </c>
      <c r="C216" s="110" t="s">
        <v>376</v>
      </c>
      <c r="D216" s="110" t="s">
        <v>376</v>
      </c>
      <c r="E216" s="110" t="s">
        <v>391</v>
      </c>
      <c r="F216" s="110" t="s">
        <v>117</v>
      </c>
      <c r="G216" s="110" t="s">
        <v>114</v>
      </c>
      <c r="H216" s="111">
        <v>263</v>
      </c>
      <c r="I216" s="111">
        <v>234</v>
      </c>
      <c r="J216" s="111">
        <v>211</v>
      </c>
      <c r="K216" s="111">
        <f t="shared" si="28"/>
        <v>236</v>
      </c>
      <c r="L216" s="111">
        <v>200000</v>
      </c>
      <c r="M216" s="111">
        <f t="shared" si="29"/>
        <v>90000</v>
      </c>
      <c r="N216" s="111">
        <f t="shared" si="30"/>
        <v>90000</v>
      </c>
      <c r="O216" s="111">
        <f t="shared" si="31"/>
        <v>18000</v>
      </c>
      <c r="P216" s="111">
        <f t="shared" si="32"/>
        <v>20000</v>
      </c>
      <c r="Q216" s="111">
        <v>50000</v>
      </c>
      <c r="R216" s="111">
        <v>5</v>
      </c>
      <c r="S216" s="111">
        <f t="shared" si="33"/>
        <v>5000</v>
      </c>
      <c r="T216" s="111">
        <f t="shared" si="34"/>
        <v>250000</v>
      </c>
      <c r="U216" s="111">
        <f t="shared" si="35"/>
        <v>2500</v>
      </c>
      <c r="V216" s="111">
        <f t="shared" si="36"/>
        <v>252500</v>
      </c>
      <c r="W216" t="s">
        <v>2675</v>
      </c>
    </row>
    <row r="217" spans="1:23" x14ac:dyDescent="0.3">
      <c r="A217" s="110">
        <v>200801</v>
      </c>
      <c r="B217" s="110" t="s">
        <v>297</v>
      </c>
      <c r="C217" s="110" t="s">
        <v>392</v>
      </c>
      <c r="D217" s="110" t="s">
        <v>393</v>
      </c>
      <c r="E217" s="110" t="s">
        <v>394</v>
      </c>
      <c r="F217" s="110" t="s">
        <v>113</v>
      </c>
      <c r="G217" s="110" t="s">
        <v>114</v>
      </c>
      <c r="H217" s="111">
        <v>59</v>
      </c>
      <c r="I217" s="111">
        <v>56</v>
      </c>
      <c r="J217" s="111">
        <v>62</v>
      </c>
      <c r="K217" s="111">
        <f t="shared" si="28"/>
        <v>59</v>
      </c>
      <c r="L217" s="111">
        <v>150000</v>
      </c>
      <c r="M217" s="111">
        <f t="shared" si="29"/>
        <v>67500</v>
      </c>
      <c r="N217" s="111">
        <f t="shared" si="30"/>
        <v>67500</v>
      </c>
      <c r="O217" s="111">
        <f t="shared" si="31"/>
        <v>13500</v>
      </c>
      <c r="P217" s="111">
        <f t="shared" si="32"/>
        <v>15000</v>
      </c>
      <c r="Q217" s="111">
        <v>30000</v>
      </c>
      <c r="R217" s="111">
        <v>3</v>
      </c>
      <c r="S217" s="111">
        <f t="shared" si="33"/>
        <v>3000</v>
      </c>
      <c r="T217" s="111">
        <f t="shared" si="34"/>
        <v>180000</v>
      </c>
      <c r="U217" s="111">
        <f t="shared" si="35"/>
        <v>1800</v>
      </c>
      <c r="V217" s="111">
        <f t="shared" si="36"/>
        <v>181800</v>
      </c>
      <c r="W217" t="s">
        <v>2676</v>
      </c>
    </row>
    <row r="218" spans="1:23" x14ac:dyDescent="0.3">
      <c r="A218" s="110">
        <v>200803</v>
      </c>
      <c r="B218" s="110" t="s">
        <v>297</v>
      </c>
      <c r="C218" s="110" t="s">
        <v>392</v>
      </c>
      <c r="D218" s="110" t="s">
        <v>392</v>
      </c>
      <c r="E218" s="110" t="s">
        <v>178</v>
      </c>
      <c r="F218" s="110" t="s">
        <v>119</v>
      </c>
      <c r="G218" s="110" t="s">
        <v>114</v>
      </c>
      <c r="H218" s="111">
        <v>369</v>
      </c>
      <c r="I218" s="111">
        <v>356</v>
      </c>
      <c r="J218" s="111">
        <v>362</v>
      </c>
      <c r="K218" s="111">
        <f t="shared" si="28"/>
        <v>362.33333333333331</v>
      </c>
      <c r="L218" s="111">
        <v>200000</v>
      </c>
      <c r="M218" s="111">
        <f t="shared" si="29"/>
        <v>90000</v>
      </c>
      <c r="N218" s="111">
        <f t="shared" si="30"/>
        <v>90000</v>
      </c>
      <c r="O218" s="111">
        <f t="shared" si="31"/>
        <v>18000</v>
      </c>
      <c r="P218" s="111">
        <f t="shared" si="32"/>
        <v>20000</v>
      </c>
      <c r="Q218" s="111">
        <v>50000</v>
      </c>
      <c r="R218" s="111">
        <v>5</v>
      </c>
      <c r="S218" s="111">
        <f t="shared" si="33"/>
        <v>5000</v>
      </c>
      <c r="T218" s="111">
        <f t="shared" si="34"/>
        <v>250000</v>
      </c>
      <c r="U218" s="111">
        <f t="shared" si="35"/>
        <v>2500</v>
      </c>
      <c r="V218" s="111">
        <f t="shared" si="36"/>
        <v>252500</v>
      </c>
      <c r="W218" t="s">
        <v>2677</v>
      </c>
    </row>
    <row r="219" spans="1:23" x14ac:dyDescent="0.3">
      <c r="A219" s="110">
        <v>200904</v>
      </c>
      <c r="B219" s="110" t="s">
        <v>297</v>
      </c>
      <c r="C219" s="110" t="s">
        <v>395</v>
      </c>
      <c r="D219" s="110" t="s">
        <v>396</v>
      </c>
      <c r="E219" s="110" t="s">
        <v>397</v>
      </c>
      <c r="F219" s="110" t="s">
        <v>209</v>
      </c>
      <c r="G219" s="110" t="s">
        <v>114</v>
      </c>
      <c r="H219" s="111">
        <v>50</v>
      </c>
      <c r="I219" s="111">
        <v>49</v>
      </c>
      <c r="J219" s="111">
        <v>50</v>
      </c>
      <c r="K219" s="111">
        <f t="shared" si="28"/>
        <v>49.666666666666664</v>
      </c>
      <c r="L219" s="111">
        <v>50000</v>
      </c>
      <c r="M219" s="111">
        <f t="shared" si="29"/>
        <v>22500</v>
      </c>
      <c r="N219" s="111">
        <f t="shared" si="30"/>
        <v>22500</v>
      </c>
      <c r="O219" s="111">
        <f t="shared" si="31"/>
        <v>4500</v>
      </c>
      <c r="P219" s="111">
        <f t="shared" si="32"/>
        <v>5000</v>
      </c>
      <c r="Q219" s="111">
        <v>10000</v>
      </c>
      <c r="R219" s="111">
        <v>1</v>
      </c>
      <c r="S219" s="111">
        <f t="shared" si="33"/>
        <v>1000</v>
      </c>
      <c r="T219" s="111">
        <f t="shared" si="34"/>
        <v>60000</v>
      </c>
      <c r="U219" s="111">
        <f t="shared" si="35"/>
        <v>600</v>
      </c>
      <c r="V219" s="111">
        <f t="shared" si="36"/>
        <v>60600</v>
      </c>
      <c r="W219" t="s">
        <v>2678</v>
      </c>
    </row>
    <row r="220" spans="1:23" x14ac:dyDescent="0.3">
      <c r="A220" s="110">
        <v>200907</v>
      </c>
      <c r="B220" s="110" t="s">
        <v>297</v>
      </c>
      <c r="C220" s="110" t="s">
        <v>395</v>
      </c>
      <c r="D220" s="110" t="s">
        <v>398</v>
      </c>
      <c r="E220" s="110" t="s">
        <v>399</v>
      </c>
      <c r="F220" s="110" t="s">
        <v>113</v>
      </c>
      <c r="G220" s="110" t="s">
        <v>114</v>
      </c>
      <c r="H220" s="111">
        <v>111</v>
      </c>
      <c r="I220" s="111">
        <v>113</v>
      </c>
      <c r="J220" s="111">
        <v>107</v>
      </c>
      <c r="K220" s="111">
        <f t="shared" si="28"/>
        <v>110.33333333333333</v>
      </c>
      <c r="L220" s="111">
        <v>150000</v>
      </c>
      <c r="M220" s="111">
        <f t="shared" si="29"/>
        <v>67500</v>
      </c>
      <c r="N220" s="111">
        <f t="shared" si="30"/>
        <v>67500</v>
      </c>
      <c r="O220" s="111">
        <f t="shared" si="31"/>
        <v>13500</v>
      </c>
      <c r="P220" s="111">
        <f t="shared" si="32"/>
        <v>15000</v>
      </c>
      <c r="Q220" s="111">
        <v>30000</v>
      </c>
      <c r="R220" s="111">
        <v>3</v>
      </c>
      <c r="S220" s="111">
        <f t="shared" si="33"/>
        <v>3000</v>
      </c>
      <c r="T220" s="111">
        <f t="shared" si="34"/>
        <v>180000</v>
      </c>
      <c r="U220" s="111">
        <f t="shared" si="35"/>
        <v>1800</v>
      </c>
      <c r="V220" s="111">
        <f t="shared" si="36"/>
        <v>181800</v>
      </c>
      <c r="W220" t="s">
        <v>2679</v>
      </c>
    </row>
    <row r="221" spans="1:23" x14ac:dyDescent="0.3">
      <c r="A221" s="110">
        <v>200908</v>
      </c>
      <c r="B221" s="110" t="s">
        <v>297</v>
      </c>
      <c r="C221" s="110" t="s">
        <v>395</v>
      </c>
      <c r="D221" s="110" t="s">
        <v>400</v>
      </c>
      <c r="E221" s="110" t="s">
        <v>201</v>
      </c>
      <c r="F221" s="110" t="s">
        <v>113</v>
      </c>
      <c r="G221" s="110" t="s">
        <v>114</v>
      </c>
      <c r="H221" s="111">
        <v>88</v>
      </c>
      <c r="I221" s="111">
        <v>88</v>
      </c>
      <c r="J221" s="111">
        <v>80</v>
      </c>
      <c r="K221" s="111">
        <f t="shared" si="28"/>
        <v>85.333333333333329</v>
      </c>
      <c r="L221" s="111">
        <v>150000</v>
      </c>
      <c r="M221" s="111">
        <f t="shared" si="29"/>
        <v>67500</v>
      </c>
      <c r="N221" s="111">
        <f t="shared" si="30"/>
        <v>67500</v>
      </c>
      <c r="O221" s="111">
        <f t="shared" si="31"/>
        <v>13500</v>
      </c>
      <c r="P221" s="111">
        <f t="shared" si="32"/>
        <v>15000</v>
      </c>
      <c r="Q221" s="111">
        <v>30000</v>
      </c>
      <c r="R221" s="111">
        <v>3</v>
      </c>
      <c r="S221" s="111">
        <f t="shared" si="33"/>
        <v>3000</v>
      </c>
      <c r="T221" s="111">
        <f t="shared" si="34"/>
        <v>180000</v>
      </c>
      <c r="U221" s="111">
        <f t="shared" si="35"/>
        <v>1800</v>
      </c>
      <c r="V221" s="111">
        <f t="shared" si="36"/>
        <v>181800</v>
      </c>
      <c r="W221" t="s">
        <v>2680</v>
      </c>
    </row>
    <row r="222" spans="1:23" x14ac:dyDescent="0.3">
      <c r="A222" s="110">
        <v>200909</v>
      </c>
      <c r="B222" s="110" t="s">
        <v>297</v>
      </c>
      <c r="C222" s="110" t="s">
        <v>395</v>
      </c>
      <c r="D222" s="110" t="s">
        <v>401</v>
      </c>
      <c r="E222" s="110" t="s">
        <v>402</v>
      </c>
      <c r="F222" s="110" t="s">
        <v>113</v>
      </c>
      <c r="G222" s="110" t="s">
        <v>114</v>
      </c>
      <c r="H222" s="111">
        <v>26</v>
      </c>
      <c r="I222" s="111">
        <v>18</v>
      </c>
      <c r="J222" s="111">
        <v>11</v>
      </c>
      <c r="K222" s="111">
        <f t="shared" si="28"/>
        <v>18.333333333333332</v>
      </c>
      <c r="L222" s="111">
        <v>50000</v>
      </c>
      <c r="M222" s="111">
        <f t="shared" si="29"/>
        <v>22500</v>
      </c>
      <c r="N222" s="111">
        <f t="shared" si="30"/>
        <v>22500</v>
      </c>
      <c r="O222" s="111">
        <f t="shared" si="31"/>
        <v>4500</v>
      </c>
      <c r="P222" s="111">
        <f t="shared" si="32"/>
        <v>5000</v>
      </c>
      <c r="Q222" s="111">
        <v>10000</v>
      </c>
      <c r="R222" s="111">
        <v>1</v>
      </c>
      <c r="S222" s="111">
        <f t="shared" si="33"/>
        <v>1000</v>
      </c>
      <c r="T222" s="111">
        <f t="shared" si="34"/>
        <v>60000</v>
      </c>
      <c r="U222" s="111">
        <f t="shared" si="35"/>
        <v>600</v>
      </c>
      <c r="V222" s="111">
        <f t="shared" si="36"/>
        <v>60600</v>
      </c>
      <c r="W222" t="s">
        <v>2681</v>
      </c>
    </row>
    <row r="223" spans="1:23" x14ac:dyDescent="0.3">
      <c r="A223" s="110">
        <v>200910</v>
      </c>
      <c r="B223" s="110" t="s">
        <v>297</v>
      </c>
      <c r="C223" s="110" t="s">
        <v>395</v>
      </c>
      <c r="D223" s="110" t="s">
        <v>403</v>
      </c>
      <c r="E223" s="110" t="s">
        <v>404</v>
      </c>
      <c r="F223" s="110" t="s">
        <v>113</v>
      </c>
      <c r="G223" s="110" t="s">
        <v>114</v>
      </c>
      <c r="H223" s="111">
        <v>93</v>
      </c>
      <c r="I223" s="111">
        <v>102</v>
      </c>
      <c r="J223" s="111">
        <v>97</v>
      </c>
      <c r="K223" s="111">
        <f t="shared" si="28"/>
        <v>97.333333333333329</v>
      </c>
      <c r="L223" s="111">
        <v>150000</v>
      </c>
      <c r="M223" s="111">
        <f t="shared" si="29"/>
        <v>67500</v>
      </c>
      <c r="N223" s="111">
        <f t="shared" si="30"/>
        <v>67500</v>
      </c>
      <c r="O223" s="111">
        <f t="shared" si="31"/>
        <v>13500</v>
      </c>
      <c r="P223" s="111">
        <f t="shared" si="32"/>
        <v>15000</v>
      </c>
      <c r="Q223" s="111">
        <v>30000</v>
      </c>
      <c r="R223" s="111">
        <v>3</v>
      </c>
      <c r="S223" s="111">
        <f t="shared" si="33"/>
        <v>3000</v>
      </c>
      <c r="T223" s="111">
        <f t="shared" si="34"/>
        <v>180000</v>
      </c>
      <c r="U223" s="111">
        <f t="shared" si="35"/>
        <v>1800</v>
      </c>
      <c r="V223" s="111">
        <f t="shared" si="36"/>
        <v>181800</v>
      </c>
      <c r="W223" t="s">
        <v>2682</v>
      </c>
    </row>
    <row r="224" spans="1:23" x14ac:dyDescent="0.3">
      <c r="A224" s="110">
        <v>200912</v>
      </c>
      <c r="B224" s="110" t="s">
        <v>297</v>
      </c>
      <c r="C224" s="110" t="s">
        <v>395</v>
      </c>
      <c r="D224" s="110" t="s">
        <v>405</v>
      </c>
      <c r="E224" s="110" t="s">
        <v>406</v>
      </c>
      <c r="F224" s="110" t="s">
        <v>113</v>
      </c>
      <c r="G224" s="110" t="s">
        <v>114</v>
      </c>
      <c r="H224" s="111">
        <v>70</v>
      </c>
      <c r="I224" s="111">
        <v>69</v>
      </c>
      <c r="J224" s="111">
        <v>70</v>
      </c>
      <c r="K224" s="111">
        <f t="shared" si="28"/>
        <v>69.666666666666671</v>
      </c>
      <c r="L224" s="111">
        <v>150000</v>
      </c>
      <c r="M224" s="111">
        <f t="shared" si="29"/>
        <v>67500</v>
      </c>
      <c r="N224" s="111">
        <f t="shared" si="30"/>
        <v>67500</v>
      </c>
      <c r="O224" s="111">
        <f t="shared" si="31"/>
        <v>13500</v>
      </c>
      <c r="P224" s="111">
        <f t="shared" si="32"/>
        <v>15000</v>
      </c>
      <c r="Q224" s="111">
        <v>30000</v>
      </c>
      <c r="R224" s="111">
        <v>3</v>
      </c>
      <c r="S224" s="111">
        <f t="shared" si="33"/>
        <v>3000</v>
      </c>
      <c r="T224" s="111">
        <f t="shared" si="34"/>
        <v>180000</v>
      </c>
      <c r="U224" s="111">
        <f t="shared" si="35"/>
        <v>1800</v>
      </c>
      <c r="V224" s="111">
        <f t="shared" si="36"/>
        <v>181800</v>
      </c>
      <c r="W224" t="s">
        <v>2683</v>
      </c>
    </row>
    <row r="225" spans="1:23" x14ac:dyDescent="0.3">
      <c r="A225" s="110">
        <v>200915</v>
      </c>
      <c r="B225" s="110" t="s">
        <v>297</v>
      </c>
      <c r="C225" s="110" t="s">
        <v>395</v>
      </c>
      <c r="D225" s="110" t="s">
        <v>407</v>
      </c>
      <c r="E225" s="110" t="s">
        <v>406</v>
      </c>
      <c r="F225" s="110" t="s">
        <v>113</v>
      </c>
      <c r="G225" s="110" t="s">
        <v>114</v>
      </c>
      <c r="H225" s="111">
        <v>68</v>
      </c>
      <c r="I225" s="111">
        <v>70</v>
      </c>
      <c r="J225" s="111">
        <v>62</v>
      </c>
      <c r="K225" s="111">
        <f t="shared" si="28"/>
        <v>66.666666666666671</v>
      </c>
      <c r="L225" s="111">
        <v>150000</v>
      </c>
      <c r="M225" s="111">
        <f t="shared" si="29"/>
        <v>67500</v>
      </c>
      <c r="N225" s="111">
        <f t="shared" si="30"/>
        <v>67500</v>
      </c>
      <c r="O225" s="111">
        <f t="shared" si="31"/>
        <v>13500</v>
      </c>
      <c r="P225" s="111">
        <f t="shared" si="32"/>
        <v>15000</v>
      </c>
      <c r="Q225" s="111">
        <v>30000</v>
      </c>
      <c r="R225" s="111">
        <v>3</v>
      </c>
      <c r="S225" s="111">
        <f t="shared" si="33"/>
        <v>3000</v>
      </c>
      <c r="T225" s="111">
        <f t="shared" si="34"/>
        <v>180000</v>
      </c>
      <c r="U225" s="111">
        <f t="shared" si="35"/>
        <v>1800</v>
      </c>
      <c r="V225" s="111">
        <f t="shared" si="36"/>
        <v>181800</v>
      </c>
      <c r="W225" t="s">
        <v>2684</v>
      </c>
    </row>
    <row r="226" spans="1:23" x14ac:dyDescent="0.3">
      <c r="A226" s="110">
        <v>200918</v>
      </c>
      <c r="B226" s="110" t="s">
        <v>297</v>
      </c>
      <c r="C226" s="110" t="s">
        <v>395</v>
      </c>
      <c r="D226" s="110" t="s">
        <v>408</v>
      </c>
      <c r="E226" s="110" t="s">
        <v>409</v>
      </c>
      <c r="F226" s="110" t="s">
        <v>168</v>
      </c>
      <c r="G226" s="110" t="s">
        <v>114</v>
      </c>
      <c r="H226" s="111">
        <v>137</v>
      </c>
      <c r="I226" s="111">
        <v>142</v>
      </c>
      <c r="J226" s="111">
        <v>151</v>
      </c>
      <c r="K226" s="111">
        <f t="shared" si="28"/>
        <v>143.33333333333334</v>
      </c>
      <c r="L226" s="111">
        <v>150000</v>
      </c>
      <c r="M226" s="111">
        <f t="shared" si="29"/>
        <v>67500</v>
      </c>
      <c r="N226" s="111">
        <f t="shared" si="30"/>
        <v>67500</v>
      </c>
      <c r="O226" s="111">
        <f t="shared" si="31"/>
        <v>13500</v>
      </c>
      <c r="P226" s="111">
        <f t="shared" si="32"/>
        <v>15000</v>
      </c>
      <c r="Q226" s="111">
        <v>30000</v>
      </c>
      <c r="R226" s="111">
        <v>3</v>
      </c>
      <c r="S226" s="111">
        <f t="shared" si="33"/>
        <v>3000</v>
      </c>
      <c r="T226" s="111">
        <f t="shared" si="34"/>
        <v>180000</v>
      </c>
      <c r="U226" s="111">
        <f t="shared" si="35"/>
        <v>1800</v>
      </c>
      <c r="V226" s="111">
        <f t="shared" si="36"/>
        <v>181800</v>
      </c>
      <c r="W226" t="s">
        <v>2685</v>
      </c>
    </row>
    <row r="227" spans="1:23" x14ac:dyDescent="0.3">
      <c r="A227" s="110">
        <v>200919</v>
      </c>
      <c r="B227" s="110" t="s">
        <v>297</v>
      </c>
      <c r="C227" s="110" t="s">
        <v>395</v>
      </c>
      <c r="D227" s="110" t="s">
        <v>410</v>
      </c>
      <c r="E227" s="110" t="s">
        <v>411</v>
      </c>
      <c r="F227" s="110" t="s">
        <v>113</v>
      </c>
      <c r="G227" s="110" t="s">
        <v>114</v>
      </c>
      <c r="H227" s="111">
        <v>44</v>
      </c>
      <c r="I227" s="111">
        <v>37</v>
      </c>
      <c r="J227" s="111">
        <v>37</v>
      </c>
      <c r="K227" s="111">
        <f t="shared" si="28"/>
        <v>39.333333333333336</v>
      </c>
      <c r="L227" s="111">
        <v>50000</v>
      </c>
      <c r="M227" s="111">
        <f t="shared" si="29"/>
        <v>22500</v>
      </c>
      <c r="N227" s="111">
        <f t="shared" si="30"/>
        <v>22500</v>
      </c>
      <c r="O227" s="111">
        <f t="shared" si="31"/>
        <v>4500</v>
      </c>
      <c r="P227" s="111">
        <f t="shared" si="32"/>
        <v>5000</v>
      </c>
      <c r="Q227" s="111">
        <v>10000</v>
      </c>
      <c r="R227" s="111">
        <v>1</v>
      </c>
      <c r="S227" s="111">
        <f t="shared" si="33"/>
        <v>1000</v>
      </c>
      <c r="T227" s="111">
        <f t="shared" si="34"/>
        <v>60000</v>
      </c>
      <c r="U227" s="111">
        <f t="shared" si="35"/>
        <v>600</v>
      </c>
      <c r="V227" s="111">
        <f t="shared" si="36"/>
        <v>60600</v>
      </c>
      <c r="W227" t="s">
        <v>2686</v>
      </c>
    </row>
    <row r="228" spans="1:23" x14ac:dyDescent="0.3">
      <c r="A228" s="110">
        <v>200920</v>
      </c>
      <c r="B228" s="110" t="s">
        <v>297</v>
      </c>
      <c r="C228" s="110" t="s">
        <v>395</v>
      </c>
      <c r="D228" s="110" t="s">
        <v>412</v>
      </c>
      <c r="E228" s="110" t="s">
        <v>413</v>
      </c>
      <c r="F228" s="110" t="s">
        <v>113</v>
      </c>
      <c r="G228" s="110" t="s">
        <v>114</v>
      </c>
      <c r="H228" s="111">
        <v>83</v>
      </c>
      <c r="I228" s="111">
        <v>82</v>
      </c>
      <c r="J228" s="111">
        <v>76</v>
      </c>
      <c r="K228" s="111">
        <f t="shared" si="28"/>
        <v>80.333333333333329</v>
      </c>
      <c r="L228" s="111">
        <v>150000</v>
      </c>
      <c r="M228" s="111">
        <f t="shared" si="29"/>
        <v>67500</v>
      </c>
      <c r="N228" s="111">
        <f t="shared" si="30"/>
        <v>67500</v>
      </c>
      <c r="O228" s="111">
        <f t="shared" si="31"/>
        <v>13500</v>
      </c>
      <c r="P228" s="111">
        <f t="shared" si="32"/>
        <v>15000</v>
      </c>
      <c r="Q228" s="111">
        <v>30000</v>
      </c>
      <c r="R228" s="111">
        <v>3</v>
      </c>
      <c r="S228" s="111">
        <f t="shared" si="33"/>
        <v>3000</v>
      </c>
      <c r="T228" s="111">
        <f t="shared" si="34"/>
        <v>180000</v>
      </c>
      <c r="U228" s="111">
        <f t="shared" si="35"/>
        <v>1800</v>
      </c>
      <c r="V228" s="111">
        <f t="shared" si="36"/>
        <v>181800</v>
      </c>
      <c r="W228" t="s">
        <v>2687</v>
      </c>
    </row>
    <row r="229" spans="1:23" x14ac:dyDescent="0.3">
      <c r="A229" s="110">
        <v>200922</v>
      </c>
      <c r="B229" s="110" t="s">
        <v>297</v>
      </c>
      <c r="C229" s="110" t="s">
        <v>395</v>
      </c>
      <c r="D229" s="110" t="s">
        <v>414</v>
      </c>
      <c r="E229" s="110" t="s">
        <v>320</v>
      </c>
      <c r="F229" s="110" t="s">
        <v>113</v>
      </c>
      <c r="G229" s="110" t="s">
        <v>114</v>
      </c>
      <c r="H229" s="111">
        <v>125</v>
      </c>
      <c r="I229" s="111">
        <v>125</v>
      </c>
      <c r="J229" s="111">
        <v>106</v>
      </c>
      <c r="K229" s="111">
        <f t="shared" si="28"/>
        <v>118.66666666666667</v>
      </c>
      <c r="L229" s="111">
        <v>150000</v>
      </c>
      <c r="M229" s="111">
        <f t="shared" si="29"/>
        <v>67500</v>
      </c>
      <c r="N229" s="111">
        <f t="shared" si="30"/>
        <v>67500</v>
      </c>
      <c r="O229" s="111">
        <f t="shared" si="31"/>
        <v>13500</v>
      </c>
      <c r="P229" s="111">
        <f t="shared" si="32"/>
        <v>15000</v>
      </c>
      <c r="Q229" s="111">
        <v>30000</v>
      </c>
      <c r="R229" s="111">
        <v>3</v>
      </c>
      <c r="S229" s="111">
        <f t="shared" si="33"/>
        <v>3000</v>
      </c>
      <c r="T229" s="111">
        <f t="shared" si="34"/>
        <v>180000</v>
      </c>
      <c r="U229" s="111">
        <f t="shared" si="35"/>
        <v>1800</v>
      </c>
      <c r="V229" s="111">
        <f t="shared" si="36"/>
        <v>181800</v>
      </c>
      <c r="W229" t="s">
        <v>2688</v>
      </c>
    </row>
    <row r="230" spans="1:23" x14ac:dyDescent="0.3">
      <c r="A230" s="110">
        <v>200923</v>
      </c>
      <c r="B230" s="110" t="s">
        <v>297</v>
      </c>
      <c r="C230" s="110" t="s">
        <v>395</v>
      </c>
      <c r="D230" s="110" t="s">
        <v>415</v>
      </c>
      <c r="E230" s="110" t="s">
        <v>416</v>
      </c>
      <c r="F230" s="110" t="s">
        <v>113</v>
      </c>
      <c r="G230" s="110" t="s">
        <v>114</v>
      </c>
      <c r="H230" s="111">
        <v>83</v>
      </c>
      <c r="I230" s="111">
        <v>68</v>
      </c>
      <c r="J230" s="111">
        <v>76</v>
      </c>
      <c r="K230" s="111">
        <f t="shared" si="28"/>
        <v>75.666666666666671</v>
      </c>
      <c r="L230" s="111">
        <v>150000</v>
      </c>
      <c r="M230" s="111">
        <f t="shared" si="29"/>
        <v>67500</v>
      </c>
      <c r="N230" s="111">
        <f t="shared" si="30"/>
        <v>67500</v>
      </c>
      <c r="O230" s="111">
        <f t="shared" si="31"/>
        <v>13500</v>
      </c>
      <c r="P230" s="111">
        <f t="shared" si="32"/>
        <v>15000</v>
      </c>
      <c r="Q230" s="111">
        <v>30000</v>
      </c>
      <c r="R230" s="111">
        <v>3</v>
      </c>
      <c r="S230" s="111">
        <f t="shared" si="33"/>
        <v>3000</v>
      </c>
      <c r="T230" s="111">
        <f t="shared" si="34"/>
        <v>180000</v>
      </c>
      <c r="U230" s="111">
        <f t="shared" si="35"/>
        <v>1800</v>
      </c>
      <c r="V230" s="111">
        <f t="shared" si="36"/>
        <v>181800</v>
      </c>
      <c r="W230" t="s">
        <v>2689</v>
      </c>
    </row>
    <row r="231" spans="1:23" x14ac:dyDescent="0.3">
      <c r="A231" s="110">
        <v>200924</v>
      </c>
      <c r="B231" s="110" t="s">
        <v>297</v>
      </c>
      <c r="C231" s="110" t="s">
        <v>395</v>
      </c>
      <c r="D231" s="110" t="s">
        <v>417</v>
      </c>
      <c r="E231" s="110" t="s">
        <v>418</v>
      </c>
      <c r="F231" s="110" t="s">
        <v>113</v>
      </c>
      <c r="G231" s="110" t="s">
        <v>114</v>
      </c>
      <c r="H231" s="111">
        <v>23</v>
      </c>
      <c r="I231" s="111">
        <v>18</v>
      </c>
      <c r="J231" s="111">
        <v>15</v>
      </c>
      <c r="K231" s="111">
        <f t="shared" si="28"/>
        <v>18.666666666666668</v>
      </c>
      <c r="L231" s="111">
        <v>50000</v>
      </c>
      <c r="M231" s="111">
        <f t="shared" si="29"/>
        <v>22500</v>
      </c>
      <c r="N231" s="111">
        <f t="shared" si="30"/>
        <v>22500</v>
      </c>
      <c r="O231" s="111">
        <f t="shared" si="31"/>
        <v>4500</v>
      </c>
      <c r="P231" s="111">
        <f t="shared" si="32"/>
        <v>5000</v>
      </c>
      <c r="Q231" s="111">
        <v>10000</v>
      </c>
      <c r="R231" s="111">
        <v>1</v>
      </c>
      <c r="S231" s="111">
        <f t="shared" si="33"/>
        <v>1000</v>
      </c>
      <c r="T231" s="111">
        <f t="shared" si="34"/>
        <v>60000</v>
      </c>
      <c r="U231" s="111">
        <f t="shared" si="35"/>
        <v>600</v>
      </c>
      <c r="V231" s="111">
        <f t="shared" si="36"/>
        <v>60600</v>
      </c>
      <c r="W231" t="s">
        <v>2690</v>
      </c>
    </row>
    <row r="232" spans="1:23" x14ac:dyDescent="0.3">
      <c r="A232" s="110">
        <v>200926</v>
      </c>
      <c r="B232" s="110" t="s">
        <v>297</v>
      </c>
      <c r="C232" s="110" t="s">
        <v>395</v>
      </c>
      <c r="D232" s="110" t="s">
        <v>419</v>
      </c>
      <c r="E232" s="110" t="s">
        <v>420</v>
      </c>
      <c r="F232" s="110" t="s">
        <v>113</v>
      </c>
      <c r="G232" s="110" t="s">
        <v>114</v>
      </c>
      <c r="H232" s="111">
        <v>81</v>
      </c>
      <c r="I232" s="111">
        <v>72</v>
      </c>
      <c r="J232" s="111">
        <v>67</v>
      </c>
      <c r="K232" s="111">
        <f t="shared" si="28"/>
        <v>73.333333333333329</v>
      </c>
      <c r="L232" s="111">
        <v>150000</v>
      </c>
      <c r="M232" s="111">
        <f t="shared" si="29"/>
        <v>67500</v>
      </c>
      <c r="N232" s="111">
        <f t="shared" si="30"/>
        <v>67500</v>
      </c>
      <c r="O232" s="111">
        <f t="shared" si="31"/>
        <v>13500</v>
      </c>
      <c r="P232" s="111">
        <f t="shared" si="32"/>
        <v>15000</v>
      </c>
      <c r="Q232" s="111">
        <v>30000</v>
      </c>
      <c r="R232" s="111">
        <v>3</v>
      </c>
      <c r="S232" s="111">
        <f t="shared" si="33"/>
        <v>3000</v>
      </c>
      <c r="T232" s="111">
        <f t="shared" si="34"/>
        <v>180000</v>
      </c>
      <c r="U232" s="111">
        <f t="shared" si="35"/>
        <v>1800</v>
      </c>
      <c r="V232" s="111">
        <f t="shared" si="36"/>
        <v>181800</v>
      </c>
      <c r="W232" t="s">
        <v>2691</v>
      </c>
    </row>
    <row r="233" spans="1:23" x14ac:dyDescent="0.3">
      <c r="A233" s="110">
        <v>200927</v>
      </c>
      <c r="B233" s="110" t="s">
        <v>297</v>
      </c>
      <c r="C233" s="110" t="s">
        <v>395</v>
      </c>
      <c r="D233" s="110" t="s">
        <v>421</v>
      </c>
      <c r="E233" s="110" t="s">
        <v>320</v>
      </c>
      <c r="F233" s="110" t="s">
        <v>113</v>
      </c>
      <c r="G233" s="110" t="s">
        <v>114</v>
      </c>
      <c r="H233" s="111">
        <v>35</v>
      </c>
      <c r="I233" s="111">
        <v>29</v>
      </c>
      <c r="J233" s="111">
        <v>19</v>
      </c>
      <c r="K233" s="111">
        <f t="shared" si="28"/>
        <v>27.666666666666668</v>
      </c>
      <c r="L233" s="111">
        <v>50000</v>
      </c>
      <c r="M233" s="111">
        <f t="shared" si="29"/>
        <v>22500</v>
      </c>
      <c r="N233" s="111">
        <f t="shared" si="30"/>
        <v>22500</v>
      </c>
      <c r="O233" s="111">
        <f t="shared" si="31"/>
        <v>4500</v>
      </c>
      <c r="P233" s="111">
        <f t="shared" si="32"/>
        <v>5000</v>
      </c>
      <c r="Q233" s="111">
        <v>10000</v>
      </c>
      <c r="R233" s="111">
        <v>1</v>
      </c>
      <c r="S233" s="111">
        <f t="shared" si="33"/>
        <v>1000</v>
      </c>
      <c r="T233" s="111">
        <f t="shared" si="34"/>
        <v>60000</v>
      </c>
      <c r="U233" s="111">
        <f t="shared" si="35"/>
        <v>600</v>
      </c>
      <c r="V233" s="111">
        <f t="shared" si="36"/>
        <v>60600</v>
      </c>
      <c r="W233" t="s">
        <v>2692</v>
      </c>
    </row>
    <row r="234" spans="1:23" x14ac:dyDescent="0.3">
      <c r="A234" s="110">
        <v>200928</v>
      </c>
      <c r="B234" s="110" t="s">
        <v>297</v>
      </c>
      <c r="C234" s="110" t="s">
        <v>395</v>
      </c>
      <c r="D234" s="110" t="s">
        <v>422</v>
      </c>
      <c r="E234" s="110" t="s">
        <v>423</v>
      </c>
      <c r="F234" s="110" t="s">
        <v>113</v>
      </c>
      <c r="G234" s="110" t="s">
        <v>114</v>
      </c>
      <c r="H234" s="111">
        <v>145</v>
      </c>
      <c r="I234" s="111">
        <v>139</v>
      </c>
      <c r="J234" s="111">
        <v>134</v>
      </c>
      <c r="K234" s="111">
        <f t="shared" si="28"/>
        <v>139.33333333333334</v>
      </c>
      <c r="L234" s="111">
        <v>150000</v>
      </c>
      <c r="M234" s="111">
        <f t="shared" si="29"/>
        <v>67500</v>
      </c>
      <c r="N234" s="111">
        <f t="shared" si="30"/>
        <v>67500</v>
      </c>
      <c r="O234" s="111">
        <f t="shared" si="31"/>
        <v>13500</v>
      </c>
      <c r="P234" s="111">
        <f t="shared" si="32"/>
        <v>15000</v>
      </c>
      <c r="Q234" s="111">
        <v>30000</v>
      </c>
      <c r="R234" s="111">
        <v>3</v>
      </c>
      <c r="S234" s="111">
        <f t="shared" si="33"/>
        <v>3000</v>
      </c>
      <c r="T234" s="111">
        <f t="shared" si="34"/>
        <v>180000</v>
      </c>
      <c r="U234" s="111">
        <f t="shared" si="35"/>
        <v>1800</v>
      </c>
      <c r="V234" s="111">
        <f t="shared" si="36"/>
        <v>181800</v>
      </c>
      <c r="W234" t="s">
        <v>2693</v>
      </c>
    </row>
    <row r="235" spans="1:23" x14ac:dyDescent="0.3">
      <c r="A235" s="110">
        <v>200929</v>
      </c>
      <c r="B235" s="110" t="s">
        <v>297</v>
      </c>
      <c r="C235" s="110" t="s">
        <v>395</v>
      </c>
      <c r="D235" s="110" t="s">
        <v>424</v>
      </c>
      <c r="E235" s="110" t="s">
        <v>425</v>
      </c>
      <c r="F235" s="110" t="s">
        <v>119</v>
      </c>
      <c r="G235" s="110" t="s">
        <v>114</v>
      </c>
      <c r="H235" s="111">
        <v>299</v>
      </c>
      <c r="I235" s="111">
        <v>324</v>
      </c>
      <c r="J235" s="111">
        <v>329</v>
      </c>
      <c r="K235" s="111">
        <f t="shared" si="28"/>
        <v>317.33333333333331</v>
      </c>
      <c r="L235" s="111">
        <v>200000</v>
      </c>
      <c r="M235" s="111">
        <f t="shared" si="29"/>
        <v>90000</v>
      </c>
      <c r="N235" s="111">
        <f t="shared" si="30"/>
        <v>90000</v>
      </c>
      <c r="O235" s="111">
        <f t="shared" si="31"/>
        <v>18000</v>
      </c>
      <c r="P235" s="111">
        <f t="shared" si="32"/>
        <v>20000</v>
      </c>
      <c r="Q235" s="111">
        <v>50000</v>
      </c>
      <c r="R235" s="111">
        <v>5</v>
      </c>
      <c r="S235" s="111">
        <f t="shared" si="33"/>
        <v>5000</v>
      </c>
      <c r="T235" s="111">
        <f t="shared" si="34"/>
        <v>250000</v>
      </c>
      <c r="U235" s="111">
        <f t="shared" si="35"/>
        <v>2500</v>
      </c>
      <c r="V235" s="111">
        <f t="shared" si="36"/>
        <v>252500</v>
      </c>
      <c r="W235" t="s">
        <v>2694</v>
      </c>
    </row>
    <row r="236" spans="1:23" x14ac:dyDescent="0.3">
      <c r="A236" s="110">
        <v>200930</v>
      </c>
      <c r="B236" s="110" t="s">
        <v>297</v>
      </c>
      <c r="C236" s="110" t="s">
        <v>395</v>
      </c>
      <c r="D236" s="110" t="s">
        <v>426</v>
      </c>
      <c r="E236" s="110" t="s">
        <v>184</v>
      </c>
      <c r="F236" s="110" t="s">
        <v>113</v>
      </c>
      <c r="G236" s="110" t="s">
        <v>114</v>
      </c>
      <c r="H236" s="111">
        <v>28</v>
      </c>
      <c r="I236" s="111">
        <v>27</v>
      </c>
      <c r="J236" s="111">
        <v>18</v>
      </c>
      <c r="K236" s="111">
        <f t="shared" si="28"/>
        <v>24.333333333333332</v>
      </c>
      <c r="L236" s="111">
        <v>50000</v>
      </c>
      <c r="M236" s="111">
        <f t="shared" si="29"/>
        <v>22500</v>
      </c>
      <c r="N236" s="111">
        <f t="shared" si="30"/>
        <v>22500</v>
      </c>
      <c r="O236" s="111">
        <f t="shared" si="31"/>
        <v>4500</v>
      </c>
      <c r="P236" s="111">
        <f t="shared" si="32"/>
        <v>5000</v>
      </c>
      <c r="Q236" s="111">
        <v>10000</v>
      </c>
      <c r="R236" s="111">
        <v>1</v>
      </c>
      <c r="S236" s="111">
        <f t="shared" si="33"/>
        <v>1000</v>
      </c>
      <c r="T236" s="111">
        <f t="shared" si="34"/>
        <v>60000</v>
      </c>
      <c r="U236" s="111">
        <f t="shared" si="35"/>
        <v>600</v>
      </c>
      <c r="V236" s="111">
        <f t="shared" si="36"/>
        <v>60600</v>
      </c>
      <c r="W236" t="s">
        <v>2695</v>
      </c>
    </row>
    <row r="237" spans="1:23" x14ac:dyDescent="0.3">
      <c r="A237" s="110">
        <v>200931</v>
      </c>
      <c r="B237" s="110" t="s">
        <v>297</v>
      </c>
      <c r="C237" s="110" t="s">
        <v>395</v>
      </c>
      <c r="D237" s="110" t="s">
        <v>427</v>
      </c>
      <c r="E237" s="110" t="s">
        <v>428</v>
      </c>
      <c r="F237" s="110" t="s">
        <v>119</v>
      </c>
      <c r="G237" s="110" t="s">
        <v>114</v>
      </c>
      <c r="H237" s="111">
        <v>374</v>
      </c>
      <c r="I237" s="111">
        <v>385</v>
      </c>
      <c r="J237" s="111">
        <v>390</v>
      </c>
      <c r="K237" s="111">
        <f t="shared" si="28"/>
        <v>383</v>
      </c>
      <c r="L237" s="111">
        <v>200000</v>
      </c>
      <c r="M237" s="111">
        <f t="shared" si="29"/>
        <v>90000</v>
      </c>
      <c r="N237" s="111">
        <f t="shared" si="30"/>
        <v>90000</v>
      </c>
      <c r="O237" s="111">
        <f t="shared" si="31"/>
        <v>18000</v>
      </c>
      <c r="P237" s="111">
        <f t="shared" si="32"/>
        <v>20000</v>
      </c>
      <c r="Q237" s="111">
        <v>50000</v>
      </c>
      <c r="R237" s="111">
        <v>5</v>
      </c>
      <c r="S237" s="111">
        <f t="shared" si="33"/>
        <v>5000</v>
      </c>
      <c r="T237" s="111">
        <f t="shared" si="34"/>
        <v>250000</v>
      </c>
      <c r="U237" s="111">
        <f t="shared" si="35"/>
        <v>2500</v>
      </c>
      <c r="V237" s="111">
        <f t="shared" si="36"/>
        <v>252500</v>
      </c>
      <c r="W237" t="s">
        <v>2696</v>
      </c>
    </row>
    <row r="238" spans="1:23" x14ac:dyDescent="0.3">
      <c r="A238" s="110">
        <v>200932</v>
      </c>
      <c r="B238" s="110" t="s">
        <v>297</v>
      </c>
      <c r="C238" s="110" t="s">
        <v>395</v>
      </c>
      <c r="D238" s="110" t="s">
        <v>395</v>
      </c>
      <c r="E238" s="110" t="s">
        <v>429</v>
      </c>
      <c r="F238" s="110" t="s">
        <v>119</v>
      </c>
      <c r="G238" s="110" t="s">
        <v>114</v>
      </c>
      <c r="H238" s="111">
        <v>827</v>
      </c>
      <c r="I238" s="111">
        <v>827</v>
      </c>
      <c r="J238" s="111">
        <v>819</v>
      </c>
      <c r="K238" s="111">
        <f t="shared" si="28"/>
        <v>824.33333333333337</v>
      </c>
      <c r="L238" s="111">
        <f>300000</f>
        <v>300000</v>
      </c>
      <c r="M238" s="111">
        <f t="shared" si="29"/>
        <v>135000</v>
      </c>
      <c r="N238" s="111">
        <f t="shared" si="30"/>
        <v>135000</v>
      </c>
      <c r="O238" s="111">
        <f t="shared" si="31"/>
        <v>27000</v>
      </c>
      <c r="P238" s="111">
        <f t="shared" si="32"/>
        <v>30000</v>
      </c>
      <c r="Q238" s="111">
        <v>60000</v>
      </c>
      <c r="R238" s="111">
        <v>6</v>
      </c>
      <c r="S238" s="111">
        <f t="shared" si="33"/>
        <v>6000</v>
      </c>
      <c r="T238" s="111">
        <f t="shared" si="34"/>
        <v>360000</v>
      </c>
      <c r="U238" s="111">
        <f t="shared" si="35"/>
        <v>3600</v>
      </c>
      <c r="V238" s="111">
        <f t="shared" si="36"/>
        <v>363600</v>
      </c>
      <c r="W238" t="s">
        <v>2697</v>
      </c>
    </row>
    <row r="239" spans="1:23" x14ac:dyDescent="0.3">
      <c r="A239" s="110">
        <v>201003</v>
      </c>
      <c r="B239" s="110" t="s">
        <v>297</v>
      </c>
      <c r="C239" s="110" t="s">
        <v>430</v>
      </c>
      <c r="D239" s="110" t="s">
        <v>431</v>
      </c>
      <c r="E239" s="110" t="s">
        <v>184</v>
      </c>
      <c r="F239" s="110" t="s">
        <v>113</v>
      </c>
      <c r="G239" s="110" t="s">
        <v>114</v>
      </c>
      <c r="H239" s="111">
        <v>104</v>
      </c>
      <c r="I239" s="111">
        <v>105</v>
      </c>
      <c r="J239" s="111">
        <v>100</v>
      </c>
      <c r="K239" s="111">
        <f t="shared" si="28"/>
        <v>103</v>
      </c>
      <c r="L239" s="111">
        <f>150000*0.7</f>
        <v>105000</v>
      </c>
      <c r="M239" s="111">
        <f t="shared" si="29"/>
        <v>47250</v>
      </c>
      <c r="N239" s="111">
        <f t="shared" si="30"/>
        <v>47250</v>
      </c>
      <c r="O239" s="111">
        <f t="shared" si="31"/>
        <v>9450</v>
      </c>
      <c r="P239" s="111">
        <f t="shared" si="32"/>
        <v>10500</v>
      </c>
      <c r="Q239" s="111">
        <v>30000</v>
      </c>
      <c r="R239" s="111">
        <v>3</v>
      </c>
      <c r="S239" s="111">
        <f t="shared" si="33"/>
        <v>3000</v>
      </c>
      <c r="T239" s="111">
        <f t="shared" si="34"/>
        <v>135000</v>
      </c>
      <c r="U239" s="111">
        <f t="shared" si="35"/>
        <v>1350</v>
      </c>
      <c r="V239" s="111">
        <f t="shared" si="36"/>
        <v>136350</v>
      </c>
      <c r="W239" t="s">
        <v>2698</v>
      </c>
    </row>
    <row r="240" spans="1:23" x14ac:dyDescent="0.3">
      <c r="A240" s="110">
        <v>201005</v>
      </c>
      <c r="B240" s="110" t="s">
        <v>297</v>
      </c>
      <c r="C240" s="110" t="s">
        <v>430</v>
      </c>
      <c r="D240" s="110" t="s">
        <v>432</v>
      </c>
      <c r="E240" s="110" t="s">
        <v>165</v>
      </c>
      <c r="F240" s="110" t="s">
        <v>113</v>
      </c>
      <c r="G240" s="110" t="s">
        <v>114</v>
      </c>
      <c r="H240" s="111">
        <v>52</v>
      </c>
      <c r="I240" s="111">
        <v>52</v>
      </c>
      <c r="J240" s="111">
        <v>49</v>
      </c>
      <c r="K240" s="111">
        <f t="shared" si="28"/>
        <v>51</v>
      </c>
      <c r="L240" s="111">
        <v>150000</v>
      </c>
      <c r="M240" s="111">
        <f t="shared" si="29"/>
        <v>67500</v>
      </c>
      <c r="N240" s="111">
        <f t="shared" si="30"/>
        <v>67500</v>
      </c>
      <c r="O240" s="111">
        <f t="shared" si="31"/>
        <v>13500</v>
      </c>
      <c r="P240" s="111">
        <f t="shared" si="32"/>
        <v>15000</v>
      </c>
      <c r="Q240" s="111">
        <v>30000</v>
      </c>
      <c r="R240" s="111">
        <v>3</v>
      </c>
      <c r="S240" s="111">
        <f t="shared" si="33"/>
        <v>3000</v>
      </c>
      <c r="T240" s="111">
        <f t="shared" si="34"/>
        <v>180000</v>
      </c>
      <c r="U240" s="111">
        <f t="shared" si="35"/>
        <v>1800</v>
      </c>
      <c r="V240" s="111">
        <f t="shared" si="36"/>
        <v>181800</v>
      </c>
      <c r="W240" t="s">
        <v>2699</v>
      </c>
    </row>
    <row r="241" spans="1:23" x14ac:dyDescent="0.3">
      <c r="A241" s="110">
        <v>201006</v>
      </c>
      <c r="B241" s="110" t="s">
        <v>297</v>
      </c>
      <c r="C241" s="110" t="s">
        <v>430</v>
      </c>
      <c r="D241" s="110" t="s">
        <v>433</v>
      </c>
      <c r="E241" s="110" t="s">
        <v>390</v>
      </c>
      <c r="F241" s="110" t="s">
        <v>113</v>
      </c>
      <c r="G241" s="110" t="s">
        <v>114</v>
      </c>
      <c r="H241" s="111">
        <v>57</v>
      </c>
      <c r="I241" s="111">
        <v>57</v>
      </c>
      <c r="J241" s="111">
        <v>52</v>
      </c>
      <c r="K241" s="111">
        <f t="shared" si="28"/>
        <v>55.333333333333336</v>
      </c>
      <c r="L241" s="111">
        <v>150000</v>
      </c>
      <c r="M241" s="111">
        <f t="shared" si="29"/>
        <v>67500</v>
      </c>
      <c r="N241" s="111">
        <f t="shared" si="30"/>
        <v>67500</v>
      </c>
      <c r="O241" s="111">
        <f t="shared" si="31"/>
        <v>13500</v>
      </c>
      <c r="P241" s="111">
        <f t="shared" si="32"/>
        <v>15000</v>
      </c>
      <c r="Q241" s="111">
        <v>30000</v>
      </c>
      <c r="R241" s="111">
        <v>3</v>
      </c>
      <c r="S241" s="111">
        <f t="shared" si="33"/>
        <v>3000</v>
      </c>
      <c r="T241" s="111">
        <f t="shared" si="34"/>
        <v>180000</v>
      </c>
      <c r="U241" s="111">
        <f t="shared" si="35"/>
        <v>1800</v>
      </c>
      <c r="V241" s="111">
        <f t="shared" si="36"/>
        <v>181800</v>
      </c>
      <c r="W241" t="s">
        <v>2700</v>
      </c>
    </row>
    <row r="242" spans="1:23" x14ac:dyDescent="0.3">
      <c r="A242" s="110">
        <v>201007</v>
      </c>
      <c r="B242" s="110" t="s">
        <v>297</v>
      </c>
      <c r="C242" s="110" t="s">
        <v>430</v>
      </c>
      <c r="D242" s="110" t="s">
        <v>434</v>
      </c>
      <c r="E242" s="110" t="s">
        <v>172</v>
      </c>
      <c r="F242" s="110" t="s">
        <v>168</v>
      </c>
      <c r="G242" s="110" t="s">
        <v>114</v>
      </c>
      <c r="H242" s="111">
        <v>190</v>
      </c>
      <c r="I242" s="111">
        <v>218</v>
      </c>
      <c r="J242" s="111">
        <v>248</v>
      </c>
      <c r="K242" s="111">
        <f t="shared" si="28"/>
        <v>218.66666666666666</v>
      </c>
      <c r="L242" s="111">
        <v>200000</v>
      </c>
      <c r="M242" s="111">
        <f t="shared" si="29"/>
        <v>90000</v>
      </c>
      <c r="N242" s="111">
        <f t="shared" si="30"/>
        <v>90000</v>
      </c>
      <c r="O242" s="111">
        <f t="shared" si="31"/>
        <v>18000</v>
      </c>
      <c r="P242" s="111">
        <f t="shared" si="32"/>
        <v>20000</v>
      </c>
      <c r="Q242" s="111">
        <v>50000</v>
      </c>
      <c r="R242" s="111">
        <v>5</v>
      </c>
      <c r="S242" s="111">
        <f t="shared" si="33"/>
        <v>5000</v>
      </c>
      <c r="T242" s="111">
        <f t="shared" si="34"/>
        <v>250000</v>
      </c>
      <c r="U242" s="111">
        <f t="shared" si="35"/>
        <v>2500</v>
      </c>
      <c r="V242" s="111">
        <f t="shared" si="36"/>
        <v>252500</v>
      </c>
      <c r="W242" t="s">
        <v>2701</v>
      </c>
    </row>
    <row r="243" spans="1:23" x14ac:dyDescent="0.3">
      <c r="A243" s="110">
        <v>201008</v>
      </c>
      <c r="B243" s="110" t="s">
        <v>297</v>
      </c>
      <c r="C243" s="110" t="s">
        <v>430</v>
      </c>
      <c r="D243" s="110" t="s">
        <v>435</v>
      </c>
      <c r="E243" s="110" t="s">
        <v>184</v>
      </c>
      <c r="F243" s="110" t="s">
        <v>113</v>
      </c>
      <c r="G243" s="110" t="s">
        <v>114</v>
      </c>
      <c r="H243" s="111">
        <v>124</v>
      </c>
      <c r="I243" s="111">
        <v>117</v>
      </c>
      <c r="J243" s="111">
        <v>122</v>
      </c>
      <c r="K243" s="111">
        <f t="shared" si="28"/>
        <v>121</v>
      </c>
      <c r="L243" s="111">
        <v>150000</v>
      </c>
      <c r="M243" s="111">
        <f t="shared" si="29"/>
        <v>67500</v>
      </c>
      <c r="N243" s="111">
        <f t="shared" si="30"/>
        <v>67500</v>
      </c>
      <c r="O243" s="111">
        <f t="shared" si="31"/>
        <v>13500</v>
      </c>
      <c r="P243" s="111">
        <f t="shared" si="32"/>
        <v>15000</v>
      </c>
      <c r="Q243" s="111">
        <v>30000</v>
      </c>
      <c r="R243" s="111">
        <v>3</v>
      </c>
      <c r="S243" s="111">
        <f t="shared" si="33"/>
        <v>3000</v>
      </c>
      <c r="T243" s="111">
        <f t="shared" si="34"/>
        <v>180000</v>
      </c>
      <c r="U243" s="111">
        <f t="shared" si="35"/>
        <v>1800</v>
      </c>
      <c r="V243" s="111">
        <f t="shared" si="36"/>
        <v>181800</v>
      </c>
      <c r="W243" t="s">
        <v>2702</v>
      </c>
    </row>
    <row r="244" spans="1:23" x14ac:dyDescent="0.3">
      <c r="A244" s="110">
        <v>201009</v>
      </c>
      <c r="B244" s="110" t="s">
        <v>297</v>
      </c>
      <c r="C244" s="110" t="s">
        <v>430</v>
      </c>
      <c r="D244" s="110" t="s">
        <v>430</v>
      </c>
      <c r="E244" s="110" t="s">
        <v>329</v>
      </c>
      <c r="F244" s="110" t="s">
        <v>119</v>
      </c>
      <c r="G244" s="110" t="s">
        <v>114</v>
      </c>
      <c r="H244" s="111">
        <v>407</v>
      </c>
      <c r="I244" s="111">
        <v>403</v>
      </c>
      <c r="J244" s="111">
        <v>393</v>
      </c>
      <c r="K244" s="111">
        <f t="shared" si="28"/>
        <v>401</v>
      </c>
      <c r="L244" s="111">
        <f>300000</f>
        <v>300000</v>
      </c>
      <c r="M244" s="111">
        <f t="shared" si="29"/>
        <v>135000</v>
      </c>
      <c r="N244" s="111">
        <f t="shared" si="30"/>
        <v>135000</v>
      </c>
      <c r="O244" s="111">
        <f t="shared" si="31"/>
        <v>27000</v>
      </c>
      <c r="P244" s="111">
        <f t="shared" si="32"/>
        <v>30000</v>
      </c>
      <c r="Q244" s="111">
        <v>60000</v>
      </c>
      <c r="R244" s="111">
        <v>6</v>
      </c>
      <c r="S244" s="111">
        <f t="shared" si="33"/>
        <v>6000</v>
      </c>
      <c r="T244" s="111">
        <f t="shared" si="34"/>
        <v>360000</v>
      </c>
      <c r="U244" s="111">
        <f t="shared" si="35"/>
        <v>3600</v>
      </c>
      <c r="V244" s="111">
        <f t="shared" si="36"/>
        <v>363600</v>
      </c>
      <c r="W244" t="s">
        <v>2703</v>
      </c>
    </row>
    <row r="245" spans="1:23" x14ac:dyDescent="0.3">
      <c r="A245" s="110">
        <v>201101</v>
      </c>
      <c r="B245" s="110" t="s">
        <v>297</v>
      </c>
      <c r="C245" s="110" t="s">
        <v>436</v>
      </c>
      <c r="D245" s="110" t="s">
        <v>437</v>
      </c>
      <c r="E245" s="110" t="s">
        <v>312</v>
      </c>
      <c r="F245" s="110" t="s">
        <v>113</v>
      </c>
      <c r="G245" s="110" t="s">
        <v>114</v>
      </c>
      <c r="H245" s="111">
        <v>155</v>
      </c>
      <c r="I245" s="111">
        <v>146</v>
      </c>
      <c r="J245" s="111">
        <v>138</v>
      </c>
      <c r="K245" s="111">
        <f t="shared" si="28"/>
        <v>146.33333333333334</v>
      </c>
      <c r="L245" s="111">
        <v>150000</v>
      </c>
      <c r="M245" s="111">
        <f t="shared" si="29"/>
        <v>67500</v>
      </c>
      <c r="N245" s="111">
        <f t="shared" si="30"/>
        <v>67500</v>
      </c>
      <c r="O245" s="111">
        <f t="shared" si="31"/>
        <v>13500</v>
      </c>
      <c r="P245" s="111">
        <f t="shared" si="32"/>
        <v>15000</v>
      </c>
      <c r="Q245" s="111">
        <v>30000</v>
      </c>
      <c r="R245" s="111">
        <v>3</v>
      </c>
      <c r="S245" s="111">
        <f t="shared" si="33"/>
        <v>3000</v>
      </c>
      <c r="T245" s="111">
        <f t="shared" si="34"/>
        <v>180000</v>
      </c>
      <c r="U245" s="111">
        <f t="shared" si="35"/>
        <v>1800</v>
      </c>
      <c r="V245" s="111">
        <f t="shared" si="36"/>
        <v>181800</v>
      </c>
      <c r="W245" t="s">
        <v>2704</v>
      </c>
    </row>
    <row r="246" spans="1:23" x14ac:dyDescent="0.3">
      <c r="A246" s="110">
        <v>201102</v>
      </c>
      <c r="B246" s="110" t="s">
        <v>297</v>
      </c>
      <c r="C246" s="110" t="s">
        <v>436</v>
      </c>
      <c r="D246" s="110" t="s">
        <v>438</v>
      </c>
      <c r="E246" s="110" t="s">
        <v>201</v>
      </c>
      <c r="F246" s="110" t="s">
        <v>113</v>
      </c>
      <c r="G246" s="110" t="s">
        <v>114</v>
      </c>
      <c r="H246" s="111">
        <v>129</v>
      </c>
      <c r="I246" s="111">
        <v>144</v>
      </c>
      <c r="J246" s="111">
        <v>137</v>
      </c>
      <c r="K246" s="111">
        <f t="shared" si="28"/>
        <v>136.66666666666666</v>
      </c>
      <c r="L246" s="111">
        <v>150000</v>
      </c>
      <c r="M246" s="111">
        <f t="shared" si="29"/>
        <v>67500</v>
      </c>
      <c r="N246" s="111">
        <f t="shared" si="30"/>
        <v>67500</v>
      </c>
      <c r="O246" s="111">
        <f t="shared" si="31"/>
        <v>13500</v>
      </c>
      <c r="P246" s="111">
        <f t="shared" si="32"/>
        <v>15000</v>
      </c>
      <c r="Q246" s="111">
        <v>30000</v>
      </c>
      <c r="R246" s="111">
        <v>3</v>
      </c>
      <c r="S246" s="111">
        <f t="shared" si="33"/>
        <v>3000</v>
      </c>
      <c r="T246" s="111">
        <f t="shared" si="34"/>
        <v>180000</v>
      </c>
      <c r="U246" s="111">
        <f t="shared" si="35"/>
        <v>1800</v>
      </c>
      <c r="V246" s="111">
        <f t="shared" si="36"/>
        <v>181800</v>
      </c>
      <c r="W246" t="s">
        <v>2705</v>
      </c>
    </row>
    <row r="247" spans="1:23" x14ac:dyDescent="0.3">
      <c r="A247" s="110">
        <v>201103</v>
      </c>
      <c r="B247" s="110" t="s">
        <v>297</v>
      </c>
      <c r="C247" s="110" t="s">
        <v>436</v>
      </c>
      <c r="D247" s="110" t="s">
        <v>439</v>
      </c>
      <c r="E247" s="110" t="s">
        <v>440</v>
      </c>
      <c r="F247" s="110" t="s">
        <v>113</v>
      </c>
      <c r="G247" s="110" t="s">
        <v>114</v>
      </c>
      <c r="H247" s="111">
        <v>66</v>
      </c>
      <c r="I247" s="111">
        <v>65</v>
      </c>
      <c r="J247" s="111">
        <v>61</v>
      </c>
      <c r="K247" s="111">
        <f t="shared" si="28"/>
        <v>64</v>
      </c>
      <c r="L247" s="111">
        <v>150000</v>
      </c>
      <c r="M247" s="111">
        <f t="shared" si="29"/>
        <v>67500</v>
      </c>
      <c r="N247" s="111">
        <f t="shared" si="30"/>
        <v>67500</v>
      </c>
      <c r="O247" s="111">
        <f t="shared" si="31"/>
        <v>13500</v>
      </c>
      <c r="P247" s="111">
        <f t="shared" si="32"/>
        <v>15000</v>
      </c>
      <c r="Q247" s="111">
        <v>30000</v>
      </c>
      <c r="R247" s="111">
        <v>3</v>
      </c>
      <c r="S247" s="111">
        <f t="shared" si="33"/>
        <v>3000</v>
      </c>
      <c r="T247" s="111">
        <f t="shared" si="34"/>
        <v>180000</v>
      </c>
      <c r="U247" s="111">
        <f t="shared" si="35"/>
        <v>1800</v>
      </c>
      <c r="V247" s="111">
        <f t="shared" si="36"/>
        <v>181800</v>
      </c>
      <c r="W247" t="s">
        <v>2706</v>
      </c>
    </row>
    <row r="248" spans="1:23" x14ac:dyDescent="0.3">
      <c r="A248" s="110">
        <v>201104</v>
      </c>
      <c r="B248" s="110" t="s">
        <v>297</v>
      </c>
      <c r="C248" s="110" t="s">
        <v>436</v>
      </c>
      <c r="D248" s="110" t="s">
        <v>436</v>
      </c>
      <c r="E248" s="110" t="s">
        <v>252</v>
      </c>
      <c r="F248" s="110" t="s">
        <v>119</v>
      </c>
      <c r="G248" s="110" t="s">
        <v>114</v>
      </c>
      <c r="H248" s="111">
        <v>807</v>
      </c>
      <c r="I248" s="111">
        <v>775</v>
      </c>
      <c r="J248" s="111">
        <v>698</v>
      </c>
      <c r="K248" s="111">
        <f t="shared" si="28"/>
        <v>760</v>
      </c>
      <c r="L248" s="111">
        <f>300000</f>
        <v>300000</v>
      </c>
      <c r="M248" s="111">
        <f t="shared" si="29"/>
        <v>135000</v>
      </c>
      <c r="N248" s="111">
        <f t="shared" si="30"/>
        <v>135000</v>
      </c>
      <c r="O248" s="111">
        <f t="shared" si="31"/>
        <v>27000</v>
      </c>
      <c r="P248" s="111">
        <f t="shared" si="32"/>
        <v>30000</v>
      </c>
      <c r="Q248" s="111">
        <v>60000</v>
      </c>
      <c r="R248" s="111">
        <v>6</v>
      </c>
      <c r="S248" s="111">
        <f t="shared" si="33"/>
        <v>6000</v>
      </c>
      <c r="T248" s="111">
        <f t="shared" si="34"/>
        <v>360000</v>
      </c>
      <c r="U248" s="111">
        <f t="shared" si="35"/>
        <v>3600</v>
      </c>
      <c r="V248" s="111">
        <f t="shared" si="36"/>
        <v>363600</v>
      </c>
      <c r="W248" t="s">
        <v>2707</v>
      </c>
    </row>
    <row r="249" spans="1:23" x14ac:dyDescent="0.3">
      <c r="A249" s="110">
        <v>201106</v>
      </c>
      <c r="B249" s="110" t="s">
        <v>297</v>
      </c>
      <c r="C249" s="110" t="s">
        <v>436</v>
      </c>
      <c r="D249" s="110" t="s">
        <v>436</v>
      </c>
      <c r="E249" s="110" t="s">
        <v>441</v>
      </c>
      <c r="F249" s="110" t="s">
        <v>117</v>
      </c>
      <c r="G249" s="110" t="s">
        <v>114</v>
      </c>
      <c r="H249" s="111">
        <v>308</v>
      </c>
      <c r="I249" s="111">
        <v>308</v>
      </c>
      <c r="J249" s="111">
        <v>357</v>
      </c>
      <c r="K249" s="111">
        <f t="shared" si="28"/>
        <v>324.33333333333331</v>
      </c>
      <c r="L249" s="111">
        <v>200000</v>
      </c>
      <c r="M249" s="111">
        <f t="shared" si="29"/>
        <v>90000</v>
      </c>
      <c r="N249" s="111">
        <f t="shared" si="30"/>
        <v>90000</v>
      </c>
      <c r="O249" s="111">
        <f t="shared" si="31"/>
        <v>18000</v>
      </c>
      <c r="P249" s="111">
        <f t="shared" si="32"/>
        <v>20000</v>
      </c>
      <c r="Q249" s="111">
        <v>50000</v>
      </c>
      <c r="R249" s="111">
        <v>5</v>
      </c>
      <c r="S249" s="111">
        <f t="shared" si="33"/>
        <v>5000</v>
      </c>
      <c r="T249" s="111">
        <f t="shared" si="34"/>
        <v>250000</v>
      </c>
      <c r="U249" s="111">
        <f t="shared" si="35"/>
        <v>2500</v>
      </c>
      <c r="V249" s="111">
        <f t="shared" si="36"/>
        <v>252500</v>
      </c>
      <c r="W249" t="s">
        <v>2708</v>
      </c>
    </row>
    <row r="250" spans="1:23" x14ac:dyDescent="0.3">
      <c r="A250" s="110">
        <v>201206</v>
      </c>
      <c r="B250" s="110" t="s">
        <v>297</v>
      </c>
      <c r="C250" s="110" t="s">
        <v>442</v>
      </c>
      <c r="D250" s="110" t="s">
        <v>443</v>
      </c>
      <c r="E250" s="110" t="s">
        <v>241</v>
      </c>
      <c r="F250" s="110" t="s">
        <v>113</v>
      </c>
      <c r="G250" s="110" t="s">
        <v>114</v>
      </c>
      <c r="H250" s="111">
        <v>87</v>
      </c>
      <c r="I250" s="111">
        <v>86</v>
      </c>
      <c r="J250" s="111">
        <v>94</v>
      </c>
      <c r="K250" s="111">
        <f t="shared" si="28"/>
        <v>89</v>
      </c>
      <c r="L250" s="111">
        <v>150000</v>
      </c>
      <c r="M250" s="111">
        <f t="shared" si="29"/>
        <v>67500</v>
      </c>
      <c r="N250" s="111">
        <f t="shared" si="30"/>
        <v>67500</v>
      </c>
      <c r="O250" s="111">
        <f t="shared" si="31"/>
        <v>13500</v>
      </c>
      <c r="P250" s="111">
        <f t="shared" si="32"/>
        <v>15000</v>
      </c>
      <c r="Q250" s="111">
        <v>30000</v>
      </c>
      <c r="R250" s="111">
        <v>3</v>
      </c>
      <c r="S250" s="111">
        <f t="shared" si="33"/>
        <v>3000</v>
      </c>
      <c r="T250" s="111">
        <f t="shared" si="34"/>
        <v>180000</v>
      </c>
      <c r="U250" s="111">
        <f t="shared" si="35"/>
        <v>1800</v>
      </c>
      <c r="V250" s="111">
        <f t="shared" si="36"/>
        <v>181800</v>
      </c>
      <c r="W250" t="s">
        <v>2709</v>
      </c>
    </row>
    <row r="251" spans="1:23" x14ac:dyDescent="0.3">
      <c r="A251" s="110">
        <v>201207</v>
      </c>
      <c r="B251" s="110" t="s">
        <v>297</v>
      </c>
      <c r="C251" s="110" t="s">
        <v>442</v>
      </c>
      <c r="D251" s="110" t="s">
        <v>444</v>
      </c>
      <c r="E251" s="110" t="s">
        <v>184</v>
      </c>
      <c r="F251" s="110" t="s">
        <v>113</v>
      </c>
      <c r="G251" s="110" t="s">
        <v>114</v>
      </c>
      <c r="H251" s="111">
        <v>106</v>
      </c>
      <c r="I251" s="111">
        <v>103</v>
      </c>
      <c r="J251" s="111">
        <v>110</v>
      </c>
      <c r="K251" s="111">
        <f t="shared" si="28"/>
        <v>106.33333333333333</v>
      </c>
      <c r="L251" s="111">
        <v>150000</v>
      </c>
      <c r="M251" s="111">
        <f t="shared" si="29"/>
        <v>67500</v>
      </c>
      <c r="N251" s="111">
        <f t="shared" si="30"/>
        <v>67500</v>
      </c>
      <c r="O251" s="111">
        <f t="shared" si="31"/>
        <v>13500</v>
      </c>
      <c r="P251" s="111">
        <f t="shared" si="32"/>
        <v>15000</v>
      </c>
      <c r="Q251" s="111">
        <v>30000</v>
      </c>
      <c r="R251" s="111">
        <v>3</v>
      </c>
      <c r="S251" s="111">
        <f t="shared" si="33"/>
        <v>3000</v>
      </c>
      <c r="T251" s="111">
        <f t="shared" si="34"/>
        <v>180000</v>
      </c>
      <c r="U251" s="111">
        <f t="shared" si="35"/>
        <v>1800</v>
      </c>
      <c r="V251" s="111">
        <f t="shared" si="36"/>
        <v>181800</v>
      </c>
      <c r="W251" t="s">
        <v>2710</v>
      </c>
    </row>
    <row r="252" spans="1:23" x14ac:dyDescent="0.3">
      <c r="A252" s="110">
        <v>201208</v>
      </c>
      <c r="B252" s="110" t="s">
        <v>297</v>
      </c>
      <c r="C252" s="110" t="s">
        <v>442</v>
      </c>
      <c r="D252" s="110" t="s">
        <v>445</v>
      </c>
      <c r="E252" s="110" t="s">
        <v>301</v>
      </c>
      <c r="F252" s="110" t="s">
        <v>113</v>
      </c>
      <c r="G252" s="110" t="s">
        <v>114</v>
      </c>
      <c r="H252" s="111">
        <v>59</v>
      </c>
      <c r="I252" s="111">
        <v>52</v>
      </c>
      <c r="J252" s="111">
        <v>53</v>
      </c>
      <c r="K252" s="111">
        <f t="shared" si="28"/>
        <v>54.666666666666664</v>
      </c>
      <c r="L252" s="111">
        <v>150000</v>
      </c>
      <c r="M252" s="111">
        <f t="shared" si="29"/>
        <v>67500</v>
      </c>
      <c r="N252" s="111">
        <f t="shared" si="30"/>
        <v>67500</v>
      </c>
      <c r="O252" s="111">
        <f t="shared" si="31"/>
        <v>13500</v>
      </c>
      <c r="P252" s="111">
        <f t="shared" si="32"/>
        <v>15000</v>
      </c>
      <c r="Q252" s="111">
        <v>30000</v>
      </c>
      <c r="R252" s="111">
        <v>3</v>
      </c>
      <c r="S252" s="111">
        <f t="shared" si="33"/>
        <v>3000</v>
      </c>
      <c r="T252" s="111">
        <f t="shared" si="34"/>
        <v>180000</v>
      </c>
      <c r="U252" s="111">
        <f t="shared" si="35"/>
        <v>1800</v>
      </c>
      <c r="V252" s="111">
        <f t="shared" si="36"/>
        <v>181800</v>
      </c>
      <c r="W252" t="s">
        <v>2711</v>
      </c>
    </row>
    <row r="253" spans="1:23" x14ac:dyDescent="0.3">
      <c r="A253" s="110">
        <v>201209</v>
      </c>
      <c r="B253" s="110" t="s">
        <v>297</v>
      </c>
      <c r="C253" s="110" t="s">
        <v>442</v>
      </c>
      <c r="D253" s="110" t="s">
        <v>446</v>
      </c>
      <c r="E253" s="110" t="s">
        <v>319</v>
      </c>
      <c r="F253" s="110" t="s">
        <v>113</v>
      </c>
      <c r="G253" s="110" t="s">
        <v>114</v>
      </c>
      <c r="H253" s="111">
        <v>28</v>
      </c>
      <c r="I253" s="111">
        <v>30</v>
      </c>
      <c r="J253" s="111">
        <v>30</v>
      </c>
      <c r="K253" s="111">
        <f t="shared" si="28"/>
        <v>29.333333333333332</v>
      </c>
      <c r="L253" s="111">
        <v>50000</v>
      </c>
      <c r="M253" s="111">
        <f t="shared" si="29"/>
        <v>22500</v>
      </c>
      <c r="N253" s="111">
        <f t="shared" si="30"/>
        <v>22500</v>
      </c>
      <c r="O253" s="111">
        <f t="shared" si="31"/>
        <v>4500</v>
      </c>
      <c r="P253" s="111">
        <f t="shared" si="32"/>
        <v>5000</v>
      </c>
      <c r="Q253" s="111">
        <v>10000</v>
      </c>
      <c r="R253" s="111">
        <v>1</v>
      </c>
      <c r="S253" s="111">
        <f t="shared" si="33"/>
        <v>1000</v>
      </c>
      <c r="T253" s="111">
        <f t="shared" si="34"/>
        <v>60000</v>
      </c>
      <c r="U253" s="111">
        <f t="shared" si="35"/>
        <v>600</v>
      </c>
      <c r="V253" s="111">
        <f t="shared" si="36"/>
        <v>60600</v>
      </c>
      <c r="W253" t="s">
        <v>2712</v>
      </c>
    </row>
    <row r="254" spans="1:23" x14ac:dyDescent="0.3">
      <c r="A254" s="110">
        <v>201211</v>
      </c>
      <c r="B254" s="110" t="s">
        <v>297</v>
      </c>
      <c r="C254" s="110" t="s">
        <v>442</v>
      </c>
      <c r="D254" s="110" t="s">
        <v>447</v>
      </c>
      <c r="E254" s="110" t="s">
        <v>390</v>
      </c>
      <c r="F254" s="110" t="s">
        <v>113</v>
      </c>
      <c r="G254" s="110" t="s">
        <v>114</v>
      </c>
      <c r="H254" s="111">
        <v>107</v>
      </c>
      <c r="I254" s="111">
        <v>103</v>
      </c>
      <c r="J254" s="111">
        <v>96</v>
      </c>
      <c r="K254" s="111">
        <f t="shared" si="28"/>
        <v>102</v>
      </c>
      <c r="L254" s="111">
        <v>150000</v>
      </c>
      <c r="M254" s="111">
        <f t="shared" si="29"/>
        <v>67500</v>
      </c>
      <c r="N254" s="111">
        <f t="shared" si="30"/>
        <v>67500</v>
      </c>
      <c r="O254" s="111">
        <f t="shared" si="31"/>
        <v>13500</v>
      </c>
      <c r="P254" s="111">
        <f t="shared" si="32"/>
        <v>15000</v>
      </c>
      <c r="Q254" s="111">
        <v>30000</v>
      </c>
      <c r="R254" s="111">
        <v>3</v>
      </c>
      <c r="S254" s="111">
        <f t="shared" si="33"/>
        <v>3000</v>
      </c>
      <c r="T254" s="111">
        <f t="shared" si="34"/>
        <v>180000</v>
      </c>
      <c r="U254" s="111">
        <f t="shared" si="35"/>
        <v>1800</v>
      </c>
      <c r="V254" s="111">
        <f t="shared" si="36"/>
        <v>181800</v>
      </c>
      <c r="W254" t="s">
        <v>2713</v>
      </c>
    </row>
    <row r="255" spans="1:23" x14ac:dyDescent="0.3">
      <c r="A255" s="110">
        <v>201212</v>
      </c>
      <c r="B255" s="110" t="s">
        <v>297</v>
      </c>
      <c r="C255" s="110" t="s">
        <v>442</v>
      </c>
      <c r="D255" s="110" t="s">
        <v>442</v>
      </c>
      <c r="E255" s="110" t="s">
        <v>272</v>
      </c>
      <c r="F255" s="110" t="s">
        <v>119</v>
      </c>
      <c r="G255" s="110" t="s">
        <v>114</v>
      </c>
      <c r="H255" s="111">
        <v>725</v>
      </c>
      <c r="I255" s="111">
        <v>705</v>
      </c>
      <c r="J255" s="111">
        <v>661</v>
      </c>
      <c r="K255" s="111">
        <f t="shared" si="28"/>
        <v>697</v>
      </c>
      <c r="L255" s="111">
        <f>300000</f>
        <v>300000</v>
      </c>
      <c r="M255" s="111">
        <f t="shared" si="29"/>
        <v>135000</v>
      </c>
      <c r="N255" s="111">
        <f t="shared" si="30"/>
        <v>135000</v>
      </c>
      <c r="O255" s="111">
        <f t="shared" si="31"/>
        <v>27000</v>
      </c>
      <c r="P255" s="111">
        <f t="shared" si="32"/>
        <v>30000</v>
      </c>
      <c r="Q255" s="111">
        <v>60000</v>
      </c>
      <c r="R255" s="111">
        <v>6</v>
      </c>
      <c r="S255" s="111">
        <f t="shared" si="33"/>
        <v>6000</v>
      </c>
      <c r="T255" s="111">
        <f t="shared" si="34"/>
        <v>360000</v>
      </c>
      <c r="U255" s="111">
        <f t="shared" si="35"/>
        <v>3600</v>
      </c>
      <c r="V255" s="111">
        <f t="shared" si="36"/>
        <v>363600</v>
      </c>
      <c r="W255" t="s">
        <v>2714</v>
      </c>
    </row>
    <row r="256" spans="1:23" x14ac:dyDescent="0.3">
      <c r="A256" s="110">
        <v>201304</v>
      </c>
      <c r="B256" s="110" t="s">
        <v>297</v>
      </c>
      <c r="C256" s="110" t="s">
        <v>448</v>
      </c>
      <c r="D256" s="110" t="s">
        <v>449</v>
      </c>
      <c r="E256" s="110" t="s">
        <v>450</v>
      </c>
      <c r="F256" s="110" t="s">
        <v>113</v>
      </c>
      <c r="G256" s="110" t="s">
        <v>114</v>
      </c>
      <c r="H256" s="111">
        <v>130</v>
      </c>
      <c r="I256" s="111">
        <v>112</v>
      </c>
      <c r="J256" s="111">
        <v>117</v>
      </c>
      <c r="K256" s="111">
        <f t="shared" si="28"/>
        <v>119.66666666666667</v>
      </c>
      <c r="L256" s="111">
        <v>150000</v>
      </c>
      <c r="M256" s="111">
        <f t="shared" si="29"/>
        <v>67500</v>
      </c>
      <c r="N256" s="111">
        <f t="shared" si="30"/>
        <v>67500</v>
      </c>
      <c r="O256" s="111">
        <f t="shared" si="31"/>
        <v>13500</v>
      </c>
      <c r="P256" s="111">
        <f t="shared" si="32"/>
        <v>15000</v>
      </c>
      <c r="Q256" s="111">
        <v>30000</v>
      </c>
      <c r="R256" s="111">
        <v>3</v>
      </c>
      <c r="S256" s="111">
        <f t="shared" si="33"/>
        <v>3000</v>
      </c>
      <c r="T256" s="111">
        <f t="shared" si="34"/>
        <v>180000</v>
      </c>
      <c r="U256" s="111">
        <f t="shared" si="35"/>
        <v>1800</v>
      </c>
      <c r="V256" s="111">
        <f t="shared" si="36"/>
        <v>181800</v>
      </c>
      <c r="W256" t="s">
        <v>2715</v>
      </c>
    </row>
    <row r="257" spans="1:23" x14ac:dyDescent="0.3">
      <c r="A257" s="110">
        <v>201305</v>
      </c>
      <c r="B257" s="110" t="s">
        <v>297</v>
      </c>
      <c r="C257" s="110" t="s">
        <v>448</v>
      </c>
      <c r="D257" s="110" t="s">
        <v>448</v>
      </c>
      <c r="E257" s="110" t="s">
        <v>178</v>
      </c>
      <c r="F257" s="110" t="s">
        <v>119</v>
      </c>
      <c r="G257" s="110" t="s">
        <v>114</v>
      </c>
      <c r="H257" s="111">
        <v>705</v>
      </c>
      <c r="I257" s="111">
        <v>693</v>
      </c>
      <c r="J257" s="111">
        <v>671</v>
      </c>
      <c r="K257" s="111">
        <f t="shared" si="28"/>
        <v>689.66666666666663</v>
      </c>
      <c r="L257" s="111">
        <f>300000</f>
        <v>300000</v>
      </c>
      <c r="M257" s="111">
        <f t="shared" si="29"/>
        <v>135000</v>
      </c>
      <c r="N257" s="111">
        <f t="shared" si="30"/>
        <v>135000</v>
      </c>
      <c r="O257" s="111">
        <f t="shared" si="31"/>
        <v>27000</v>
      </c>
      <c r="P257" s="111">
        <f t="shared" si="32"/>
        <v>30000</v>
      </c>
      <c r="Q257" s="111">
        <v>60000</v>
      </c>
      <c r="R257" s="111">
        <v>6</v>
      </c>
      <c r="S257" s="111">
        <f t="shared" si="33"/>
        <v>6000</v>
      </c>
      <c r="T257" s="111">
        <f t="shared" si="34"/>
        <v>360000</v>
      </c>
      <c r="U257" s="111">
        <f t="shared" si="35"/>
        <v>3600</v>
      </c>
      <c r="V257" s="111">
        <f t="shared" si="36"/>
        <v>363600</v>
      </c>
      <c r="W257" t="s">
        <v>2716</v>
      </c>
    </row>
    <row r="258" spans="1:23" x14ac:dyDescent="0.3">
      <c r="A258" s="110">
        <v>300101</v>
      </c>
      <c r="B258" s="110" t="s">
        <v>451</v>
      </c>
      <c r="C258" s="110" t="s">
        <v>451</v>
      </c>
      <c r="D258" s="110" t="s">
        <v>451</v>
      </c>
      <c r="E258" s="110" t="s">
        <v>184</v>
      </c>
      <c r="F258" s="110" t="s">
        <v>113</v>
      </c>
      <c r="G258" s="110" t="s">
        <v>114</v>
      </c>
      <c r="H258" s="111">
        <v>93</v>
      </c>
      <c r="I258" s="111">
        <v>93</v>
      </c>
      <c r="J258" s="111">
        <v>86</v>
      </c>
      <c r="K258" s="111">
        <f t="shared" ref="K258:K321" si="37">+(H258+I258+J258)/3</f>
        <v>90.666666666666671</v>
      </c>
      <c r="L258" s="111">
        <v>150000</v>
      </c>
      <c r="M258" s="111">
        <f t="shared" ref="M258:M321" si="38">+L258*0.45</f>
        <v>67500</v>
      </c>
      <c r="N258" s="111">
        <f t="shared" ref="N258:N321" si="39">+L258*0.45</f>
        <v>67500</v>
      </c>
      <c r="O258" s="111">
        <f t="shared" ref="O258:O321" si="40">+N258*0.2</f>
        <v>13500</v>
      </c>
      <c r="P258" s="111">
        <f t="shared" ref="P258:P321" si="41">++L258*0.1</f>
        <v>15000</v>
      </c>
      <c r="Q258" s="111">
        <v>30000</v>
      </c>
      <c r="R258" s="111">
        <v>3</v>
      </c>
      <c r="S258" s="111">
        <f t="shared" ref="S258:S321" si="42">+Q258*0.1</f>
        <v>3000</v>
      </c>
      <c r="T258" s="111">
        <f t="shared" ref="T258:T321" si="43">+L258+Q258</f>
        <v>180000</v>
      </c>
      <c r="U258" s="111">
        <f t="shared" ref="U258:U321" si="44">+T258*0.01</f>
        <v>1800</v>
      </c>
      <c r="V258" s="111">
        <f t="shared" ref="V258:V321" si="45">+T258+U258</f>
        <v>181800</v>
      </c>
      <c r="W258" t="s">
        <v>2717</v>
      </c>
    </row>
    <row r="259" spans="1:23" x14ac:dyDescent="0.3">
      <c r="A259" s="110">
        <v>300102</v>
      </c>
      <c r="B259" s="110" t="s">
        <v>451</v>
      </c>
      <c r="C259" s="110" t="s">
        <v>451</v>
      </c>
      <c r="D259" s="110" t="s">
        <v>451</v>
      </c>
      <c r="E259" s="110" t="s">
        <v>452</v>
      </c>
      <c r="F259" s="110" t="s">
        <v>113</v>
      </c>
      <c r="G259" s="110" t="s">
        <v>114</v>
      </c>
      <c r="H259" s="111">
        <v>883</v>
      </c>
      <c r="I259" s="111">
        <v>863</v>
      </c>
      <c r="J259" s="111">
        <v>846</v>
      </c>
      <c r="K259" s="111">
        <f t="shared" si="37"/>
        <v>864</v>
      </c>
      <c r="L259" s="111">
        <f>300000*0.7</f>
        <v>210000</v>
      </c>
      <c r="M259" s="111">
        <f t="shared" si="38"/>
        <v>94500</v>
      </c>
      <c r="N259" s="111">
        <f t="shared" si="39"/>
        <v>94500</v>
      </c>
      <c r="O259" s="111">
        <f t="shared" si="40"/>
        <v>18900</v>
      </c>
      <c r="P259" s="111">
        <f t="shared" si="41"/>
        <v>21000</v>
      </c>
      <c r="Q259" s="111">
        <v>60000</v>
      </c>
      <c r="R259" s="111">
        <v>6</v>
      </c>
      <c r="S259" s="111">
        <f t="shared" si="42"/>
        <v>6000</v>
      </c>
      <c r="T259" s="111">
        <f t="shared" si="43"/>
        <v>270000</v>
      </c>
      <c r="U259" s="111">
        <f t="shared" si="44"/>
        <v>2700</v>
      </c>
      <c r="V259" s="111">
        <f t="shared" si="45"/>
        <v>272700</v>
      </c>
      <c r="W259" t="s">
        <v>2718</v>
      </c>
    </row>
    <row r="260" spans="1:23" x14ac:dyDescent="0.3">
      <c r="A260" s="110">
        <v>300103</v>
      </c>
      <c r="B260" s="110" t="s">
        <v>451</v>
      </c>
      <c r="C260" s="110" t="s">
        <v>451</v>
      </c>
      <c r="D260" s="110" t="s">
        <v>451</v>
      </c>
      <c r="E260" s="110" t="s">
        <v>453</v>
      </c>
      <c r="F260" s="110" t="s">
        <v>113</v>
      </c>
      <c r="G260" s="110" t="s">
        <v>114</v>
      </c>
      <c r="H260" s="111">
        <v>881</v>
      </c>
      <c r="I260" s="111">
        <v>844</v>
      </c>
      <c r="J260" s="111">
        <v>797</v>
      </c>
      <c r="K260" s="111">
        <f t="shared" si="37"/>
        <v>840.66666666666663</v>
      </c>
      <c r="L260" s="111">
        <f>300000</f>
        <v>300000</v>
      </c>
      <c r="M260" s="111">
        <f t="shared" si="38"/>
        <v>135000</v>
      </c>
      <c r="N260" s="111">
        <f t="shared" si="39"/>
        <v>135000</v>
      </c>
      <c r="O260" s="111">
        <f t="shared" si="40"/>
        <v>27000</v>
      </c>
      <c r="P260" s="111">
        <f t="shared" si="41"/>
        <v>30000</v>
      </c>
      <c r="Q260" s="111">
        <v>60000</v>
      </c>
      <c r="R260" s="111">
        <v>6</v>
      </c>
      <c r="S260" s="111">
        <f t="shared" si="42"/>
        <v>6000</v>
      </c>
      <c r="T260" s="111">
        <f t="shared" si="43"/>
        <v>360000</v>
      </c>
      <c r="U260" s="111">
        <f t="shared" si="44"/>
        <v>3600</v>
      </c>
      <c r="V260" s="111">
        <f t="shared" si="45"/>
        <v>363600</v>
      </c>
      <c r="W260" t="s">
        <v>2719</v>
      </c>
    </row>
    <row r="261" spans="1:23" x14ac:dyDescent="0.3">
      <c r="A261" s="110">
        <v>300104</v>
      </c>
      <c r="B261" s="110" t="s">
        <v>451</v>
      </c>
      <c r="C261" s="110" t="s">
        <v>451</v>
      </c>
      <c r="D261" s="110" t="s">
        <v>451</v>
      </c>
      <c r="E261" s="110" t="s">
        <v>454</v>
      </c>
      <c r="F261" s="110" t="s">
        <v>113</v>
      </c>
      <c r="G261" s="110" t="s">
        <v>114</v>
      </c>
      <c r="H261" s="111">
        <v>362</v>
      </c>
      <c r="I261" s="111">
        <v>359</v>
      </c>
      <c r="J261" s="111">
        <v>342</v>
      </c>
      <c r="K261" s="111">
        <f t="shared" si="37"/>
        <v>354.33333333333331</v>
      </c>
      <c r="L261" s="111">
        <v>200000</v>
      </c>
      <c r="M261" s="111">
        <f t="shared" si="38"/>
        <v>90000</v>
      </c>
      <c r="N261" s="111">
        <f t="shared" si="39"/>
        <v>90000</v>
      </c>
      <c r="O261" s="111">
        <f t="shared" si="40"/>
        <v>18000</v>
      </c>
      <c r="P261" s="111">
        <f t="shared" si="41"/>
        <v>20000</v>
      </c>
      <c r="Q261" s="111">
        <v>50000</v>
      </c>
      <c r="R261" s="111">
        <v>5</v>
      </c>
      <c r="S261" s="111">
        <f t="shared" si="42"/>
        <v>5000</v>
      </c>
      <c r="T261" s="111">
        <f t="shared" si="43"/>
        <v>250000</v>
      </c>
      <c r="U261" s="111">
        <f t="shared" si="44"/>
        <v>2500</v>
      </c>
      <c r="V261" s="111">
        <f t="shared" si="45"/>
        <v>252500</v>
      </c>
      <c r="W261" t="s">
        <v>2720</v>
      </c>
    </row>
    <row r="262" spans="1:23" x14ac:dyDescent="0.3">
      <c r="A262" s="110">
        <v>300105</v>
      </c>
      <c r="B262" s="110" t="s">
        <v>451</v>
      </c>
      <c r="C262" s="110" t="s">
        <v>451</v>
      </c>
      <c r="D262" s="110" t="s">
        <v>451</v>
      </c>
      <c r="E262" s="110" t="s">
        <v>308</v>
      </c>
      <c r="F262" s="110" t="s">
        <v>113</v>
      </c>
      <c r="G262" s="110" t="s">
        <v>114</v>
      </c>
      <c r="H262" s="111">
        <v>337</v>
      </c>
      <c r="I262" s="111">
        <v>375</v>
      </c>
      <c r="J262" s="111">
        <v>414</v>
      </c>
      <c r="K262" s="111">
        <f t="shared" si="37"/>
        <v>375.33333333333331</v>
      </c>
      <c r="L262" s="111">
        <f>200000*0.7</f>
        <v>140000</v>
      </c>
      <c r="M262" s="111">
        <f t="shared" si="38"/>
        <v>63000</v>
      </c>
      <c r="N262" s="111">
        <f t="shared" si="39"/>
        <v>63000</v>
      </c>
      <c r="O262" s="111">
        <f t="shared" si="40"/>
        <v>12600</v>
      </c>
      <c r="P262" s="111">
        <f t="shared" si="41"/>
        <v>14000</v>
      </c>
      <c r="Q262" s="111">
        <v>50000</v>
      </c>
      <c r="R262" s="111">
        <v>5</v>
      </c>
      <c r="S262" s="111">
        <f t="shared" si="42"/>
        <v>5000</v>
      </c>
      <c r="T262" s="111">
        <f t="shared" si="43"/>
        <v>190000</v>
      </c>
      <c r="U262" s="111">
        <f t="shared" si="44"/>
        <v>1900</v>
      </c>
      <c r="V262" s="111">
        <f t="shared" si="45"/>
        <v>191900</v>
      </c>
      <c r="W262" t="s">
        <v>2721</v>
      </c>
    </row>
    <row r="263" spans="1:23" x14ac:dyDescent="0.3">
      <c r="A263" s="110">
        <v>300106</v>
      </c>
      <c r="B263" s="110" t="s">
        <v>451</v>
      </c>
      <c r="C263" s="110" t="s">
        <v>451</v>
      </c>
      <c r="D263" s="110" t="s">
        <v>455</v>
      </c>
      <c r="E263" s="110" t="s">
        <v>319</v>
      </c>
      <c r="F263" s="110" t="s">
        <v>113</v>
      </c>
      <c r="G263" s="110" t="s">
        <v>114</v>
      </c>
      <c r="H263" s="111">
        <v>13</v>
      </c>
      <c r="I263" s="111">
        <v>13</v>
      </c>
      <c r="J263" s="111">
        <v>12</v>
      </c>
      <c r="K263" s="111">
        <f t="shared" si="37"/>
        <v>12.666666666666666</v>
      </c>
      <c r="L263" s="111">
        <v>50000</v>
      </c>
      <c r="M263" s="111">
        <f t="shared" si="38"/>
        <v>22500</v>
      </c>
      <c r="N263" s="111">
        <f t="shared" si="39"/>
        <v>22500</v>
      </c>
      <c r="O263" s="111">
        <f t="shared" si="40"/>
        <v>4500</v>
      </c>
      <c r="P263" s="111">
        <f t="shared" si="41"/>
        <v>5000</v>
      </c>
      <c r="Q263" s="111">
        <v>10000</v>
      </c>
      <c r="R263" s="111">
        <v>1</v>
      </c>
      <c r="S263" s="111">
        <f t="shared" si="42"/>
        <v>1000</v>
      </c>
      <c r="T263" s="111">
        <f t="shared" si="43"/>
        <v>60000</v>
      </c>
      <c r="U263" s="111">
        <f t="shared" si="44"/>
        <v>600</v>
      </c>
      <c r="V263" s="111">
        <f t="shared" si="45"/>
        <v>60600</v>
      </c>
      <c r="W263" t="s">
        <v>2722</v>
      </c>
    </row>
    <row r="264" spans="1:23" x14ac:dyDescent="0.3">
      <c r="A264" s="110">
        <v>300109</v>
      </c>
      <c r="B264" s="110" t="s">
        <v>451</v>
      </c>
      <c r="C264" s="110" t="s">
        <v>451</v>
      </c>
      <c r="D264" s="110" t="s">
        <v>456</v>
      </c>
      <c r="E264" s="110" t="s">
        <v>399</v>
      </c>
      <c r="F264" s="110" t="s">
        <v>113</v>
      </c>
      <c r="G264" s="110" t="s">
        <v>114</v>
      </c>
      <c r="H264" s="111">
        <v>178</v>
      </c>
      <c r="I264" s="111">
        <v>186</v>
      </c>
      <c r="J264" s="111">
        <v>164</v>
      </c>
      <c r="K264" s="111">
        <f t="shared" si="37"/>
        <v>176</v>
      </c>
      <c r="L264" s="111">
        <v>150000</v>
      </c>
      <c r="M264" s="111">
        <f t="shared" si="38"/>
        <v>67500</v>
      </c>
      <c r="N264" s="111">
        <f t="shared" si="39"/>
        <v>67500</v>
      </c>
      <c r="O264" s="111">
        <f t="shared" si="40"/>
        <v>13500</v>
      </c>
      <c r="P264" s="111">
        <f t="shared" si="41"/>
        <v>15000</v>
      </c>
      <c r="Q264" s="111">
        <v>30000</v>
      </c>
      <c r="R264" s="111">
        <v>3</v>
      </c>
      <c r="S264" s="111">
        <f t="shared" si="42"/>
        <v>3000</v>
      </c>
      <c r="T264" s="111">
        <f t="shared" si="43"/>
        <v>180000</v>
      </c>
      <c r="U264" s="111">
        <f t="shared" si="44"/>
        <v>1800</v>
      </c>
      <c r="V264" s="111">
        <f t="shared" si="45"/>
        <v>181800</v>
      </c>
      <c r="W264" t="s">
        <v>2723</v>
      </c>
    </row>
    <row r="265" spans="1:23" x14ac:dyDescent="0.3">
      <c r="A265" s="110">
        <v>300110</v>
      </c>
      <c r="B265" s="110" t="s">
        <v>451</v>
      </c>
      <c r="C265" s="110" t="s">
        <v>451</v>
      </c>
      <c r="D265" s="110" t="s">
        <v>457</v>
      </c>
      <c r="E265" s="110" t="s">
        <v>458</v>
      </c>
      <c r="F265" s="110" t="s">
        <v>113</v>
      </c>
      <c r="G265" s="110" t="s">
        <v>114</v>
      </c>
      <c r="H265" s="111">
        <v>23</v>
      </c>
      <c r="I265" s="111">
        <v>36</v>
      </c>
      <c r="J265" s="111">
        <v>33</v>
      </c>
      <c r="K265" s="111">
        <f t="shared" si="37"/>
        <v>30.666666666666668</v>
      </c>
      <c r="L265" s="111">
        <v>50000</v>
      </c>
      <c r="M265" s="111">
        <f t="shared" si="38"/>
        <v>22500</v>
      </c>
      <c r="N265" s="111">
        <f t="shared" si="39"/>
        <v>22500</v>
      </c>
      <c r="O265" s="111">
        <f t="shared" si="40"/>
        <v>4500</v>
      </c>
      <c r="P265" s="111">
        <f t="shared" si="41"/>
        <v>5000</v>
      </c>
      <c r="Q265" s="111">
        <v>10000</v>
      </c>
      <c r="R265" s="111">
        <v>1</v>
      </c>
      <c r="S265" s="111">
        <f t="shared" si="42"/>
        <v>1000</v>
      </c>
      <c r="T265" s="111">
        <f t="shared" si="43"/>
        <v>60000</v>
      </c>
      <c r="U265" s="111">
        <f t="shared" si="44"/>
        <v>600</v>
      </c>
      <c r="V265" s="111">
        <f t="shared" si="45"/>
        <v>60600</v>
      </c>
      <c r="W265" t="s">
        <v>2724</v>
      </c>
    </row>
    <row r="266" spans="1:23" x14ac:dyDescent="0.3">
      <c r="A266" s="110">
        <v>300111</v>
      </c>
      <c r="B266" s="110" t="s">
        <v>451</v>
      </c>
      <c r="C266" s="110" t="s">
        <v>451</v>
      </c>
      <c r="D266" s="110" t="s">
        <v>459</v>
      </c>
      <c r="E266" s="110" t="s">
        <v>184</v>
      </c>
      <c r="F266" s="110" t="s">
        <v>113</v>
      </c>
      <c r="G266" s="110" t="s">
        <v>114</v>
      </c>
      <c r="H266" s="111">
        <v>84</v>
      </c>
      <c r="I266" s="111">
        <v>84</v>
      </c>
      <c r="J266" s="111">
        <v>87</v>
      </c>
      <c r="K266" s="111">
        <f t="shared" si="37"/>
        <v>85</v>
      </c>
      <c r="L266" s="111">
        <v>150000</v>
      </c>
      <c r="M266" s="111">
        <f t="shared" si="38"/>
        <v>67500</v>
      </c>
      <c r="N266" s="111">
        <f t="shared" si="39"/>
        <v>67500</v>
      </c>
      <c r="O266" s="111">
        <f t="shared" si="40"/>
        <v>13500</v>
      </c>
      <c r="P266" s="111">
        <f t="shared" si="41"/>
        <v>15000</v>
      </c>
      <c r="Q266" s="111">
        <v>30000</v>
      </c>
      <c r="R266" s="111">
        <v>3</v>
      </c>
      <c r="S266" s="111">
        <f t="shared" si="42"/>
        <v>3000</v>
      </c>
      <c r="T266" s="111">
        <f t="shared" si="43"/>
        <v>180000</v>
      </c>
      <c r="U266" s="111">
        <f t="shared" si="44"/>
        <v>1800</v>
      </c>
      <c r="V266" s="111">
        <f t="shared" si="45"/>
        <v>181800</v>
      </c>
      <c r="W266" t="s">
        <v>2725</v>
      </c>
    </row>
    <row r="267" spans="1:23" x14ac:dyDescent="0.3">
      <c r="A267" s="110">
        <v>300112</v>
      </c>
      <c r="B267" s="110" t="s">
        <v>451</v>
      </c>
      <c r="C267" s="110" t="s">
        <v>451</v>
      </c>
      <c r="D267" s="110" t="s">
        <v>460</v>
      </c>
      <c r="E267" s="110" t="s">
        <v>353</v>
      </c>
      <c r="F267" s="110" t="s">
        <v>113</v>
      </c>
      <c r="G267" s="110" t="s">
        <v>114</v>
      </c>
      <c r="H267" s="111">
        <v>44</v>
      </c>
      <c r="I267" s="111">
        <v>45</v>
      </c>
      <c r="J267" s="111">
        <v>43</v>
      </c>
      <c r="K267" s="111">
        <f t="shared" si="37"/>
        <v>44</v>
      </c>
      <c r="L267" s="111">
        <v>50000</v>
      </c>
      <c r="M267" s="111">
        <f t="shared" si="38"/>
        <v>22500</v>
      </c>
      <c r="N267" s="111">
        <f t="shared" si="39"/>
        <v>22500</v>
      </c>
      <c r="O267" s="111">
        <f t="shared" si="40"/>
        <v>4500</v>
      </c>
      <c r="P267" s="111">
        <f t="shared" si="41"/>
        <v>5000</v>
      </c>
      <c r="Q267" s="111">
        <v>10000</v>
      </c>
      <c r="R267" s="111">
        <v>1</v>
      </c>
      <c r="S267" s="111">
        <f t="shared" si="42"/>
        <v>1000</v>
      </c>
      <c r="T267" s="111">
        <f t="shared" si="43"/>
        <v>60000</v>
      </c>
      <c r="U267" s="111">
        <f t="shared" si="44"/>
        <v>600</v>
      </c>
      <c r="V267" s="111">
        <f t="shared" si="45"/>
        <v>60600</v>
      </c>
      <c r="W267" t="s">
        <v>2726</v>
      </c>
    </row>
    <row r="268" spans="1:23" x14ac:dyDescent="0.3">
      <c r="A268" s="110">
        <v>300113</v>
      </c>
      <c r="B268" s="110" t="s">
        <v>451</v>
      </c>
      <c r="C268" s="110" t="s">
        <v>451</v>
      </c>
      <c r="D268" s="110" t="s">
        <v>461</v>
      </c>
      <c r="E268" s="110" t="s">
        <v>353</v>
      </c>
      <c r="F268" s="110" t="s">
        <v>113</v>
      </c>
      <c r="G268" s="110" t="s">
        <v>114</v>
      </c>
      <c r="H268" s="111">
        <v>24</v>
      </c>
      <c r="I268" s="111">
        <v>21</v>
      </c>
      <c r="J268" s="111">
        <v>24</v>
      </c>
      <c r="K268" s="111">
        <f t="shared" si="37"/>
        <v>23</v>
      </c>
      <c r="L268" s="111">
        <v>50000</v>
      </c>
      <c r="M268" s="111">
        <f t="shared" si="38"/>
        <v>22500</v>
      </c>
      <c r="N268" s="111">
        <f t="shared" si="39"/>
        <v>22500</v>
      </c>
      <c r="O268" s="111">
        <f t="shared" si="40"/>
        <v>4500</v>
      </c>
      <c r="P268" s="111">
        <f t="shared" si="41"/>
        <v>5000</v>
      </c>
      <c r="Q268" s="111">
        <v>10000</v>
      </c>
      <c r="R268" s="111">
        <v>1</v>
      </c>
      <c r="S268" s="111">
        <f t="shared" si="42"/>
        <v>1000</v>
      </c>
      <c r="T268" s="111">
        <f t="shared" si="43"/>
        <v>60000</v>
      </c>
      <c r="U268" s="111">
        <f t="shared" si="44"/>
        <v>600</v>
      </c>
      <c r="V268" s="111">
        <f t="shared" si="45"/>
        <v>60600</v>
      </c>
      <c r="W268" t="s">
        <v>2727</v>
      </c>
    </row>
    <row r="269" spans="1:23" x14ac:dyDescent="0.3">
      <c r="A269" s="110">
        <v>300114</v>
      </c>
      <c r="B269" s="110" t="s">
        <v>451</v>
      </c>
      <c r="C269" s="110" t="s">
        <v>451</v>
      </c>
      <c r="D269" s="110" t="s">
        <v>462</v>
      </c>
      <c r="E269" s="110" t="s">
        <v>308</v>
      </c>
      <c r="F269" s="110" t="s">
        <v>113</v>
      </c>
      <c r="G269" s="110" t="s">
        <v>114</v>
      </c>
      <c r="H269" s="111">
        <v>25</v>
      </c>
      <c r="I269" s="111">
        <v>22</v>
      </c>
      <c r="J269" s="111">
        <v>25</v>
      </c>
      <c r="K269" s="111">
        <f t="shared" si="37"/>
        <v>24</v>
      </c>
      <c r="L269" s="111">
        <v>50000</v>
      </c>
      <c r="M269" s="111">
        <f t="shared" si="38"/>
        <v>22500</v>
      </c>
      <c r="N269" s="111">
        <f t="shared" si="39"/>
        <v>22500</v>
      </c>
      <c r="O269" s="111">
        <f t="shared" si="40"/>
        <v>4500</v>
      </c>
      <c r="P269" s="111">
        <f t="shared" si="41"/>
        <v>5000</v>
      </c>
      <c r="Q269" s="111">
        <v>10000</v>
      </c>
      <c r="R269" s="111">
        <v>1</v>
      </c>
      <c r="S269" s="111">
        <f t="shared" si="42"/>
        <v>1000</v>
      </c>
      <c r="T269" s="111">
        <f t="shared" si="43"/>
        <v>60000</v>
      </c>
      <c r="U269" s="111">
        <f t="shared" si="44"/>
        <v>600</v>
      </c>
      <c r="V269" s="111">
        <f t="shared" si="45"/>
        <v>60600</v>
      </c>
      <c r="W269" t="s">
        <v>2728</v>
      </c>
    </row>
    <row r="270" spans="1:23" x14ac:dyDescent="0.3">
      <c r="A270" s="110">
        <v>300116</v>
      </c>
      <c r="B270" s="110" t="s">
        <v>451</v>
      </c>
      <c r="C270" s="110" t="s">
        <v>451</v>
      </c>
      <c r="D270" s="110" t="s">
        <v>463</v>
      </c>
      <c r="E270" s="110" t="s">
        <v>464</v>
      </c>
      <c r="F270" s="110" t="s">
        <v>113</v>
      </c>
      <c r="G270" s="110" t="s">
        <v>114</v>
      </c>
      <c r="H270" s="111">
        <v>75</v>
      </c>
      <c r="I270" s="111">
        <v>72</v>
      </c>
      <c r="J270" s="111">
        <v>81</v>
      </c>
      <c r="K270" s="111">
        <f t="shared" si="37"/>
        <v>76</v>
      </c>
      <c r="L270" s="111">
        <v>150000</v>
      </c>
      <c r="M270" s="111">
        <f t="shared" si="38"/>
        <v>67500</v>
      </c>
      <c r="N270" s="111">
        <f t="shared" si="39"/>
        <v>67500</v>
      </c>
      <c r="O270" s="111">
        <f t="shared" si="40"/>
        <v>13500</v>
      </c>
      <c r="P270" s="111">
        <f t="shared" si="41"/>
        <v>15000</v>
      </c>
      <c r="Q270" s="111">
        <v>30000</v>
      </c>
      <c r="R270" s="111">
        <v>3</v>
      </c>
      <c r="S270" s="111">
        <f t="shared" si="42"/>
        <v>3000</v>
      </c>
      <c r="T270" s="111">
        <f t="shared" si="43"/>
        <v>180000</v>
      </c>
      <c r="U270" s="111">
        <f t="shared" si="44"/>
        <v>1800</v>
      </c>
      <c r="V270" s="111">
        <f t="shared" si="45"/>
        <v>181800</v>
      </c>
      <c r="W270" t="s">
        <v>2729</v>
      </c>
    </row>
    <row r="271" spans="1:23" x14ac:dyDescent="0.3">
      <c r="A271" s="110">
        <v>300117</v>
      </c>
      <c r="B271" s="110" t="s">
        <v>451</v>
      </c>
      <c r="C271" s="110" t="s">
        <v>451</v>
      </c>
      <c r="D271" s="110" t="s">
        <v>451</v>
      </c>
      <c r="E271" s="110" t="s">
        <v>465</v>
      </c>
      <c r="F271" s="110" t="s">
        <v>135</v>
      </c>
      <c r="G271" s="110" t="s">
        <v>125</v>
      </c>
      <c r="H271" s="111">
        <v>49</v>
      </c>
      <c r="I271" s="111">
        <v>66</v>
      </c>
      <c r="J271" s="111">
        <v>71</v>
      </c>
      <c r="K271" s="111">
        <f t="shared" si="37"/>
        <v>62</v>
      </c>
      <c r="L271" s="111">
        <v>150000</v>
      </c>
      <c r="M271" s="111">
        <f t="shared" si="38"/>
        <v>67500</v>
      </c>
      <c r="N271" s="111">
        <f t="shared" si="39"/>
        <v>67500</v>
      </c>
      <c r="O271" s="111">
        <f t="shared" si="40"/>
        <v>13500</v>
      </c>
      <c r="P271" s="111">
        <f t="shared" si="41"/>
        <v>15000</v>
      </c>
      <c r="Q271" s="111">
        <v>30000</v>
      </c>
      <c r="R271" s="111">
        <v>3</v>
      </c>
      <c r="S271" s="111">
        <f t="shared" si="42"/>
        <v>3000</v>
      </c>
      <c r="T271" s="111">
        <f t="shared" si="43"/>
        <v>180000</v>
      </c>
      <c r="U271" s="111">
        <f t="shared" si="44"/>
        <v>1800</v>
      </c>
      <c r="V271" s="111">
        <f t="shared" si="45"/>
        <v>181800</v>
      </c>
      <c r="W271" t="s">
        <v>2730</v>
      </c>
    </row>
    <row r="272" spans="1:23" x14ac:dyDescent="0.3">
      <c r="A272" s="110">
        <v>300119</v>
      </c>
      <c r="B272" s="110" t="s">
        <v>451</v>
      </c>
      <c r="C272" s="110" t="s">
        <v>451</v>
      </c>
      <c r="D272" s="110" t="s">
        <v>466</v>
      </c>
      <c r="E272" s="110" t="s">
        <v>467</v>
      </c>
      <c r="F272" s="110" t="s">
        <v>135</v>
      </c>
      <c r="G272" s="110" t="s">
        <v>125</v>
      </c>
      <c r="H272" s="111">
        <v>26</v>
      </c>
      <c r="I272" s="111">
        <v>29</v>
      </c>
      <c r="J272" s="111">
        <v>26</v>
      </c>
      <c r="K272" s="111">
        <f t="shared" si="37"/>
        <v>27</v>
      </c>
      <c r="L272" s="111">
        <v>50000</v>
      </c>
      <c r="M272" s="111">
        <f t="shared" si="38"/>
        <v>22500</v>
      </c>
      <c r="N272" s="111">
        <f t="shared" si="39"/>
        <v>22500</v>
      </c>
      <c r="O272" s="111">
        <f t="shared" si="40"/>
        <v>4500</v>
      </c>
      <c r="P272" s="111">
        <f t="shared" si="41"/>
        <v>5000</v>
      </c>
      <c r="Q272" s="111">
        <v>10000</v>
      </c>
      <c r="R272" s="111">
        <v>1</v>
      </c>
      <c r="S272" s="111">
        <f t="shared" si="42"/>
        <v>1000</v>
      </c>
      <c r="T272" s="111">
        <f t="shared" si="43"/>
        <v>60000</v>
      </c>
      <c r="U272" s="111">
        <f t="shared" si="44"/>
        <v>600</v>
      </c>
      <c r="V272" s="111">
        <f t="shared" si="45"/>
        <v>60600</v>
      </c>
      <c r="W272" t="s">
        <v>2731</v>
      </c>
    </row>
    <row r="273" spans="1:23" x14ac:dyDescent="0.3">
      <c r="A273" s="110">
        <v>300121</v>
      </c>
      <c r="B273" s="110" t="s">
        <v>451</v>
      </c>
      <c r="C273" s="110" t="s">
        <v>451</v>
      </c>
      <c r="D273" s="110" t="s">
        <v>451</v>
      </c>
      <c r="E273" s="110" t="s">
        <v>468</v>
      </c>
      <c r="F273" s="110" t="s">
        <v>122</v>
      </c>
      <c r="G273" s="110" t="s">
        <v>114</v>
      </c>
      <c r="H273" s="111">
        <v>85</v>
      </c>
      <c r="I273" s="111">
        <v>106</v>
      </c>
      <c r="J273" s="111">
        <v>135</v>
      </c>
      <c r="K273" s="111">
        <f t="shared" si="37"/>
        <v>108.66666666666667</v>
      </c>
      <c r="L273" s="111">
        <v>150000</v>
      </c>
      <c r="M273" s="111">
        <f t="shared" si="38"/>
        <v>67500</v>
      </c>
      <c r="N273" s="111">
        <f t="shared" si="39"/>
        <v>67500</v>
      </c>
      <c r="O273" s="111">
        <f t="shared" si="40"/>
        <v>13500</v>
      </c>
      <c r="P273" s="111">
        <f t="shared" si="41"/>
        <v>15000</v>
      </c>
      <c r="Q273" s="111">
        <v>30000</v>
      </c>
      <c r="R273" s="111">
        <v>3</v>
      </c>
      <c r="S273" s="111">
        <f t="shared" si="42"/>
        <v>3000</v>
      </c>
      <c r="T273" s="111">
        <f t="shared" si="43"/>
        <v>180000</v>
      </c>
      <c r="U273" s="111">
        <f t="shared" si="44"/>
        <v>1800</v>
      </c>
      <c r="V273" s="111">
        <f t="shared" si="45"/>
        <v>181800</v>
      </c>
      <c r="W273" t="s">
        <v>2732</v>
      </c>
    </row>
    <row r="274" spans="1:23" x14ac:dyDescent="0.3">
      <c r="A274" s="110">
        <v>300122</v>
      </c>
      <c r="B274" s="110" t="s">
        <v>451</v>
      </c>
      <c r="C274" s="110" t="s">
        <v>451</v>
      </c>
      <c r="D274" s="110" t="s">
        <v>451</v>
      </c>
      <c r="E274" s="110" t="s">
        <v>469</v>
      </c>
      <c r="F274" s="110" t="s">
        <v>122</v>
      </c>
      <c r="G274" s="110" t="s">
        <v>114</v>
      </c>
      <c r="H274" s="111">
        <v>692</v>
      </c>
      <c r="I274" s="111">
        <v>666</v>
      </c>
      <c r="J274" s="111">
        <v>652</v>
      </c>
      <c r="K274" s="111">
        <f t="shared" si="37"/>
        <v>670</v>
      </c>
      <c r="L274" s="111">
        <f>300000*0.7</f>
        <v>210000</v>
      </c>
      <c r="M274" s="111">
        <f t="shared" si="38"/>
        <v>94500</v>
      </c>
      <c r="N274" s="111">
        <f t="shared" si="39"/>
        <v>94500</v>
      </c>
      <c r="O274" s="111">
        <f t="shared" si="40"/>
        <v>18900</v>
      </c>
      <c r="P274" s="111">
        <f t="shared" si="41"/>
        <v>21000</v>
      </c>
      <c r="Q274" s="111">
        <v>60000</v>
      </c>
      <c r="R274" s="111">
        <v>6</v>
      </c>
      <c r="S274" s="111">
        <f t="shared" si="42"/>
        <v>6000</v>
      </c>
      <c r="T274" s="111">
        <f t="shared" si="43"/>
        <v>270000</v>
      </c>
      <c r="U274" s="111">
        <f t="shared" si="44"/>
        <v>2700</v>
      </c>
      <c r="V274" s="111">
        <f t="shared" si="45"/>
        <v>272700</v>
      </c>
      <c r="W274" t="s">
        <v>2733</v>
      </c>
    </row>
    <row r="275" spans="1:23" x14ac:dyDescent="0.3">
      <c r="A275" s="110">
        <v>300123</v>
      </c>
      <c r="B275" s="110" t="s">
        <v>451</v>
      </c>
      <c r="C275" s="110" t="s">
        <v>451</v>
      </c>
      <c r="D275" s="110" t="s">
        <v>451</v>
      </c>
      <c r="E275" s="110" t="s">
        <v>470</v>
      </c>
      <c r="F275" s="110" t="s">
        <v>122</v>
      </c>
      <c r="G275" s="110" t="s">
        <v>114</v>
      </c>
      <c r="H275" s="111">
        <v>667</v>
      </c>
      <c r="I275" s="111">
        <v>639</v>
      </c>
      <c r="J275" s="111">
        <v>644</v>
      </c>
      <c r="K275" s="111">
        <f t="shared" si="37"/>
        <v>650</v>
      </c>
      <c r="L275" s="111">
        <f>300000</f>
        <v>300000</v>
      </c>
      <c r="M275" s="111">
        <f t="shared" si="38"/>
        <v>135000</v>
      </c>
      <c r="N275" s="111">
        <f t="shared" si="39"/>
        <v>135000</v>
      </c>
      <c r="O275" s="111">
        <f t="shared" si="40"/>
        <v>27000</v>
      </c>
      <c r="P275" s="111">
        <f t="shared" si="41"/>
        <v>30000</v>
      </c>
      <c r="Q275" s="111">
        <v>60000</v>
      </c>
      <c r="R275" s="111">
        <v>6</v>
      </c>
      <c r="S275" s="111">
        <f t="shared" si="42"/>
        <v>6000</v>
      </c>
      <c r="T275" s="111">
        <f t="shared" si="43"/>
        <v>360000</v>
      </c>
      <c r="U275" s="111">
        <f t="shared" si="44"/>
        <v>3600</v>
      </c>
      <c r="V275" s="111">
        <f t="shared" si="45"/>
        <v>363600</v>
      </c>
      <c r="W275" t="s">
        <v>2734</v>
      </c>
    </row>
    <row r="276" spans="1:23" x14ac:dyDescent="0.3">
      <c r="A276" s="110">
        <v>300124</v>
      </c>
      <c r="B276" s="110" t="s">
        <v>451</v>
      </c>
      <c r="C276" s="110" t="s">
        <v>451</v>
      </c>
      <c r="D276" s="110" t="s">
        <v>451</v>
      </c>
      <c r="E276" s="110" t="s">
        <v>471</v>
      </c>
      <c r="F276" s="110" t="s">
        <v>119</v>
      </c>
      <c r="G276" s="110" t="s">
        <v>114</v>
      </c>
      <c r="H276" s="111">
        <v>1425</v>
      </c>
      <c r="I276" s="111">
        <v>1426</v>
      </c>
      <c r="J276" s="111">
        <v>1433</v>
      </c>
      <c r="K276" s="111">
        <f t="shared" si="37"/>
        <v>1428</v>
      </c>
      <c r="L276" s="111">
        <f>600000</f>
        <v>600000</v>
      </c>
      <c r="M276" s="111">
        <f t="shared" si="38"/>
        <v>270000</v>
      </c>
      <c r="N276" s="111">
        <f t="shared" si="39"/>
        <v>270000</v>
      </c>
      <c r="O276" s="111">
        <f t="shared" si="40"/>
        <v>54000</v>
      </c>
      <c r="P276" s="111">
        <f t="shared" si="41"/>
        <v>60000</v>
      </c>
      <c r="Q276" s="111">
        <v>80000</v>
      </c>
      <c r="R276" s="111">
        <v>8</v>
      </c>
      <c r="S276" s="111">
        <f t="shared" si="42"/>
        <v>8000</v>
      </c>
      <c r="T276" s="111">
        <f t="shared" si="43"/>
        <v>680000</v>
      </c>
      <c r="U276" s="111">
        <f t="shared" si="44"/>
        <v>6800</v>
      </c>
      <c r="V276" s="111">
        <f t="shared" si="45"/>
        <v>686800</v>
      </c>
      <c r="W276" t="s">
        <v>2735</v>
      </c>
    </row>
    <row r="277" spans="1:23" x14ac:dyDescent="0.3">
      <c r="A277" s="110">
        <v>300125</v>
      </c>
      <c r="B277" s="110" t="s">
        <v>451</v>
      </c>
      <c r="C277" s="110" t="s">
        <v>451</v>
      </c>
      <c r="D277" s="110" t="s">
        <v>451</v>
      </c>
      <c r="E277" s="110" t="s">
        <v>472</v>
      </c>
      <c r="F277" s="110" t="s">
        <v>119</v>
      </c>
      <c r="G277" s="110" t="s">
        <v>114</v>
      </c>
      <c r="H277" s="111">
        <v>669</v>
      </c>
      <c r="I277" s="111">
        <v>673</v>
      </c>
      <c r="J277" s="111">
        <v>677</v>
      </c>
      <c r="K277" s="111">
        <f t="shared" si="37"/>
        <v>673</v>
      </c>
      <c r="L277" s="111">
        <f>300000</f>
        <v>300000</v>
      </c>
      <c r="M277" s="111">
        <f t="shared" si="38"/>
        <v>135000</v>
      </c>
      <c r="N277" s="111">
        <f t="shared" si="39"/>
        <v>135000</v>
      </c>
      <c r="O277" s="111">
        <f t="shared" si="40"/>
        <v>27000</v>
      </c>
      <c r="P277" s="111">
        <f t="shared" si="41"/>
        <v>30000</v>
      </c>
      <c r="Q277" s="111">
        <v>60000</v>
      </c>
      <c r="R277" s="111">
        <v>6</v>
      </c>
      <c r="S277" s="111">
        <f t="shared" si="42"/>
        <v>6000</v>
      </c>
      <c r="T277" s="111">
        <f t="shared" si="43"/>
        <v>360000</v>
      </c>
      <c r="U277" s="111">
        <f t="shared" si="44"/>
        <v>3600</v>
      </c>
      <c r="V277" s="111">
        <f t="shared" si="45"/>
        <v>363600</v>
      </c>
      <c r="W277" t="s">
        <v>2736</v>
      </c>
    </row>
    <row r="278" spans="1:23" x14ac:dyDescent="0.3">
      <c r="A278" s="110">
        <v>300126</v>
      </c>
      <c r="B278" s="110" t="s">
        <v>451</v>
      </c>
      <c r="C278" s="110" t="s">
        <v>451</v>
      </c>
      <c r="D278" s="110" t="s">
        <v>451</v>
      </c>
      <c r="E278" s="110" t="s">
        <v>473</v>
      </c>
      <c r="F278" s="110" t="s">
        <v>119</v>
      </c>
      <c r="G278" s="110" t="s">
        <v>114</v>
      </c>
      <c r="H278" s="111">
        <v>148</v>
      </c>
      <c r="I278" s="111">
        <v>165</v>
      </c>
      <c r="J278" s="111">
        <v>199</v>
      </c>
      <c r="K278" s="111">
        <f t="shared" si="37"/>
        <v>170.66666666666666</v>
      </c>
      <c r="L278" s="111">
        <f>150000*0.7</f>
        <v>105000</v>
      </c>
      <c r="M278" s="111">
        <f t="shared" si="38"/>
        <v>47250</v>
      </c>
      <c r="N278" s="111">
        <f t="shared" si="39"/>
        <v>47250</v>
      </c>
      <c r="O278" s="111">
        <f t="shared" si="40"/>
        <v>9450</v>
      </c>
      <c r="P278" s="111">
        <f t="shared" si="41"/>
        <v>10500</v>
      </c>
      <c r="Q278" s="111">
        <v>30000</v>
      </c>
      <c r="R278" s="111">
        <v>3</v>
      </c>
      <c r="S278" s="111">
        <f t="shared" si="42"/>
        <v>3000</v>
      </c>
      <c r="T278" s="111">
        <f t="shared" si="43"/>
        <v>135000</v>
      </c>
      <c r="U278" s="111">
        <f t="shared" si="44"/>
        <v>1350</v>
      </c>
      <c r="V278" s="111">
        <f t="shared" si="45"/>
        <v>136350</v>
      </c>
      <c r="W278" t="s">
        <v>2737</v>
      </c>
    </row>
    <row r="279" spans="1:23" x14ac:dyDescent="0.3">
      <c r="A279" s="110">
        <v>300127</v>
      </c>
      <c r="B279" s="110" t="s">
        <v>451</v>
      </c>
      <c r="C279" s="110" t="s">
        <v>451</v>
      </c>
      <c r="D279" s="110" t="s">
        <v>451</v>
      </c>
      <c r="E279" s="110" t="s">
        <v>474</v>
      </c>
      <c r="F279" s="110" t="s">
        <v>119</v>
      </c>
      <c r="G279" s="110" t="s">
        <v>114</v>
      </c>
      <c r="H279" s="111">
        <v>27</v>
      </c>
      <c r="I279" s="111">
        <v>50</v>
      </c>
      <c r="J279" s="111">
        <v>67</v>
      </c>
      <c r="K279" s="111">
        <f t="shared" si="37"/>
        <v>48</v>
      </c>
      <c r="L279" s="111">
        <v>50000</v>
      </c>
      <c r="M279" s="111">
        <f t="shared" si="38"/>
        <v>22500</v>
      </c>
      <c r="N279" s="111">
        <f t="shared" si="39"/>
        <v>22500</v>
      </c>
      <c r="O279" s="111">
        <f t="shared" si="40"/>
        <v>4500</v>
      </c>
      <c r="P279" s="111">
        <f t="shared" si="41"/>
        <v>5000</v>
      </c>
      <c r="Q279" s="111">
        <v>10000</v>
      </c>
      <c r="R279" s="111">
        <v>1</v>
      </c>
      <c r="S279" s="111">
        <f t="shared" si="42"/>
        <v>1000</v>
      </c>
      <c r="T279" s="111">
        <f t="shared" si="43"/>
        <v>60000</v>
      </c>
      <c r="U279" s="111">
        <f t="shared" si="44"/>
        <v>600</v>
      </c>
      <c r="V279" s="111">
        <f t="shared" si="45"/>
        <v>60600</v>
      </c>
      <c r="W279" t="s">
        <v>2738</v>
      </c>
    </row>
    <row r="280" spans="1:23" x14ac:dyDescent="0.3">
      <c r="A280" s="110">
        <v>300128</v>
      </c>
      <c r="B280" s="110" t="s">
        <v>451</v>
      </c>
      <c r="C280" s="110" t="s">
        <v>451</v>
      </c>
      <c r="D280" s="110" t="s">
        <v>451</v>
      </c>
      <c r="E280" s="110" t="s">
        <v>475</v>
      </c>
      <c r="F280" s="110" t="s">
        <v>117</v>
      </c>
      <c r="G280" s="110" t="s">
        <v>125</v>
      </c>
      <c r="H280" s="111">
        <v>466</v>
      </c>
      <c r="I280" s="111">
        <v>482</v>
      </c>
      <c r="J280" s="111">
        <v>511</v>
      </c>
      <c r="K280" s="111">
        <f t="shared" si="37"/>
        <v>486.33333333333331</v>
      </c>
      <c r="L280" s="111">
        <f>300000*0.7</f>
        <v>210000</v>
      </c>
      <c r="M280" s="111">
        <f t="shared" si="38"/>
        <v>94500</v>
      </c>
      <c r="N280" s="111">
        <f t="shared" si="39"/>
        <v>94500</v>
      </c>
      <c r="O280" s="111">
        <f t="shared" si="40"/>
        <v>18900</v>
      </c>
      <c r="P280" s="111">
        <f t="shared" si="41"/>
        <v>21000</v>
      </c>
      <c r="Q280" s="111">
        <v>60000</v>
      </c>
      <c r="R280" s="111">
        <v>6</v>
      </c>
      <c r="S280" s="111">
        <f t="shared" si="42"/>
        <v>6000</v>
      </c>
      <c r="T280" s="111">
        <f t="shared" si="43"/>
        <v>270000</v>
      </c>
      <c r="U280" s="111">
        <f t="shared" si="44"/>
        <v>2700</v>
      </c>
      <c r="V280" s="111">
        <f t="shared" si="45"/>
        <v>272700</v>
      </c>
      <c r="W280" t="s">
        <v>2739</v>
      </c>
    </row>
    <row r="281" spans="1:23" x14ac:dyDescent="0.3">
      <c r="A281" s="110">
        <v>300129</v>
      </c>
      <c r="B281" s="110" t="s">
        <v>451</v>
      </c>
      <c r="C281" s="110" t="s">
        <v>451</v>
      </c>
      <c r="D281" s="110" t="s">
        <v>451</v>
      </c>
      <c r="E281" s="110" t="s">
        <v>476</v>
      </c>
      <c r="F281" s="110" t="s">
        <v>117</v>
      </c>
      <c r="G281" s="110" t="s">
        <v>125</v>
      </c>
      <c r="H281" s="111">
        <v>313</v>
      </c>
      <c r="I281" s="111">
        <v>348</v>
      </c>
      <c r="J281" s="111">
        <v>360</v>
      </c>
      <c r="K281" s="111">
        <f t="shared" si="37"/>
        <v>340.33333333333331</v>
      </c>
      <c r="L281" s="111">
        <v>200000</v>
      </c>
      <c r="M281" s="111">
        <f t="shared" si="38"/>
        <v>90000</v>
      </c>
      <c r="N281" s="111">
        <f t="shared" si="39"/>
        <v>90000</v>
      </c>
      <c r="O281" s="111">
        <f t="shared" si="40"/>
        <v>18000</v>
      </c>
      <c r="P281" s="111">
        <f t="shared" si="41"/>
        <v>20000</v>
      </c>
      <c r="Q281" s="111">
        <v>50000</v>
      </c>
      <c r="R281" s="111">
        <v>5</v>
      </c>
      <c r="S281" s="111">
        <f t="shared" si="42"/>
        <v>5000</v>
      </c>
      <c r="T281" s="111">
        <f t="shared" si="43"/>
        <v>250000</v>
      </c>
      <c r="U281" s="111">
        <f t="shared" si="44"/>
        <v>2500</v>
      </c>
      <c r="V281" s="111">
        <f t="shared" si="45"/>
        <v>252500</v>
      </c>
      <c r="W281" t="s">
        <v>2740</v>
      </c>
    </row>
    <row r="282" spans="1:23" x14ac:dyDescent="0.3">
      <c r="A282" s="110">
        <v>300130</v>
      </c>
      <c r="B282" s="110" t="s">
        <v>451</v>
      </c>
      <c r="C282" s="110" t="s">
        <v>451</v>
      </c>
      <c r="D282" s="110" t="s">
        <v>451</v>
      </c>
      <c r="E282" s="110" t="s">
        <v>477</v>
      </c>
      <c r="F282" s="110" t="s">
        <v>117</v>
      </c>
      <c r="G282" s="110" t="s">
        <v>125</v>
      </c>
      <c r="H282" s="111">
        <v>202</v>
      </c>
      <c r="I282" s="111">
        <v>161</v>
      </c>
      <c r="J282" s="111">
        <v>175</v>
      </c>
      <c r="K282" s="111">
        <f t="shared" si="37"/>
        <v>179.33333333333334</v>
      </c>
      <c r="L282" s="111">
        <f>150000*0.7</f>
        <v>105000</v>
      </c>
      <c r="M282" s="111">
        <f t="shared" si="38"/>
        <v>47250</v>
      </c>
      <c r="N282" s="111">
        <f t="shared" si="39"/>
        <v>47250</v>
      </c>
      <c r="O282" s="111">
        <f t="shared" si="40"/>
        <v>9450</v>
      </c>
      <c r="P282" s="111">
        <f t="shared" si="41"/>
        <v>10500</v>
      </c>
      <c r="Q282" s="111">
        <v>30000</v>
      </c>
      <c r="R282" s="111">
        <v>3</v>
      </c>
      <c r="S282" s="111">
        <f t="shared" si="42"/>
        <v>3000</v>
      </c>
      <c r="T282" s="111">
        <f t="shared" si="43"/>
        <v>135000</v>
      </c>
      <c r="U282" s="111">
        <f t="shared" si="44"/>
        <v>1350</v>
      </c>
      <c r="V282" s="111">
        <f t="shared" si="45"/>
        <v>136350</v>
      </c>
      <c r="W282" t="s">
        <v>2741</v>
      </c>
    </row>
    <row r="283" spans="1:23" x14ac:dyDescent="0.3">
      <c r="A283" s="110">
        <v>300131</v>
      </c>
      <c r="B283" s="110" t="s">
        <v>451</v>
      </c>
      <c r="C283" s="110" t="s">
        <v>451</v>
      </c>
      <c r="D283" s="110" t="s">
        <v>451</v>
      </c>
      <c r="E283" s="110" t="s">
        <v>478</v>
      </c>
      <c r="F283" s="110" t="s">
        <v>117</v>
      </c>
      <c r="G283" s="110" t="s">
        <v>125</v>
      </c>
      <c r="H283" s="111">
        <v>119</v>
      </c>
      <c r="I283" s="111">
        <v>106</v>
      </c>
      <c r="J283" s="111">
        <v>96</v>
      </c>
      <c r="K283" s="111">
        <f t="shared" si="37"/>
        <v>107</v>
      </c>
      <c r="L283" s="111">
        <v>150000</v>
      </c>
      <c r="M283" s="111">
        <f t="shared" si="38"/>
        <v>67500</v>
      </c>
      <c r="N283" s="111">
        <f t="shared" si="39"/>
        <v>67500</v>
      </c>
      <c r="O283" s="111">
        <f t="shared" si="40"/>
        <v>13500</v>
      </c>
      <c r="P283" s="111">
        <f t="shared" si="41"/>
        <v>15000</v>
      </c>
      <c r="Q283" s="111">
        <v>30000</v>
      </c>
      <c r="R283" s="111">
        <v>3</v>
      </c>
      <c r="S283" s="111">
        <f t="shared" si="42"/>
        <v>3000</v>
      </c>
      <c r="T283" s="111">
        <f t="shared" si="43"/>
        <v>180000</v>
      </c>
      <c r="U283" s="111">
        <f t="shared" si="44"/>
        <v>1800</v>
      </c>
      <c r="V283" s="111">
        <f t="shared" si="45"/>
        <v>181800</v>
      </c>
      <c r="W283" t="s">
        <v>2742</v>
      </c>
    </row>
    <row r="284" spans="1:23" x14ac:dyDescent="0.3">
      <c r="A284" s="110">
        <v>300132</v>
      </c>
      <c r="B284" s="110" t="s">
        <v>451</v>
      </c>
      <c r="C284" s="110" t="s">
        <v>451</v>
      </c>
      <c r="D284" s="110" t="s">
        <v>451</v>
      </c>
      <c r="E284" s="110" t="s">
        <v>479</v>
      </c>
      <c r="F284" s="110" t="s">
        <v>117</v>
      </c>
      <c r="G284" s="110" t="s">
        <v>125</v>
      </c>
      <c r="H284" s="111">
        <v>449</v>
      </c>
      <c r="I284" s="111">
        <v>436</v>
      </c>
      <c r="J284" s="111">
        <v>460</v>
      </c>
      <c r="K284" s="111">
        <f t="shared" si="37"/>
        <v>448.33333333333331</v>
      </c>
      <c r="L284" s="111">
        <f>300000*0.7</f>
        <v>210000</v>
      </c>
      <c r="M284" s="111">
        <f t="shared" si="38"/>
        <v>94500</v>
      </c>
      <c r="N284" s="111">
        <f t="shared" si="39"/>
        <v>94500</v>
      </c>
      <c r="O284" s="111">
        <f t="shared" si="40"/>
        <v>18900</v>
      </c>
      <c r="P284" s="111">
        <f t="shared" si="41"/>
        <v>21000</v>
      </c>
      <c r="Q284" s="111">
        <v>60000</v>
      </c>
      <c r="R284" s="111">
        <v>6</v>
      </c>
      <c r="S284" s="111">
        <f t="shared" si="42"/>
        <v>6000</v>
      </c>
      <c r="T284" s="111">
        <f t="shared" si="43"/>
        <v>270000</v>
      </c>
      <c r="U284" s="111">
        <f t="shared" si="44"/>
        <v>2700</v>
      </c>
      <c r="V284" s="111">
        <f t="shared" si="45"/>
        <v>272700</v>
      </c>
      <c r="W284" t="s">
        <v>2743</v>
      </c>
    </row>
    <row r="285" spans="1:23" x14ac:dyDescent="0.3">
      <c r="A285" s="110">
        <v>300143</v>
      </c>
      <c r="B285" s="110" t="s">
        <v>451</v>
      </c>
      <c r="C285" s="110" t="s">
        <v>451</v>
      </c>
      <c r="D285" s="110" t="s">
        <v>451</v>
      </c>
      <c r="E285" s="110" t="s">
        <v>480</v>
      </c>
      <c r="F285" s="110" t="s">
        <v>296</v>
      </c>
      <c r="G285" s="110" t="s">
        <v>114</v>
      </c>
      <c r="H285" s="111">
        <v>283</v>
      </c>
      <c r="I285" s="111">
        <v>295</v>
      </c>
      <c r="J285" s="111">
        <v>278</v>
      </c>
      <c r="K285" s="111">
        <f t="shared" si="37"/>
        <v>285.33333333333331</v>
      </c>
      <c r="L285" s="111">
        <v>200000</v>
      </c>
      <c r="M285" s="111">
        <f t="shared" si="38"/>
        <v>90000</v>
      </c>
      <c r="N285" s="111">
        <f t="shared" si="39"/>
        <v>90000</v>
      </c>
      <c r="O285" s="111">
        <f t="shared" si="40"/>
        <v>18000</v>
      </c>
      <c r="P285" s="111">
        <f t="shared" si="41"/>
        <v>20000</v>
      </c>
      <c r="Q285" s="111">
        <v>50000</v>
      </c>
      <c r="R285" s="111">
        <v>5</v>
      </c>
      <c r="S285" s="111">
        <f t="shared" si="42"/>
        <v>5000</v>
      </c>
      <c r="T285" s="111">
        <f t="shared" si="43"/>
        <v>250000</v>
      </c>
      <c r="U285" s="111">
        <f t="shared" si="44"/>
        <v>2500</v>
      </c>
      <c r="V285" s="111">
        <f t="shared" si="45"/>
        <v>252500</v>
      </c>
      <c r="W285" t="s">
        <v>2744</v>
      </c>
    </row>
    <row r="286" spans="1:23" x14ac:dyDescent="0.3">
      <c r="A286" s="110">
        <v>300201</v>
      </c>
      <c r="B286" s="110" t="s">
        <v>451</v>
      </c>
      <c r="C286" s="110" t="s">
        <v>481</v>
      </c>
      <c r="D286" s="110" t="s">
        <v>481</v>
      </c>
      <c r="E286" s="110" t="s">
        <v>320</v>
      </c>
      <c r="F286" s="110" t="s">
        <v>113</v>
      </c>
      <c r="G286" s="110" t="s">
        <v>114</v>
      </c>
      <c r="H286" s="111">
        <v>527</v>
      </c>
      <c r="I286" s="111">
        <v>507</v>
      </c>
      <c r="J286" s="111">
        <v>484</v>
      </c>
      <c r="K286" s="111">
        <f t="shared" si="37"/>
        <v>506</v>
      </c>
      <c r="L286" s="111">
        <f>300000</f>
        <v>300000</v>
      </c>
      <c r="M286" s="111">
        <f t="shared" si="38"/>
        <v>135000</v>
      </c>
      <c r="N286" s="111">
        <f t="shared" si="39"/>
        <v>135000</v>
      </c>
      <c r="O286" s="111">
        <f t="shared" si="40"/>
        <v>27000</v>
      </c>
      <c r="P286" s="111">
        <f t="shared" si="41"/>
        <v>30000</v>
      </c>
      <c r="Q286" s="111">
        <v>60000</v>
      </c>
      <c r="R286" s="111">
        <v>6</v>
      </c>
      <c r="S286" s="111">
        <f t="shared" si="42"/>
        <v>6000</v>
      </c>
      <c r="T286" s="111">
        <f t="shared" si="43"/>
        <v>360000</v>
      </c>
      <c r="U286" s="111">
        <f t="shared" si="44"/>
        <v>3600</v>
      </c>
      <c r="V286" s="111">
        <f t="shared" si="45"/>
        <v>363600</v>
      </c>
      <c r="W286" t="s">
        <v>2745</v>
      </c>
    </row>
    <row r="287" spans="1:23" x14ac:dyDescent="0.3">
      <c r="A287" s="110">
        <v>300202</v>
      </c>
      <c r="B287" s="110" t="s">
        <v>451</v>
      </c>
      <c r="C287" s="110" t="s">
        <v>481</v>
      </c>
      <c r="D287" s="110" t="s">
        <v>481</v>
      </c>
      <c r="E287" s="110" t="s">
        <v>482</v>
      </c>
      <c r="F287" s="110" t="s">
        <v>113</v>
      </c>
      <c r="G287" s="110" t="s">
        <v>114</v>
      </c>
      <c r="H287" s="111">
        <v>248</v>
      </c>
      <c r="I287" s="111">
        <v>251</v>
      </c>
      <c r="J287" s="111">
        <v>238</v>
      </c>
      <c r="K287" s="111">
        <f t="shared" si="37"/>
        <v>245.66666666666666</v>
      </c>
      <c r="L287" s="111">
        <v>200000</v>
      </c>
      <c r="M287" s="111">
        <f t="shared" si="38"/>
        <v>90000</v>
      </c>
      <c r="N287" s="111">
        <f t="shared" si="39"/>
        <v>90000</v>
      </c>
      <c r="O287" s="111">
        <f t="shared" si="40"/>
        <v>18000</v>
      </c>
      <c r="P287" s="111">
        <f t="shared" si="41"/>
        <v>20000</v>
      </c>
      <c r="Q287" s="111">
        <v>50000</v>
      </c>
      <c r="R287" s="111">
        <v>5</v>
      </c>
      <c r="S287" s="111">
        <f t="shared" si="42"/>
        <v>5000</v>
      </c>
      <c r="T287" s="111">
        <f t="shared" si="43"/>
        <v>250000</v>
      </c>
      <c r="U287" s="111">
        <f t="shared" si="44"/>
        <v>2500</v>
      </c>
      <c r="V287" s="111">
        <f t="shared" si="45"/>
        <v>252500</v>
      </c>
      <c r="W287" t="s">
        <v>2746</v>
      </c>
    </row>
    <row r="288" spans="1:23" x14ac:dyDescent="0.3">
      <c r="A288" s="110">
        <v>300205</v>
      </c>
      <c r="B288" s="110" t="s">
        <v>451</v>
      </c>
      <c r="C288" s="110" t="s">
        <v>481</v>
      </c>
      <c r="D288" s="110" t="s">
        <v>481</v>
      </c>
      <c r="E288" s="110" t="s">
        <v>199</v>
      </c>
      <c r="F288" s="110" t="s">
        <v>113</v>
      </c>
      <c r="G288" s="110" t="s">
        <v>114</v>
      </c>
      <c r="H288" s="111">
        <v>156</v>
      </c>
      <c r="I288" s="111">
        <v>148</v>
      </c>
      <c r="J288" s="111">
        <v>143</v>
      </c>
      <c r="K288" s="111">
        <f t="shared" si="37"/>
        <v>149</v>
      </c>
      <c r="L288" s="111">
        <v>150000</v>
      </c>
      <c r="M288" s="111">
        <f t="shared" si="38"/>
        <v>67500</v>
      </c>
      <c r="N288" s="111">
        <f t="shared" si="39"/>
        <v>67500</v>
      </c>
      <c r="O288" s="111">
        <f t="shared" si="40"/>
        <v>13500</v>
      </c>
      <c r="P288" s="111">
        <f t="shared" si="41"/>
        <v>15000</v>
      </c>
      <c r="Q288" s="111">
        <v>30000</v>
      </c>
      <c r="R288" s="111">
        <v>3</v>
      </c>
      <c r="S288" s="111">
        <f t="shared" si="42"/>
        <v>3000</v>
      </c>
      <c r="T288" s="111">
        <f t="shared" si="43"/>
        <v>180000</v>
      </c>
      <c r="U288" s="111">
        <f t="shared" si="44"/>
        <v>1800</v>
      </c>
      <c r="V288" s="111">
        <f t="shared" si="45"/>
        <v>181800</v>
      </c>
      <c r="W288" t="s">
        <v>2747</v>
      </c>
    </row>
    <row r="289" spans="1:23" x14ac:dyDescent="0.3">
      <c r="A289" s="110">
        <v>300206</v>
      </c>
      <c r="B289" s="110" t="s">
        <v>451</v>
      </c>
      <c r="C289" s="110" t="s">
        <v>481</v>
      </c>
      <c r="D289" s="110" t="s">
        <v>483</v>
      </c>
      <c r="E289" s="110" t="s">
        <v>315</v>
      </c>
      <c r="F289" s="110" t="s">
        <v>113</v>
      </c>
      <c r="G289" s="110" t="s">
        <v>114</v>
      </c>
      <c r="H289" s="111">
        <v>65</v>
      </c>
      <c r="I289" s="111">
        <v>66</v>
      </c>
      <c r="J289" s="111">
        <v>58</v>
      </c>
      <c r="K289" s="111">
        <f t="shared" si="37"/>
        <v>63</v>
      </c>
      <c r="L289" s="111">
        <f>150000*0.7</f>
        <v>105000</v>
      </c>
      <c r="M289" s="111">
        <f t="shared" si="38"/>
        <v>47250</v>
      </c>
      <c r="N289" s="111">
        <f t="shared" si="39"/>
        <v>47250</v>
      </c>
      <c r="O289" s="111">
        <f t="shared" si="40"/>
        <v>9450</v>
      </c>
      <c r="P289" s="111">
        <f t="shared" si="41"/>
        <v>10500</v>
      </c>
      <c r="Q289" s="111">
        <v>30000</v>
      </c>
      <c r="R289" s="111">
        <v>3</v>
      </c>
      <c r="S289" s="111">
        <f t="shared" si="42"/>
        <v>3000</v>
      </c>
      <c r="T289" s="111">
        <f t="shared" si="43"/>
        <v>135000</v>
      </c>
      <c r="U289" s="111">
        <f t="shared" si="44"/>
        <v>1350</v>
      </c>
      <c r="V289" s="111">
        <f t="shared" si="45"/>
        <v>136350</v>
      </c>
      <c r="W289" t="s">
        <v>2748</v>
      </c>
    </row>
    <row r="290" spans="1:23" x14ac:dyDescent="0.3">
      <c r="A290" s="110">
        <v>300208</v>
      </c>
      <c r="B290" s="110" t="s">
        <v>451</v>
      </c>
      <c r="C290" s="110" t="s">
        <v>481</v>
      </c>
      <c r="D290" s="110" t="s">
        <v>484</v>
      </c>
      <c r="E290" s="110" t="s">
        <v>482</v>
      </c>
      <c r="F290" s="110" t="s">
        <v>113</v>
      </c>
      <c r="G290" s="110" t="s">
        <v>114</v>
      </c>
      <c r="H290" s="111">
        <v>126</v>
      </c>
      <c r="I290" s="111">
        <v>110</v>
      </c>
      <c r="J290" s="111">
        <v>98</v>
      </c>
      <c r="K290" s="111">
        <f t="shared" si="37"/>
        <v>111.33333333333333</v>
      </c>
      <c r="L290" s="111">
        <v>150000</v>
      </c>
      <c r="M290" s="111">
        <f t="shared" si="38"/>
        <v>67500</v>
      </c>
      <c r="N290" s="111">
        <f t="shared" si="39"/>
        <v>67500</v>
      </c>
      <c r="O290" s="111">
        <f t="shared" si="40"/>
        <v>13500</v>
      </c>
      <c r="P290" s="111">
        <f t="shared" si="41"/>
        <v>15000</v>
      </c>
      <c r="Q290" s="111">
        <v>30000</v>
      </c>
      <c r="R290" s="111">
        <v>3</v>
      </c>
      <c r="S290" s="111">
        <f t="shared" si="42"/>
        <v>3000</v>
      </c>
      <c r="T290" s="111">
        <f t="shared" si="43"/>
        <v>180000</v>
      </c>
      <c r="U290" s="111">
        <f t="shared" si="44"/>
        <v>1800</v>
      </c>
      <c r="V290" s="111">
        <f t="shared" si="45"/>
        <v>181800</v>
      </c>
      <c r="W290" t="s">
        <v>2749</v>
      </c>
    </row>
    <row r="291" spans="1:23" x14ac:dyDescent="0.3">
      <c r="A291" s="110">
        <v>300209</v>
      </c>
      <c r="B291" s="110" t="s">
        <v>451</v>
      </c>
      <c r="C291" s="110" t="s">
        <v>481</v>
      </c>
      <c r="D291" s="110" t="s">
        <v>485</v>
      </c>
      <c r="E291" s="110" t="s">
        <v>390</v>
      </c>
      <c r="F291" s="110" t="s">
        <v>113</v>
      </c>
      <c r="G291" s="110" t="s">
        <v>114</v>
      </c>
      <c r="H291" s="111">
        <v>21</v>
      </c>
      <c r="I291" s="111">
        <v>16</v>
      </c>
      <c r="J291" s="111">
        <v>16</v>
      </c>
      <c r="K291" s="111">
        <f t="shared" si="37"/>
        <v>17.666666666666668</v>
      </c>
      <c r="L291" s="111">
        <v>50000</v>
      </c>
      <c r="M291" s="111">
        <f t="shared" si="38"/>
        <v>22500</v>
      </c>
      <c r="N291" s="111">
        <f t="shared" si="39"/>
        <v>22500</v>
      </c>
      <c r="O291" s="111">
        <f t="shared" si="40"/>
        <v>4500</v>
      </c>
      <c r="P291" s="111">
        <f t="shared" si="41"/>
        <v>5000</v>
      </c>
      <c r="Q291" s="111">
        <v>10000</v>
      </c>
      <c r="R291" s="111">
        <v>1</v>
      </c>
      <c r="S291" s="111">
        <f t="shared" si="42"/>
        <v>1000</v>
      </c>
      <c r="T291" s="111">
        <f t="shared" si="43"/>
        <v>60000</v>
      </c>
      <c r="U291" s="111">
        <f t="shared" si="44"/>
        <v>600</v>
      </c>
      <c r="V291" s="111">
        <f t="shared" si="45"/>
        <v>60600</v>
      </c>
      <c r="W291" t="s">
        <v>2750</v>
      </c>
    </row>
    <row r="292" spans="1:23" x14ac:dyDescent="0.3">
      <c r="A292" s="110">
        <v>300210</v>
      </c>
      <c r="B292" s="110" t="s">
        <v>451</v>
      </c>
      <c r="C292" s="110" t="s">
        <v>481</v>
      </c>
      <c r="D292" s="110" t="s">
        <v>486</v>
      </c>
      <c r="E292" s="110" t="s">
        <v>319</v>
      </c>
      <c r="F292" s="110" t="s">
        <v>113</v>
      </c>
      <c r="G292" s="110" t="s">
        <v>114</v>
      </c>
      <c r="H292" s="111">
        <v>49</v>
      </c>
      <c r="I292" s="111">
        <v>39</v>
      </c>
      <c r="J292" s="111">
        <v>33</v>
      </c>
      <c r="K292" s="111">
        <f t="shared" si="37"/>
        <v>40.333333333333336</v>
      </c>
      <c r="L292" s="111">
        <v>50000</v>
      </c>
      <c r="M292" s="111">
        <f t="shared" si="38"/>
        <v>22500</v>
      </c>
      <c r="N292" s="111">
        <f t="shared" si="39"/>
        <v>22500</v>
      </c>
      <c r="O292" s="111">
        <f t="shared" si="40"/>
        <v>4500</v>
      </c>
      <c r="P292" s="111">
        <f t="shared" si="41"/>
        <v>5000</v>
      </c>
      <c r="Q292" s="111">
        <v>10000</v>
      </c>
      <c r="R292" s="111">
        <v>1</v>
      </c>
      <c r="S292" s="111">
        <f t="shared" si="42"/>
        <v>1000</v>
      </c>
      <c r="T292" s="111">
        <f t="shared" si="43"/>
        <v>60000</v>
      </c>
      <c r="U292" s="111">
        <f t="shared" si="44"/>
        <v>600</v>
      </c>
      <c r="V292" s="111">
        <f t="shared" si="45"/>
        <v>60600</v>
      </c>
      <c r="W292" t="s">
        <v>2751</v>
      </c>
    </row>
    <row r="293" spans="1:23" x14ac:dyDescent="0.3">
      <c r="A293" s="110">
        <v>300211</v>
      </c>
      <c r="B293" s="110" t="s">
        <v>451</v>
      </c>
      <c r="C293" s="110" t="s">
        <v>481</v>
      </c>
      <c r="D293" s="110" t="s">
        <v>487</v>
      </c>
      <c r="E293" s="110" t="s">
        <v>404</v>
      </c>
      <c r="F293" s="110" t="s">
        <v>113</v>
      </c>
      <c r="G293" s="110" t="s">
        <v>114</v>
      </c>
      <c r="H293" s="111">
        <v>74</v>
      </c>
      <c r="I293" s="111">
        <v>64</v>
      </c>
      <c r="J293" s="111">
        <v>57</v>
      </c>
      <c r="K293" s="111">
        <f t="shared" si="37"/>
        <v>65</v>
      </c>
      <c r="L293" s="111">
        <v>150000</v>
      </c>
      <c r="M293" s="111">
        <f t="shared" si="38"/>
        <v>67500</v>
      </c>
      <c r="N293" s="111">
        <f t="shared" si="39"/>
        <v>67500</v>
      </c>
      <c r="O293" s="111">
        <f t="shared" si="40"/>
        <v>13500</v>
      </c>
      <c r="P293" s="111">
        <f t="shared" si="41"/>
        <v>15000</v>
      </c>
      <c r="Q293" s="111">
        <v>30000</v>
      </c>
      <c r="R293" s="111">
        <v>3</v>
      </c>
      <c r="S293" s="111">
        <f t="shared" si="42"/>
        <v>3000</v>
      </c>
      <c r="T293" s="111">
        <f t="shared" si="43"/>
        <v>180000</v>
      </c>
      <c r="U293" s="111">
        <f t="shared" si="44"/>
        <v>1800</v>
      </c>
      <c r="V293" s="111">
        <f t="shared" si="45"/>
        <v>181800</v>
      </c>
      <c r="W293" t="s">
        <v>2752</v>
      </c>
    </row>
    <row r="294" spans="1:23" x14ac:dyDescent="0.3">
      <c r="A294" s="110">
        <v>300212</v>
      </c>
      <c r="B294" s="110" t="s">
        <v>451</v>
      </c>
      <c r="C294" s="110" t="s">
        <v>481</v>
      </c>
      <c r="D294" s="110" t="s">
        <v>488</v>
      </c>
      <c r="E294" s="110" t="s">
        <v>301</v>
      </c>
      <c r="F294" s="110" t="s">
        <v>113</v>
      </c>
      <c r="G294" s="110" t="s">
        <v>114</v>
      </c>
      <c r="H294" s="111">
        <v>46</v>
      </c>
      <c r="I294" s="111">
        <v>69</v>
      </c>
      <c r="J294" s="111">
        <v>67</v>
      </c>
      <c r="K294" s="111">
        <f t="shared" si="37"/>
        <v>60.666666666666664</v>
      </c>
      <c r="L294" s="111">
        <f>150000*0.7</f>
        <v>105000</v>
      </c>
      <c r="M294" s="111">
        <f t="shared" si="38"/>
        <v>47250</v>
      </c>
      <c r="N294" s="111">
        <f t="shared" si="39"/>
        <v>47250</v>
      </c>
      <c r="O294" s="111">
        <f t="shared" si="40"/>
        <v>9450</v>
      </c>
      <c r="P294" s="111">
        <f t="shared" si="41"/>
        <v>10500</v>
      </c>
      <c r="Q294" s="111">
        <v>30000</v>
      </c>
      <c r="R294" s="111">
        <v>3</v>
      </c>
      <c r="S294" s="111">
        <f t="shared" si="42"/>
        <v>3000</v>
      </c>
      <c r="T294" s="111">
        <f t="shared" si="43"/>
        <v>135000</v>
      </c>
      <c r="U294" s="111">
        <f t="shared" si="44"/>
        <v>1350</v>
      </c>
      <c r="V294" s="111">
        <f t="shared" si="45"/>
        <v>136350</v>
      </c>
      <c r="W294" t="s">
        <v>2753</v>
      </c>
    </row>
    <row r="295" spans="1:23" x14ac:dyDescent="0.3">
      <c r="A295" s="110">
        <v>300216</v>
      </c>
      <c r="B295" s="110" t="s">
        <v>451</v>
      </c>
      <c r="C295" s="110" t="s">
        <v>481</v>
      </c>
      <c r="D295" s="110" t="s">
        <v>481</v>
      </c>
      <c r="E295" s="110" t="s">
        <v>489</v>
      </c>
      <c r="F295" s="110" t="s">
        <v>119</v>
      </c>
      <c r="G295" s="110" t="s">
        <v>114</v>
      </c>
      <c r="H295" s="111">
        <v>893</v>
      </c>
      <c r="I295" s="111">
        <v>923</v>
      </c>
      <c r="J295" s="111">
        <v>937</v>
      </c>
      <c r="K295" s="111">
        <f t="shared" si="37"/>
        <v>917.66666666666663</v>
      </c>
      <c r="L295" s="111">
        <f>300000</f>
        <v>300000</v>
      </c>
      <c r="M295" s="111">
        <f t="shared" si="38"/>
        <v>135000</v>
      </c>
      <c r="N295" s="111">
        <f t="shared" si="39"/>
        <v>135000</v>
      </c>
      <c r="O295" s="111">
        <f t="shared" si="40"/>
        <v>27000</v>
      </c>
      <c r="P295" s="111">
        <f t="shared" si="41"/>
        <v>30000</v>
      </c>
      <c r="Q295" s="111">
        <v>60000</v>
      </c>
      <c r="R295" s="111">
        <v>6</v>
      </c>
      <c r="S295" s="111">
        <f t="shared" si="42"/>
        <v>6000</v>
      </c>
      <c r="T295" s="111">
        <f t="shared" si="43"/>
        <v>360000</v>
      </c>
      <c r="U295" s="111">
        <f t="shared" si="44"/>
        <v>3600</v>
      </c>
      <c r="V295" s="111">
        <f t="shared" si="45"/>
        <v>363600</v>
      </c>
      <c r="W295" t="s">
        <v>2754</v>
      </c>
    </row>
    <row r="296" spans="1:23" x14ac:dyDescent="0.3">
      <c r="A296" s="110">
        <v>300217</v>
      </c>
      <c r="B296" s="110" t="s">
        <v>451</v>
      </c>
      <c r="C296" s="110" t="s">
        <v>481</v>
      </c>
      <c r="D296" s="110" t="s">
        <v>481</v>
      </c>
      <c r="E296" s="110" t="s">
        <v>490</v>
      </c>
      <c r="F296" s="110" t="s">
        <v>119</v>
      </c>
      <c r="G296" s="110" t="s">
        <v>114</v>
      </c>
      <c r="H296" s="111">
        <v>443</v>
      </c>
      <c r="I296" s="111">
        <v>437</v>
      </c>
      <c r="J296" s="111">
        <v>445</v>
      </c>
      <c r="K296" s="111">
        <f t="shared" si="37"/>
        <v>441.66666666666669</v>
      </c>
      <c r="L296" s="111">
        <f>300000*0.7</f>
        <v>210000</v>
      </c>
      <c r="M296" s="111">
        <f t="shared" si="38"/>
        <v>94500</v>
      </c>
      <c r="N296" s="111">
        <f t="shared" si="39"/>
        <v>94500</v>
      </c>
      <c r="O296" s="111">
        <f t="shared" si="40"/>
        <v>18900</v>
      </c>
      <c r="P296" s="111">
        <f t="shared" si="41"/>
        <v>21000</v>
      </c>
      <c r="Q296" s="111">
        <v>60000</v>
      </c>
      <c r="R296" s="111">
        <v>6</v>
      </c>
      <c r="S296" s="111">
        <f t="shared" si="42"/>
        <v>6000</v>
      </c>
      <c r="T296" s="111">
        <f t="shared" si="43"/>
        <v>270000</v>
      </c>
      <c r="U296" s="111">
        <f t="shared" si="44"/>
        <v>2700</v>
      </c>
      <c r="V296" s="111">
        <f t="shared" si="45"/>
        <v>272700</v>
      </c>
      <c r="W296" t="s">
        <v>2755</v>
      </c>
    </row>
    <row r="297" spans="1:23" x14ac:dyDescent="0.3">
      <c r="A297" s="110">
        <v>300218</v>
      </c>
      <c r="B297" s="110" t="s">
        <v>451</v>
      </c>
      <c r="C297" s="110" t="s">
        <v>481</v>
      </c>
      <c r="D297" s="110" t="s">
        <v>481</v>
      </c>
      <c r="E297" s="110" t="s">
        <v>491</v>
      </c>
      <c r="F297" s="110" t="s">
        <v>117</v>
      </c>
      <c r="G297" s="110" t="s">
        <v>125</v>
      </c>
      <c r="H297" s="111">
        <v>97</v>
      </c>
      <c r="I297" s="111">
        <v>108</v>
      </c>
      <c r="J297" s="111">
        <v>115</v>
      </c>
      <c r="K297" s="111">
        <f t="shared" si="37"/>
        <v>106.66666666666667</v>
      </c>
      <c r="L297" s="111">
        <v>150000</v>
      </c>
      <c r="M297" s="111">
        <f t="shared" si="38"/>
        <v>67500</v>
      </c>
      <c r="N297" s="111">
        <f t="shared" si="39"/>
        <v>67500</v>
      </c>
      <c r="O297" s="111">
        <f t="shared" si="40"/>
        <v>13500</v>
      </c>
      <c r="P297" s="111">
        <f t="shared" si="41"/>
        <v>15000</v>
      </c>
      <c r="Q297" s="111">
        <v>30000</v>
      </c>
      <c r="R297" s="111">
        <v>3</v>
      </c>
      <c r="S297" s="111">
        <f t="shared" si="42"/>
        <v>3000</v>
      </c>
      <c r="T297" s="111">
        <f t="shared" si="43"/>
        <v>180000</v>
      </c>
      <c r="U297" s="111">
        <f t="shared" si="44"/>
        <v>1800</v>
      </c>
      <c r="V297" s="111">
        <f t="shared" si="45"/>
        <v>181800</v>
      </c>
      <c r="W297" t="s">
        <v>2756</v>
      </c>
    </row>
    <row r="298" spans="1:23" x14ac:dyDescent="0.3">
      <c r="A298" s="110">
        <v>300219</v>
      </c>
      <c r="B298" s="110" t="s">
        <v>451</v>
      </c>
      <c r="C298" s="110" t="s">
        <v>481</v>
      </c>
      <c r="D298" s="110" t="s">
        <v>481</v>
      </c>
      <c r="E298" s="110" t="s">
        <v>492</v>
      </c>
      <c r="F298" s="110" t="s">
        <v>117</v>
      </c>
      <c r="G298" s="110" t="s">
        <v>125</v>
      </c>
      <c r="H298" s="111">
        <v>405</v>
      </c>
      <c r="I298" s="111">
        <v>396</v>
      </c>
      <c r="J298" s="111">
        <v>397</v>
      </c>
      <c r="K298" s="111">
        <f t="shared" si="37"/>
        <v>399.33333333333331</v>
      </c>
      <c r="L298" s="111">
        <v>200000</v>
      </c>
      <c r="M298" s="111">
        <f t="shared" si="38"/>
        <v>90000</v>
      </c>
      <c r="N298" s="111">
        <f t="shared" si="39"/>
        <v>90000</v>
      </c>
      <c r="O298" s="111">
        <f t="shared" si="40"/>
        <v>18000</v>
      </c>
      <c r="P298" s="111">
        <f t="shared" si="41"/>
        <v>20000</v>
      </c>
      <c r="Q298" s="111">
        <v>50000</v>
      </c>
      <c r="R298" s="111">
        <v>5</v>
      </c>
      <c r="S298" s="111">
        <f t="shared" si="42"/>
        <v>5000</v>
      </c>
      <c r="T298" s="111">
        <f t="shared" si="43"/>
        <v>250000</v>
      </c>
      <c r="U298" s="111">
        <f t="shared" si="44"/>
        <v>2500</v>
      </c>
      <c r="V298" s="111">
        <f t="shared" si="45"/>
        <v>252500</v>
      </c>
      <c r="W298" t="s">
        <v>2757</v>
      </c>
    </row>
    <row r="299" spans="1:23" x14ac:dyDescent="0.3">
      <c r="A299" s="110">
        <v>300220</v>
      </c>
      <c r="B299" s="110" t="s">
        <v>451</v>
      </c>
      <c r="C299" s="110" t="s">
        <v>481</v>
      </c>
      <c r="D299" s="110" t="s">
        <v>481</v>
      </c>
      <c r="E299" s="110" t="s">
        <v>493</v>
      </c>
      <c r="F299" s="110" t="s">
        <v>117</v>
      </c>
      <c r="G299" s="110" t="s">
        <v>114</v>
      </c>
      <c r="H299" s="111">
        <v>375</v>
      </c>
      <c r="I299" s="111">
        <v>371</v>
      </c>
      <c r="J299" s="111">
        <v>379</v>
      </c>
      <c r="K299" s="111">
        <f t="shared" si="37"/>
        <v>375</v>
      </c>
      <c r="L299" s="111">
        <v>200000</v>
      </c>
      <c r="M299" s="111">
        <f t="shared" si="38"/>
        <v>90000</v>
      </c>
      <c r="N299" s="111">
        <f t="shared" si="39"/>
        <v>90000</v>
      </c>
      <c r="O299" s="111">
        <f t="shared" si="40"/>
        <v>18000</v>
      </c>
      <c r="P299" s="111">
        <f t="shared" si="41"/>
        <v>20000</v>
      </c>
      <c r="Q299" s="111">
        <v>50000</v>
      </c>
      <c r="R299" s="111">
        <v>5</v>
      </c>
      <c r="S299" s="111">
        <f t="shared" si="42"/>
        <v>5000</v>
      </c>
      <c r="T299" s="111">
        <f t="shared" si="43"/>
        <v>250000</v>
      </c>
      <c r="U299" s="111">
        <f t="shared" si="44"/>
        <v>2500</v>
      </c>
      <c r="V299" s="111">
        <f t="shared" si="45"/>
        <v>252500</v>
      </c>
      <c r="W299" t="s">
        <v>2758</v>
      </c>
    </row>
    <row r="300" spans="1:23" x14ac:dyDescent="0.3">
      <c r="A300" s="110">
        <v>300221</v>
      </c>
      <c r="B300" s="110" t="s">
        <v>451</v>
      </c>
      <c r="C300" s="110" t="s">
        <v>481</v>
      </c>
      <c r="D300" s="110" t="s">
        <v>481</v>
      </c>
      <c r="E300" s="110" t="s">
        <v>494</v>
      </c>
      <c r="F300" s="110" t="s">
        <v>117</v>
      </c>
      <c r="G300" s="110" t="s">
        <v>125</v>
      </c>
      <c r="H300" s="111">
        <v>263</v>
      </c>
      <c r="I300" s="111">
        <v>254</v>
      </c>
      <c r="J300" s="111">
        <v>269</v>
      </c>
      <c r="K300" s="111">
        <f t="shared" si="37"/>
        <v>262</v>
      </c>
      <c r="L300" s="111">
        <f>200000*0.7</f>
        <v>140000</v>
      </c>
      <c r="M300" s="111">
        <f t="shared" si="38"/>
        <v>63000</v>
      </c>
      <c r="N300" s="111">
        <f t="shared" si="39"/>
        <v>63000</v>
      </c>
      <c r="O300" s="111">
        <f t="shared" si="40"/>
        <v>12600</v>
      </c>
      <c r="P300" s="111">
        <f t="shared" si="41"/>
        <v>14000</v>
      </c>
      <c r="Q300" s="111">
        <v>50000</v>
      </c>
      <c r="R300" s="111">
        <v>5</v>
      </c>
      <c r="S300" s="111">
        <f t="shared" si="42"/>
        <v>5000</v>
      </c>
      <c r="T300" s="111">
        <f t="shared" si="43"/>
        <v>190000</v>
      </c>
      <c r="U300" s="111">
        <f t="shared" si="44"/>
        <v>1900</v>
      </c>
      <c r="V300" s="111">
        <f t="shared" si="45"/>
        <v>191900</v>
      </c>
      <c r="W300" t="s">
        <v>2759</v>
      </c>
    </row>
    <row r="301" spans="1:23" x14ac:dyDescent="0.3">
      <c r="A301" s="110">
        <v>300222</v>
      </c>
      <c r="B301" s="110" t="s">
        <v>451</v>
      </c>
      <c r="C301" s="110" t="s">
        <v>481</v>
      </c>
      <c r="D301" s="110" t="s">
        <v>481</v>
      </c>
      <c r="E301" s="110" t="s">
        <v>495</v>
      </c>
      <c r="F301" s="110" t="s">
        <v>117</v>
      </c>
      <c r="G301" s="110" t="s">
        <v>125</v>
      </c>
      <c r="H301" s="111">
        <v>90</v>
      </c>
      <c r="I301" s="111">
        <v>72</v>
      </c>
      <c r="J301" s="111">
        <v>60</v>
      </c>
      <c r="K301" s="111">
        <f t="shared" si="37"/>
        <v>74</v>
      </c>
      <c r="L301" s="111">
        <v>150000</v>
      </c>
      <c r="M301" s="111">
        <f t="shared" si="38"/>
        <v>67500</v>
      </c>
      <c r="N301" s="111">
        <f t="shared" si="39"/>
        <v>67500</v>
      </c>
      <c r="O301" s="111">
        <f t="shared" si="40"/>
        <v>13500</v>
      </c>
      <c r="P301" s="111">
        <f t="shared" si="41"/>
        <v>15000</v>
      </c>
      <c r="Q301" s="111">
        <v>30000</v>
      </c>
      <c r="R301" s="111">
        <v>3</v>
      </c>
      <c r="S301" s="111">
        <f t="shared" si="42"/>
        <v>3000</v>
      </c>
      <c r="T301" s="111">
        <f t="shared" si="43"/>
        <v>180000</v>
      </c>
      <c r="U301" s="111">
        <f t="shared" si="44"/>
        <v>1800</v>
      </c>
      <c r="V301" s="111">
        <f t="shared" si="45"/>
        <v>181800</v>
      </c>
      <c r="W301" t="s">
        <v>2760</v>
      </c>
    </row>
    <row r="302" spans="1:23" x14ac:dyDescent="0.3">
      <c r="A302" s="110">
        <v>300301</v>
      </c>
      <c r="B302" s="110" t="s">
        <v>451</v>
      </c>
      <c r="C302" s="110" t="s">
        <v>496</v>
      </c>
      <c r="D302" s="110" t="s">
        <v>496</v>
      </c>
      <c r="E302" s="110" t="s">
        <v>497</v>
      </c>
      <c r="F302" s="110" t="s">
        <v>209</v>
      </c>
      <c r="G302" s="110" t="s">
        <v>114</v>
      </c>
      <c r="H302" s="111">
        <v>72</v>
      </c>
      <c r="I302" s="111">
        <v>60</v>
      </c>
      <c r="J302" s="111">
        <v>68</v>
      </c>
      <c r="K302" s="111">
        <f t="shared" si="37"/>
        <v>66.666666666666671</v>
      </c>
      <c r="L302" s="111">
        <v>150000</v>
      </c>
      <c r="M302" s="111">
        <f t="shared" si="38"/>
        <v>67500</v>
      </c>
      <c r="N302" s="111">
        <f t="shared" si="39"/>
        <v>67500</v>
      </c>
      <c r="O302" s="111">
        <f t="shared" si="40"/>
        <v>13500</v>
      </c>
      <c r="P302" s="111">
        <f t="shared" si="41"/>
        <v>15000</v>
      </c>
      <c r="Q302" s="111">
        <v>30000</v>
      </c>
      <c r="R302" s="111">
        <v>3</v>
      </c>
      <c r="S302" s="111">
        <f t="shared" si="42"/>
        <v>3000</v>
      </c>
      <c r="T302" s="111">
        <f t="shared" si="43"/>
        <v>180000</v>
      </c>
      <c r="U302" s="111">
        <f t="shared" si="44"/>
        <v>1800</v>
      </c>
      <c r="V302" s="111">
        <f t="shared" si="45"/>
        <v>181800</v>
      </c>
      <c r="W302" t="s">
        <v>2761</v>
      </c>
    </row>
    <row r="303" spans="1:23" x14ac:dyDescent="0.3">
      <c r="A303" s="110">
        <v>300302</v>
      </c>
      <c r="B303" s="110" t="s">
        <v>451</v>
      </c>
      <c r="C303" s="110" t="s">
        <v>496</v>
      </c>
      <c r="D303" s="110" t="s">
        <v>498</v>
      </c>
      <c r="E303" s="110" t="s">
        <v>184</v>
      </c>
      <c r="F303" s="110" t="s">
        <v>113</v>
      </c>
      <c r="G303" s="110" t="s">
        <v>114</v>
      </c>
      <c r="H303" s="111">
        <v>24</v>
      </c>
      <c r="I303" s="111">
        <v>26</v>
      </c>
      <c r="J303" s="111">
        <v>25</v>
      </c>
      <c r="K303" s="111">
        <f t="shared" si="37"/>
        <v>25</v>
      </c>
      <c r="L303" s="111">
        <v>50000</v>
      </c>
      <c r="M303" s="111">
        <f t="shared" si="38"/>
        <v>22500</v>
      </c>
      <c r="N303" s="111">
        <f t="shared" si="39"/>
        <v>22500</v>
      </c>
      <c r="O303" s="111">
        <f t="shared" si="40"/>
        <v>4500</v>
      </c>
      <c r="P303" s="111">
        <f t="shared" si="41"/>
        <v>5000</v>
      </c>
      <c r="Q303" s="111">
        <v>10000</v>
      </c>
      <c r="R303" s="111">
        <v>1</v>
      </c>
      <c r="S303" s="111">
        <f t="shared" si="42"/>
        <v>1000</v>
      </c>
      <c r="T303" s="111">
        <f t="shared" si="43"/>
        <v>60000</v>
      </c>
      <c r="U303" s="111">
        <f t="shared" si="44"/>
        <v>600</v>
      </c>
      <c r="V303" s="111">
        <f t="shared" si="45"/>
        <v>60600</v>
      </c>
      <c r="W303" t="s">
        <v>2762</v>
      </c>
    </row>
    <row r="304" spans="1:23" x14ac:dyDescent="0.3">
      <c r="A304" s="110">
        <v>300303</v>
      </c>
      <c r="B304" s="110" t="s">
        <v>451</v>
      </c>
      <c r="C304" s="110" t="s">
        <v>496</v>
      </c>
      <c r="D304" s="110" t="s">
        <v>499</v>
      </c>
      <c r="E304" s="110" t="s">
        <v>390</v>
      </c>
      <c r="F304" s="110" t="s">
        <v>113</v>
      </c>
      <c r="G304" s="110" t="s">
        <v>114</v>
      </c>
      <c r="H304" s="111">
        <v>53</v>
      </c>
      <c r="I304" s="111">
        <v>53</v>
      </c>
      <c r="J304" s="111">
        <v>49</v>
      </c>
      <c r="K304" s="111">
        <f t="shared" si="37"/>
        <v>51.666666666666664</v>
      </c>
      <c r="L304" s="111">
        <v>150000</v>
      </c>
      <c r="M304" s="111">
        <f t="shared" si="38"/>
        <v>67500</v>
      </c>
      <c r="N304" s="111">
        <f t="shared" si="39"/>
        <v>67500</v>
      </c>
      <c r="O304" s="111">
        <f t="shared" si="40"/>
        <v>13500</v>
      </c>
      <c r="P304" s="111">
        <f t="shared" si="41"/>
        <v>15000</v>
      </c>
      <c r="Q304" s="111">
        <v>30000</v>
      </c>
      <c r="R304" s="111">
        <v>3</v>
      </c>
      <c r="S304" s="111">
        <f t="shared" si="42"/>
        <v>3000</v>
      </c>
      <c r="T304" s="111">
        <f t="shared" si="43"/>
        <v>180000</v>
      </c>
      <c r="U304" s="111">
        <f t="shared" si="44"/>
        <v>1800</v>
      </c>
      <c r="V304" s="111">
        <f t="shared" si="45"/>
        <v>181800</v>
      </c>
      <c r="W304" t="s">
        <v>2763</v>
      </c>
    </row>
    <row r="305" spans="1:23" x14ac:dyDescent="0.3">
      <c r="A305" s="110">
        <v>300304</v>
      </c>
      <c r="B305" s="110" t="s">
        <v>451</v>
      </c>
      <c r="C305" s="110" t="s">
        <v>496</v>
      </c>
      <c r="D305" s="110" t="s">
        <v>500</v>
      </c>
      <c r="E305" s="110" t="s">
        <v>501</v>
      </c>
      <c r="F305" s="110" t="s">
        <v>168</v>
      </c>
      <c r="G305" s="110" t="s">
        <v>114</v>
      </c>
      <c r="H305" s="111">
        <v>167</v>
      </c>
      <c r="I305" s="111">
        <v>157</v>
      </c>
      <c r="J305" s="111">
        <v>148</v>
      </c>
      <c r="K305" s="111">
        <f t="shared" si="37"/>
        <v>157.33333333333334</v>
      </c>
      <c r="L305" s="111">
        <v>150000</v>
      </c>
      <c r="M305" s="111">
        <f t="shared" si="38"/>
        <v>67500</v>
      </c>
      <c r="N305" s="111">
        <f t="shared" si="39"/>
        <v>67500</v>
      </c>
      <c r="O305" s="111">
        <f t="shared" si="40"/>
        <v>13500</v>
      </c>
      <c r="P305" s="111">
        <f t="shared" si="41"/>
        <v>15000</v>
      </c>
      <c r="Q305" s="111">
        <v>30000</v>
      </c>
      <c r="R305" s="111">
        <v>3</v>
      </c>
      <c r="S305" s="111">
        <f t="shared" si="42"/>
        <v>3000</v>
      </c>
      <c r="T305" s="111">
        <f t="shared" si="43"/>
        <v>180000</v>
      </c>
      <c r="U305" s="111">
        <f t="shared" si="44"/>
        <v>1800</v>
      </c>
      <c r="V305" s="111">
        <f t="shared" si="45"/>
        <v>181800</v>
      </c>
      <c r="W305" t="s">
        <v>2764</v>
      </c>
    </row>
    <row r="306" spans="1:23" x14ac:dyDescent="0.3">
      <c r="A306" s="110">
        <v>300305</v>
      </c>
      <c r="B306" s="110" t="s">
        <v>451</v>
      </c>
      <c r="C306" s="110" t="s">
        <v>496</v>
      </c>
      <c r="D306" s="110" t="s">
        <v>496</v>
      </c>
      <c r="E306" s="110" t="s">
        <v>502</v>
      </c>
      <c r="F306" s="110" t="s">
        <v>119</v>
      </c>
      <c r="G306" s="110" t="s">
        <v>114</v>
      </c>
      <c r="H306" s="111">
        <v>472</v>
      </c>
      <c r="I306" s="111">
        <v>466</v>
      </c>
      <c r="J306" s="111">
        <v>440</v>
      </c>
      <c r="K306" s="111">
        <f t="shared" si="37"/>
        <v>459.33333333333331</v>
      </c>
      <c r="L306" s="111">
        <f>300000</f>
        <v>300000</v>
      </c>
      <c r="M306" s="111">
        <f t="shared" si="38"/>
        <v>135000</v>
      </c>
      <c r="N306" s="111">
        <f t="shared" si="39"/>
        <v>135000</v>
      </c>
      <c r="O306" s="111">
        <f t="shared" si="40"/>
        <v>27000</v>
      </c>
      <c r="P306" s="111">
        <f t="shared" si="41"/>
        <v>30000</v>
      </c>
      <c r="Q306" s="111">
        <v>60000</v>
      </c>
      <c r="R306" s="111">
        <v>6</v>
      </c>
      <c r="S306" s="111">
        <f t="shared" si="42"/>
        <v>6000</v>
      </c>
      <c r="T306" s="111">
        <f t="shared" si="43"/>
        <v>360000</v>
      </c>
      <c r="U306" s="111">
        <f t="shared" si="44"/>
        <v>3600</v>
      </c>
      <c r="V306" s="111">
        <f t="shared" si="45"/>
        <v>363600</v>
      </c>
      <c r="W306" t="s">
        <v>2765</v>
      </c>
    </row>
    <row r="307" spans="1:23" x14ac:dyDescent="0.3">
      <c r="A307" s="110">
        <v>300403</v>
      </c>
      <c r="B307" s="110" t="s">
        <v>451</v>
      </c>
      <c r="C307" s="110" t="s">
        <v>503</v>
      </c>
      <c r="D307" s="110" t="s">
        <v>504</v>
      </c>
      <c r="E307" s="110" t="s">
        <v>505</v>
      </c>
      <c r="F307" s="110" t="s">
        <v>113</v>
      </c>
      <c r="G307" s="110" t="s">
        <v>114</v>
      </c>
      <c r="H307" s="111">
        <v>10</v>
      </c>
      <c r="I307" s="111">
        <v>11</v>
      </c>
      <c r="J307" s="111">
        <v>13</v>
      </c>
      <c r="K307" s="111">
        <f t="shared" si="37"/>
        <v>11.333333333333334</v>
      </c>
      <c r="L307" s="111">
        <v>50000</v>
      </c>
      <c r="M307" s="111">
        <f t="shared" si="38"/>
        <v>22500</v>
      </c>
      <c r="N307" s="111">
        <f t="shared" si="39"/>
        <v>22500</v>
      </c>
      <c r="O307" s="111">
        <f t="shared" si="40"/>
        <v>4500</v>
      </c>
      <c r="P307" s="111">
        <f t="shared" si="41"/>
        <v>5000</v>
      </c>
      <c r="Q307" s="111">
        <v>10000</v>
      </c>
      <c r="R307" s="111">
        <v>1</v>
      </c>
      <c r="S307" s="111">
        <f t="shared" si="42"/>
        <v>1000</v>
      </c>
      <c r="T307" s="111">
        <f t="shared" si="43"/>
        <v>60000</v>
      </c>
      <c r="U307" s="111">
        <f t="shared" si="44"/>
        <v>600</v>
      </c>
      <c r="V307" s="111">
        <f t="shared" si="45"/>
        <v>60600</v>
      </c>
      <c r="W307" t="s">
        <v>2766</v>
      </c>
    </row>
    <row r="308" spans="1:23" x14ac:dyDescent="0.3">
      <c r="A308" s="110">
        <v>300404</v>
      </c>
      <c r="B308" s="110" t="s">
        <v>451</v>
      </c>
      <c r="C308" s="110" t="s">
        <v>503</v>
      </c>
      <c r="D308" s="110" t="s">
        <v>503</v>
      </c>
      <c r="E308" s="110" t="s">
        <v>329</v>
      </c>
      <c r="F308" s="110" t="s">
        <v>119</v>
      </c>
      <c r="G308" s="110" t="s">
        <v>114</v>
      </c>
      <c r="H308" s="111">
        <v>278</v>
      </c>
      <c r="I308" s="111">
        <v>268</v>
      </c>
      <c r="J308" s="111">
        <v>259</v>
      </c>
      <c r="K308" s="111">
        <f t="shared" si="37"/>
        <v>268.33333333333331</v>
      </c>
      <c r="L308" s="111">
        <v>200000</v>
      </c>
      <c r="M308" s="111">
        <f t="shared" si="38"/>
        <v>90000</v>
      </c>
      <c r="N308" s="111">
        <f t="shared" si="39"/>
        <v>90000</v>
      </c>
      <c r="O308" s="111">
        <f t="shared" si="40"/>
        <v>18000</v>
      </c>
      <c r="P308" s="111">
        <f t="shared" si="41"/>
        <v>20000</v>
      </c>
      <c r="Q308" s="111">
        <v>50000</v>
      </c>
      <c r="R308" s="111">
        <v>5</v>
      </c>
      <c r="S308" s="111">
        <f t="shared" si="42"/>
        <v>5000</v>
      </c>
      <c r="T308" s="111">
        <f t="shared" si="43"/>
        <v>250000</v>
      </c>
      <c r="U308" s="111">
        <f t="shared" si="44"/>
        <v>2500</v>
      </c>
      <c r="V308" s="111">
        <f t="shared" si="45"/>
        <v>252500</v>
      </c>
      <c r="W308" t="s">
        <v>2767</v>
      </c>
    </row>
    <row r="309" spans="1:23" x14ac:dyDescent="0.3">
      <c r="A309" s="110">
        <v>300405</v>
      </c>
      <c r="B309" s="110" t="s">
        <v>451</v>
      </c>
      <c r="C309" s="110" t="s">
        <v>503</v>
      </c>
      <c r="D309" s="110" t="s">
        <v>503</v>
      </c>
      <c r="E309" s="110" t="s">
        <v>506</v>
      </c>
      <c r="F309" s="110" t="s">
        <v>117</v>
      </c>
      <c r="G309" s="110" t="s">
        <v>114</v>
      </c>
      <c r="H309" s="111">
        <v>63</v>
      </c>
      <c r="I309" s="111">
        <v>64</v>
      </c>
      <c r="J309" s="111">
        <v>66</v>
      </c>
      <c r="K309" s="111">
        <f t="shared" si="37"/>
        <v>64.333333333333329</v>
      </c>
      <c r="L309" s="111">
        <v>150000</v>
      </c>
      <c r="M309" s="111">
        <f t="shared" si="38"/>
        <v>67500</v>
      </c>
      <c r="N309" s="111">
        <f t="shared" si="39"/>
        <v>67500</v>
      </c>
      <c r="O309" s="111">
        <f t="shared" si="40"/>
        <v>13500</v>
      </c>
      <c r="P309" s="111">
        <f t="shared" si="41"/>
        <v>15000</v>
      </c>
      <c r="Q309" s="111">
        <v>30000</v>
      </c>
      <c r="R309" s="111">
        <v>3</v>
      </c>
      <c r="S309" s="111">
        <f t="shared" si="42"/>
        <v>3000</v>
      </c>
      <c r="T309" s="111">
        <f t="shared" si="43"/>
        <v>180000</v>
      </c>
      <c r="U309" s="111">
        <f t="shared" si="44"/>
        <v>1800</v>
      </c>
      <c r="V309" s="111">
        <f t="shared" si="45"/>
        <v>181800</v>
      </c>
      <c r="W309" t="s">
        <v>2768</v>
      </c>
    </row>
    <row r="310" spans="1:23" x14ac:dyDescent="0.3">
      <c r="A310" s="110">
        <v>300501</v>
      </c>
      <c r="B310" s="110" t="s">
        <v>451</v>
      </c>
      <c r="C310" s="110" t="s">
        <v>507</v>
      </c>
      <c r="D310" s="110" t="s">
        <v>507</v>
      </c>
      <c r="E310" s="110" t="s">
        <v>508</v>
      </c>
      <c r="F310" s="110" t="s">
        <v>209</v>
      </c>
      <c r="G310" s="110" t="s">
        <v>114</v>
      </c>
      <c r="H310" s="111">
        <v>88</v>
      </c>
      <c r="I310" s="111">
        <v>82</v>
      </c>
      <c r="J310" s="111">
        <v>101</v>
      </c>
      <c r="K310" s="111">
        <f t="shared" si="37"/>
        <v>90.333333333333329</v>
      </c>
      <c r="L310" s="111">
        <v>150000</v>
      </c>
      <c r="M310" s="111">
        <f t="shared" si="38"/>
        <v>67500</v>
      </c>
      <c r="N310" s="111">
        <f t="shared" si="39"/>
        <v>67500</v>
      </c>
      <c r="O310" s="111">
        <f t="shared" si="40"/>
        <v>13500</v>
      </c>
      <c r="P310" s="111">
        <f t="shared" si="41"/>
        <v>15000</v>
      </c>
      <c r="Q310" s="111">
        <v>30000</v>
      </c>
      <c r="R310" s="111">
        <v>3</v>
      </c>
      <c r="S310" s="111">
        <f t="shared" si="42"/>
        <v>3000</v>
      </c>
      <c r="T310" s="111">
        <f t="shared" si="43"/>
        <v>180000</v>
      </c>
      <c r="U310" s="111">
        <f t="shared" si="44"/>
        <v>1800</v>
      </c>
      <c r="V310" s="111">
        <f t="shared" si="45"/>
        <v>181800</v>
      </c>
      <c r="W310" t="s">
        <v>2769</v>
      </c>
    </row>
    <row r="311" spans="1:23" x14ac:dyDescent="0.3">
      <c r="A311" s="110">
        <v>300506</v>
      </c>
      <c r="B311" s="110" t="s">
        <v>451</v>
      </c>
      <c r="C311" s="110" t="s">
        <v>507</v>
      </c>
      <c r="D311" s="110" t="s">
        <v>509</v>
      </c>
      <c r="E311" s="110" t="s">
        <v>510</v>
      </c>
      <c r="F311" s="110" t="s">
        <v>168</v>
      </c>
      <c r="G311" s="110" t="s">
        <v>114</v>
      </c>
      <c r="H311" s="111">
        <v>133</v>
      </c>
      <c r="I311" s="111">
        <v>127</v>
      </c>
      <c r="J311" s="111">
        <v>124</v>
      </c>
      <c r="K311" s="111">
        <f t="shared" si="37"/>
        <v>128</v>
      </c>
      <c r="L311" s="111">
        <v>150000</v>
      </c>
      <c r="M311" s="111">
        <f t="shared" si="38"/>
        <v>67500</v>
      </c>
      <c r="N311" s="111">
        <f t="shared" si="39"/>
        <v>67500</v>
      </c>
      <c r="O311" s="111">
        <f t="shared" si="40"/>
        <v>13500</v>
      </c>
      <c r="P311" s="111">
        <f t="shared" si="41"/>
        <v>15000</v>
      </c>
      <c r="Q311" s="111">
        <v>30000</v>
      </c>
      <c r="R311" s="111">
        <v>3</v>
      </c>
      <c r="S311" s="111">
        <f t="shared" si="42"/>
        <v>3000</v>
      </c>
      <c r="T311" s="111">
        <f t="shared" si="43"/>
        <v>180000</v>
      </c>
      <c r="U311" s="111">
        <f t="shared" si="44"/>
        <v>1800</v>
      </c>
      <c r="V311" s="111">
        <f t="shared" si="45"/>
        <v>181800</v>
      </c>
      <c r="W311" t="s">
        <v>2770</v>
      </c>
    </row>
    <row r="312" spans="1:23" x14ac:dyDescent="0.3">
      <c r="A312" s="110">
        <v>300507</v>
      </c>
      <c r="B312" s="110" t="s">
        <v>451</v>
      </c>
      <c r="C312" s="110" t="s">
        <v>507</v>
      </c>
      <c r="D312" s="110" t="s">
        <v>507</v>
      </c>
      <c r="E312" s="110" t="s">
        <v>511</v>
      </c>
      <c r="F312" s="110" t="s">
        <v>119</v>
      </c>
      <c r="G312" s="110" t="s">
        <v>114</v>
      </c>
      <c r="H312" s="111">
        <v>506</v>
      </c>
      <c r="I312" s="111">
        <v>509</v>
      </c>
      <c r="J312" s="111">
        <v>479</v>
      </c>
      <c r="K312" s="111">
        <f t="shared" si="37"/>
        <v>498</v>
      </c>
      <c r="L312" s="111">
        <f>300000</f>
        <v>300000</v>
      </c>
      <c r="M312" s="111">
        <f t="shared" si="38"/>
        <v>135000</v>
      </c>
      <c r="N312" s="111">
        <f t="shared" si="39"/>
        <v>135000</v>
      </c>
      <c r="O312" s="111">
        <f t="shared" si="40"/>
        <v>27000</v>
      </c>
      <c r="P312" s="111">
        <f t="shared" si="41"/>
        <v>30000</v>
      </c>
      <c r="Q312" s="111">
        <v>60000</v>
      </c>
      <c r="R312" s="111">
        <v>6</v>
      </c>
      <c r="S312" s="111">
        <f t="shared" si="42"/>
        <v>6000</v>
      </c>
      <c r="T312" s="111">
        <f t="shared" si="43"/>
        <v>360000</v>
      </c>
      <c r="U312" s="111">
        <f t="shared" si="44"/>
        <v>3600</v>
      </c>
      <c r="V312" s="111">
        <f t="shared" si="45"/>
        <v>363600</v>
      </c>
      <c r="W312" t="s">
        <v>2771</v>
      </c>
    </row>
    <row r="313" spans="1:23" x14ac:dyDescent="0.3">
      <c r="A313" s="110">
        <v>300602</v>
      </c>
      <c r="B313" s="110" t="s">
        <v>451</v>
      </c>
      <c r="C313" s="110" t="s">
        <v>512</v>
      </c>
      <c r="D313" s="110" t="s">
        <v>512</v>
      </c>
      <c r="E313" s="110" t="s">
        <v>186</v>
      </c>
      <c r="F313" s="110" t="s">
        <v>113</v>
      </c>
      <c r="G313" s="110" t="s">
        <v>114</v>
      </c>
      <c r="H313" s="111">
        <v>307</v>
      </c>
      <c r="I313" s="111">
        <v>305</v>
      </c>
      <c r="J313" s="111">
        <v>306</v>
      </c>
      <c r="K313" s="111">
        <f t="shared" si="37"/>
        <v>306</v>
      </c>
      <c r="L313" s="111">
        <v>200000</v>
      </c>
      <c r="M313" s="111">
        <f t="shared" si="38"/>
        <v>90000</v>
      </c>
      <c r="N313" s="111">
        <f t="shared" si="39"/>
        <v>90000</v>
      </c>
      <c r="O313" s="111">
        <f t="shared" si="40"/>
        <v>18000</v>
      </c>
      <c r="P313" s="111">
        <f t="shared" si="41"/>
        <v>20000</v>
      </c>
      <c r="Q313" s="111">
        <v>50000</v>
      </c>
      <c r="R313" s="111">
        <v>5</v>
      </c>
      <c r="S313" s="111">
        <f t="shared" si="42"/>
        <v>5000</v>
      </c>
      <c r="T313" s="111">
        <f t="shared" si="43"/>
        <v>250000</v>
      </c>
      <c r="U313" s="111">
        <f t="shared" si="44"/>
        <v>2500</v>
      </c>
      <c r="V313" s="111">
        <f t="shared" si="45"/>
        <v>252500</v>
      </c>
      <c r="W313" t="s">
        <v>2772</v>
      </c>
    </row>
    <row r="314" spans="1:23" x14ac:dyDescent="0.3">
      <c r="A314" s="110">
        <v>300604</v>
      </c>
      <c r="B314" s="110" t="s">
        <v>451</v>
      </c>
      <c r="C314" s="110" t="s">
        <v>512</v>
      </c>
      <c r="D314" s="110" t="s">
        <v>513</v>
      </c>
      <c r="E314" s="110" t="s">
        <v>452</v>
      </c>
      <c r="F314" s="110" t="s">
        <v>113</v>
      </c>
      <c r="G314" s="110" t="s">
        <v>114</v>
      </c>
      <c r="H314" s="111">
        <v>73</v>
      </c>
      <c r="I314" s="111">
        <v>63</v>
      </c>
      <c r="J314" s="111">
        <v>63</v>
      </c>
      <c r="K314" s="111">
        <f t="shared" si="37"/>
        <v>66.333333333333329</v>
      </c>
      <c r="L314" s="111">
        <v>150000</v>
      </c>
      <c r="M314" s="111">
        <f t="shared" si="38"/>
        <v>67500</v>
      </c>
      <c r="N314" s="111">
        <f t="shared" si="39"/>
        <v>67500</v>
      </c>
      <c r="O314" s="111">
        <f t="shared" si="40"/>
        <v>13500</v>
      </c>
      <c r="P314" s="111">
        <f t="shared" si="41"/>
        <v>15000</v>
      </c>
      <c r="Q314" s="111">
        <v>30000</v>
      </c>
      <c r="R314" s="111">
        <v>3</v>
      </c>
      <c r="S314" s="111">
        <f t="shared" si="42"/>
        <v>3000</v>
      </c>
      <c r="T314" s="111">
        <f t="shared" si="43"/>
        <v>180000</v>
      </c>
      <c r="U314" s="111">
        <f t="shared" si="44"/>
        <v>1800</v>
      </c>
      <c r="V314" s="111">
        <f t="shared" si="45"/>
        <v>181800</v>
      </c>
      <c r="W314" t="s">
        <v>2773</v>
      </c>
    </row>
    <row r="315" spans="1:23" x14ac:dyDescent="0.3">
      <c r="A315" s="110">
        <v>300607</v>
      </c>
      <c r="B315" s="110" t="s">
        <v>451</v>
      </c>
      <c r="C315" s="110" t="s">
        <v>512</v>
      </c>
      <c r="D315" s="110" t="s">
        <v>514</v>
      </c>
      <c r="E315" s="110" t="s">
        <v>515</v>
      </c>
      <c r="F315" s="110" t="s">
        <v>113</v>
      </c>
      <c r="G315" s="110" t="s">
        <v>114</v>
      </c>
      <c r="H315" s="111">
        <v>120</v>
      </c>
      <c r="I315" s="111">
        <v>114</v>
      </c>
      <c r="J315" s="111">
        <v>108</v>
      </c>
      <c r="K315" s="111">
        <f t="shared" si="37"/>
        <v>114</v>
      </c>
      <c r="L315" s="111">
        <v>150000</v>
      </c>
      <c r="M315" s="111">
        <f t="shared" si="38"/>
        <v>67500</v>
      </c>
      <c r="N315" s="111">
        <f t="shared" si="39"/>
        <v>67500</v>
      </c>
      <c r="O315" s="111">
        <f t="shared" si="40"/>
        <v>13500</v>
      </c>
      <c r="P315" s="111">
        <f t="shared" si="41"/>
        <v>15000</v>
      </c>
      <c r="Q315" s="111">
        <v>30000</v>
      </c>
      <c r="R315" s="111">
        <v>3</v>
      </c>
      <c r="S315" s="111">
        <f t="shared" si="42"/>
        <v>3000</v>
      </c>
      <c r="T315" s="111">
        <f t="shared" si="43"/>
        <v>180000</v>
      </c>
      <c r="U315" s="111">
        <f t="shared" si="44"/>
        <v>1800</v>
      </c>
      <c r="V315" s="111">
        <f t="shared" si="45"/>
        <v>181800</v>
      </c>
      <c r="W315" t="s">
        <v>2774</v>
      </c>
    </row>
    <row r="316" spans="1:23" x14ac:dyDescent="0.3">
      <c r="A316" s="110">
        <v>300612</v>
      </c>
      <c r="B316" s="110" t="s">
        <v>451</v>
      </c>
      <c r="C316" s="110" t="s">
        <v>512</v>
      </c>
      <c r="D316" s="110" t="s">
        <v>516</v>
      </c>
      <c r="E316" s="110" t="s">
        <v>301</v>
      </c>
      <c r="F316" s="110" t="s">
        <v>113</v>
      </c>
      <c r="G316" s="110" t="s">
        <v>114</v>
      </c>
      <c r="H316" s="111">
        <v>78</v>
      </c>
      <c r="I316" s="111">
        <v>72</v>
      </c>
      <c r="J316" s="111">
        <v>73</v>
      </c>
      <c r="K316" s="111">
        <f t="shared" si="37"/>
        <v>74.333333333333329</v>
      </c>
      <c r="L316" s="111">
        <v>150000</v>
      </c>
      <c r="M316" s="111">
        <f t="shared" si="38"/>
        <v>67500</v>
      </c>
      <c r="N316" s="111">
        <f t="shared" si="39"/>
        <v>67500</v>
      </c>
      <c r="O316" s="111">
        <f t="shared" si="40"/>
        <v>13500</v>
      </c>
      <c r="P316" s="111">
        <f t="shared" si="41"/>
        <v>15000</v>
      </c>
      <c r="Q316" s="111">
        <v>30000</v>
      </c>
      <c r="R316" s="111">
        <v>3</v>
      </c>
      <c r="S316" s="111">
        <f t="shared" si="42"/>
        <v>3000</v>
      </c>
      <c r="T316" s="111">
        <f t="shared" si="43"/>
        <v>180000</v>
      </c>
      <c r="U316" s="111">
        <f t="shared" si="44"/>
        <v>1800</v>
      </c>
      <c r="V316" s="111">
        <f t="shared" si="45"/>
        <v>181800</v>
      </c>
      <c r="W316" t="s">
        <v>2775</v>
      </c>
    </row>
    <row r="317" spans="1:23" x14ac:dyDescent="0.3">
      <c r="A317" s="110">
        <v>300618</v>
      </c>
      <c r="B317" s="110" t="s">
        <v>451</v>
      </c>
      <c r="C317" s="110" t="s">
        <v>512</v>
      </c>
      <c r="D317" s="110" t="s">
        <v>512</v>
      </c>
      <c r="E317" s="110" t="s">
        <v>517</v>
      </c>
      <c r="F317" s="110" t="s">
        <v>119</v>
      </c>
      <c r="G317" s="110" t="s">
        <v>114</v>
      </c>
      <c r="H317" s="111">
        <v>698</v>
      </c>
      <c r="I317" s="111">
        <v>672</v>
      </c>
      <c r="J317" s="111">
        <v>687</v>
      </c>
      <c r="K317" s="111">
        <f t="shared" si="37"/>
        <v>685.66666666666663</v>
      </c>
      <c r="L317" s="111">
        <f>300000</f>
        <v>300000</v>
      </c>
      <c r="M317" s="111">
        <f t="shared" si="38"/>
        <v>135000</v>
      </c>
      <c r="N317" s="111">
        <f t="shared" si="39"/>
        <v>135000</v>
      </c>
      <c r="O317" s="111">
        <f t="shared" si="40"/>
        <v>27000</v>
      </c>
      <c r="P317" s="111">
        <f t="shared" si="41"/>
        <v>30000</v>
      </c>
      <c r="Q317" s="111">
        <v>60000</v>
      </c>
      <c r="R317" s="111">
        <v>6</v>
      </c>
      <c r="S317" s="111">
        <f t="shared" si="42"/>
        <v>6000</v>
      </c>
      <c r="T317" s="111">
        <f t="shared" si="43"/>
        <v>360000</v>
      </c>
      <c r="U317" s="111">
        <f t="shared" si="44"/>
        <v>3600</v>
      </c>
      <c r="V317" s="111">
        <f t="shared" si="45"/>
        <v>363600</v>
      </c>
      <c r="W317" t="s">
        <v>2776</v>
      </c>
    </row>
    <row r="318" spans="1:23" x14ac:dyDescent="0.3">
      <c r="A318" s="110">
        <v>300619</v>
      </c>
      <c r="B318" s="110" t="s">
        <v>451</v>
      </c>
      <c r="C318" s="110" t="s">
        <v>512</v>
      </c>
      <c r="D318" s="110" t="s">
        <v>512</v>
      </c>
      <c r="E318" s="110" t="s">
        <v>518</v>
      </c>
      <c r="F318" s="110" t="s">
        <v>117</v>
      </c>
      <c r="G318" s="110" t="s">
        <v>114</v>
      </c>
      <c r="H318" s="111">
        <v>306</v>
      </c>
      <c r="I318" s="111">
        <v>309</v>
      </c>
      <c r="J318" s="111">
        <v>301</v>
      </c>
      <c r="K318" s="111">
        <f t="shared" si="37"/>
        <v>305.33333333333331</v>
      </c>
      <c r="L318" s="111">
        <v>200000</v>
      </c>
      <c r="M318" s="111">
        <f t="shared" si="38"/>
        <v>90000</v>
      </c>
      <c r="N318" s="111">
        <f t="shared" si="39"/>
        <v>90000</v>
      </c>
      <c r="O318" s="111">
        <f t="shared" si="40"/>
        <v>18000</v>
      </c>
      <c r="P318" s="111">
        <f t="shared" si="41"/>
        <v>20000</v>
      </c>
      <c r="Q318" s="111">
        <v>50000</v>
      </c>
      <c r="R318" s="111">
        <v>5</v>
      </c>
      <c r="S318" s="111">
        <f t="shared" si="42"/>
        <v>5000</v>
      </c>
      <c r="T318" s="111">
        <f t="shared" si="43"/>
        <v>250000</v>
      </c>
      <c r="U318" s="111">
        <f t="shared" si="44"/>
        <v>2500</v>
      </c>
      <c r="V318" s="111">
        <f t="shared" si="45"/>
        <v>252500</v>
      </c>
      <c r="W318" t="s">
        <v>2777</v>
      </c>
    </row>
    <row r="319" spans="1:23" x14ac:dyDescent="0.3">
      <c r="A319" s="110">
        <v>300704</v>
      </c>
      <c r="B319" s="110" t="s">
        <v>451</v>
      </c>
      <c r="C319" s="110" t="s">
        <v>519</v>
      </c>
      <c r="D319" s="110" t="s">
        <v>520</v>
      </c>
      <c r="E319" s="110" t="s">
        <v>301</v>
      </c>
      <c r="F319" s="110" t="s">
        <v>113</v>
      </c>
      <c r="G319" s="110" t="s">
        <v>114</v>
      </c>
      <c r="H319" s="111">
        <v>113</v>
      </c>
      <c r="I319" s="111">
        <v>115</v>
      </c>
      <c r="J319" s="111">
        <v>108</v>
      </c>
      <c r="K319" s="111">
        <f t="shared" si="37"/>
        <v>112</v>
      </c>
      <c r="L319" s="111">
        <v>150000</v>
      </c>
      <c r="M319" s="111">
        <f t="shared" si="38"/>
        <v>67500</v>
      </c>
      <c r="N319" s="111">
        <f t="shared" si="39"/>
        <v>67500</v>
      </c>
      <c r="O319" s="111">
        <f t="shared" si="40"/>
        <v>13500</v>
      </c>
      <c r="P319" s="111">
        <f t="shared" si="41"/>
        <v>15000</v>
      </c>
      <c r="Q319" s="111">
        <v>30000</v>
      </c>
      <c r="R319" s="111">
        <v>3</v>
      </c>
      <c r="S319" s="111">
        <f t="shared" si="42"/>
        <v>3000</v>
      </c>
      <c r="T319" s="111">
        <f t="shared" si="43"/>
        <v>180000</v>
      </c>
      <c r="U319" s="111">
        <f t="shared" si="44"/>
        <v>1800</v>
      </c>
      <c r="V319" s="111">
        <f t="shared" si="45"/>
        <v>181800</v>
      </c>
      <c r="W319" t="s">
        <v>2778</v>
      </c>
    </row>
    <row r="320" spans="1:23" x14ac:dyDescent="0.3">
      <c r="A320" s="110">
        <v>300708</v>
      </c>
      <c r="B320" s="110" t="s">
        <v>451</v>
      </c>
      <c r="C320" s="110" t="s">
        <v>519</v>
      </c>
      <c r="D320" s="110" t="s">
        <v>521</v>
      </c>
      <c r="E320" s="110" t="s">
        <v>319</v>
      </c>
      <c r="F320" s="110" t="s">
        <v>113</v>
      </c>
      <c r="G320" s="110" t="s">
        <v>114</v>
      </c>
      <c r="H320" s="111">
        <v>95</v>
      </c>
      <c r="I320" s="111">
        <v>91</v>
      </c>
      <c r="J320" s="111">
        <v>83</v>
      </c>
      <c r="K320" s="111">
        <f t="shared" si="37"/>
        <v>89.666666666666671</v>
      </c>
      <c r="L320" s="111">
        <v>150000</v>
      </c>
      <c r="M320" s="111">
        <f t="shared" si="38"/>
        <v>67500</v>
      </c>
      <c r="N320" s="111">
        <f t="shared" si="39"/>
        <v>67500</v>
      </c>
      <c r="O320" s="111">
        <f t="shared" si="40"/>
        <v>13500</v>
      </c>
      <c r="P320" s="111">
        <f t="shared" si="41"/>
        <v>15000</v>
      </c>
      <c r="Q320" s="111">
        <v>30000</v>
      </c>
      <c r="R320" s="111">
        <v>3</v>
      </c>
      <c r="S320" s="111">
        <f t="shared" si="42"/>
        <v>3000</v>
      </c>
      <c r="T320" s="111">
        <f t="shared" si="43"/>
        <v>180000</v>
      </c>
      <c r="U320" s="111">
        <f t="shared" si="44"/>
        <v>1800</v>
      </c>
      <c r="V320" s="111">
        <f t="shared" si="45"/>
        <v>181800</v>
      </c>
      <c r="W320" t="s">
        <v>2779</v>
      </c>
    </row>
    <row r="321" spans="1:23" x14ac:dyDescent="0.3">
      <c r="A321" s="110">
        <v>300711</v>
      </c>
      <c r="B321" s="110" t="s">
        <v>451</v>
      </c>
      <c r="C321" s="110" t="s">
        <v>519</v>
      </c>
      <c r="D321" s="110" t="s">
        <v>519</v>
      </c>
      <c r="E321" s="110" t="s">
        <v>522</v>
      </c>
      <c r="F321" s="110" t="s">
        <v>119</v>
      </c>
      <c r="G321" s="110" t="s">
        <v>114</v>
      </c>
      <c r="H321" s="111">
        <v>761</v>
      </c>
      <c r="I321" s="111">
        <v>720</v>
      </c>
      <c r="J321" s="111">
        <v>720</v>
      </c>
      <c r="K321" s="111">
        <f t="shared" si="37"/>
        <v>733.66666666666663</v>
      </c>
      <c r="L321" s="111">
        <f>300000</f>
        <v>300000</v>
      </c>
      <c r="M321" s="111">
        <f t="shared" si="38"/>
        <v>135000</v>
      </c>
      <c r="N321" s="111">
        <f t="shared" si="39"/>
        <v>135000</v>
      </c>
      <c r="O321" s="111">
        <f t="shared" si="40"/>
        <v>27000</v>
      </c>
      <c r="P321" s="111">
        <f t="shared" si="41"/>
        <v>30000</v>
      </c>
      <c r="Q321" s="111">
        <v>60000</v>
      </c>
      <c r="R321" s="111">
        <v>6</v>
      </c>
      <c r="S321" s="111">
        <f t="shared" si="42"/>
        <v>6000</v>
      </c>
      <c r="T321" s="111">
        <f t="shared" si="43"/>
        <v>360000</v>
      </c>
      <c r="U321" s="111">
        <f t="shared" si="44"/>
        <v>3600</v>
      </c>
      <c r="V321" s="111">
        <f t="shared" si="45"/>
        <v>363600</v>
      </c>
      <c r="W321" t="s">
        <v>2780</v>
      </c>
    </row>
    <row r="322" spans="1:23" x14ac:dyDescent="0.3">
      <c r="A322" s="110">
        <v>300801</v>
      </c>
      <c r="B322" s="110" t="s">
        <v>451</v>
      </c>
      <c r="C322" s="110" t="s">
        <v>523</v>
      </c>
      <c r="D322" s="110" t="s">
        <v>523</v>
      </c>
      <c r="E322" s="110" t="s">
        <v>524</v>
      </c>
      <c r="F322" s="110" t="s">
        <v>113</v>
      </c>
      <c r="G322" s="110" t="s">
        <v>114</v>
      </c>
      <c r="H322" s="111">
        <v>85</v>
      </c>
      <c r="I322" s="111">
        <v>76</v>
      </c>
      <c r="J322" s="111">
        <v>68</v>
      </c>
      <c r="K322" s="111">
        <f t="shared" ref="K322:K385" si="46">+(H322+I322+J322)/3</f>
        <v>76.333333333333329</v>
      </c>
      <c r="L322" s="111">
        <v>150000</v>
      </c>
      <c r="M322" s="111">
        <f t="shared" ref="M322:M385" si="47">+L322*0.45</f>
        <v>67500</v>
      </c>
      <c r="N322" s="111">
        <f t="shared" ref="N322:N385" si="48">+L322*0.45</f>
        <v>67500</v>
      </c>
      <c r="O322" s="111">
        <f t="shared" ref="O322:O385" si="49">+N322*0.2</f>
        <v>13500</v>
      </c>
      <c r="P322" s="111">
        <f t="shared" ref="P322:P385" si="50">++L322*0.1</f>
        <v>15000</v>
      </c>
      <c r="Q322" s="111">
        <v>30000</v>
      </c>
      <c r="R322" s="111">
        <v>3</v>
      </c>
      <c r="S322" s="111">
        <f t="shared" ref="S322:S385" si="51">+Q322*0.1</f>
        <v>3000</v>
      </c>
      <c r="T322" s="111">
        <f t="shared" ref="T322:T385" si="52">+L322+Q322</f>
        <v>180000</v>
      </c>
      <c r="U322" s="111">
        <f t="shared" ref="U322:U385" si="53">+T322*0.01</f>
        <v>1800</v>
      </c>
      <c r="V322" s="111">
        <f t="shared" ref="V322:V385" si="54">+T322+U322</f>
        <v>181800</v>
      </c>
      <c r="W322" t="s">
        <v>2781</v>
      </c>
    </row>
    <row r="323" spans="1:23" x14ac:dyDescent="0.3">
      <c r="A323" s="110">
        <v>300803</v>
      </c>
      <c r="B323" s="110" t="s">
        <v>451</v>
      </c>
      <c r="C323" s="110" t="s">
        <v>523</v>
      </c>
      <c r="D323" s="110" t="s">
        <v>525</v>
      </c>
      <c r="E323" s="110" t="s">
        <v>184</v>
      </c>
      <c r="F323" s="110" t="s">
        <v>113</v>
      </c>
      <c r="G323" s="110" t="s">
        <v>114</v>
      </c>
      <c r="H323" s="111">
        <v>56</v>
      </c>
      <c r="I323" s="111">
        <v>56</v>
      </c>
      <c r="J323" s="111">
        <v>55</v>
      </c>
      <c r="K323" s="111">
        <f t="shared" si="46"/>
        <v>55.666666666666664</v>
      </c>
      <c r="L323" s="111">
        <v>150000</v>
      </c>
      <c r="M323" s="111">
        <f t="shared" si="47"/>
        <v>67500</v>
      </c>
      <c r="N323" s="111">
        <f t="shared" si="48"/>
        <v>67500</v>
      </c>
      <c r="O323" s="111">
        <f t="shared" si="49"/>
        <v>13500</v>
      </c>
      <c r="P323" s="111">
        <f t="shared" si="50"/>
        <v>15000</v>
      </c>
      <c r="Q323" s="111">
        <v>30000</v>
      </c>
      <c r="R323" s="111">
        <v>3</v>
      </c>
      <c r="S323" s="111">
        <f t="shared" si="51"/>
        <v>3000</v>
      </c>
      <c r="T323" s="111">
        <f t="shared" si="52"/>
        <v>180000</v>
      </c>
      <c r="U323" s="111">
        <f t="shared" si="53"/>
        <v>1800</v>
      </c>
      <c r="V323" s="111">
        <f t="shared" si="54"/>
        <v>181800</v>
      </c>
      <c r="W323" t="s">
        <v>2782</v>
      </c>
    </row>
    <row r="324" spans="1:23" x14ac:dyDescent="0.3">
      <c r="A324" s="110">
        <v>300808</v>
      </c>
      <c r="B324" s="110" t="s">
        <v>451</v>
      </c>
      <c r="C324" s="110" t="s">
        <v>523</v>
      </c>
      <c r="D324" s="110" t="s">
        <v>526</v>
      </c>
      <c r="E324" s="110" t="s">
        <v>143</v>
      </c>
      <c r="F324" s="110" t="s">
        <v>113</v>
      </c>
      <c r="G324" s="110" t="s">
        <v>114</v>
      </c>
      <c r="H324" s="111">
        <v>45</v>
      </c>
      <c r="I324" s="111">
        <v>40</v>
      </c>
      <c r="J324" s="111">
        <v>44</v>
      </c>
      <c r="K324" s="111">
        <f t="shared" si="46"/>
        <v>43</v>
      </c>
      <c r="L324" s="111">
        <v>50000</v>
      </c>
      <c r="M324" s="111">
        <f t="shared" si="47"/>
        <v>22500</v>
      </c>
      <c r="N324" s="111">
        <f t="shared" si="48"/>
        <v>22500</v>
      </c>
      <c r="O324" s="111">
        <f t="shared" si="49"/>
        <v>4500</v>
      </c>
      <c r="P324" s="111">
        <f t="shared" si="50"/>
        <v>5000</v>
      </c>
      <c r="Q324" s="111">
        <v>10000</v>
      </c>
      <c r="R324" s="111">
        <v>1</v>
      </c>
      <c r="S324" s="111">
        <f t="shared" si="51"/>
        <v>1000</v>
      </c>
      <c r="T324" s="111">
        <f t="shared" si="52"/>
        <v>60000</v>
      </c>
      <c r="U324" s="111">
        <f t="shared" si="53"/>
        <v>600</v>
      </c>
      <c r="V324" s="111">
        <f t="shared" si="54"/>
        <v>60600</v>
      </c>
      <c r="W324" t="s">
        <v>2783</v>
      </c>
    </row>
    <row r="325" spans="1:23" x14ac:dyDescent="0.3">
      <c r="A325" s="110">
        <v>300809</v>
      </c>
      <c r="B325" s="110" t="s">
        <v>451</v>
      </c>
      <c r="C325" s="110" t="s">
        <v>523</v>
      </c>
      <c r="D325" s="110" t="s">
        <v>527</v>
      </c>
      <c r="E325" s="110" t="s">
        <v>201</v>
      </c>
      <c r="F325" s="110" t="s">
        <v>113</v>
      </c>
      <c r="G325" s="110" t="s">
        <v>114</v>
      </c>
      <c r="H325" s="111">
        <v>73</v>
      </c>
      <c r="I325" s="111">
        <v>65</v>
      </c>
      <c r="J325" s="111">
        <v>66</v>
      </c>
      <c r="K325" s="111">
        <f t="shared" si="46"/>
        <v>68</v>
      </c>
      <c r="L325" s="111">
        <v>150000</v>
      </c>
      <c r="M325" s="111">
        <f t="shared" si="47"/>
        <v>67500</v>
      </c>
      <c r="N325" s="111">
        <f t="shared" si="48"/>
        <v>67500</v>
      </c>
      <c r="O325" s="111">
        <f t="shared" si="49"/>
        <v>13500</v>
      </c>
      <c r="P325" s="111">
        <f t="shared" si="50"/>
        <v>15000</v>
      </c>
      <c r="Q325" s="111">
        <v>30000</v>
      </c>
      <c r="R325" s="111">
        <v>3</v>
      </c>
      <c r="S325" s="111">
        <f t="shared" si="51"/>
        <v>3000</v>
      </c>
      <c r="T325" s="111">
        <f t="shared" si="52"/>
        <v>180000</v>
      </c>
      <c r="U325" s="111">
        <f t="shared" si="53"/>
        <v>1800</v>
      </c>
      <c r="V325" s="111">
        <f t="shared" si="54"/>
        <v>181800</v>
      </c>
      <c r="W325" t="s">
        <v>2784</v>
      </c>
    </row>
    <row r="326" spans="1:23" x14ac:dyDescent="0.3">
      <c r="A326" s="110">
        <v>300810</v>
      </c>
      <c r="B326" s="110" t="s">
        <v>451</v>
      </c>
      <c r="C326" s="110" t="s">
        <v>523</v>
      </c>
      <c r="D326" s="110" t="s">
        <v>528</v>
      </c>
      <c r="E326" s="110" t="s">
        <v>184</v>
      </c>
      <c r="F326" s="110" t="s">
        <v>113</v>
      </c>
      <c r="G326" s="110" t="s">
        <v>114</v>
      </c>
      <c r="H326" s="111">
        <v>40</v>
      </c>
      <c r="I326" s="111">
        <v>32</v>
      </c>
      <c r="J326" s="111">
        <v>34</v>
      </c>
      <c r="K326" s="111">
        <f t="shared" si="46"/>
        <v>35.333333333333336</v>
      </c>
      <c r="L326" s="111">
        <v>50000</v>
      </c>
      <c r="M326" s="111">
        <f t="shared" si="47"/>
        <v>22500</v>
      </c>
      <c r="N326" s="111">
        <f t="shared" si="48"/>
        <v>22500</v>
      </c>
      <c r="O326" s="111">
        <f t="shared" si="49"/>
        <v>4500</v>
      </c>
      <c r="P326" s="111">
        <f t="shared" si="50"/>
        <v>5000</v>
      </c>
      <c r="Q326" s="111">
        <v>10000</v>
      </c>
      <c r="R326" s="111">
        <v>1</v>
      </c>
      <c r="S326" s="111">
        <f t="shared" si="51"/>
        <v>1000</v>
      </c>
      <c r="T326" s="111">
        <f t="shared" si="52"/>
        <v>60000</v>
      </c>
      <c r="U326" s="111">
        <f t="shared" si="53"/>
        <v>600</v>
      </c>
      <c r="V326" s="111">
        <f t="shared" si="54"/>
        <v>60600</v>
      </c>
      <c r="W326" t="s">
        <v>2785</v>
      </c>
    </row>
    <row r="327" spans="1:23" x14ac:dyDescent="0.3">
      <c r="A327" s="110">
        <v>300814</v>
      </c>
      <c r="B327" s="110" t="s">
        <v>451</v>
      </c>
      <c r="C327" s="110" t="s">
        <v>523</v>
      </c>
      <c r="D327" s="110" t="s">
        <v>523</v>
      </c>
      <c r="E327" s="110" t="s">
        <v>529</v>
      </c>
      <c r="F327" s="110" t="s">
        <v>119</v>
      </c>
      <c r="G327" s="110" t="s">
        <v>114</v>
      </c>
      <c r="H327" s="111">
        <v>353</v>
      </c>
      <c r="I327" s="111">
        <v>344</v>
      </c>
      <c r="J327" s="111">
        <v>352</v>
      </c>
      <c r="K327" s="111">
        <f t="shared" si="46"/>
        <v>349.66666666666669</v>
      </c>
      <c r="L327" s="111">
        <v>200000</v>
      </c>
      <c r="M327" s="111">
        <f t="shared" si="47"/>
        <v>90000</v>
      </c>
      <c r="N327" s="111">
        <f t="shared" si="48"/>
        <v>90000</v>
      </c>
      <c r="O327" s="111">
        <f t="shared" si="49"/>
        <v>18000</v>
      </c>
      <c r="P327" s="111">
        <f t="shared" si="50"/>
        <v>20000</v>
      </c>
      <c r="Q327" s="111">
        <v>50000</v>
      </c>
      <c r="R327" s="111">
        <v>5</v>
      </c>
      <c r="S327" s="111">
        <f t="shared" si="51"/>
        <v>5000</v>
      </c>
      <c r="T327" s="111">
        <f t="shared" si="52"/>
        <v>250000</v>
      </c>
      <c r="U327" s="111">
        <f t="shared" si="53"/>
        <v>2500</v>
      </c>
      <c r="V327" s="111">
        <f t="shared" si="54"/>
        <v>252500</v>
      </c>
      <c r="W327" t="s">
        <v>2786</v>
      </c>
    </row>
    <row r="328" spans="1:23" x14ac:dyDescent="0.3">
      <c r="A328" s="110">
        <v>300815</v>
      </c>
      <c r="B328" s="110" t="s">
        <v>451</v>
      </c>
      <c r="C328" s="110" t="s">
        <v>523</v>
      </c>
      <c r="D328" s="110" t="s">
        <v>523</v>
      </c>
      <c r="E328" s="110" t="s">
        <v>530</v>
      </c>
      <c r="F328" s="110" t="s">
        <v>119</v>
      </c>
      <c r="G328" s="110" t="s">
        <v>114</v>
      </c>
      <c r="H328" s="111">
        <v>734</v>
      </c>
      <c r="I328" s="111">
        <v>716</v>
      </c>
      <c r="J328" s="111">
        <v>690</v>
      </c>
      <c r="K328" s="111">
        <f t="shared" si="46"/>
        <v>713.33333333333337</v>
      </c>
      <c r="L328" s="111">
        <f>300000</f>
        <v>300000</v>
      </c>
      <c r="M328" s="111">
        <f t="shared" si="47"/>
        <v>135000</v>
      </c>
      <c r="N328" s="111">
        <f t="shared" si="48"/>
        <v>135000</v>
      </c>
      <c r="O328" s="111">
        <f t="shared" si="49"/>
        <v>27000</v>
      </c>
      <c r="P328" s="111">
        <f t="shared" si="50"/>
        <v>30000</v>
      </c>
      <c r="Q328" s="111">
        <v>60000</v>
      </c>
      <c r="R328" s="111">
        <v>6</v>
      </c>
      <c r="S328" s="111">
        <f t="shared" si="51"/>
        <v>6000</v>
      </c>
      <c r="T328" s="111">
        <f t="shared" si="52"/>
        <v>360000</v>
      </c>
      <c r="U328" s="111">
        <f t="shared" si="53"/>
        <v>3600</v>
      </c>
      <c r="V328" s="111">
        <f t="shared" si="54"/>
        <v>363600</v>
      </c>
      <c r="W328" t="s">
        <v>2787</v>
      </c>
    </row>
    <row r="329" spans="1:23" x14ac:dyDescent="0.3">
      <c r="A329" s="110">
        <v>300816</v>
      </c>
      <c r="B329" s="110" t="s">
        <v>451</v>
      </c>
      <c r="C329" s="110" t="s">
        <v>523</v>
      </c>
      <c r="D329" s="110" t="s">
        <v>523</v>
      </c>
      <c r="E329" s="110" t="s">
        <v>531</v>
      </c>
      <c r="F329" s="110" t="s">
        <v>119</v>
      </c>
      <c r="G329" s="110" t="s">
        <v>114</v>
      </c>
      <c r="H329" s="111">
        <v>765</v>
      </c>
      <c r="I329" s="111">
        <v>763</v>
      </c>
      <c r="J329" s="111">
        <v>763</v>
      </c>
      <c r="K329" s="111">
        <f t="shared" si="46"/>
        <v>763.66666666666663</v>
      </c>
      <c r="L329" s="111">
        <f>300000*0.7</f>
        <v>210000</v>
      </c>
      <c r="M329" s="111">
        <f t="shared" si="47"/>
        <v>94500</v>
      </c>
      <c r="N329" s="111">
        <f t="shared" si="48"/>
        <v>94500</v>
      </c>
      <c r="O329" s="111">
        <f t="shared" si="49"/>
        <v>18900</v>
      </c>
      <c r="P329" s="111">
        <f t="shared" si="50"/>
        <v>21000</v>
      </c>
      <c r="Q329" s="111">
        <v>60000</v>
      </c>
      <c r="R329" s="111">
        <v>6</v>
      </c>
      <c r="S329" s="111">
        <f t="shared" si="51"/>
        <v>6000</v>
      </c>
      <c r="T329" s="111">
        <f t="shared" si="52"/>
        <v>270000</v>
      </c>
      <c r="U329" s="111">
        <f t="shared" si="53"/>
        <v>2700</v>
      </c>
      <c r="V329" s="111">
        <f t="shared" si="54"/>
        <v>272700</v>
      </c>
      <c r="W329" t="s">
        <v>2788</v>
      </c>
    </row>
    <row r="330" spans="1:23" x14ac:dyDescent="0.3">
      <c r="A330" s="110">
        <v>300817</v>
      </c>
      <c r="B330" s="110" t="s">
        <v>451</v>
      </c>
      <c r="C330" s="110" t="s">
        <v>523</v>
      </c>
      <c r="D330" s="110" t="s">
        <v>523</v>
      </c>
      <c r="E330" s="110" t="s">
        <v>532</v>
      </c>
      <c r="F330" s="110" t="s">
        <v>117</v>
      </c>
      <c r="G330" s="110" t="s">
        <v>125</v>
      </c>
      <c r="H330" s="111">
        <v>159</v>
      </c>
      <c r="I330" s="111">
        <v>152</v>
      </c>
      <c r="J330" s="111">
        <v>165</v>
      </c>
      <c r="K330" s="111">
        <f t="shared" si="46"/>
        <v>158.66666666666666</v>
      </c>
      <c r="L330" s="111">
        <f>150000*0.7</f>
        <v>105000</v>
      </c>
      <c r="M330" s="111">
        <f t="shared" si="47"/>
        <v>47250</v>
      </c>
      <c r="N330" s="111">
        <f t="shared" si="48"/>
        <v>47250</v>
      </c>
      <c r="O330" s="111">
        <f t="shared" si="49"/>
        <v>9450</v>
      </c>
      <c r="P330" s="111">
        <f t="shared" si="50"/>
        <v>10500</v>
      </c>
      <c r="Q330" s="111">
        <v>30000</v>
      </c>
      <c r="R330" s="111">
        <v>3</v>
      </c>
      <c r="S330" s="111">
        <f t="shared" si="51"/>
        <v>3000</v>
      </c>
      <c r="T330" s="111">
        <f t="shared" si="52"/>
        <v>135000</v>
      </c>
      <c r="U330" s="111">
        <f t="shared" si="53"/>
        <v>1350</v>
      </c>
      <c r="V330" s="111">
        <f t="shared" si="54"/>
        <v>136350</v>
      </c>
      <c r="W330" t="s">
        <v>2789</v>
      </c>
    </row>
    <row r="331" spans="1:23" x14ac:dyDescent="0.3">
      <c r="A331" s="110">
        <v>300819</v>
      </c>
      <c r="B331" s="110" t="s">
        <v>451</v>
      </c>
      <c r="C331" s="110" t="s">
        <v>523</v>
      </c>
      <c r="D331" s="110" t="s">
        <v>523</v>
      </c>
      <c r="E331" s="110" t="s">
        <v>533</v>
      </c>
      <c r="F331" s="110" t="s">
        <v>117</v>
      </c>
      <c r="G331" s="110" t="s">
        <v>125</v>
      </c>
      <c r="H331" s="111">
        <v>334</v>
      </c>
      <c r="I331" s="111">
        <v>323</v>
      </c>
      <c r="J331" s="111">
        <v>303</v>
      </c>
      <c r="K331" s="111">
        <f t="shared" si="46"/>
        <v>320</v>
      </c>
      <c r="L331" s="111">
        <f>200000*0.7</f>
        <v>140000</v>
      </c>
      <c r="M331" s="111">
        <f t="shared" si="47"/>
        <v>63000</v>
      </c>
      <c r="N331" s="111">
        <f t="shared" si="48"/>
        <v>63000</v>
      </c>
      <c r="O331" s="111">
        <f t="shared" si="49"/>
        <v>12600</v>
      </c>
      <c r="P331" s="111">
        <f t="shared" si="50"/>
        <v>14000</v>
      </c>
      <c r="Q331" s="111">
        <v>50000</v>
      </c>
      <c r="R331" s="111">
        <v>5</v>
      </c>
      <c r="S331" s="111">
        <f t="shared" si="51"/>
        <v>5000</v>
      </c>
      <c r="T331" s="111">
        <f t="shared" si="52"/>
        <v>190000</v>
      </c>
      <c r="U331" s="111">
        <f t="shared" si="53"/>
        <v>1900</v>
      </c>
      <c r="V331" s="111">
        <f t="shared" si="54"/>
        <v>191900</v>
      </c>
      <c r="W331" t="s">
        <v>2790</v>
      </c>
    </row>
    <row r="332" spans="1:23" x14ac:dyDescent="0.3">
      <c r="A332" s="110">
        <v>300901</v>
      </c>
      <c r="B332" s="110" t="s">
        <v>451</v>
      </c>
      <c r="C332" s="110" t="s">
        <v>534</v>
      </c>
      <c r="D332" s="110" t="s">
        <v>535</v>
      </c>
      <c r="E332" s="110" t="s">
        <v>536</v>
      </c>
      <c r="F332" s="110" t="s">
        <v>209</v>
      </c>
      <c r="G332" s="110" t="s">
        <v>114</v>
      </c>
      <c r="H332" s="111">
        <v>15</v>
      </c>
      <c r="I332" s="111">
        <v>17</v>
      </c>
      <c r="J332" s="111">
        <v>19</v>
      </c>
      <c r="K332" s="111">
        <f t="shared" si="46"/>
        <v>17</v>
      </c>
      <c r="L332" s="111">
        <v>50000</v>
      </c>
      <c r="M332" s="111">
        <f t="shared" si="47"/>
        <v>22500</v>
      </c>
      <c r="N332" s="111">
        <f t="shared" si="48"/>
        <v>22500</v>
      </c>
      <c r="O332" s="111">
        <f t="shared" si="49"/>
        <v>4500</v>
      </c>
      <c r="P332" s="111">
        <f t="shared" si="50"/>
        <v>5000</v>
      </c>
      <c r="Q332" s="111">
        <v>10000</v>
      </c>
      <c r="R332" s="111">
        <v>1</v>
      </c>
      <c r="S332" s="111">
        <f t="shared" si="51"/>
        <v>1000</v>
      </c>
      <c r="T332" s="111">
        <f t="shared" si="52"/>
        <v>60000</v>
      </c>
      <c r="U332" s="111">
        <f t="shared" si="53"/>
        <v>600</v>
      </c>
      <c r="V332" s="111">
        <f t="shared" si="54"/>
        <v>60600</v>
      </c>
      <c r="W332" t="s">
        <v>2791</v>
      </c>
    </row>
    <row r="333" spans="1:23" x14ac:dyDescent="0.3">
      <c r="A333" s="110">
        <v>300904</v>
      </c>
      <c r="B333" s="110" t="s">
        <v>451</v>
      </c>
      <c r="C333" s="110" t="s">
        <v>534</v>
      </c>
      <c r="D333" s="110" t="s">
        <v>537</v>
      </c>
      <c r="E333" s="110" t="s">
        <v>143</v>
      </c>
      <c r="F333" s="110" t="s">
        <v>113</v>
      </c>
      <c r="G333" s="110" t="s">
        <v>114</v>
      </c>
      <c r="H333" s="111">
        <v>51</v>
      </c>
      <c r="I333" s="111">
        <v>56</v>
      </c>
      <c r="J333" s="111">
        <v>60</v>
      </c>
      <c r="K333" s="111">
        <f t="shared" si="46"/>
        <v>55.666666666666664</v>
      </c>
      <c r="L333" s="111">
        <v>150000</v>
      </c>
      <c r="M333" s="111">
        <f t="shared" si="47"/>
        <v>67500</v>
      </c>
      <c r="N333" s="111">
        <f t="shared" si="48"/>
        <v>67500</v>
      </c>
      <c r="O333" s="111">
        <f t="shared" si="49"/>
        <v>13500</v>
      </c>
      <c r="P333" s="111">
        <f t="shared" si="50"/>
        <v>15000</v>
      </c>
      <c r="Q333" s="111">
        <v>30000</v>
      </c>
      <c r="R333" s="111">
        <v>3</v>
      </c>
      <c r="S333" s="111">
        <f t="shared" si="51"/>
        <v>3000</v>
      </c>
      <c r="T333" s="111">
        <f t="shared" si="52"/>
        <v>180000</v>
      </c>
      <c r="U333" s="111">
        <f t="shared" si="53"/>
        <v>1800</v>
      </c>
      <c r="V333" s="111">
        <f t="shared" si="54"/>
        <v>181800</v>
      </c>
      <c r="W333" t="s">
        <v>2792</v>
      </c>
    </row>
    <row r="334" spans="1:23" x14ac:dyDescent="0.3">
      <c r="A334" s="110">
        <v>300905</v>
      </c>
      <c r="B334" s="110" t="s">
        <v>451</v>
      </c>
      <c r="C334" s="110" t="s">
        <v>534</v>
      </c>
      <c r="D334" s="110" t="s">
        <v>538</v>
      </c>
      <c r="E334" s="110" t="s">
        <v>247</v>
      </c>
      <c r="F334" s="110" t="s">
        <v>113</v>
      </c>
      <c r="G334" s="110" t="s">
        <v>114</v>
      </c>
      <c r="H334" s="111">
        <v>42</v>
      </c>
      <c r="I334" s="111">
        <v>38</v>
      </c>
      <c r="J334" s="111">
        <v>33</v>
      </c>
      <c r="K334" s="111">
        <f t="shared" si="46"/>
        <v>37.666666666666664</v>
      </c>
      <c r="L334" s="111">
        <v>50000</v>
      </c>
      <c r="M334" s="111">
        <f t="shared" si="47"/>
        <v>22500</v>
      </c>
      <c r="N334" s="111">
        <f t="shared" si="48"/>
        <v>22500</v>
      </c>
      <c r="O334" s="111">
        <f t="shared" si="49"/>
        <v>4500</v>
      </c>
      <c r="P334" s="111">
        <f t="shared" si="50"/>
        <v>5000</v>
      </c>
      <c r="Q334" s="111">
        <v>10000</v>
      </c>
      <c r="R334" s="111">
        <v>1</v>
      </c>
      <c r="S334" s="111">
        <f t="shared" si="51"/>
        <v>1000</v>
      </c>
      <c r="T334" s="111">
        <f t="shared" si="52"/>
        <v>60000</v>
      </c>
      <c r="U334" s="111">
        <f t="shared" si="53"/>
        <v>600</v>
      </c>
      <c r="V334" s="111">
        <f t="shared" si="54"/>
        <v>60600</v>
      </c>
      <c r="W334" t="s">
        <v>2793</v>
      </c>
    </row>
    <row r="335" spans="1:23" x14ac:dyDescent="0.3">
      <c r="A335" s="110">
        <v>300908</v>
      </c>
      <c r="B335" s="110" t="s">
        <v>451</v>
      </c>
      <c r="C335" s="110" t="s">
        <v>534</v>
      </c>
      <c r="D335" s="110" t="s">
        <v>539</v>
      </c>
      <c r="E335" s="110" t="s">
        <v>540</v>
      </c>
      <c r="F335" s="110" t="s">
        <v>209</v>
      </c>
      <c r="G335" s="110" t="s">
        <v>114</v>
      </c>
      <c r="H335" s="111">
        <v>11</v>
      </c>
      <c r="I335" s="111">
        <v>11</v>
      </c>
      <c r="J335" s="111">
        <v>10</v>
      </c>
      <c r="K335" s="111">
        <f t="shared" si="46"/>
        <v>10.666666666666666</v>
      </c>
      <c r="L335" s="111">
        <v>50000</v>
      </c>
      <c r="M335" s="111">
        <f t="shared" si="47"/>
        <v>22500</v>
      </c>
      <c r="N335" s="111">
        <f t="shared" si="48"/>
        <v>22500</v>
      </c>
      <c r="O335" s="111">
        <f t="shared" si="49"/>
        <v>4500</v>
      </c>
      <c r="P335" s="111">
        <f t="shared" si="50"/>
        <v>5000</v>
      </c>
      <c r="Q335" s="111">
        <v>10000</v>
      </c>
      <c r="R335" s="111">
        <v>1</v>
      </c>
      <c r="S335" s="111">
        <f t="shared" si="51"/>
        <v>1000</v>
      </c>
      <c r="T335" s="111">
        <f t="shared" si="52"/>
        <v>60000</v>
      </c>
      <c r="U335" s="111">
        <f t="shared" si="53"/>
        <v>600</v>
      </c>
      <c r="V335" s="111">
        <f t="shared" si="54"/>
        <v>60600</v>
      </c>
      <c r="W335" t="s">
        <v>2794</v>
      </c>
    </row>
    <row r="336" spans="1:23" x14ac:dyDescent="0.3">
      <c r="A336" s="110">
        <v>300909</v>
      </c>
      <c r="B336" s="110" t="s">
        <v>451</v>
      </c>
      <c r="C336" s="110" t="s">
        <v>534</v>
      </c>
      <c r="D336" s="110" t="s">
        <v>541</v>
      </c>
      <c r="E336" s="110" t="s">
        <v>542</v>
      </c>
      <c r="F336" s="110" t="s">
        <v>113</v>
      </c>
      <c r="G336" s="110" t="s">
        <v>114</v>
      </c>
      <c r="H336" s="111">
        <v>41</v>
      </c>
      <c r="I336" s="111">
        <v>44</v>
      </c>
      <c r="J336" s="111">
        <v>44</v>
      </c>
      <c r="K336" s="111">
        <f t="shared" si="46"/>
        <v>43</v>
      </c>
      <c r="L336" s="111">
        <v>50000</v>
      </c>
      <c r="M336" s="111">
        <f t="shared" si="47"/>
        <v>22500</v>
      </c>
      <c r="N336" s="111">
        <f t="shared" si="48"/>
        <v>22500</v>
      </c>
      <c r="O336" s="111">
        <f t="shared" si="49"/>
        <v>4500</v>
      </c>
      <c r="P336" s="111">
        <f t="shared" si="50"/>
        <v>5000</v>
      </c>
      <c r="Q336" s="111">
        <v>10000</v>
      </c>
      <c r="R336" s="111">
        <v>1</v>
      </c>
      <c r="S336" s="111">
        <f t="shared" si="51"/>
        <v>1000</v>
      </c>
      <c r="T336" s="111">
        <f t="shared" si="52"/>
        <v>60000</v>
      </c>
      <c r="U336" s="111">
        <f t="shared" si="53"/>
        <v>600</v>
      </c>
      <c r="V336" s="111">
        <f t="shared" si="54"/>
        <v>60600</v>
      </c>
      <c r="W336" t="s">
        <v>2795</v>
      </c>
    </row>
    <row r="337" spans="1:23" x14ac:dyDescent="0.3">
      <c r="A337" s="110">
        <v>300911</v>
      </c>
      <c r="B337" s="110" t="s">
        <v>451</v>
      </c>
      <c r="C337" s="110" t="s">
        <v>534</v>
      </c>
      <c r="D337" s="110" t="s">
        <v>534</v>
      </c>
      <c r="E337" s="110" t="s">
        <v>543</v>
      </c>
      <c r="F337" s="110" t="s">
        <v>119</v>
      </c>
      <c r="G337" s="110" t="s">
        <v>114</v>
      </c>
      <c r="H337" s="111">
        <v>585</v>
      </c>
      <c r="I337" s="111">
        <v>588</v>
      </c>
      <c r="J337" s="111">
        <v>573</v>
      </c>
      <c r="K337" s="111">
        <f t="shared" si="46"/>
        <v>582</v>
      </c>
      <c r="L337" s="111">
        <f>300000</f>
        <v>300000</v>
      </c>
      <c r="M337" s="111">
        <f t="shared" si="47"/>
        <v>135000</v>
      </c>
      <c r="N337" s="111">
        <f t="shared" si="48"/>
        <v>135000</v>
      </c>
      <c r="O337" s="111">
        <f t="shared" si="49"/>
        <v>27000</v>
      </c>
      <c r="P337" s="111">
        <f t="shared" si="50"/>
        <v>30000</v>
      </c>
      <c r="Q337" s="111">
        <v>60000</v>
      </c>
      <c r="R337" s="111">
        <v>6</v>
      </c>
      <c r="S337" s="111">
        <f t="shared" si="51"/>
        <v>6000</v>
      </c>
      <c r="T337" s="111">
        <f t="shared" si="52"/>
        <v>360000</v>
      </c>
      <c r="U337" s="111">
        <f t="shared" si="53"/>
        <v>3600</v>
      </c>
      <c r="V337" s="111">
        <f t="shared" si="54"/>
        <v>363600</v>
      </c>
      <c r="W337" t="s">
        <v>2796</v>
      </c>
    </row>
    <row r="338" spans="1:23" x14ac:dyDescent="0.3">
      <c r="A338" s="110">
        <v>300912</v>
      </c>
      <c r="B338" s="110" t="s">
        <v>451</v>
      </c>
      <c r="C338" s="110" t="s">
        <v>534</v>
      </c>
      <c r="D338" s="110" t="s">
        <v>534</v>
      </c>
      <c r="E338" s="110" t="s">
        <v>544</v>
      </c>
      <c r="F338" s="110" t="s">
        <v>117</v>
      </c>
      <c r="G338" s="110" t="s">
        <v>125</v>
      </c>
      <c r="H338" s="111">
        <v>136</v>
      </c>
      <c r="I338" s="111">
        <v>126</v>
      </c>
      <c r="J338" s="111">
        <v>122</v>
      </c>
      <c r="K338" s="111">
        <f t="shared" si="46"/>
        <v>128</v>
      </c>
      <c r="L338" s="111">
        <v>150000</v>
      </c>
      <c r="M338" s="111">
        <f t="shared" si="47"/>
        <v>67500</v>
      </c>
      <c r="N338" s="111">
        <f t="shared" si="48"/>
        <v>67500</v>
      </c>
      <c r="O338" s="111">
        <f t="shared" si="49"/>
        <v>13500</v>
      </c>
      <c r="P338" s="111">
        <f t="shared" si="50"/>
        <v>15000</v>
      </c>
      <c r="Q338" s="111">
        <v>30000</v>
      </c>
      <c r="R338" s="111">
        <v>3</v>
      </c>
      <c r="S338" s="111">
        <f t="shared" si="51"/>
        <v>3000</v>
      </c>
      <c r="T338" s="111">
        <f t="shared" si="52"/>
        <v>180000</v>
      </c>
      <c r="U338" s="111">
        <f t="shared" si="53"/>
        <v>1800</v>
      </c>
      <c r="V338" s="111">
        <f t="shared" si="54"/>
        <v>181800</v>
      </c>
      <c r="W338" t="s">
        <v>2797</v>
      </c>
    </row>
    <row r="339" spans="1:23" x14ac:dyDescent="0.3">
      <c r="A339" s="110">
        <v>300916</v>
      </c>
      <c r="B339" s="110" t="s">
        <v>451</v>
      </c>
      <c r="C339" s="110" t="s">
        <v>534</v>
      </c>
      <c r="D339" s="110" t="s">
        <v>545</v>
      </c>
      <c r="E339" s="110" t="s">
        <v>546</v>
      </c>
      <c r="F339" s="110" t="s">
        <v>119</v>
      </c>
      <c r="G339" s="110" t="s">
        <v>114</v>
      </c>
      <c r="H339" s="111">
        <v>286</v>
      </c>
      <c r="I339" s="111">
        <v>286</v>
      </c>
      <c r="J339" s="111">
        <v>277</v>
      </c>
      <c r="K339" s="111">
        <f t="shared" si="46"/>
        <v>283</v>
      </c>
      <c r="L339" s="111">
        <v>200000</v>
      </c>
      <c r="M339" s="111">
        <f t="shared" si="47"/>
        <v>90000</v>
      </c>
      <c r="N339" s="111">
        <f t="shared" si="48"/>
        <v>90000</v>
      </c>
      <c r="O339" s="111">
        <f t="shared" si="49"/>
        <v>18000</v>
      </c>
      <c r="P339" s="111">
        <f t="shared" si="50"/>
        <v>20000</v>
      </c>
      <c r="Q339" s="111">
        <v>50000</v>
      </c>
      <c r="R339" s="111">
        <v>5</v>
      </c>
      <c r="S339" s="111">
        <f t="shared" si="51"/>
        <v>5000</v>
      </c>
      <c r="T339" s="111">
        <f t="shared" si="52"/>
        <v>250000</v>
      </c>
      <c r="U339" s="111">
        <f t="shared" si="53"/>
        <v>2500</v>
      </c>
      <c r="V339" s="111">
        <f t="shared" si="54"/>
        <v>252500</v>
      </c>
      <c r="W339" t="s">
        <v>2798</v>
      </c>
    </row>
    <row r="340" spans="1:23" x14ac:dyDescent="0.3">
      <c r="A340" s="110">
        <v>300991</v>
      </c>
      <c r="B340" s="110" t="s">
        <v>451</v>
      </c>
      <c r="C340" s="110" t="s">
        <v>547</v>
      </c>
      <c r="D340" s="110" t="s">
        <v>547</v>
      </c>
      <c r="E340" s="110" t="s">
        <v>546</v>
      </c>
      <c r="F340" s="110" t="s">
        <v>119</v>
      </c>
      <c r="G340" s="110" t="s">
        <v>114</v>
      </c>
      <c r="H340" s="111">
        <v>167</v>
      </c>
      <c r="I340" s="111">
        <v>169</v>
      </c>
      <c r="J340" s="111">
        <v>149</v>
      </c>
      <c r="K340" s="111">
        <f t="shared" si="46"/>
        <v>161.66666666666666</v>
      </c>
      <c r="L340" s="111">
        <v>150000</v>
      </c>
      <c r="M340" s="111">
        <f t="shared" si="47"/>
        <v>67500</v>
      </c>
      <c r="N340" s="111">
        <f t="shared" si="48"/>
        <v>67500</v>
      </c>
      <c r="O340" s="111">
        <f t="shared" si="49"/>
        <v>13500</v>
      </c>
      <c r="P340" s="111">
        <f t="shared" si="50"/>
        <v>15000</v>
      </c>
      <c r="Q340" s="111">
        <v>30000</v>
      </c>
      <c r="R340" s="111">
        <v>3</v>
      </c>
      <c r="S340" s="111">
        <f t="shared" si="51"/>
        <v>3000</v>
      </c>
      <c r="T340" s="111">
        <f t="shared" si="52"/>
        <v>180000</v>
      </c>
      <c r="U340" s="111">
        <f t="shared" si="53"/>
        <v>1800</v>
      </c>
      <c r="V340" s="111">
        <f t="shared" si="54"/>
        <v>181800</v>
      </c>
      <c r="W340" t="s">
        <v>2799</v>
      </c>
    </row>
    <row r="341" spans="1:23" x14ac:dyDescent="0.3">
      <c r="A341" s="110">
        <v>400001</v>
      </c>
      <c r="B341" s="110" t="s">
        <v>548</v>
      </c>
      <c r="C341" s="110" t="s">
        <v>548</v>
      </c>
      <c r="D341" s="110" t="s">
        <v>548</v>
      </c>
      <c r="E341" s="110" t="s">
        <v>282</v>
      </c>
      <c r="F341" s="110" t="s">
        <v>209</v>
      </c>
      <c r="G341" s="110" t="s">
        <v>114</v>
      </c>
      <c r="H341" s="111">
        <v>255</v>
      </c>
      <c r="I341" s="111">
        <v>246</v>
      </c>
      <c r="J341" s="111">
        <v>267</v>
      </c>
      <c r="K341" s="111">
        <f t="shared" si="46"/>
        <v>256</v>
      </c>
      <c r="L341" s="111">
        <v>200000</v>
      </c>
      <c r="M341" s="111">
        <f t="shared" si="47"/>
        <v>90000</v>
      </c>
      <c r="N341" s="111">
        <f t="shared" si="48"/>
        <v>90000</v>
      </c>
      <c r="O341" s="111">
        <f t="shared" si="49"/>
        <v>18000</v>
      </c>
      <c r="P341" s="111">
        <f t="shared" si="50"/>
        <v>20000</v>
      </c>
      <c r="Q341" s="111">
        <v>50000</v>
      </c>
      <c r="R341" s="111">
        <v>5</v>
      </c>
      <c r="S341" s="111">
        <f t="shared" si="51"/>
        <v>5000</v>
      </c>
      <c r="T341" s="111">
        <f t="shared" si="52"/>
        <v>250000</v>
      </c>
      <c r="U341" s="111">
        <f t="shared" si="53"/>
        <v>2500</v>
      </c>
      <c r="V341" s="111">
        <f t="shared" si="54"/>
        <v>252500</v>
      </c>
      <c r="W341" t="s">
        <v>2800</v>
      </c>
    </row>
    <row r="342" spans="1:23" x14ac:dyDescent="0.3">
      <c r="A342" s="110">
        <v>400003</v>
      </c>
      <c r="B342" s="110" t="s">
        <v>548</v>
      </c>
      <c r="C342" s="110" t="s">
        <v>548</v>
      </c>
      <c r="D342" s="110" t="s">
        <v>548</v>
      </c>
      <c r="E342" s="110" t="s">
        <v>312</v>
      </c>
      <c r="F342" s="110" t="s">
        <v>113</v>
      </c>
      <c r="G342" s="110" t="s">
        <v>114</v>
      </c>
      <c r="H342" s="111">
        <v>738</v>
      </c>
      <c r="I342" s="111">
        <v>732</v>
      </c>
      <c r="J342" s="111">
        <v>719</v>
      </c>
      <c r="K342" s="111">
        <f t="shared" si="46"/>
        <v>729.66666666666663</v>
      </c>
      <c r="L342" s="111">
        <f>300000</f>
        <v>300000</v>
      </c>
      <c r="M342" s="111">
        <f t="shared" si="47"/>
        <v>135000</v>
      </c>
      <c r="N342" s="111">
        <f t="shared" si="48"/>
        <v>135000</v>
      </c>
      <c r="O342" s="111">
        <f t="shared" si="49"/>
        <v>27000</v>
      </c>
      <c r="P342" s="111">
        <f t="shared" si="50"/>
        <v>30000</v>
      </c>
      <c r="Q342" s="111">
        <v>60000</v>
      </c>
      <c r="R342" s="111">
        <v>6</v>
      </c>
      <c r="S342" s="111">
        <f t="shared" si="51"/>
        <v>6000</v>
      </c>
      <c r="T342" s="111">
        <f t="shared" si="52"/>
        <v>360000</v>
      </c>
      <c r="U342" s="111">
        <f t="shared" si="53"/>
        <v>3600</v>
      </c>
      <c r="V342" s="111">
        <f t="shared" si="54"/>
        <v>363600</v>
      </c>
      <c r="W342" t="s">
        <v>2801</v>
      </c>
    </row>
    <row r="343" spans="1:23" x14ac:dyDescent="0.3">
      <c r="A343" s="110">
        <v>400005</v>
      </c>
      <c r="B343" s="110" t="s">
        <v>548</v>
      </c>
      <c r="C343" s="110" t="s">
        <v>548</v>
      </c>
      <c r="D343" s="110" t="s">
        <v>548</v>
      </c>
      <c r="E343" s="110" t="s">
        <v>314</v>
      </c>
      <c r="F343" s="110" t="s">
        <v>113</v>
      </c>
      <c r="G343" s="110" t="s">
        <v>114</v>
      </c>
      <c r="H343" s="111">
        <v>513</v>
      </c>
      <c r="I343" s="111">
        <v>479</v>
      </c>
      <c r="J343" s="111">
        <v>422</v>
      </c>
      <c r="K343" s="111">
        <f t="shared" si="46"/>
        <v>471.33333333333331</v>
      </c>
      <c r="L343" s="111">
        <f>300000</f>
        <v>300000</v>
      </c>
      <c r="M343" s="111">
        <f t="shared" si="47"/>
        <v>135000</v>
      </c>
      <c r="N343" s="111">
        <f t="shared" si="48"/>
        <v>135000</v>
      </c>
      <c r="O343" s="111">
        <f t="shared" si="49"/>
        <v>27000</v>
      </c>
      <c r="P343" s="111">
        <f t="shared" si="50"/>
        <v>30000</v>
      </c>
      <c r="Q343" s="111">
        <v>60000</v>
      </c>
      <c r="R343" s="111">
        <v>6</v>
      </c>
      <c r="S343" s="111">
        <f t="shared" si="51"/>
        <v>6000</v>
      </c>
      <c r="T343" s="111">
        <f t="shared" si="52"/>
        <v>360000</v>
      </c>
      <c r="U343" s="111">
        <f t="shared" si="53"/>
        <v>3600</v>
      </c>
      <c r="V343" s="111">
        <f t="shared" si="54"/>
        <v>363600</v>
      </c>
      <c r="W343" t="s">
        <v>2802</v>
      </c>
    </row>
    <row r="344" spans="1:23" x14ac:dyDescent="0.3">
      <c r="A344" s="110">
        <v>400006</v>
      </c>
      <c r="B344" s="110" t="s">
        <v>548</v>
      </c>
      <c r="C344" s="110" t="s">
        <v>548</v>
      </c>
      <c r="D344" s="110" t="s">
        <v>548</v>
      </c>
      <c r="E344" s="110" t="s">
        <v>549</v>
      </c>
      <c r="F344" s="110" t="s">
        <v>113</v>
      </c>
      <c r="G344" s="110" t="s">
        <v>114</v>
      </c>
      <c r="H344" s="111">
        <v>955</v>
      </c>
      <c r="I344" s="111">
        <v>937</v>
      </c>
      <c r="J344" s="111">
        <v>936</v>
      </c>
      <c r="K344" s="111">
        <f t="shared" si="46"/>
        <v>942.66666666666663</v>
      </c>
      <c r="L344" s="111">
        <f>300000</f>
        <v>300000</v>
      </c>
      <c r="M344" s="111">
        <f t="shared" si="47"/>
        <v>135000</v>
      </c>
      <c r="N344" s="111">
        <f t="shared" si="48"/>
        <v>135000</v>
      </c>
      <c r="O344" s="111">
        <f t="shared" si="49"/>
        <v>27000</v>
      </c>
      <c r="P344" s="111">
        <f t="shared" si="50"/>
        <v>30000</v>
      </c>
      <c r="Q344" s="111">
        <v>60000</v>
      </c>
      <c r="R344" s="111">
        <v>6</v>
      </c>
      <c r="S344" s="111">
        <f t="shared" si="51"/>
        <v>6000</v>
      </c>
      <c r="T344" s="111">
        <f t="shared" si="52"/>
        <v>360000</v>
      </c>
      <c r="U344" s="111">
        <f t="shared" si="53"/>
        <v>3600</v>
      </c>
      <c r="V344" s="111">
        <f t="shared" si="54"/>
        <v>363600</v>
      </c>
      <c r="W344" t="s">
        <v>2803</v>
      </c>
    </row>
    <row r="345" spans="1:23" x14ac:dyDescent="0.3">
      <c r="A345" s="110">
        <v>400007</v>
      </c>
      <c r="B345" s="110" t="s">
        <v>548</v>
      </c>
      <c r="C345" s="110" t="s">
        <v>548</v>
      </c>
      <c r="D345" s="110" t="s">
        <v>548</v>
      </c>
      <c r="E345" s="110" t="s">
        <v>550</v>
      </c>
      <c r="F345" s="110" t="s">
        <v>113</v>
      </c>
      <c r="G345" s="110" t="s">
        <v>114</v>
      </c>
      <c r="H345" s="111">
        <v>1000</v>
      </c>
      <c r="I345" s="111">
        <v>994</v>
      </c>
      <c r="J345" s="111">
        <v>967</v>
      </c>
      <c r="K345" s="111">
        <f t="shared" si="46"/>
        <v>987</v>
      </c>
      <c r="L345" s="111">
        <f>300000</f>
        <v>300000</v>
      </c>
      <c r="M345" s="111">
        <f t="shared" si="47"/>
        <v>135000</v>
      </c>
      <c r="N345" s="111">
        <f t="shared" si="48"/>
        <v>135000</v>
      </c>
      <c r="O345" s="111">
        <f t="shared" si="49"/>
        <v>27000</v>
      </c>
      <c r="P345" s="111">
        <f t="shared" si="50"/>
        <v>30000</v>
      </c>
      <c r="Q345" s="111">
        <v>60000</v>
      </c>
      <c r="R345" s="111">
        <v>6</v>
      </c>
      <c r="S345" s="111">
        <f t="shared" si="51"/>
        <v>6000</v>
      </c>
      <c r="T345" s="111">
        <f t="shared" si="52"/>
        <v>360000</v>
      </c>
      <c r="U345" s="111">
        <f t="shared" si="53"/>
        <v>3600</v>
      </c>
      <c r="V345" s="111">
        <f t="shared" si="54"/>
        <v>363600</v>
      </c>
      <c r="W345" t="s">
        <v>2804</v>
      </c>
    </row>
    <row r="346" spans="1:23" x14ac:dyDescent="0.3">
      <c r="A346" s="110">
        <v>400008</v>
      </c>
      <c r="B346" s="110" t="s">
        <v>548</v>
      </c>
      <c r="C346" s="110" t="s">
        <v>548</v>
      </c>
      <c r="D346" s="110" t="s">
        <v>548</v>
      </c>
      <c r="E346" s="110" t="s">
        <v>551</v>
      </c>
      <c r="F346" s="110" t="s">
        <v>113</v>
      </c>
      <c r="G346" s="110" t="s">
        <v>114</v>
      </c>
      <c r="H346" s="111">
        <v>957</v>
      </c>
      <c r="I346" s="111">
        <v>959</v>
      </c>
      <c r="J346" s="111">
        <v>990</v>
      </c>
      <c r="K346" s="111">
        <f t="shared" si="46"/>
        <v>968.66666666666663</v>
      </c>
      <c r="L346" s="111">
        <f>300000</f>
        <v>300000</v>
      </c>
      <c r="M346" s="111">
        <f t="shared" si="47"/>
        <v>135000</v>
      </c>
      <c r="N346" s="111">
        <f t="shared" si="48"/>
        <v>135000</v>
      </c>
      <c r="O346" s="111">
        <f t="shared" si="49"/>
        <v>27000</v>
      </c>
      <c r="P346" s="111">
        <f t="shared" si="50"/>
        <v>30000</v>
      </c>
      <c r="Q346" s="111">
        <v>60000</v>
      </c>
      <c r="R346" s="111">
        <v>6</v>
      </c>
      <c r="S346" s="111">
        <f t="shared" si="51"/>
        <v>6000</v>
      </c>
      <c r="T346" s="111">
        <f t="shared" si="52"/>
        <v>360000</v>
      </c>
      <c r="U346" s="111">
        <f t="shared" si="53"/>
        <v>3600</v>
      </c>
      <c r="V346" s="111">
        <f t="shared" si="54"/>
        <v>363600</v>
      </c>
      <c r="W346" t="s">
        <v>2805</v>
      </c>
    </row>
    <row r="347" spans="1:23" x14ac:dyDescent="0.3">
      <c r="A347" s="110">
        <v>400009</v>
      </c>
      <c r="B347" s="110" t="s">
        <v>548</v>
      </c>
      <c r="C347" s="110" t="s">
        <v>548</v>
      </c>
      <c r="D347" s="110" t="s">
        <v>548</v>
      </c>
      <c r="E347" s="110" t="s">
        <v>320</v>
      </c>
      <c r="F347" s="110" t="s">
        <v>113</v>
      </c>
      <c r="G347" s="110" t="s">
        <v>114</v>
      </c>
      <c r="H347" s="111">
        <v>208</v>
      </c>
      <c r="I347" s="111">
        <v>213</v>
      </c>
      <c r="J347" s="111">
        <v>240</v>
      </c>
      <c r="K347" s="111">
        <f t="shared" si="46"/>
        <v>220.33333333333334</v>
      </c>
      <c r="L347" s="111">
        <v>200000</v>
      </c>
      <c r="M347" s="111">
        <f t="shared" si="47"/>
        <v>90000</v>
      </c>
      <c r="N347" s="111">
        <f t="shared" si="48"/>
        <v>90000</v>
      </c>
      <c r="O347" s="111">
        <f t="shared" si="49"/>
        <v>18000</v>
      </c>
      <c r="P347" s="111">
        <f t="shared" si="50"/>
        <v>20000</v>
      </c>
      <c r="Q347" s="111">
        <v>50000</v>
      </c>
      <c r="R347" s="111">
        <v>5</v>
      </c>
      <c r="S347" s="111">
        <f t="shared" si="51"/>
        <v>5000</v>
      </c>
      <c r="T347" s="111">
        <f t="shared" si="52"/>
        <v>250000</v>
      </c>
      <c r="U347" s="111">
        <f t="shared" si="53"/>
        <v>2500</v>
      </c>
      <c r="V347" s="111">
        <f t="shared" si="54"/>
        <v>252500</v>
      </c>
      <c r="W347" t="s">
        <v>2806</v>
      </c>
    </row>
    <row r="348" spans="1:23" x14ac:dyDescent="0.3">
      <c r="A348" s="110">
        <v>400010</v>
      </c>
      <c r="B348" s="110" t="s">
        <v>548</v>
      </c>
      <c r="C348" s="110" t="s">
        <v>548</v>
      </c>
      <c r="D348" s="110" t="s">
        <v>548</v>
      </c>
      <c r="E348" s="110" t="s">
        <v>458</v>
      </c>
      <c r="F348" s="110" t="s">
        <v>113</v>
      </c>
      <c r="G348" s="110" t="s">
        <v>114</v>
      </c>
      <c r="H348" s="111">
        <v>185</v>
      </c>
      <c r="I348" s="111">
        <v>173</v>
      </c>
      <c r="J348" s="111">
        <v>152</v>
      </c>
      <c r="K348" s="111">
        <f t="shared" si="46"/>
        <v>170</v>
      </c>
      <c r="L348" s="111">
        <v>150000</v>
      </c>
      <c r="M348" s="111">
        <f t="shared" si="47"/>
        <v>67500</v>
      </c>
      <c r="N348" s="111">
        <f t="shared" si="48"/>
        <v>67500</v>
      </c>
      <c r="O348" s="111">
        <f t="shared" si="49"/>
        <v>13500</v>
      </c>
      <c r="P348" s="111">
        <f t="shared" si="50"/>
        <v>15000</v>
      </c>
      <c r="Q348" s="111">
        <v>30000</v>
      </c>
      <c r="R348" s="111">
        <v>3</v>
      </c>
      <c r="S348" s="111">
        <f t="shared" si="51"/>
        <v>3000</v>
      </c>
      <c r="T348" s="111">
        <f t="shared" si="52"/>
        <v>180000</v>
      </c>
      <c r="U348" s="111">
        <f t="shared" si="53"/>
        <v>1800</v>
      </c>
      <c r="V348" s="111">
        <f t="shared" si="54"/>
        <v>181800</v>
      </c>
      <c r="W348" t="s">
        <v>2807</v>
      </c>
    </row>
    <row r="349" spans="1:23" x14ac:dyDescent="0.3">
      <c r="A349" s="110">
        <v>400011</v>
      </c>
      <c r="B349" s="110" t="s">
        <v>548</v>
      </c>
      <c r="C349" s="110" t="s">
        <v>548</v>
      </c>
      <c r="D349" s="110" t="s">
        <v>548</v>
      </c>
      <c r="E349" s="110" t="s">
        <v>552</v>
      </c>
      <c r="F349" s="110" t="s">
        <v>113</v>
      </c>
      <c r="G349" s="110" t="s">
        <v>114</v>
      </c>
      <c r="H349" s="111">
        <v>563</v>
      </c>
      <c r="I349" s="111">
        <v>555</v>
      </c>
      <c r="J349" s="111">
        <v>567</v>
      </c>
      <c r="K349" s="111">
        <f t="shared" si="46"/>
        <v>561.66666666666663</v>
      </c>
      <c r="L349" s="111">
        <f>300000</f>
        <v>300000</v>
      </c>
      <c r="M349" s="111">
        <f t="shared" si="47"/>
        <v>135000</v>
      </c>
      <c r="N349" s="111">
        <f t="shared" si="48"/>
        <v>135000</v>
      </c>
      <c r="O349" s="111">
        <f t="shared" si="49"/>
        <v>27000</v>
      </c>
      <c r="P349" s="111">
        <f t="shared" si="50"/>
        <v>30000</v>
      </c>
      <c r="Q349" s="111">
        <v>60000</v>
      </c>
      <c r="R349" s="111">
        <v>6</v>
      </c>
      <c r="S349" s="111">
        <f t="shared" si="51"/>
        <v>6000</v>
      </c>
      <c r="T349" s="111">
        <f t="shared" si="52"/>
        <v>360000</v>
      </c>
      <c r="U349" s="111">
        <f t="shared" si="53"/>
        <v>3600</v>
      </c>
      <c r="V349" s="111">
        <f t="shared" si="54"/>
        <v>363600</v>
      </c>
      <c r="W349" t="s">
        <v>2808</v>
      </c>
    </row>
    <row r="350" spans="1:23" x14ac:dyDescent="0.3">
      <c r="A350" s="110">
        <v>400012</v>
      </c>
      <c r="B350" s="110" t="s">
        <v>548</v>
      </c>
      <c r="C350" s="110" t="s">
        <v>548</v>
      </c>
      <c r="D350" s="110" t="s">
        <v>548</v>
      </c>
      <c r="E350" s="110" t="s">
        <v>553</v>
      </c>
      <c r="F350" s="110" t="s">
        <v>113</v>
      </c>
      <c r="G350" s="110" t="s">
        <v>114</v>
      </c>
      <c r="H350" s="111">
        <v>226</v>
      </c>
      <c r="I350" s="111">
        <v>265</v>
      </c>
      <c r="J350" s="111">
        <v>283</v>
      </c>
      <c r="K350" s="111">
        <f t="shared" si="46"/>
        <v>258</v>
      </c>
      <c r="L350" s="111">
        <v>200000</v>
      </c>
      <c r="M350" s="111">
        <f t="shared" si="47"/>
        <v>90000</v>
      </c>
      <c r="N350" s="111">
        <f t="shared" si="48"/>
        <v>90000</v>
      </c>
      <c r="O350" s="111">
        <f t="shared" si="49"/>
        <v>18000</v>
      </c>
      <c r="P350" s="111">
        <f t="shared" si="50"/>
        <v>20000</v>
      </c>
      <c r="Q350" s="111">
        <v>50000</v>
      </c>
      <c r="R350" s="111">
        <v>5</v>
      </c>
      <c r="S350" s="111">
        <f t="shared" si="51"/>
        <v>5000</v>
      </c>
      <c r="T350" s="111">
        <f t="shared" si="52"/>
        <v>250000</v>
      </c>
      <c r="U350" s="111">
        <f t="shared" si="53"/>
        <v>2500</v>
      </c>
      <c r="V350" s="111">
        <f t="shared" si="54"/>
        <v>252500</v>
      </c>
      <c r="W350" t="s">
        <v>2809</v>
      </c>
    </row>
    <row r="351" spans="1:23" x14ac:dyDescent="0.3">
      <c r="A351" s="110">
        <v>400014</v>
      </c>
      <c r="B351" s="110" t="s">
        <v>548</v>
      </c>
      <c r="C351" s="110" t="s">
        <v>548</v>
      </c>
      <c r="D351" s="110" t="s">
        <v>554</v>
      </c>
      <c r="E351" s="110" t="s">
        <v>555</v>
      </c>
      <c r="F351" s="110" t="s">
        <v>113</v>
      </c>
      <c r="G351" s="110" t="s">
        <v>114</v>
      </c>
      <c r="H351" s="111">
        <v>161</v>
      </c>
      <c r="I351" s="111">
        <v>143</v>
      </c>
      <c r="J351" s="111">
        <v>152</v>
      </c>
      <c r="K351" s="111">
        <f t="shared" si="46"/>
        <v>152</v>
      </c>
      <c r="L351" s="111">
        <v>150000</v>
      </c>
      <c r="M351" s="111">
        <f t="shared" si="47"/>
        <v>67500</v>
      </c>
      <c r="N351" s="111">
        <f t="shared" si="48"/>
        <v>67500</v>
      </c>
      <c r="O351" s="111">
        <f t="shared" si="49"/>
        <v>13500</v>
      </c>
      <c r="P351" s="111">
        <f t="shared" si="50"/>
        <v>15000</v>
      </c>
      <c r="Q351" s="111">
        <v>30000</v>
      </c>
      <c r="R351" s="111">
        <v>3</v>
      </c>
      <c r="S351" s="111">
        <f t="shared" si="51"/>
        <v>3000</v>
      </c>
      <c r="T351" s="111">
        <f t="shared" si="52"/>
        <v>180000</v>
      </c>
      <c r="U351" s="111">
        <f t="shared" si="53"/>
        <v>1800</v>
      </c>
      <c r="V351" s="111">
        <f t="shared" si="54"/>
        <v>181800</v>
      </c>
      <c r="W351" t="s">
        <v>2810</v>
      </c>
    </row>
    <row r="352" spans="1:23" x14ac:dyDescent="0.3">
      <c r="A352" s="110">
        <v>400015</v>
      </c>
      <c r="B352" s="110" t="s">
        <v>548</v>
      </c>
      <c r="C352" s="110" t="s">
        <v>548</v>
      </c>
      <c r="D352" s="110" t="s">
        <v>548</v>
      </c>
      <c r="E352" s="110" t="s">
        <v>556</v>
      </c>
      <c r="F352" s="110" t="s">
        <v>113</v>
      </c>
      <c r="G352" s="110" t="s">
        <v>114</v>
      </c>
      <c r="H352" s="111">
        <v>102</v>
      </c>
      <c r="I352" s="111">
        <v>94</v>
      </c>
      <c r="J352" s="111">
        <v>114</v>
      </c>
      <c r="K352" s="111">
        <f t="shared" si="46"/>
        <v>103.33333333333333</v>
      </c>
      <c r="L352" s="111">
        <f>150000*0.7</f>
        <v>105000</v>
      </c>
      <c r="M352" s="111">
        <f t="shared" si="47"/>
        <v>47250</v>
      </c>
      <c r="N352" s="111">
        <f t="shared" si="48"/>
        <v>47250</v>
      </c>
      <c r="O352" s="111">
        <f t="shared" si="49"/>
        <v>9450</v>
      </c>
      <c r="P352" s="111">
        <f t="shared" si="50"/>
        <v>10500</v>
      </c>
      <c r="Q352" s="111">
        <v>30000</v>
      </c>
      <c r="R352" s="111">
        <v>3</v>
      </c>
      <c r="S352" s="111">
        <f t="shared" si="51"/>
        <v>3000</v>
      </c>
      <c r="T352" s="111">
        <f t="shared" si="52"/>
        <v>135000</v>
      </c>
      <c r="U352" s="111">
        <f t="shared" si="53"/>
        <v>1350</v>
      </c>
      <c r="V352" s="111">
        <f t="shared" si="54"/>
        <v>136350</v>
      </c>
      <c r="W352" t="s">
        <v>2811</v>
      </c>
    </row>
    <row r="353" spans="1:23" x14ac:dyDescent="0.3">
      <c r="A353" s="110">
        <v>400017</v>
      </c>
      <c r="B353" s="110" t="s">
        <v>548</v>
      </c>
      <c r="C353" s="110" t="s">
        <v>548</v>
      </c>
      <c r="D353" s="110" t="s">
        <v>548</v>
      </c>
      <c r="E353" s="110" t="s">
        <v>390</v>
      </c>
      <c r="F353" s="110" t="s">
        <v>113</v>
      </c>
      <c r="G353" s="110" t="s">
        <v>114</v>
      </c>
      <c r="H353" s="111">
        <v>145</v>
      </c>
      <c r="I353" s="111">
        <v>133</v>
      </c>
      <c r="J353" s="111">
        <v>126</v>
      </c>
      <c r="K353" s="111">
        <f t="shared" si="46"/>
        <v>134.66666666666666</v>
      </c>
      <c r="L353" s="111">
        <v>150000</v>
      </c>
      <c r="M353" s="111">
        <f t="shared" si="47"/>
        <v>67500</v>
      </c>
      <c r="N353" s="111">
        <f t="shared" si="48"/>
        <v>67500</v>
      </c>
      <c r="O353" s="111">
        <f t="shared" si="49"/>
        <v>13500</v>
      </c>
      <c r="P353" s="111">
        <f t="shared" si="50"/>
        <v>15000</v>
      </c>
      <c r="Q353" s="111">
        <v>30000</v>
      </c>
      <c r="R353" s="111">
        <v>3</v>
      </c>
      <c r="S353" s="111">
        <f t="shared" si="51"/>
        <v>3000</v>
      </c>
      <c r="T353" s="111">
        <f t="shared" si="52"/>
        <v>180000</v>
      </c>
      <c r="U353" s="111">
        <f t="shared" si="53"/>
        <v>1800</v>
      </c>
      <c r="V353" s="111">
        <f t="shared" si="54"/>
        <v>181800</v>
      </c>
      <c r="W353" t="s">
        <v>2812</v>
      </c>
    </row>
    <row r="354" spans="1:23" x14ac:dyDescent="0.3">
      <c r="A354" s="110">
        <v>400018</v>
      </c>
      <c r="B354" s="110" t="s">
        <v>548</v>
      </c>
      <c r="C354" s="110" t="s">
        <v>548</v>
      </c>
      <c r="D354" s="110" t="s">
        <v>548</v>
      </c>
      <c r="E354" s="110" t="s">
        <v>557</v>
      </c>
      <c r="F354" s="110" t="s">
        <v>113</v>
      </c>
      <c r="G354" s="110" t="s">
        <v>114</v>
      </c>
      <c r="H354" s="111">
        <v>381</v>
      </c>
      <c r="I354" s="111">
        <v>391</v>
      </c>
      <c r="J354" s="111">
        <v>406</v>
      </c>
      <c r="K354" s="111">
        <f t="shared" si="46"/>
        <v>392.66666666666669</v>
      </c>
      <c r="L354" s="111">
        <v>200000</v>
      </c>
      <c r="M354" s="111">
        <f t="shared" si="47"/>
        <v>90000</v>
      </c>
      <c r="N354" s="111">
        <f t="shared" si="48"/>
        <v>90000</v>
      </c>
      <c r="O354" s="111">
        <f t="shared" si="49"/>
        <v>18000</v>
      </c>
      <c r="P354" s="111">
        <f t="shared" si="50"/>
        <v>20000</v>
      </c>
      <c r="Q354" s="111">
        <v>50000</v>
      </c>
      <c r="R354" s="111">
        <v>5</v>
      </c>
      <c r="S354" s="111">
        <f t="shared" si="51"/>
        <v>5000</v>
      </c>
      <c r="T354" s="111">
        <f t="shared" si="52"/>
        <v>250000</v>
      </c>
      <c r="U354" s="111">
        <f t="shared" si="53"/>
        <v>2500</v>
      </c>
      <c r="V354" s="111">
        <f t="shared" si="54"/>
        <v>252500</v>
      </c>
      <c r="W354" t="s">
        <v>2813</v>
      </c>
    </row>
    <row r="355" spans="1:23" x14ac:dyDescent="0.3">
      <c r="A355" s="110">
        <v>400019</v>
      </c>
      <c r="B355" s="110" t="s">
        <v>548</v>
      </c>
      <c r="C355" s="110" t="s">
        <v>548</v>
      </c>
      <c r="D355" s="110" t="s">
        <v>548</v>
      </c>
      <c r="E355" s="110" t="s">
        <v>558</v>
      </c>
      <c r="F355" s="110" t="s">
        <v>113</v>
      </c>
      <c r="G355" s="110" t="s">
        <v>114</v>
      </c>
      <c r="H355" s="111">
        <v>840</v>
      </c>
      <c r="I355" s="111">
        <v>804</v>
      </c>
      <c r="J355" s="111">
        <v>813</v>
      </c>
      <c r="K355" s="111">
        <f t="shared" si="46"/>
        <v>819</v>
      </c>
      <c r="L355" s="111">
        <f>300000</f>
        <v>300000</v>
      </c>
      <c r="M355" s="111">
        <f t="shared" si="47"/>
        <v>135000</v>
      </c>
      <c r="N355" s="111">
        <f t="shared" si="48"/>
        <v>135000</v>
      </c>
      <c r="O355" s="111">
        <f t="shared" si="49"/>
        <v>27000</v>
      </c>
      <c r="P355" s="111">
        <f t="shared" si="50"/>
        <v>30000</v>
      </c>
      <c r="Q355" s="111">
        <v>60000</v>
      </c>
      <c r="R355" s="111">
        <v>6</v>
      </c>
      <c r="S355" s="111">
        <f t="shared" si="51"/>
        <v>6000</v>
      </c>
      <c r="T355" s="111">
        <f t="shared" si="52"/>
        <v>360000</v>
      </c>
      <c r="U355" s="111">
        <f t="shared" si="53"/>
        <v>3600</v>
      </c>
      <c r="V355" s="111">
        <f t="shared" si="54"/>
        <v>363600</v>
      </c>
      <c r="W355" t="s">
        <v>2814</v>
      </c>
    </row>
    <row r="356" spans="1:23" x14ac:dyDescent="0.3">
      <c r="A356" s="110">
        <v>400020</v>
      </c>
      <c r="B356" s="110" t="s">
        <v>548</v>
      </c>
      <c r="C356" s="110" t="s">
        <v>548</v>
      </c>
      <c r="D356" s="110" t="s">
        <v>548</v>
      </c>
      <c r="E356" s="110" t="s">
        <v>559</v>
      </c>
      <c r="F356" s="110" t="s">
        <v>113</v>
      </c>
      <c r="G356" s="110" t="s">
        <v>114</v>
      </c>
      <c r="H356" s="111">
        <v>987</v>
      </c>
      <c r="I356" s="111">
        <v>950</v>
      </c>
      <c r="J356" s="111">
        <v>960</v>
      </c>
      <c r="K356" s="111">
        <f t="shared" si="46"/>
        <v>965.66666666666663</v>
      </c>
      <c r="L356" s="111">
        <f>300000</f>
        <v>300000</v>
      </c>
      <c r="M356" s="111">
        <f t="shared" si="47"/>
        <v>135000</v>
      </c>
      <c r="N356" s="111">
        <f t="shared" si="48"/>
        <v>135000</v>
      </c>
      <c r="O356" s="111">
        <f t="shared" si="49"/>
        <v>27000</v>
      </c>
      <c r="P356" s="111">
        <f t="shared" si="50"/>
        <v>30000</v>
      </c>
      <c r="Q356" s="111">
        <v>60000</v>
      </c>
      <c r="R356" s="111">
        <v>6</v>
      </c>
      <c r="S356" s="111">
        <f t="shared" si="51"/>
        <v>6000</v>
      </c>
      <c r="T356" s="111">
        <f t="shared" si="52"/>
        <v>360000</v>
      </c>
      <c r="U356" s="111">
        <f t="shared" si="53"/>
        <v>3600</v>
      </c>
      <c r="V356" s="111">
        <f t="shared" si="54"/>
        <v>363600</v>
      </c>
      <c r="W356" t="s">
        <v>2815</v>
      </c>
    </row>
    <row r="357" spans="1:23" x14ac:dyDescent="0.3">
      <c r="A357" s="110">
        <v>400022</v>
      </c>
      <c r="B357" s="110" t="s">
        <v>548</v>
      </c>
      <c r="C357" s="110" t="s">
        <v>548</v>
      </c>
      <c r="D357" s="110" t="s">
        <v>548</v>
      </c>
      <c r="E357" s="110" t="s">
        <v>143</v>
      </c>
      <c r="F357" s="110" t="s">
        <v>113</v>
      </c>
      <c r="G357" s="110" t="s">
        <v>114</v>
      </c>
      <c r="H357" s="111">
        <v>831</v>
      </c>
      <c r="I357" s="111">
        <v>821</v>
      </c>
      <c r="J357" s="111">
        <v>799</v>
      </c>
      <c r="K357" s="111">
        <f t="shared" si="46"/>
        <v>817</v>
      </c>
      <c r="L357" s="111">
        <f>300000</f>
        <v>300000</v>
      </c>
      <c r="M357" s="111">
        <f t="shared" si="47"/>
        <v>135000</v>
      </c>
      <c r="N357" s="111">
        <f t="shared" si="48"/>
        <v>135000</v>
      </c>
      <c r="O357" s="111">
        <f t="shared" si="49"/>
        <v>27000</v>
      </c>
      <c r="P357" s="111">
        <f t="shared" si="50"/>
        <v>30000</v>
      </c>
      <c r="Q357" s="111">
        <v>60000</v>
      </c>
      <c r="R357" s="111">
        <v>6</v>
      </c>
      <c r="S357" s="111">
        <f t="shared" si="51"/>
        <v>6000</v>
      </c>
      <c r="T357" s="111">
        <f t="shared" si="52"/>
        <v>360000</v>
      </c>
      <c r="U357" s="111">
        <f t="shared" si="53"/>
        <v>3600</v>
      </c>
      <c r="V357" s="111">
        <f t="shared" si="54"/>
        <v>363600</v>
      </c>
      <c r="W357" t="s">
        <v>2816</v>
      </c>
    </row>
    <row r="358" spans="1:23" x14ac:dyDescent="0.3">
      <c r="A358" s="110">
        <v>400023</v>
      </c>
      <c r="B358" s="110" t="s">
        <v>548</v>
      </c>
      <c r="C358" s="110" t="s">
        <v>548</v>
      </c>
      <c r="D358" s="110" t="s">
        <v>548</v>
      </c>
      <c r="E358" s="110" t="s">
        <v>560</v>
      </c>
      <c r="F358" s="110" t="s">
        <v>113</v>
      </c>
      <c r="G358" s="110" t="s">
        <v>114</v>
      </c>
      <c r="H358" s="111">
        <v>480</v>
      </c>
      <c r="I358" s="111">
        <v>490</v>
      </c>
      <c r="J358" s="111">
        <v>469</v>
      </c>
      <c r="K358" s="111">
        <f t="shared" si="46"/>
        <v>479.66666666666669</v>
      </c>
      <c r="L358" s="111">
        <f>300000</f>
        <v>300000</v>
      </c>
      <c r="M358" s="111">
        <f t="shared" si="47"/>
        <v>135000</v>
      </c>
      <c r="N358" s="111">
        <f t="shared" si="48"/>
        <v>135000</v>
      </c>
      <c r="O358" s="111">
        <f t="shared" si="49"/>
        <v>27000</v>
      </c>
      <c r="P358" s="111">
        <f t="shared" si="50"/>
        <v>30000</v>
      </c>
      <c r="Q358" s="111">
        <v>60000</v>
      </c>
      <c r="R358" s="111">
        <v>6</v>
      </c>
      <c r="S358" s="111">
        <f t="shared" si="51"/>
        <v>6000</v>
      </c>
      <c r="T358" s="111">
        <f t="shared" si="52"/>
        <v>360000</v>
      </c>
      <c r="U358" s="111">
        <f t="shared" si="53"/>
        <v>3600</v>
      </c>
      <c r="V358" s="111">
        <f t="shared" si="54"/>
        <v>363600</v>
      </c>
      <c r="W358" t="s">
        <v>2817</v>
      </c>
    </row>
    <row r="359" spans="1:23" x14ac:dyDescent="0.3">
      <c r="A359" s="110">
        <v>400024</v>
      </c>
      <c r="B359" s="110" t="s">
        <v>548</v>
      </c>
      <c r="C359" s="110" t="s">
        <v>548</v>
      </c>
      <c r="D359" s="110" t="s">
        <v>548</v>
      </c>
      <c r="E359" s="110" t="s">
        <v>561</v>
      </c>
      <c r="F359" s="110" t="s">
        <v>113</v>
      </c>
      <c r="G359" s="110" t="s">
        <v>114</v>
      </c>
      <c r="H359" s="111">
        <v>372</v>
      </c>
      <c r="I359" s="111">
        <v>396</v>
      </c>
      <c r="J359" s="111">
        <v>429</v>
      </c>
      <c r="K359" s="111">
        <f t="shared" si="46"/>
        <v>399</v>
      </c>
      <c r="L359" s="111">
        <v>200000</v>
      </c>
      <c r="M359" s="111">
        <f t="shared" si="47"/>
        <v>90000</v>
      </c>
      <c r="N359" s="111">
        <f t="shared" si="48"/>
        <v>90000</v>
      </c>
      <c r="O359" s="111">
        <f t="shared" si="49"/>
        <v>18000</v>
      </c>
      <c r="P359" s="111">
        <f t="shared" si="50"/>
        <v>20000</v>
      </c>
      <c r="Q359" s="111">
        <v>50000</v>
      </c>
      <c r="R359" s="111">
        <v>5</v>
      </c>
      <c r="S359" s="111">
        <f t="shared" si="51"/>
        <v>5000</v>
      </c>
      <c r="T359" s="111">
        <f t="shared" si="52"/>
        <v>250000</v>
      </c>
      <c r="U359" s="111">
        <f t="shared" si="53"/>
        <v>2500</v>
      </c>
      <c r="V359" s="111">
        <f t="shared" si="54"/>
        <v>252500</v>
      </c>
      <c r="W359" t="s">
        <v>2818</v>
      </c>
    </row>
    <row r="360" spans="1:23" x14ac:dyDescent="0.3">
      <c r="A360" s="110">
        <v>400026</v>
      </c>
      <c r="B360" s="110" t="s">
        <v>548</v>
      </c>
      <c r="C360" s="110" t="s">
        <v>548</v>
      </c>
      <c r="D360" s="110" t="s">
        <v>548</v>
      </c>
      <c r="E360" s="110" t="s">
        <v>184</v>
      </c>
      <c r="F360" s="110" t="s">
        <v>113</v>
      </c>
      <c r="G360" s="110" t="s">
        <v>114</v>
      </c>
      <c r="H360" s="111">
        <v>452</v>
      </c>
      <c r="I360" s="111">
        <v>456</v>
      </c>
      <c r="J360" s="111">
        <v>457</v>
      </c>
      <c r="K360" s="111">
        <f t="shared" si="46"/>
        <v>455</v>
      </c>
      <c r="L360" s="111">
        <f>300000</f>
        <v>300000</v>
      </c>
      <c r="M360" s="111">
        <f t="shared" si="47"/>
        <v>135000</v>
      </c>
      <c r="N360" s="111">
        <f t="shared" si="48"/>
        <v>135000</v>
      </c>
      <c r="O360" s="111">
        <f t="shared" si="49"/>
        <v>27000</v>
      </c>
      <c r="P360" s="111">
        <f t="shared" si="50"/>
        <v>30000</v>
      </c>
      <c r="Q360" s="111">
        <v>60000</v>
      </c>
      <c r="R360" s="111">
        <v>6</v>
      </c>
      <c r="S360" s="111">
        <f t="shared" si="51"/>
        <v>6000</v>
      </c>
      <c r="T360" s="111">
        <f t="shared" si="52"/>
        <v>360000</v>
      </c>
      <c r="U360" s="111">
        <f t="shared" si="53"/>
        <v>3600</v>
      </c>
      <c r="V360" s="111">
        <f t="shared" si="54"/>
        <v>363600</v>
      </c>
      <c r="W360" t="s">
        <v>2819</v>
      </c>
    </row>
    <row r="361" spans="1:23" x14ac:dyDescent="0.3">
      <c r="A361" s="110">
        <v>400027</v>
      </c>
      <c r="B361" s="110" t="s">
        <v>548</v>
      </c>
      <c r="C361" s="110" t="s">
        <v>548</v>
      </c>
      <c r="D361" s="110" t="s">
        <v>562</v>
      </c>
      <c r="E361" s="110" t="s">
        <v>353</v>
      </c>
      <c r="F361" s="110" t="s">
        <v>113</v>
      </c>
      <c r="G361" s="110" t="s">
        <v>114</v>
      </c>
      <c r="H361" s="111">
        <v>157</v>
      </c>
      <c r="I361" s="111">
        <v>154</v>
      </c>
      <c r="J361" s="111">
        <v>154</v>
      </c>
      <c r="K361" s="111">
        <f t="shared" si="46"/>
        <v>155</v>
      </c>
      <c r="L361" s="111">
        <v>150000</v>
      </c>
      <c r="M361" s="111">
        <f t="shared" si="47"/>
        <v>67500</v>
      </c>
      <c r="N361" s="111">
        <f t="shared" si="48"/>
        <v>67500</v>
      </c>
      <c r="O361" s="111">
        <f t="shared" si="49"/>
        <v>13500</v>
      </c>
      <c r="P361" s="111">
        <f t="shared" si="50"/>
        <v>15000</v>
      </c>
      <c r="Q361" s="111">
        <v>30000</v>
      </c>
      <c r="R361" s="111">
        <v>3</v>
      </c>
      <c r="S361" s="111">
        <f t="shared" si="51"/>
        <v>3000</v>
      </c>
      <c r="T361" s="111">
        <f t="shared" si="52"/>
        <v>180000</v>
      </c>
      <c r="U361" s="111">
        <f t="shared" si="53"/>
        <v>1800</v>
      </c>
      <c r="V361" s="111">
        <f t="shared" si="54"/>
        <v>181800</v>
      </c>
      <c r="W361" t="s">
        <v>2820</v>
      </c>
    </row>
    <row r="362" spans="1:23" x14ac:dyDescent="0.3">
      <c r="A362" s="110">
        <v>400028</v>
      </c>
      <c r="B362" s="110" t="s">
        <v>548</v>
      </c>
      <c r="C362" s="110" t="s">
        <v>548</v>
      </c>
      <c r="D362" s="110" t="s">
        <v>548</v>
      </c>
      <c r="E362" s="110" t="s">
        <v>563</v>
      </c>
      <c r="F362" s="110" t="s">
        <v>113</v>
      </c>
      <c r="G362" s="110" t="s">
        <v>114</v>
      </c>
      <c r="H362" s="111">
        <v>816</v>
      </c>
      <c r="I362" s="111">
        <v>787</v>
      </c>
      <c r="J362" s="111">
        <v>726</v>
      </c>
      <c r="K362" s="111">
        <f t="shared" si="46"/>
        <v>776.33333333333337</v>
      </c>
      <c r="L362" s="111">
        <f>300000</f>
        <v>300000</v>
      </c>
      <c r="M362" s="111">
        <f t="shared" si="47"/>
        <v>135000</v>
      </c>
      <c r="N362" s="111">
        <f t="shared" si="48"/>
        <v>135000</v>
      </c>
      <c r="O362" s="111">
        <f t="shared" si="49"/>
        <v>27000</v>
      </c>
      <c r="P362" s="111">
        <f t="shared" si="50"/>
        <v>30000</v>
      </c>
      <c r="Q362" s="111">
        <v>60000</v>
      </c>
      <c r="R362" s="111">
        <v>6</v>
      </c>
      <c r="S362" s="111">
        <f t="shared" si="51"/>
        <v>6000</v>
      </c>
      <c r="T362" s="111">
        <f t="shared" si="52"/>
        <v>360000</v>
      </c>
      <c r="U362" s="111">
        <f t="shared" si="53"/>
        <v>3600</v>
      </c>
      <c r="V362" s="111">
        <f t="shared" si="54"/>
        <v>363600</v>
      </c>
      <c r="W362" t="s">
        <v>2821</v>
      </c>
    </row>
    <row r="363" spans="1:23" x14ac:dyDescent="0.3">
      <c r="A363" s="110">
        <v>400029</v>
      </c>
      <c r="B363" s="110" t="s">
        <v>548</v>
      </c>
      <c r="C363" s="110" t="s">
        <v>548</v>
      </c>
      <c r="D363" s="110" t="s">
        <v>548</v>
      </c>
      <c r="E363" s="110" t="s">
        <v>564</v>
      </c>
      <c r="F363" s="110" t="s">
        <v>113</v>
      </c>
      <c r="G363" s="110" t="s">
        <v>114</v>
      </c>
      <c r="H363" s="111">
        <v>640</v>
      </c>
      <c r="I363" s="111">
        <v>647</v>
      </c>
      <c r="J363" s="111">
        <v>651</v>
      </c>
      <c r="K363" s="111">
        <f t="shared" si="46"/>
        <v>646</v>
      </c>
      <c r="L363" s="111">
        <f>300000</f>
        <v>300000</v>
      </c>
      <c r="M363" s="111">
        <f t="shared" si="47"/>
        <v>135000</v>
      </c>
      <c r="N363" s="111">
        <f t="shared" si="48"/>
        <v>135000</v>
      </c>
      <c r="O363" s="111">
        <f t="shared" si="49"/>
        <v>27000</v>
      </c>
      <c r="P363" s="111">
        <f t="shared" si="50"/>
        <v>30000</v>
      </c>
      <c r="Q363" s="111">
        <v>60000</v>
      </c>
      <c r="R363" s="111">
        <v>6</v>
      </c>
      <c r="S363" s="111">
        <f t="shared" si="51"/>
        <v>6000</v>
      </c>
      <c r="T363" s="111">
        <f t="shared" si="52"/>
        <v>360000</v>
      </c>
      <c r="U363" s="111">
        <f t="shared" si="53"/>
        <v>3600</v>
      </c>
      <c r="V363" s="111">
        <f t="shared" si="54"/>
        <v>363600</v>
      </c>
      <c r="W363" t="s">
        <v>2822</v>
      </c>
    </row>
    <row r="364" spans="1:23" x14ac:dyDescent="0.3">
      <c r="A364" s="110">
        <v>400030</v>
      </c>
      <c r="B364" s="110" t="s">
        <v>548</v>
      </c>
      <c r="C364" s="110" t="s">
        <v>548</v>
      </c>
      <c r="D364" s="110" t="s">
        <v>548</v>
      </c>
      <c r="E364" s="110" t="s">
        <v>565</v>
      </c>
      <c r="F364" s="110" t="s">
        <v>119</v>
      </c>
      <c r="G364" s="110" t="s">
        <v>114</v>
      </c>
      <c r="H364" s="111">
        <v>1244</v>
      </c>
      <c r="I364" s="111">
        <v>1240</v>
      </c>
      <c r="J364" s="111">
        <v>1221</v>
      </c>
      <c r="K364" s="111">
        <f t="shared" si="46"/>
        <v>1235</v>
      </c>
      <c r="L364" s="111">
        <f>600000</f>
        <v>600000</v>
      </c>
      <c r="M364" s="111">
        <f t="shared" si="47"/>
        <v>270000</v>
      </c>
      <c r="N364" s="111">
        <f t="shared" si="48"/>
        <v>270000</v>
      </c>
      <c r="O364" s="111">
        <f t="shared" si="49"/>
        <v>54000</v>
      </c>
      <c r="P364" s="111">
        <f t="shared" si="50"/>
        <v>60000</v>
      </c>
      <c r="Q364" s="111">
        <v>80000</v>
      </c>
      <c r="R364" s="111">
        <v>8</v>
      </c>
      <c r="S364" s="111">
        <f t="shared" si="51"/>
        <v>8000</v>
      </c>
      <c r="T364" s="111">
        <f t="shared" si="52"/>
        <v>680000</v>
      </c>
      <c r="U364" s="111">
        <f t="shared" si="53"/>
        <v>6800</v>
      </c>
      <c r="V364" s="111">
        <f t="shared" si="54"/>
        <v>686800</v>
      </c>
      <c r="W364" t="s">
        <v>2823</v>
      </c>
    </row>
    <row r="365" spans="1:23" x14ac:dyDescent="0.3">
      <c r="A365" s="110">
        <v>400031</v>
      </c>
      <c r="B365" s="110" t="s">
        <v>548</v>
      </c>
      <c r="C365" s="110" t="s">
        <v>548</v>
      </c>
      <c r="D365" s="110" t="s">
        <v>548</v>
      </c>
      <c r="E365" s="110" t="s">
        <v>566</v>
      </c>
      <c r="F365" s="110" t="s">
        <v>119</v>
      </c>
      <c r="G365" s="110" t="s">
        <v>114</v>
      </c>
      <c r="H365" s="111">
        <v>1394</v>
      </c>
      <c r="I365" s="111">
        <v>1329</v>
      </c>
      <c r="J365" s="111">
        <v>1313</v>
      </c>
      <c r="K365" s="111">
        <f t="shared" si="46"/>
        <v>1345.3333333333333</v>
      </c>
      <c r="L365" s="111">
        <f>600000</f>
        <v>600000</v>
      </c>
      <c r="M365" s="111">
        <f t="shared" si="47"/>
        <v>270000</v>
      </c>
      <c r="N365" s="111">
        <f t="shared" si="48"/>
        <v>270000</v>
      </c>
      <c r="O365" s="111">
        <f t="shared" si="49"/>
        <v>54000</v>
      </c>
      <c r="P365" s="111">
        <f t="shared" si="50"/>
        <v>60000</v>
      </c>
      <c r="Q365" s="111">
        <v>80000</v>
      </c>
      <c r="R365" s="111">
        <v>8</v>
      </c>
      <c r="S365" s="111">
        <f t="shared" si="51"/>
        <v>8000</v>
      </c>
      <c r="T365" s="111">
        <f t="shared" si="52"/>
        <v>680000</v>
      </c>
      <c r="U365" s="111">
        <f t="shared" si="53"/>
        <v>6800</v>
      </c>
      <c r="V365" s="111">
        <f t="shared" si="54"/>
        <v>686800</v>
      </c>
      <c r="W365" t="s">
        <v>2824</v>
      </c>
    </row>
    <row r="366" spans="1:23" x14ac:dyDescent="0.3">
      <c r="A366" s="110">
        <v>400032</v>
      </c>
      <c r="B366" s="110" t="s">
        <v>548</v>
      </c>
      <c r="C366" s="110" t="s">
        <v>548</v>
      </c>
      <c r="D366" s="110" t="s">
        <v>548</v>
      </c>
      <c r="E366" s="110" t="s">
        <v>567</v>
      </c>
      <c r="F366" s="110" t="s">
        <v>113</v>
      </c>
      <c r="G366" s="110" t="s">
        <v>114</v>
      </c>
      <c r="H366" s="111">
        <v>542</v>
      </c>
      <c r="I366" s="111">
        <v>568</v>
      </c>
      <c r="J366" s="111">
        <v>578</v>
      </c>
      <c r="K366" s="111">
        <f t="shared" si="46"/>
        <v>562.66666666666663</v>
      </c>
      <c r="L366" s="111">
        <f>300000</f>
        <v>300000</v>
      </c>
      <c r="M366" s="111">
        <f t="shared" si="47"/>
        <v>135000</v>
      </c>
      <c r="N366" s="111">
        <f t="shared" si="48"/>
        <v>135000</v>
      </c>
      <c r="O366" s="111">
        <f t="shared" si="49"/>
        <v>27000</v>
      </c>
      <c r="P366" s="111">
        <f t="shared" si="50"/>
        <v>30000</v>
      </c>
      <c r="Q366" s="111">
        <v>60000</v>
      </c>
      <c r="R366" s="111">
        <v>6</v>
      </c>
      <c r="S366" s="111">
        <f t="shared" si="51"/>
        <v>6000</v>
      </c>
      <c r="T366" s="111">
        <f t="shared" si="52"/>
        <v>360000</v>
      </c>
      <c r="U366" s="111">
        <f t="shared" si="53"/>
        <v>3600</v>
      </c>
      <c r="V366" s="111">
        <f t="shared" si="54"/>
        <v>363600</v>
      </c>
      <c r="W366" t="s">
        <v>2825</v>
      </c>
    </row>
    <row r="367" spans="1:23" x14ac:dyDescent="0.3">
      <c r="A367" s="110">
        <v>400033</v>
      </c>
      <c r="B367" s="110" t="s">
        <v>548</v>
      </c>
      <c r="C367" s="110" t="s">
        <v>548</v>
      </c>
      <c r="D367" s="110" t="s">
        <v>548</v>
      </c>
      <c r="E367" s="110" t="s">
        <v>568</v>
      </c>
      <c r="F367" s="110" t="s">
        <v>296</v>
      </c>
      <c r="G367" s="110" t="s">
        <v>125</v>
      </c>
      <c r="H367" s="111">
        <v>485</v>
      </c>
      <c r="I367" s="111">
        <v>508</v>
      </c>
      <c r="J367" s="111">
        <v>535</v>
      </c>
      <c r="K367" s="111">
        <f t="shared" si="46"/>
        <v>509.33333333333331</v>
      </c>
      <c r="L367" s="111">
        <f>300000</f>
        <v>300000</v>
      </c>
      <c r="M367" s="111">
        <f t="shared" si="47"/>
        <v>135000</v>
      </c>
      <c r="N367" s="111">
        <f t="shared" si="48"/>
        <v>135000</v>
      </c>
      <c r="O367" s="111">
        <f t="shared" si="49"/>
        <v>27000</v>
      </c>
      <c r="P367" s="111">
        <f t="shared" si="50"/>
        <v>30000</v>
      </c>
      <c r="Q367" s="111">
        <v>60000</v>
      </c>
      <c r="R367" s="111">
        <v>6</v>
      </c>
      <c r="S367" s="111">
        <f t="shared" si="51"/>
        <v>6000</v>
      </c>
      <c r="T367" s="111">
        <f t="shared" si="52"/>
        <v>360000</v>
      </c>
      <c r="U367" s="111">
        <f t="shared" si="53"/>
        <v>3600</v>
      </c>
      <c r="V367" s="111">
        <f t="shared" si="54"/>
        <v>363600</v>
      </c>
      <c r="W367" t="s">
        <v>2826</v>
      </c>
    </row>
    <row r="368" spans="1:23" x14ac:dyDescent="0.3">
      <c r="A368" s="110">
        <v>400034</v>
      </c>
      <c r="B368" s="110" t="s">
        <v>548</v>
      </c>
      <c r="C368" s="110" t="s">
        <v>548</v>
      </c>
      <c r="D368" s="110" t="s">
        <v>548</v>
      </c>
      <c r="E368" s="110" t="s">
        <v>569</v>
      </c>
      <c r="F368" s="110" t="s">
        <v>119</v>
      </c>
      <c r="G368" s="110" t="s">
        <v>114</v>
      </c>
      <c r="H368" s="111">
        <v>1279</v>
      </c>
      <c r="I368" s="111">
        <v>1278</v>
      </c>
      <c r="J368" s="111">
        <v>1276</v>
      </c>
      <c r="K368" s="111">
        <f t="shared" si="46"/>
        <v>1277.6666666666667</v>
      </c>
      <c r="L368" s="111">
        <f>600000</f>
        <v>600000</v>
      </c>
      <c r="M368" s="111">
        <f t="shared" si="47"/>
        <v>270000</v>
      </c>
      <c r="N368" s="111">
        <f t="shared" si="48"/>
        <v>270000</v>
      </c>
      <c r="O368" s="111">
        <f t="shared" si="49"/>
        <v>54000</v>
      </c>
      <c r="P368" s="111">
        <f t="shared" si="50"/>
        <v>60000</v>
      </c>
      <c r="Q368" s="111">
        <v>80000</v>
      </c>
      <c r="R368" s="111">
        <v>8</v>
      </c>
      <c r="S368" s="111">
        <f t="shared" si="51"/>
        <v>8000</v>
      </c>
      <c r="T368" s="111">
        <f t="shared" si="52"/>
        <v>680000</v>
      </c>
      <c r="U368" s="111">
        <f t="shared" si="53"/>
        <v>6800</v>
      </c>
      <c r="V368" s="111">
        <f t="shared" si="54"/>
        <v>686800</v>
      </c>
      <c r="W368" t="s">
        <v>2827</v>
      </c>
    </row>
    <row r="369" spans="1:23" x14ac:dyDescent="0.3">
      <c r="A369" s="110">
        <v>400036</v>
      </c>
      <c r="B369" s="110" t="s">
        <v>548</v>
      </c>
      <c r="C369" s="110" t="s">
        <v>548</v>
      </c>
      <c r="D369" s="110" t="s">
        <v>548</v>
      </c>
      <c r="E369" s="110" t="s">
        <v>429</v>
      </c>
      <c r="F369" s="110" t="s">
        <v>119</v>
      </c>
      <c r="G369" s="110" t="s">
        <v>114</v>
      </c>
      <c r="H369" s="111">
        <v>296</v>
      </c>
      <c r="I369" s="111">
        <v>310</v>
      </c>
      <c r="J369" s="111">
        <v>286</v>
      </c>
      <c r="K369" s="111">
        <f t="shared" si="46"/>
        <v>297.33333333333331</v>
      </c>
      <c r="L369" s="111">
        <v>200000</v>
      </c>
      <c r="M369" s="111">
        <f t="shared" si="47"/>
        <v>90000</v>
      </c>
      <c r="N369" s="111">
        <f t="shared" si="48"/>
        <v>90000</v>
      </c>
      <c r="O369" s="111">
        <f t="shared" si="49"/>
        <v>18000</v>
      </c>
      <c r="P369" s="111">
        <f t="shared" si="50"/>
        <v>20000</v>
      </c>
      <c r="Q369" s="111">
        <v>50000</v>
      </c>
      <c r="R369" s="111">
        <v>5</v>
      </c>
      <c r="S369" s="111">
        <f t="shared" si="51"/>
        <v>5000</v>
      </c>
      <c r="T369" s="111">
        <f t="shared" si="52"/>
        <v>250000</v>
      </c>
      <c r="U369" s="111">
        <f t="shared" si="53"/>
        <v>2500</v>
      </c>
      <c r="V369" s="111">
        <f t="shared" si="54"/>
        <v>252500</v>
      </c>
      <c r="W369" t="s">
        <v>2828</v>
      </c>
    </row>
    <row r="370" spans="1:23" x14ac:dyDescent="0.3">
      <c r="A370" s="110">
        <v>400037</v>
      </c>
      <c r="B370" s="110" t="s">
        <v>548</v>
      </c>
      <c r="C370" s="110" t="s">
        <v>548</v>
      </c>
      <c r="D370" s="110" t="s">
        <v>548</v>
      </c>
      <c r="E370" s="110" t="s">
        <v>374</v>
      </c>
      <c r="F370" s="110" t="s">
        <v>119</v>
      </c>
      <c r="G370" s="110" t="s">
        <v>114</v>
      </c>
      <c r="H370" s="111">
        <v>373</v>
      </c>
      <c r="I370" s="111">
        <v>361</v>
      </c>
      <c r="J370" s="111">
        <v>328</v>
      </c>
      <c r="K370" s="111">
        <f t="shared" si="46"/>
        <v>354</v>
      </c>
      <c r="L370" s="111">
        <v>200000</v>
      </c>
      <c r="M370" s="111">
        <f t="shared" si="47"/>
        <v>90000</v>
      </c>
      <c r="N370" s="111">
        <f t="shared" si="48"/>
        <v>90000</v>
      </c>
      <c r="O370" s="111">
        <f t="shared" si="49"/>
        <v>18000</v>
      </c>
      <c r="P370" s="111">
        <f t="shared" si="50"/>
        <v>20000</v>
      </c>
      <c r="Q370" s="111">
        <v>50000</v>
      </c>
      <c r="R370" s="111">
        <v>5</v>
      </c>
      <c r="S370" s="111">
        <f t="shared" si="51"/>
        <v>5000</v>
      </c>
      <c r="T370" s="111">
        <f t="shared" si="52"/>
        <v>250000</v>
      </c>
      <c r="U370" s="111">
        <f t="shared" si="53"/>
        <v>2500</v>
      </c>
      <c r="V370" s="111">
        <f t="shared" si="54"/>
        <v>252500</v>
      </c>
      <c r="W370" t="s">
        <v>2829</v>
      </c>
    </row>
    <row r="371" spans="1:23" x14ac:dyDescent="0.3">
      <c r="A371" s="110">
        <v>400039</v>
      </c>
      <c r="B371" s="110" t="s">
        <v>548</v>
      </c>
      <c r="C371" s="110" t="s">
        <v>548</v>
      </c>
      <c r="D371" s="110" t="s">
        <v>548</v>
      </c>
      <c r="E371" s="110" t="s">
        <v>570</v>
      </c>
      <c r="F371" s="110" t="s">
        <v>119</v>
      </c>
      <c r="G371" s="110" t="s">
        <v>114</v>
      </c>
      <c r="H371" s="111">
        <v>749</v>
      </c>
      <c r="I371" s="111">
        <v>750</v>
      </c>
      <c r="J371" s="111">
        <v>699</v>
      </c>
      <c r="K371" s="111">
        <f t="shared" si="46"/>
        <v>732.66666666666663</v>
      </c>
      <c r="L371" s="111">
        <f>300000</f>
        <v>300000</v>
      </c>
      <c r="M371" s="111">
        <f t="shared" si="47"/>
        <v>135000</v>
      </c>
      <c r="N371" s="111">
        <f t="shared" si="48"/>
        <v>135000</v>
      </c>
      <c r="O371" s="111">
        <f t="shared" si="49"/>
        <v>27000</v>
      </c>
      <c r="P371" s="111">
        <f t="shared" si="50"/>
        <v>30000</v>
      </c>
      <c r="Q371" s="111">
        <v>60000</v>
      </c>
      <c r="R371" s="111">
        <v>6</v>
      </c>
      <c r="S371" s="111">
        <f t="shared" si="51"/>
        <v>6000</v>
      </c>
      <c r="T371" s="111">
        <f t="shared" si="52"/>
        <v>360000</v>
      </c>
      <c r="U371" s="111">
        <f t="shared" si="53"/>
        <v>3600</v>
      </c>
      <c r="V371" s="111">
        <f t="shared" si="54"/>
        <v>363600</v>
      </c>
      <c r="W371" t="s">
        <v>2830</v>
      </c>
    </row>
    <row r="372" spans="1:23" x14ac:dyDescent="0.3">
      <c r="A372" s="110">
        <v>400040</v>
      </c>
      <c r="B372" s="110" t="s">
        <v>548</v>
      </c>
      <c r="C372" s="110" t="s">
        <v>548</v>
      </c>
      <c r="D372" s="110" t="s">
        <v>548</v>
      </c>
      <c r="E372" s="110" t="s">
        <v>274</v>
      </c>
      <c r="F372" s="110" t="s">
        <v>119</v>
      </c>
      <c r="G372" s="110" t="s">
        <v>114</v>
      </c>
      <c r="H372" s="111">
        <v>1371</v>
      </c>
      <c r="I372" s="111">
        <v>1263</v>
      </c>
      <c r="J372" s="111">
        <v>1128</v>
      </c>
      <c r="K372" s="111">
        <f t="shared" si="46"/>
        <v>1254</v>
      </c>
      <c r="L372" s="111">
        <f>600000</f>
        <v>600000</v>
      </c>
      <c r="M372" s="111">
        <f t="shared" si="47"/>
        <v>270000</v>
      </c>
      <c r="N372" s="111">
        <f t="shared" si="48"/>
        <v>270000</v>
      </c>
      <c r="O372" s="111">
        <f t="shared" si="49"/>
        <v>54000</v>
      </c>
      <c r="P372" s="111">
        <f t="shared" si="50"/>
        <v>60000</v>
      </c>
      <c r="Q372" s="111">
        <v>80000</v>
      </c>
      <c r="R372" s="111">
        <v>8</v>
      </c>
      <c r="S372" s="111">
        <f t="shared" si="51"/>
        <v>8000</v>
      </c>
      <c r="T372" s="111">
        <f t="shared" si="52"/>
        <v>680000</v>
      </c>
      <c r="U372" s="111">
        <f t="shared" si="53"/>
        <v>6800</v>
      </c>
      <c r="V372" s="111">
        <f t="shared" si="54"/>
        <v>686800</v>
      </c>
      <c r="W372" t="s">
        <v>2831</v>
      </c>
    </row>
    <row r="373" spans="1:23" x14ac:dyDescent="0.3">
      <c r="A373" s="110">
        <v>400041</v>
      </c>
      <c r="B373" s="110" t="s">
        <v>548</v>
      </c>
      <c r="C373" s="110" t="s">
        <v>548</v>
      </c>
      <c r="D373" s="110" t="s">
        <v>548</v>
      </c>
      <c r="E373" s="110" t="s">
        <v>571</v>
      </c>
      <c r="F373" s="110" t="s">
        <v>122</v>
      </c>
      <c r="G373" s="110" t="s">
        <v>114</v>
      </c>
      <c r="H373" s="111">
        <v>669</v>
      </c>
      <c r="I373" s="111">
        <v>664</v>
      </c>
      <c r="J373" s="111">
        <v>661</v>
      </c>
      <c r="K373" s="111">
        <f t="shared" si="46"/>
        <v>664.66666666666663</v>
      </c>
      <c r="L373" s="111">
        <f>300000</f>
        <v>300000</v>
      </c>
      <c r="M373" s="111">
        <f t="shared" si="47"/>
        <v>135000</v>
      </c>
      <c r="N373" s="111">
        <f t="shared" si="48"/>
        <v>135000</v>
      </c>
      <c r="O373" s="111">
        <f t="shared" si="49"/>
        <v>27000</v>
      </c>
      <c r="P373" s="111">
        <f t="shared" si="50"/>
        <v>30000</v>
      </c>
      <c r="Q373" s="111">
        <v>60000</v>
      </c>
      <c r="R373" s="111">
        <v>6</v>
      </c>
      <c r="S373" s="111">
        <f t="shared" si="51"/>
        <v>6000</v>
      </c>
      <c r="T373" s="111">
        <f t="shared" si="52"/>
        <v>360000</v>
      </c>
      <c r="U373" s="111">
        <f t="shared" si="53"/>
        <v>3600</v>
      </c>
      <c r="V373" s="111">
        <f t="shared" si="54"/>
        <v>363600</v>
      </c>
      <c r="W373" t="s">
        <v>2832</v>
      </c>
    </row>
    <row r="374" spans="1:23" x14ac:dyDescent="0.3">
      <c r="A374" s="110">
        <v>400042</v>
      </c>
      <c r="B374" s="110" t="s">
        <v>548</v>
      </c>
      <c r="C374" s="110" t="s">
        <v>548</v>
      </c>
      <c r="D374" s="110" t="s">
        <v>548</v>
      </c>
      <c r="E374" s="110" t="s">
        <v>572</v>
      </c>
      <c r="F374" s="110" t="s">
        <v>122</v>
      </c>
      <c r="G374" s="110" t="s">
        <v>114</v>
      </c>
      <c r="H374" s="111">
        <v>1087</v>
      </c>
      <c r="I374" s="111">
        <v>1088</v>
      </c>
      <c r="J374" s="111">
        <v>1087</v>
      </c>
      <c r="K374" s="111">
        <f t="shared" si="46"/>
        <v>1087.3333333333333</v>
      </c>
      <c r="L374" s="111">
        <f>600000</f>
        <v>600000</v>
      </c>
      <c r="M374" s="111">
        <f t="shared" si="47"/>
        <v>270000</v>
      </c>
      <c r="N374" s="111">
        <f t="shared" si="48"/>
        <v>270000</v>
      </c>
      <c r="O374" s="111">
        <f t="shared" si="49"/>
        <v>54000</v>
      </c>
      <c r="P374" s="111">
        <f t="shared" si="50"/>
        <v>60000</v>
      </c>
      <c r="Q374" s="111">
        <v>80000</v>
      </c>
      <c r="R374" s="111">
        <v>8</v>
      </c>
      <c r="S374" s="111">
        <f t="shared" si="51"/>
        <v>8000</v>
      </c>
      <c r="T374" s="111">
        <f t="shared" si="52"/>
        <v>680000</v>
      </c>
      <c r="U374" s="111">
        <f t="shared" si="53"/>
        <v>6800</v>
      </c>
      <c r="V374" s="111">
        <f t="shared" si="54"/>
        <v>686800</v>
      </c>
      <c r="W374" t="s">
        <v>2833</v>
      </c>
    </row>
    <row r="375" spans="1:23" x14ac:dyDescent="0.3">
      <c r="A375" s="110">
        <v>400043</v>
      </c>
      <c r="B375" s="110" t="s">
        <v>548</v>
      </c>
      <c r="C375" s="110" t="s">
        <v>548</v>
      </c>
      <c r="D375" s="110" t="s">
        <v>548</v>
      </c>
      <c r="E375" s="110" t="s">
        <v>573</v>
      </c>
      <c r="F375" s="110" t="s">
        <v>122</v>
      </c>
      <c r="G375" s="110" t="s">
        <v>114</v>
      </c>
      <c r="H375" s="111">
        <v>925</v>
      </c>
      <c r="I375" s="111">
        <v>905</v>
      </c>
      <c r="J375" s="111">
        <v>903</v>
      </c>
      <c r="K375" s="111">
        <f t="shared" si="46"/>
        <v>911</v>
      </c>
      <c r="L375" s="111">
        <f>300000</f>
        <v>300000</v>
      </c>
      <c r="M375" s="111">
        <f t="shared" si="47"/>
        <v>135000</v>
      </c>
      <c r="N375" s="111">
        <f t="shared" si="48"/>
        <v>135000</v>
      </c>
      <c r="O375" s="111">
        <f t="shared" si="49"/>
        <v>27000</v>
      </c>
      <c r="P375" s="111">
        <f t="shared" si="50"/>
        <v>30000</v>
      </c>
      <c r="Q375" s="111">
        <v>60000</v>
      </c>
      <c r="R375" s="111">
        <v>6</v>
      </c>
      <c r="S375" s="111">
        <f t="shared" si="51"/>
        <v>6000</v>
      </c>
      <c r="T375" s="111">
        <f t="shared" si="52"/>
        <v>360000</v>
      </c>
      <c r="U375" s="111">
        <f t="shared" si="53"/>
        <v>3600</v>
      </c>
      <c r="V375" s="111">
        <f t="shared" si="54"/>
        <v>363600</v>
      </c>
      <c r="W375" t="s">
        <v>2834</v>
      </c>
    </row>
    <row r="376" spans="1:23" x14ac:dyDescent="0.3">
      <c r="A376" s="110">
        <v>400044</v>
      </c>
      <c r="B376" s="110" t="s">
        <v>548</v>
      </c>
      <c r="C376" s="110" t="s">
        <v>548</v>
      </c>
      <c r="D376" s="110" t="s">
        <v>548</v>
      </c>
      <c r="E376" s="110" t="s">
        <v>574</v>
      </c>
      <c r="F376" s="110" t="s">
        <v>117</v>
      </c>
      <c r="G376" s="110" t="s">
        <v>114</v>
      </c>
      <c r="H376" s="111">
        <v>737</v>
      </c>
      <c r="I376" s="111">
        <v>761</v>
      </c>
      <c r="J376" s="111">
        <v>777</v>
      </c>
      <c r="K376" s="111">
        <f t="shared" si="46"/>
        <v>758.33333333333337</v>
      </c>
      <c r="L376" s="111">
        <f>300000</f>
        <v>300000</v>
      </c>
      <c r="M376" s="111">
        <f t="shared" si="47"/>
        <v>135000</v>
      </c>
      <c r="N376" s="111">
        <f t="shared" si="48"/>
        <v>135000</v>
      </c>
      <c r="O376" s="111">
        <f t="shared" si="49"/>
        <v>27000</v>
      </c>
      <c r="P376" s="111">
        <f t="shared" si="50"/>
        <v>30000</v>
      </c>
      <c r="Q376" s="111">
        <v>60000</v>
      </c>
      <c r="R376" s="111">
        <v>6</v>
      </c>
      <c r="S376" s="111">
        <f t="shared" si="51"/>
        <v>6000</v>
      </c>
      <c r="T376" s="111">
        <f t="shared" si="52"/>
        <v>360000</v>
      </c>
      <c r="U376" s="111">
        <f t="shared" si="53"/>
        <v>3600</v>
      </c>
      <c r="V376" s="111">
        <f t="shared" si="54"/>
        <v>363600</v>
      </c>
      <c r="W376" t="s">
        <v>2835</v>
      </c>
    </row>
    <row r="377" spans="1:23" x14ac:dyDescent="0.3">
      <c r="A377" s="110">
        <v>400045</v>
      </c>
      <c r="B377" s="110" t="s">
        <v>548</v>
      </c>
      <c r="C377" s="110" t="s">
        <v>548</v>
      </c>
      <c r="D377" s="110" t="s">
        <v>548</v>
      </c>
      <c r="E377" s="110" t="s">
        <v>575</v>
      </c>
      <c r="F377" s="110" t="s">
        <v>122</v>
      </c>
      <c r="G377" s="110" t="s">
        <v>114</v>
      </c>
      <c r="H377" s="111">
        <v>1193</v>
      </c>
      <c r="I377" s="111">
        <v>1197</v>
      </c>
      <c r="J377" s="111">
        <v>1193</v>
      </c>
      <c r="K377" s="111">
        <f t="shared" si="46"/>
        <v>1194.3333333333333</v>
      </c>
      <c r="L377" s="111">
        <f>600000</f>
        <v>600000</v>
      </c>
      <c r="M377" s="111">
        <f t="shared" si="47"/>
        <v>270000</v>
      </c>
      <c r="N377" s="111">
        <f t="shared" si="48"/>
        <v>270000</v>
      </c>
      <c r="O377" s="111">
        <f t="shared" si="49"/>
        <v>54000</v>
      </c>
      <c r="P377" s="111">
        <f t="shared" si="50"/>
        <v>60000</v>
      </c>
      <c r="Q377" s="111">
        <v>80000</v>
      </c>
      <c r="R377" s="111">
        <v>8</v>
      </c>
      <c r="S377" s="111">
        <f t="shared" si="51"/>
        <v>8000</v>
      </c>
      <c r="T377" s="111">
        <f t="shared" si="52"/>
        <v>680000</v>
      </c>
      <c r="U377" s="111">
        <f t="shared" si="53"/>
        <v>6800</v>
      </c>
      <c r="V377" s="111">
        <f t="shared" si="54"/>
        <v>686800</v>
      </c>
      <c r="W377" t="s">
        <v>2836</v>
      </c>
    </row>
    <row r="378" spans="1:23" x14ac:dyDescent="0.3">
      <c r="A378" s="110">
        <v>400046</v>
      </c>
      <c r="B378" s="110" t="s">
        <v>548</v>
      </c>
      <c r="C378" s="110" t="s">
        <v>548</v>
      </c>
      <c r="D378" s="110" t="s">
        <v>548</v>
      </c>
      <c r="E378" s="110" t="s">
        <v>576</v>
      </c>
      <c r="F378" s="110" t="s">
        <v>122</v>
      </c>
      <c r="G378" s="110" t="s">
        <v>114</v>
      </c>
      <c r="H378" s="111">
        <v>1207</v>
      </c>
      <c r="I378" s="111">
        <v>1211</v>
      </c>
      <c r="J378" s="111">
        <v>1215</v>
      </c>
      <c r="K378" s="111">
        <f t="shared" si="46"/>
        <v>1211</v>
      </c>
      <c r="L378" s="111">
        <f>600000*0.7</f>
        <v>420000</v>
      </c>
      <c r="M378" s="111">
        <f t="shared" si="47"/>
        <v>189000</v>
      </c>
      <c r="N378" s="111">
        <f t="shared" si="48"/>
        <v>189000</v>
      </c>
      <c r="O378" s="111">
        <f t="shared" si="49"/>
        <v>37800</v>
      </c>
      <c r="P378" s="111">
        <f t="shared" si="50"/>
        <v>42000</v>
      </c>
      <c r="Q378" s="111">
        <v>80000</v>
      </c>
      <c r="R378" s="111">
        <v>8</v>
      </c>
      <c r="S378" s="111">
        <f t="shared" si="51"/>
        <v>8000</v>
      </c>
      <c r="T378" s="111">
        <f t="shared" si="52"/>
        <v>500000</v>
      </c>
      <c r="U378" s="111">
        <f t="shared" si="53"/>
        <v>5000</v>
      </c>
      <c r="V378" s="111">
        <f t="shared" si="54"/>
        <v>505000</v>
      </c>
      <c r="W378" t="s">
        <v>2837</v>
      </c>
    </row>
    <row r="379" spans="1:23" x14ac:dyDescent="0.3">
      <c r="A379" s="110">
        <v>400047</v>
      </c>
      <c r="B379" s="110" t="s">
        <v>548</v>
      </c>
      <c r="C379" s="110" t="s">
        <v>548</v>
      </c>
      <c r="D379" s="110" t="s">
        <v>548</v>
      </c>
      <c r="E379" s="110" t="s">
        <v>577</v>
      </c>
      <c r="F379" s="110" t="s">
        <v>119</v>
      </c>
      <c r="G379" s="110" t="s">
        <v>114</v>
      </c>
      <c r="H379" s="111">
        <v>1375</v>
      </c>
      <c r="I379" s="111">
        <v>1364</v>
      </c>
      <c r="J379" s="111">
        <v>1323</v>
      </c>
      <c r="K379" s="111">
        <f t="shared" si="46"/>
        <v>1354</v>
      </c>
      <c r="L379" s="111">
        <f>600000</f>
        <v>600000</v>
      </c>
      <c r="M379" s="111">
        <f t="shared" si="47"/>
        <v>270000</v>
      </c>
      <c r="N379" s="111">
        <f t="shared" si="48"/>
        <v>270000</v>
      </c>
      <c r="O379" s="111">
        <f t="shared" si="49"/>
        <v>54000</v>
      </c>
      <c r="P379" s="111">
        <f t="shared" si="50"/>
        <v>60000</v>
      </c>
      <c r="Q379" s="111">
        <v>80000</v>
      </c>
      <c r="R379" s="111">
        <v>8</v>
      </c>
      <c r="S379" s="111">
        <f t="shared" si="51"/>
        <v>8000</v>
      </c>
      <c r="T379" s="111">
        <f t="shared" si="52"/>
        <v>680000</v>
      </c>
      <c r="U379" s="111">
        <f t="shared" si="53"/>
        <v>6800</v>
      </c>
      <c r="V379" s="111">
        <f t="shared" si="54"/>
        <v>686800</v>
      </c>
      <c r="W379" t="s">
        <v>2838</v>
      </c>
    </row>
    <row r="380" spans="1:23" x14ac:dyDescent="0.3">
      <c r="A380" s="110">
        <v>400052</v>
      </c>
      <c r="B380" s="110" t="s">
        <v>548</v>
      </c>
      <c r="C380" s="110" t="s">
        <v>548</v>
      </c>
      <c r="D380" s="110" t="s">
        <v>548</v>
      </c>
      <c r="E380" s="110" t="s">
        <v>578</v>
      </c>
      <c r="F380" s="110" t="s">
        <v>135</v>
      </c>
      <c r="G380" s="110" t="s">
        <v>114</v>
      </c>
      <c r="H380" s="111">
        <v>113</v>
      </c>
      <c r="I380" s="111">
        <v>133</v>
      </c>
      <c r="J380" s="111">
        <v>151</v>
      </c>
      <c r="K380" s="111">
        <f t="shared" si="46"/>
        <v>132.33333333333334</v>
      </c>
      <c r="L380" s="111">
        <v>150000</v>
      </c>
      <c r="M380" s="111">
        <f t="shared" si="47"/>
        <v>67500</v>
      </c>
      <c r="N380" s="111">
        <f t="shared" si="48"/>
        <v>67500</v>
      </c>
      <c r="O380" s="111">
        <f t="shared" si="49"/>
        <v>13500</v>
      </c>
      <c r="P380" s="111">
        <f t="shared" si="50"/>
        <v>15000</v>
      </c>
      <c r="Q380" s="111">
        <v>30000</v>
      </c>
      <c r="R380" s="111">
        <v>3</v>
      </c>
      <c r="S380" s="111">
        <f t="shared" si="51"/>
        <v>3000</v>
      </c>
      <c r="T380" s="111">
        <f t="shared" si="52"/>
        <v>180000</v>
      </c>
      <c r="U380" s="111">
        <f t="shared" si="53"/>
        <v>1800</v>
      </c>
      <c r="V380" s="111">
        <f t="shared" si="54"/>
        <v>181800</v>
      </c>
      <c r="W380" t="s">
        <v>2839</v>
      </c>
    </row>
    <row r="381" spans="1:23" x14ac:dyDescent="0.3">
      <c r="A381" s="110">
        <v>400054</v>
      </c>
      <c r="B381" s="110" t="s">
        <v>548</v>
      </c>
      <c r="C381" s="110" t="s">
        <v>548</v>
      </c>
      <c r="D381" s="110" t="s">
        <v>548</v>
      </c>
      <c r="E381" s="110" t="s">
        <v>579</v>
      </c>
      <c r="F381" s="110" t="s">
        <v>580</v>
      </c>
      <c r="G381" s="110" t="s">
        <v>125</v>
      </c>
      <c r="H381" s="111">
        <v>142</v>
      </c>
      <c r="I381" s="111">
        <v>147</v>
      </c>
      <c r="J381" s="111">
        <v>142</v>
      </c>
      <c r="K381" s="111">
        <f t="shared" si="46"/>
        <v>143.66666666666666</v>
      </c>
      <c r="L381" s="111">
        <v>150000</v>
      </c>
      <c r="M381" s="111">
        <f t="shared" si="47"/>
        <v>67500</v>
      </c>
      <c r="N381" s="111">
        <f t="shared" si="48"/>
        <v>67500</v>
      </c>
      <c r="O381" s="111">
        <f t="shared" si="49"/>
        <v>13500</v>
      </c>
      <c r="P381" s="111">
        <f t="shared" si="50"/>
        <v>15000</v>
      </c>
      <c r="Q381" s="111">
        <v>30000</v>
      </c>
      <c r="R381" s="111">
        <v>3</v>
      </c>
      <c r="S381" s="111">
        <f t="shared" si="51"/>
        <v>3000</v>
      </c>
      <c r="T381" s="111">
        <f t="shared" si="52"/>
        <v>180000</v>
      </c>
      <c r="U381" s="111">
        <f t="shared" si="53"/>
        <v>1800</v>
      </c>
      <c r="V381" s="111">
        <f t="shared" si="54"/>
        <v>181800</v>
      </c>
      <c r="W381" t="s">
        <v>2840</v>
      </c>
    </row>
    <row r="382" spans="1:23" x14ac:dyDescent="0.3">
      <c r="A382" s="110">
        <v>400055</v>
      </c>
      <c r="B382" s="110" t="s">
        <v>548</v>
      </c>
      <c r="C382" s="110" t="s">
        <v>548</v>
      </c>
      <c r="D382" s="110" t="s">
        <v>548</v>
      </c>
      <c r="E382" s="110" t="s">
        <v>146</v>
      </c>
      <c r="F382" s="110" t="s">
        <v>117</v>
      </c>
      <c r="G382" s="110" t="s">
        <v>125</v>
      </c>
      <c r="H382" s="111">
        <v>885</v>
      </c>
      <c r="I382" s="111">
        <v>964</v>
      </c>
      <c r="J382" s="111">
        <v>1069</v>
      </c>
      <c r="K382" s="111">
        <f t="shared" si="46"/>
        <v>972.66666666666663</v>
      </c>
      <c r="L382" s="111">
        <f>300000</f>
        <v>300000</v>
      </c>
      <c r="M382" s="111">
        <f t="shared" si="47"/>
        <v>135000</v>
      </c>
      <c r="N382" s="111">
        <f t="shared" si="48"/>
        <v>135000</v>
      </c>
      <c r="O382" s="111">
        <f t="shared" si="49"/>
        <v>27000</v>
      </c>
      <c r="P382" s="111">
        <f t="shared" si="50"/>
        <v>30000</v>
      </c>
      <c r="Q382" s="111">
        <v>60000</v>
      </c>
      <c r="R382" s="111">
        <v>6</v>
      </c>
      <c r="S382" s="111">
        <f t="shared" si="51"/>
        <v>6000</v>
      </c>
      <c r="T382" s="111">
        <f t="shared" si="52"/>
        <v>360000</v>
      </c>
      <c r="U382" s="111">
        <f t="shared" si="53"/>
        <v>3600</v>
      </c>
      <c r="V382" s="111">
        <f t="shared" si="54"/>
        <v>363600</v>
      </c>
      <c r="W382" t="s">
        <v>2841</v>
      </c>
    </row>
    <row r="383" spans="1:23" x14ac:dyDescent="0.3">
      <c r="A383" s="110">
        <v>400058</v>
      </c>
      <c r="B383" s="110" t="s">
        <v>548</v>
      </c>
      <c r="C383" s="110" t="s">
        <v>548</v>
      </c>
      <c r="D383" s="110" t="s">
        <v>548</v>
      </c>
      <c r="E383" s="110" t="s">
        <v>581</v>
      </c>
      <c r="F383" s="110" t="s">
        <v>117</v>
      </c>
      <c r="G383" s="110" t="s">
        <v>125</v>
      </c>
      <c r="H383" s="111">
        <v>261</v>
      </c>
      <c r="I383" s="111">
        <v>318</v>
      </c>
      <c r="J383" s="111">
        <v>404</v>
      </c>
      <c r="K383" s="111">
        <f t="shared" si="46"/>
        <v>327.66666666666669</v>
      </c>
      <c r="L383" s="111">
        <v>200000</v>
      </c>
      <c r="M383" s="111">
        <f t="shared" si="47"/>
        <v>90000</v>
      </c>
      <c r="N383" s="111">
        <f t="shared" si="48"/>
        <v>90000</v>
      </c>
      <c r="O383" s="111">
        <f t="shared" si="49"/>
        <v>18000</v>
      </c>
      <c r="P383" s="111">
        <f t="shared" si="50"/>
        <v>20000</v>
      </c>
      <c r="Q383" s="111">
        <v>50000</v>
      </c>
      <c r="R383" s="111">
        <v>5</v>
      </c>
      <c r="S383" s="111">
        <f t="shared" si="51"/>
        <v>5000</v>
      </c>
      <c r="T383" s="111">
        <f t="shared" si="52"/>
        <v>250000</v>
      </c>
      <c r="U383" s="111">
        <f t="shared" si="53"/>
        <v>2500</v>
      </c>
      <c r="V383" s="111">
        <f t="shared" si="54"/>
        <v>252500</v>
      </c>
      <c r="W383" t="s">
        <v>2842</v>
      </c>
    </row>
    <row r="384" spans="1:23" x14ac:dyDescent="0.3">
      <c r="A384" s="110">
        <v>400063</v>
      </c>
      <c r="B384" s="110" t="s">
        <v>548</v>
      </c>
      <c r="C384" s="110" t="s">
        <v>548</v>
      </c>
      <c r="D384" s="110" t="s">
        <v>548</v>
      </c>
      <c r="E384" s="110" t="s">
        <v>582</v>
      </c>
      <c r="F384" s="110" t="s">
        <v>117</v>
      </c>
      <c r="G384" s="110" t="s">
        <v>125</v>
      </c>
      <c r="H384" s="111">
        <v>422</v>
      </c>
      <c r="I384" s="111">
        <v>524</v>
      </c>
      <c r="J384" s="111">
        <v>622</v>
      </c>
      <c r="K384" s="111">
        <f t="shared" si="46"/>
        <v>522.66666666666663</v>
      </c>
      <c r="L384" s="111">
        <f>300000</f>
        <v>300000</v>
      </c>
      <c r="M384" s="111">
        <f t="shared" si="47"/>
        <v>135000</v>
      </c>
      <c r="N384" s="111">
        <f t="shared" si="48"/>
        <v>135000</v>
      </c>
      <c r="O384" s="111">
        <f t="shared" si="49"/>
        <v>27000</v>
      </c>
      <c r="P384" s="111">
        <f t="shared" si="50"/>
        <v>30000</v>
      </c>
      <c r="Q384" s="111">
        <v>60000</v>
      </c>
      <c r="R384" s="111">
        <v>6</v>
      </c>
      <c r="S384" s="111">
        <f t="shared" si="51"/>
        <v>6000</v>
      </c>
      <c r="T384" s="111">
        <f t="shared" si="52"/>
        <v>360000</v>
      </c>
      <c r="U384" s="111">
        <f t="shared" si="53"/>
        <v>3600</v>
      </c>
      <c r="V384" s="111">
        <f t="shared" si="54"/>
        <v>363600</v>
      </c>
      <c r="W384" t="s">
        <v>2843</v>
      </c>
    </row>
    <row r="385" spans="1:23" x14ac:dyDescent="0.3">
      <c r="A385" s="110">
        <v>400079</v>
      </c>
      <c r="B385" s="110" t="s">
        <v>548</v>
      </c>
      <c r="C385" s="110" t="s">
        <v>583</v>
      </c>
      <c r="D385" s="110" t="s">
        <v>583</v>
      </c>
      <c r="E385" s="110" t="s">
        <v>184</v>
      </c>
      <c r="F385" s="110" t="s">
        <v>113</v>
      </c>
      <c r="G385" s="110" t="s">
        <v>114</v>
      </c>
      <c r="H385" s="111">
        <v>64</v>
      </c>
      <c r="I385" s="111">
        <v>61</v>
      </c>
      <c r="J385" s="111">
        <v>51</v>
      </c>
      <c r="K385" s="111">
        <f t="shared" si="46"/>
        <v>58.666666666666664</v>
      </c>
      <c r="L385" s="111">
        <v>150000</v>
      </c>
      <c r="M385" s="111">
        <f t="shared" si="47"/>
        <v>67500</v>
      </c>
      <c r="N385" s="111">
        <f t="shared" si="48"/>
        <v>67500</v>
      </c>
      <c r="O385" s="111">
        <f t="shared" si="49"/>
        <v>13500</v>
      </c>
      <c r="P385" s="111">
        <f t="shared" si="50"/>
        <v>15000</v>
      </c>
      <c r="Q385" s="111">
        <v>30000</v>
      </c>
      <c r="R385" s="111">
        <v>3</v>
      </c>
      <c r="S385" s="111">
        <f t="shared" si="51"/>
        <v>3000</v>
      </c>
      <c r="T385" s="111">
        <f t="shared" si="52"/>
        <v>180000</v>
      </c>
      <c r="U385" s="111">
        <f t="shared" si="53"/>
        <v>1800</v>
      </c>
      <c r="V385" s="111">
        <f t="shared" si="54"/>
        <v>181800</v>
      </c>
      <c r="W385" t="s">
        <v>2844</v>
      </c>
    </row>
    <row r="386" spans="1:23" x14ac:dyDescent="0.3">
      <c r="A386" s="110">
        <v>400081</v>
      </c>
      <c r="B386" s="110" t="s">
        <v>548</v>
      </c>
      <c r="C386" s="110" t="s">
        <v>583</v>
      </c>
      <c r="D386" s="110" t="s">
        <v>584</v>
      </c>
      <c r="E386" s="110" t="s">
        <v>247</v>
      </c>
      <c r="F386" s="110" t="s">
        <v>113</v>
      </c>
      <c r="G386" s="110" t="s">
        <v>114</v>
      </c>
      <c r="H386" s="111">
        <v>115</v>
      </c>
      <c r="I386" s="111">
        <v>102</v>
      </c>
      <c r="J386" s="111">
        <v>96</v>
      </c>
      <c r="K386" s="111">
        <f t="shared" ref="K386:K449" si="55">+(H386+I386+J386)/3</f>
        <v>104.33333333333333</v>
      </c>
      <c r="L386" s="111">
        <v>150000</v>
      </c>
      <c r="M386" s="111">
        <f t="shared" ref="M386:M449" si="56">+L386*0.45</f>
        <v>67500</v>
      </c>
      <c r="N386" s="111">
        <f t="shared" ref="N386:N449" si="57">+L386*0.45</f>
        <v>67500</v>
      </c>
      <c r="O386" s="111">
        <f t="shared" ref="O386:O449" si="58">+N386*0.2</f>
        <v>13500</v>
      </c>
      <c r="P386" s="111">
        <f t="shared" ref="P386:P449" si="59">++L386*0.1</f>
        <v>15000</v>
      </c>
      <c r="Q386" s="111">
        <v>30000</v>
      </c>
      <c r="R386" s="111">
        <v>3</v>
      </c>
      <c r="S386" s="111">
        <f t="shared" ref="S386:S449" si="60">+Q386*0.1</f>
        <v>3000</v>
      </c>
      <c r="T386" s="111">
        <f t="shared" ref="T386:T449" si="61">+L386+Q386</f>
        <v>180000</v>
      </c>
      <c r="U386" s="111">
        <f t="shared" ref="U386:U449" si="62">+T386*0.01</f>
        <v>1800</v>
      </c>
      <c r="V386" s="111">
        <f t="shared" ref="V386:V449" si="63">+T386+U386</f>
        <v>181800</v>
      </c>
      <c r="W386" t="s">
        <v>2845</v>
      </c>
    </row>
    <row r="387" spans="1:23" x14ac:dyDescent="0.3">
      <c r="A387" s="110">
        <v>400083</v>
      </c>
      <c r="B387" s="110" t="s">
        <v>548</v>
      </c>
      <c r="C387" s="110" t="s">
        <v>583</v>
      </c>
      <c r="D387" s="110" t="s">
        <v>585</v>
      </c>
      <c r="E387" s="110" t="s">
        <v>399</v>
      </c>
      <c r="F387" s="110" t="s">
        <v>113</v>
      </c>
      <c r="G387" s="110" t="s">
        <v>114</v>
      </c>
      <c r="H387" s="111">
        <v>107</v>
      </c>
      <c r="I387" s="111">
        <v>104</v>
      </c>
      <c r="J387" s="111">
        <v>96</v>
      </c>
      <c r="K387" s="111">
        <f t="shared" si="55"/>
        <v>102.33333333333333</v>
      </c>
      <c r="L387" s="111">
        <v>150000</v>
      </c>
      <c r="M387" s="111">
        <f t="shared" si="56"/>
        <v>67500</v>
      </c>
      <c r="N387" s="111">
        <f t="shared" si="57"/>
        <v>67500</v>
      </c>
      <c r="O387" s="111">
        <f t="shared" si="58"/>
        <v>13500</v>
      </c>
      <c r="P387" s="111">
        <f t="shared" si="59"/>
        <v>15000</v>
      </c>
      <c r="Q387" s="111">
        <v>30000</v>
      </c>
      <c r="R387" s="111">
        <v>3</v>
      </c>
      <c r="S387" s="111">
        <f t="shared" si="60"/>
        <v>3000</v>
      </c>
      <c r="T387" s="111">
        <f t="shared" si="61"/>
        <v>180000</v>
      </c>
      <c r="U387" s="111">
        <f t="shared" si="62"/>
        <v>1800</v>
      </c>
      <c r="V387" s="111">
        <f t="shared" si="63"/>
        <v>181800</v>
      </c>
      <c r="W387" t="s">
        <v>2846</v>
      </c>
    </row>
    <row r="388" spans="1:23" x14ac:dyDescent="0.3">
      <c r="A388" s="110">
        <v>400084</v>
      </c>
      <c r="B388" s="110" t="s">
        <v>548</v>
      </c>
      <c r="C388" s="110" t="s">
        <v>583</v>
      </c>
      <c r="D388" s="110" t="s">
        <v>586</v>
      </c>
      <c r="E388" s="110" t="s">
        <v>177</v>
      </c>
      <c r="F388" s="110" t="s">
        <v>119</v>
      </c>
      <c r="G388" s="110" t="s">
        <v>114</v>
      </c>
      <c r="H388" s="111">
        <v>215</v>
      </c>
      <c r="I388" s="111">
        <v>214</v>
      </c>
      <c r="J388" s="111">
        <v>198</v>
      </c>
      <c r="K388" s="111">
        <f t="shared" si="55"/>
        <v>209</v>
      </c>
      <c r="L388" s="111">
        <v>200000</v>
      </c>
      <c r="M388" s="111">
        <f t="shared" si="56"/>
        <v>90000</v>
      </c>
      <c r="N388" s="111">
        <f t="shared" si="57"/>
        <v>90000</v>
      </c>
      <c r="O388" s="111">
        <f t="shared" si="58"/>
        <v>18000</v>
      </c>
      <c r="P388" s="111">
        <f t="shared" si="59"/>
        <v>20000</v>
      </c>
      <c r="Q388" s="111">
        <v>50000</v>
      </c>
      <c r="R388" s="111">
        <v>5</v>
      </c>
      <c r="S388" s="111">
        <f t="shared" si="60"/>
        <v>5000</v>
      </c>
      <c r="T388" s="111">
        <f t="shared" si="61"/>
        <v>250000</v>
      </c>
      <c r="U388" s="111">
        <f t="shared" si="62"/>
        <v>2500</v>
      </c>
      <c r="V388" s="111">
        <f t="shared" si="63"/>
        <v>252500</v>
      </c>
      <c r="W388" t="s">
        <v>2847</v>
      </c>
    </row>
    <row r="389" spans="1:23" x14ac:dyDescent="0.3">
      <c r="A389" s="110">
        <v>400085</v>
      </c>
      <c r="B389" s="110" t="s">
        <v>548</v>
      </c>
      <c r="C389" s="110" t="s">
        <v>583</v>
      </c>
      <c r="D389" s="110" t="s">
        <v>587</v>
      </c>
      <c r="E389" s="110" t="s">
        <v>588</v>
      </c>
      <c r="F389" s="110" t="s">
        <v>113</v>
      </c>
      <c r="G389" s="110" t="s">
        <v>114</v>
      </c>
      <c r="H389" s="111">
        <v>44</v>
      </c>
      <c r="I389" s="111">
        <v>43</v>
      </c>
      <c r="J389" s="111">
        <v>37</v>
      </c>
      <c r="K389" s="111">
        <f t="shared" si="55"/>
        <v>41.333333333333336</v>
      </c>
      <c r="L389" s="111">
        <v>50000</v>
      </c>
      <c r="M389" s="111">
        <f t="shared" si="56"/>
        <v>22500</v>
      </c>
      <c r="N389" s="111">
        <f t="shared" si="57"/>
        <v>22500</v>
      </c>
      <c r="O389" s="111">
        <f t="shared" si="58"/>
        <v>4500</v>
      </c>
      <c r="P389" s="111">
        <f t="shared" si="59"/>
        <v>5000</v>
      </c>
      <c r="Q389" s="111">
        <v>10000</v>
      </c>
      <c r="R389" s="111">
        <v>1</v>
      </c>
      <c r="S389" s="111">
        <f t="shared" si="60"/>
        <v>1000</v>
      </c>
      <c r="T389" s="111">
        <f t="shared" si="61"/>
        <v>60000</v>
      </c>
      <c r="U389" s="111">
        <f t="shared" si="62"/>
        <v>600</v>
      </c>
      <c r="V389" s="111">
        <f t="shared" si="63"/>
        <v>60600</v>
      </c>
      <c r="W389" t="s">
        <v>2848</v>
      </c>
    </row>
    <row r="390" spans="1:23" x14ac:dyDescent="0.3">
      <c r="A390" s="110">
        <v>400086</v>
      </c>
      <c r="B390" s="110" t="s">
        <v>548</v>
      </c>
      <c r="C390" s="110" t="s">
        <v>583</v>
      </c>
      <c r="D390" s="110" t="s">
        <v>589</v>
      </c>
      <c r="E390" s="110" t="s">
        <v>399</v>
      </c>
      <c r="F390" s="110" t="s">
        <v>113</v>
      </c>
      <c r="G390" s="110" t="s">
        <v>114</v>
      </c>
      <c r="H390" s="111">
        <v>39</v>
      </c>
      <c r="I390" s="111">
        <v>37</v>
      </c>
      <c r="J390" s="111">
        <v>30</v>
      </c>
      <c r="K390" s="111">
        <f t="shared" si="55"/>
        <v>35.333333333333336</v>
      </c>
      <c r="L390" s="111">
        <v>50000</v>
      </c>
      <c r="M390" s="111">
        <f t="shared" si="56"/>
        <v>22500</v>
      </c>
      <c r="N390" s="111">
        <f t="shared" si="57"/>
        <v>22500</v>
      </c>
      <c r="O390" s="111">
        <f t="shared" si="58"/>
        <v>4500</v>
      </c>
      <c r="P390" s="111">
        <f t="shared" si="59"/>
        <v>5000</v>
      </c>
      <c r="Q390" s="111">
        <v>10000</v>
      </c>
      <c r="R390" s="111">
        <v>1</v>
      </c>
      <c r="S390" s="111">
        <f t="shared" si="60"/>
        <v>1000</v>
      </c>
      <c r="T390" s="111">
        <f t="shared" si="61"/>
        <v>60000</v>
      </c>
      <c r="U390" s="111">
        <f t="shared" si="62"/>
        <v>600</v>
      </c>
      <c r="V390" s="111">
        <f t="shared" si="63"/>
        <v>60600</v>
      </c>
      <c r="W390" t="s">
        <v>2849</v>
      </c>
    </row>
    <row r="391" spans="1:23" x14ac:dyDescent="0.3">
      <c r="A391" s="110">
        <v>400087</v>
      </c>
      <c r="B391" s="110" t="s">
        <v>548</v>
      </c>
      <c r="C391" s="110" t="s">
        <v>590</v>
      </c>
      <c r="D391" s="110" t="s">
        <v>590</v>
      </c>
      <c r="E391" s="110" t="s">
        <v>274</v>
      </c>
      <c r="F391" s="110" t="s">
        <v>119</v>
      </c>
      <c r="G391" s="110" t="s">
        <v>114</v>
      </c>
      <c r="H391" s="111">
        <v>681</v>
      </c>
      <c r="I391" s="111">
        <v>692</v>
      </c>
      <c r="J391" s="111">
        <v>666</v>
      </c>
      <c r="K391" s="111">
        <f t="shared" si="55"/>
        <v>679.66666666666663</v>
      </c>
      <c r="L391" s="111">
        <f>300000</f>
        <v>300000</v>
      </c>
      <c r="M391" s="111">
        <f t="shared" si="56"/>
        <v>135000</v>
      </c>
      <c r="N391" s="111">
        <f t="shared" si="57"/>
        <v>135000</v>
      </c>
      <c r="O391" s="111">
        <f t="shared" si="58"/>
        <v>27000</v>
      </c>
      <c r="P391" s="111">
        <f t="shared" si="59"/>
        <v>30000</v>
      </c>
      <c r="Q391" s="111">
        <v>60000</v>
      </c>
      <c r="R391" s="111">
        <v>6</v>
      </c>
      <c r="S391" s="111">
        <f t="shared" si="60"/>
        <v>6000</v>
      </c>
      <c r="T391" s="111">
        <f t="shared" si="61"/>
        <v>360000</v>
      </c>
      <c r="U391" s="111">
        <f t="shared" si="62"/>
        <v>3600</v>
      </c>
      <c r="V391" s="111">
        <f t="shared" si="63"/>
        <v>363600</v>
      </c>
      <c r="W391" t="s">
        <v>2850</v>
      </c>
    </row>
    <row r="392" spans="1:23" x14ac:dyDescent="0.3">
      <c r="A392" s="110">
        <v>400089</v>
      </c>
      <c r="B392" s="110" t="s">
        <v>548</v>
      </c>
      <c r="C392" s="110" t="s">
        <v>590</v>
      </c>
      <c r="D392" s="110" t="s">
        <v>591</v>
      </c>
      <c r="E392" s="110" t="s">
        <v>353</v>
      </c>
      <c r="F392" s="110" t="s">
        <v>113</v>
      </c>
      <c r="G392" s="110" t="s">
        <v>114</v>
      </c>
      <c r="H392" s="111">
        <v>104</v>
      </c>
      <c r="I392" s="111">
        <v>100</v>
      </c>
      <c r="J392" s="111">
        <v>97</v>
      </c>
      <c r="K392" s="111">
        <f t="shared" si="55"/>
        <v>100.33333333333333</v>
      </c>
      <c r="L392" s="111">
        <f>150000*0.7</f>
        <v>105000</v>
      </c>
      <c r="M392" s="111">
        <f t="shared" si="56"/>
        <v>47250</v>
      </c>
      <c r="N392" s="111">
        <f t="shared" si="57"/>
        <v>47250</v>
      </c>
      <c r="O392" s="111">
        <f t="shared" si="58"/>
        <v>9450</v>
      </c>
      <c r="P392" s="111">
        <f t="shared" si="59"/>
        <v>10500</v>
      </c>
      <c r="Q392" s="111">
        <v>30000</v>
      </c>
      <c r="R392" s="111">
        <v>3</v>
      </c>
      <c r="S392" s="111">
        <f t="shared" si="60"/>
        <v>3000</v>
      </c>
      <c r="T392" s="111">
        <f t="shared" si="61"/>
        <v>135000</v>
      </c>
      <c r="U392" s="111">
        <f t="shared" si="62"/>
        <v>1350</v>
      </c>
      <c r="V392" s="111">
        <f t="shared" si="63"/>
        <v>136350</v>
      </c>
      <c r="W392" t="s">
        <v>2851</v>
      </c>
    </row>
    <row r="393" spans="1:23" x14ac:dyDescent="0.3">
      <c r="A393" s="110">
        <v>400090</v>
      </c>
      <c r="B393" s="110" t="s">
        <v>548</v>
      </c>
      <c r="C393" s="110" t="s">
        <v>590</v>
      </c>
      <c r="D393" s="110" t="s">
        <v>592</v>
      </c>
      <c r="E393" s="110" t="s">
        <v>252</v>
      </c>
      <c r="F393" s="110" t="s">
        <v>119</v>
      </c>
      <c r="G393" s="110" t="s">
        <v>114</v>
      </c>
      <c r="H393" s="111">
        <v>423</v>
      </c>
      <c r="I393" s="111">
        <v>424</v>
      </c>
      <c r="J393" s="111">
        <v>447</v>
      </c>
      <c r="K393" s="111">
        <f t="shared" si="55"/>
        <v>431.33333333333331</v>
      </c>
      <c r="L393" s="111">
        <f>300000</f>
        <v>300000</v>
      </c>
      <c r="M393" s="111">
        <f t="shared" si="56"/>
        <v>135000</v>
      </c>
      <c r="N393" s="111">
        <f t="shared" si="57"/>
        <v>135000</v>
      </c>
      <c r="O393" s="111">
        <f t="shared" si="58"/>
        <v>27000</v>
      </c>
      <c r="P393" s="111">
        <f t="shared" si="59"/>
        <v>30000</v>
      </c>
      <c r="Q393" s="111">
        <v>60000</v>
      </c>
      <c r="R393" s="111">
        <v>6</v>
      </c>
      <c r="S393" s="111">
        <f t="shared" si="60"/>
        <v>6000</v>
      </c>
      <c r="T393" s="111">
        <f t="shared" si="61"/>
        <v>360000</v>
      </c>
      <c r="U393" s="111">
        <f t="shared" si="62"/>
        <v>3600</v>
      </c>
      <c r="V393" s="111">
        <f t="shared" si="63"/>
        <v>363600</v>
      </c>
      <c r="W393" t="s">
        <v>2852</v>
      </c>
    </row>
    <row r="394" spans="1:23" x14ac:dyDescent="0.3">
      <c r="A394" s="110">
        <v>400091</v>
      </c>
      <c r="B394" s="110" t="s">
        <v>548</v>
      </c>
      <c r="C394" s="110" t="s">
        <v>590</v>
      </c>
      <c r="D394" s="110" t="s">
        <v>593</v>
      </c>
      <c r="E394" s="110" t="s">
        <v>247</v>
      </c>
      <c r="F394" s="110" t="s">
        <v>113</v>
      </c>
      <c r="G394" s="110" t="s">
        <v>114</v>
      </c>
      <c r="H394" s="111">
        <v>61</v>
      </c>
      <c r="I394" s="111">
        <v>62</v>
      </c>
      <c r="J394" s="111">
        <v>65</v>
      </c>
      <c r="K394" s="111">
        <f t="shared" si="55"/>
        <v>62.666666666666664</v>
      </c>
      <c r="L394" s="111">
        <v>150000</v>
      </c>
      <c r="M394" s="111">
        <f t="shared" si="56"/>
        <v>67500</v>
      </c>
      <c r="N394" s="111">
        <f t="shared" si="57"/>
        <v>67500</v>
      </c>
      <c r="O394" s="111">
        <f t="shared" si="58"/>
        <v>13500</v>
      </c>
      <c r="P394" s="111">
        <f t="shared" si="59"/>
        <v>15000</v>
      </c>
      <c r="Q394" s="111">
        <v>30000</v>
      </c>
      <c r="R394" s="111">
        <v>3</v>
      </c>
      <c r="S394" s="111">
        <f t="shared" si="60"/>
        <v>3000</v>
      </c>
      <c r="T394" s="111">
        <f t="shared" si="61"/>
        <v>180000</v>
      </c>
      <c r="U394" s="111">
        <f t="shared" si="62"/>
        <v>1800</v>
      </c>
      <c r="V394" s="111">
        <f t="shared" si="63"/>
        <v>181800</v>
      </c>
      <c r="W394" t="s">
        <v>2853</v>
      </c>
    </row>
    <row r="395" spans="1:23" x14ac:dyDescent="0.3">
      <c r="A395" s="110">
        <v>400092</v>
      </c>
      <c r="B395" s="110" t="s">
        <v>548</v>
      </c>
      <c r="C395" s="110" t="s">
        <v>590</v>
      </c>
      <c r="D395" s="110" t="s">
        <v>594</v>
      </c>
      <c r="E395" s="110" t="s">
        <v>595</v>
      </c>
      <c r="F395" s="110" t="s">
        <v>113</v>
      </c>
      <c r="G395" s="110" t="s">
        <v>114</v>
      </c>
      <c r="H395" s="111">
        <v>68</v>
      </c>
      <c r="I395" s="111">
        <v>68</v>
      </c>
      <c r="J395" s="111">
        <v>71</v>
      </c>
      <c r="K395" s="111">
        <f t="shared" si="55"/>
        <v>69</v>
      </c>
      <c r="L395" s="111">
        <v>150000</v>
      </c>
      <c r="M395" s="111">
        <f t="shared" si="56"/>
        <v>67500</v>
      </c>
      <c r="N395" s="111">
        <f t="shared" si="57"/>
        <v>67500</v>
      </c>
      <c r="O395" s="111">
        <f t="shared" si="58"/>
        <v>13500</v>
      </c>
      <c r="P395" s="111">
        <f t="shared" si="59"/>
        <v>15000</v>
      </c>
      <c r="Q395" s="111">
        <v>30000</v>
      </c>
      <c r="R395" s="111">
        <v>3</v>
      </c>
      <c r="S395" s="111">
        <f t="shared" si="60"/>
        <v>3000</v>
      </c>
      <c r="T395" s="111">
        <f t="shared" si="61"/>
        <v>180000</v>
      </c>
      <c r="U395" s="111">
        <f t="shared" si="62"/>
        <v>1800</v>
      </c>
      <c r="V395" s="111">
        <f t="shared" si="63"/>
        <v>181800</v>
      </c>
      <c r="W395" t="s">
        <v>2854</v>
      </c>
    </row>
    <row r="396" spans="1:23" x14ac:dyDescent="0.3">
      <c r="A396" s="110">
        <v>400093</v>
      </c>
      <c r="B396" s="110" t="s">
        <v>548</v>
      </c>
      <c r="C396" s="110" t="s">
        <v>590</v>
      </c>
      <c r="D396" s="110" t="s">
        <v>596</v>
      </c>
      <c r="E396" s="110" t="s">
        <v>597</v>
      </c>
      <c r="F396" s="110" t="s">
        <v>168</v>
      </c>
      <c r="G396" s="110" t="s">
        <v>114</v>
      </c>
      <c r="H396" s="111">
        <v>176</v>
      </c>
      <c r="I396" s="111">
        <v>178</v>
      </c>
      <c r="J396" s="111">
        <v>197</v>
      </c>
      <c r="K396" s="111">
        <f t="shared" si="55"/>
        <v>183.66666666666666</v>
      </c>
      <c r="L396" s="111">
        <v>150000</v>
      </c>
      <c r="M396" s="111">
        <f t="shared" si="56"/>
        <v>67500</v>
      </c>
      <c r="N396" s="111">
        <f t="shared" si="57"/>
        <v>67500</v>
      </c>
      <c r="O396" s="111">
        <f t="shared" si="58"/>
        <v>13500</v>
      </c>
      <c r="P396" s="111">
        <f t="shared" si="59"/>
        <v>15000</v>
      </c>
      <c r="Q396" s="111">
        <v>30000</v>
      </c>
      <c r="R396" s="111">
        <v>3</v>
      </c>
      <c r="S396" s="111">
        <f t="shared" si="60"/>
        <v>3000</v>
      </c>
      <c r="T396" s="111">
        <f t="shared" si="61"/>
        <v>180000</v>
      </c>
      <c r="U396" s="111">
        <f t="shared" si="62"/>
        <v>1800</v>
      </c>
      <c r="V396" s="111">
        <f t="shared" si="63"/>
        <v>181800</v>
      </c>
      <c r="W396" t="s">
        <v>2855</v>
      </c>
    </row>
    <row r="397" spans="1:23" x14ac:dyDescent="0.3">
      <c r="A397" s="110">
        <v>400095</v>
      </c>
      <c r="B397" s="110" t="s">
        <v>548</v>
      </c>
      <c r="C397" s="110" t="s">
        <v>598</v>
      </c>
      <c r="D397" s="110" t="s">
        <v>598</v>
      </c>
      <c r="E397" s="110" t="s">
        <v>540</v>
      </c>
      <c r="F397" s="110" t="s">
        <v>209</v>
      </c>
      <c r="G397" s="110" t="s">
        <v>114</v>
      </c>
      <c r="H397" s="111">
        <v>54</v>
      </c>
      <c r="I397" s="111">
        <v>53</v>
      </c>
      <c r="J397" s="111">
        <v>55</v>
      </c>
      <c r="K397" s="111">
        <f t="shared" si="55"/>
        <v>54</v>
      </c>
      <c r="L397" s="111">
        <v>150000</v>
      </c>
      <c r="M397" s="111">
        <f t="shared" si="56"/>
        <v>67500</v>
      </c>
      <c r="N397" s="111">
        <f t="shared" si="57"/>
        <v>67500</v>
      </c>
      <c r="O397" s="111">
        <f t="shared" si="58"/>
        <v>13500</v>
      </c>
      <c r="P397" s="111">
        <f t="shared" si="59"/>
        <v>15000</v>
      </c>
      <c r="Q397" s="111">
        <v>30000</v>
      </c>
      <c r="R397" s="111">
        <v>3</v>
      </c>
      <c r="S397" s="111">
        <f t="shared" si="60"/>
        <v>3000</v>
      </c>
      <c r="T397" s="111">
        <f t="shared" si="61"/>
        <v>180000</v>
      </c>
      <c r="U397" s="111">
        <f t="shared" si="62"/>
        <v>1800</v>
      </c>
      <c r="V397" s="111">
        <f t="shared" si="63"/>
        <v>181800</v>
      </c>
      <c r="W397" t="s">
        <v>2856</v>
      </c>
    </row>
    <row r="398" spans="1:23" x14ac:dyDescent="0.3">
      <c r="A398" s="110">
        <v>400096</v>
      </c>
      <c r="B398" s="110" t="s">
        <v>548</v>
      </c>
      <c r="C398" s="110" t="s">
        <v>598</v>
      </c>
      <c r="D398" s="110" t="s">
        <v>598</v>
      </c>
      <c r="E398" s="110" t="s">
        <v>329</v>
      </c>
      <c r="F398" s="110" t="s">
        <v>119</v>
      </c>
      <c r="G398" s="110" t="s">
        <v>114</v>
      </c>
      <c r="H398" s="111">
        <v>495</v>
      </c>
      <c r="I398" s="111">
        <v>519</v>
      </c>
      <c r="J398" s="111">
        <v>535</v>
      </c>
      <c r="K398" s="111">
        <f t="shared" si="55"/>
        <v>516.33333333333337</v>
      </c>
      <c r="L398" s="111">
        <f>300000</f>
        <v>300000</v>
      </c>
      <c r="M398" s="111">
        <f t="shared" si="56"/>
        <v>135000</v>
      </c>
      <c r="N398" s="111">
        <f t="shared" si="57"/>
        <v>135000</v>
      </c>
      <c r="O398" s="111">
        <f t="shared" si="58"/>
        <v>27000</v>
      </c>
      <c r="P398" s="111">
        <f t="shared" si="59"/>
        <v>30000</v>
      </c>
      <c r="Q398" s="111">
        <v>60000</v>
      </c>
      <c r="R398" s="111">
        <v>6</v>
      </c>
      <c r="S398" s="111">
        <f t="shared" si="60"/>
        <v>6000</v>
      </c>
      <c r="T398" s="111">
        <f t="shared" si="61"/>
        <v>360000</v>
      </c>
      <c r="U398" s="111">
        <f t="shared" si="62"/>
        <v>3600</v>
      </c>
      <c r="V398" s="111">
        <f t="shared" si="63"/>
        <v>363600</v>
      </c>
      <c r="W398" t="s">
        <v>2857</v>
      </c>
    </row>
    <row r="399" spans="1:23" x14ac:dyDescent="0.3">
      <c r="A399" s="110">
        <v>400097</v>
      </c>
      <c r="B399" s="110" t="s">
        <v>548</v>
      </c>
      <c r="C399" s="110" t="s">
        <v>598</v>
      </c>
      <c r="D399" s="110" t="s">
        <v>598</v>
      </c>
      <c r="E399" s="110" t="s">
        <v>558</v>
      </c>
      <c r="F399" s="110" t="s">
        <v>113</v>
      </c>
      <c r="G399" s="110" t="s">
        <v>114</v>
      </c>
      <c r="H399" s="111">
        <v>140</v>
      </c>
      <c r="I399" s="111">
        <v>139</v>
      </c>
      <c r="J399" s="111">
        <v>151</v>
      </c>
      <c r="K399" s="111">
        <f t="shared" si="55"/>
        <v>143.33333333333334</v>
      </c>
      <c r="L399" s="111">
        <v>150000</v>
      </c>
      <c r="M399" s="111">
        <f t="shared" si="56"/>
        <v>67500</v>
      </c>
      <c r="N399" s="111">
        <f t="shared" si="57"/>
        <v>67500</v>
      </c>
      <c r="O399" s="111">
        <f t="shared" si="58"/>
        <v>13500</v>
      </c>
      <c r="P399" s="111">
        <f t="shared" si="59"/>
        <v>15000</v>
      </c>
      <c r="Q399" s="111">
        <v>30000</v>
      </c>
      <c r="R399" s="111">
        <v>3</v>
      </c>
      <c r="S399" s="111">
        <f t="shared" si="60"/>
        <v>3000</v>
      </c>
      <c r="T399" s="111">
        <f t="shared" si="61"/>
        <v>180000</v>
      </c>
      <c r="U399" s="111">
        <f t="shared" si="62"/>
        <v>1800</v>
      </c>
      <c r="V399" s="111">
        <f t="shared" si="63"/>
        <v>181800</v>
      </c>
      <c r="W399" t="s">
        <v>2858</v>
      </c>
    </row>
    <row r="400" spans="1:23" x14ac:dyDescent="0.3">
      <c r="A400" s="110">
        <v>400098</v>
      </c>
      <c r="B400" s="110" t="s">
        <v>548</v>
      </c>
      <c r="C400" s="110" t="s">
        <v>598</v>
      </c>
      <c r="D400" s="110" t="s">
        <v>598</v>
      </c>
      <c r="E400" s="110" t="s">
        <v>599</v>
      </c>
      <c r="F400" s="110" t="s">
        <v>117</v>
      </c>
      <c r="G400" s="110" t="s">
        <v>114</v>
      </c>
      <c r="H400" s="111">
        <v>174</v>
      </c>
      <c r="I400" s="111">
        <v>250</v>
      </c>
      <c r="J400" s="111">
        <v>294</v>
      </c>
      <c r="K400" s="111">
        <f t="shared" si="55"/>
        <v>239.33333333333334</v>
      </c>
      <c r="L400" s="111">
        <v>200000</v>
      </c>
      <c r="M400" s="111">
        <f t="shared" si="56"/>
        <v>90000</v>
      </c>
      <c r="N400" s="111">
        <f t="shared" si="57"/>
        <v>90000</v>
      </c>
      <c r="O400" s="111">
        <f t="shared" si="58"/>
        <v>18000</v>
      </c>
      <c r="P400" s="111">
        <f t="shared" si="59"/>
        <v>20000</v>
      </c>
      <c r="Q400" s="111">
        <v>50000</v>
      </c>
      <c r="R400" s="111">
        <v>5</v>
      </c>
      <c r="S400" s="111">
        <f t="shared" si="60"/>
        <v>5000</v>
      </c>
      <c r="T400" s="111">
        <f t="shared" si="61"/>
        <v>250000</v>
      </c>
      <c r="U400" s="111">
        <f t="shared" si="62"/>
        <v>2500</v>
      </c>
      <c r="V400" s="111">
        <f t="shared" si="63"/>
        <v>252500</v>
      </c>
      <c r="W400" t="s">
        <v>2859</v>
      </c>
    </row>
    <row r="401" spans="1:23" x14ac:dyDescent="0.3">
      <c r="A401" s="110">
        <v>400099</v>
      </c>
      <c r="B401" s="110" t="s">
        <v>548</v>
      </c>
      <c r="C401" s="110" t="s">
        <v>598</v>
      </c>
      <c r="D401" s="110" t="s">
        <v>600</v>
      </c>
      <c r="E401" s="110" t="s">
        <v>588</v>
      </c>
      <c r="F401" s="110" t="s">
        <v>113</v>
      </c>
      <c r="G401" s="110" t="s">
        <v>114</v>
      </c>
      <c r="H401" s="111">
        <v>95</v>
      </c>
      <c r="I401" s="111">
        <v>90</v>
      </c>
      <c r="J401" s="111">
        <v>91</v>
      </c>
      <c r="K401" s="111">
        <f t="shared" si="55"/>
        <v>92</v>
      </c>
      <c r="L401" s="111">
        <v>150000</v>
      </c>
      <c r="M401" s="111">
        <f t="shared" si="56"/>
        <v>67500</v>
      </c>
      <c r="N401" s="111">
        <f t="shared" si="57"/>
        <v>67500</v>
      </c>
      <c r="O401" s="111">
        <f t="shared" si="58"/>
        <v>13500</v>
      </c>
      <c r="P401" s="111">
        <f t="shared" si="59"/>
        <v>15000</v>
      </c>
      <c r="Q401" s="111">
        <v>30000</v>
      </c>
      <c r="R401" s="111">
        <v>3</v>
      </c>
      <c r="S401" s="111">
        <f t="shared" si="60"/>
        <v>3000</v>
      </c>
      <c r="T401" s="111">
        <f t="shared" si="61"/>
        <v>180000</v>
      </c>
      <c r="U401" s="111">
        <f t="shared" si="62"/>
        <v>1800</v>
      </c>
      <c r="V401" s="111">
        <f t="shared" si="63"/>
        <v>181800</v>
      </c>
      <c r="W401" t="s">
        <v>2860</v>
      </c>
    </row>
    <row r="402" spans="1:23" x14ac:dyDescent="0.3">
      <c r="A402" s="110">
        <v>400100</v>
      </c>
      <c r="B402" s="110" t="s">
        <v>548</v>
      </c>
      <c r="C402" s="110" t="s">
        <v>548</v>
      </c>
      <c r="D402" s="110" t="s">
        <v>601</v>
      </c>
      <c r="E402" s="110" t="s">
        <v>602</v>
      </c>
      <c r="F402" s="110" t="s">
        <v>113</v>
      </c>
      <c r="G402" s="110" t="s">
        <v>114</v>
      </c>
      <c r="H402" s="111">
        <v>40</v>
      </c>
      <c r="I402" s="111">
        <v>34</v>
      </c>
      <c r="J402" s="111">
        <v>34</v>
      </c>
      <c r="K402" s="111">
        <f t="shared" si="55"/>
        <v>36</v>
      </c>
      <c r="L402" s="111">
        <v>50000</v>
      </c>
      <c r="M402" s="111">
        <f t="shared" si="56"/>
        <v>22500</v>
      </c>
      <c r="N402" s="111">
        <f t="shared" si="57"/>
        <v>22500</v>
      </c>
      <c r="O402" s="111">
        <f t="shared" si="58"/>
        <v>4500</v>
      </c>
      <c r="P402" s="111">
        <f t="shared" si="59"/>
        <v>5000</v>
      </c>
      <c r="Q402" s="111">
        <v>10000</v>
      </c>
      <c r="R402" s="111">
        <v>1</v>
      </c>
      <c r="S402" s="111">
        <f t="shared" si="60"/>
        <v>1000</v>
      </c>
      <c r="T402" s="111">
        <f t="shared" si="61"/>
        <v>60000</v>
      </c>
      <c r="U402" s="111">
        <f t="shared" si="62"/>
        <v>600</v>
      </c>
      <c r="V402" s="111">
        <f t="shared" si="63"/>
        <v>60600</v>
      </c>
      <c r="W402" t="s">
        <v>2861</v>
      </c>
    </row>
    <row r="403" spans="1:23" x14ac:dyDescent="0.3">
      <c r="A403" s="110">
        <v>400103</v>
      </c>
      <c r="B403" s="110" t="s">
        <v>548</v>
      </c>
      <c r="C403" s="110" t="s">
        <v>603</v>
      </c>
      <c r="D403" s="110" t="s">
        <v>603</v>
      </c>
      <c r="E403" s="110" t="s">
        <v>390</v>
      </c>
      <c r="F403" s="110" t="s">
        <v>113</v>
      </c>
      <c r="G403" s="110" t="s">
        <v>114</v>
      </c>
      <c r="H403" s="111">
        <v>213</v>
      </c>
      <c r="I403" s="111">
        <v>197</v>
      </c>
      <c r="J403" s="111">
        <v>205</v>
      </c>
      <c r="K403" s="111">
        <f t="shared" si="55"/>
        <v>205</v>
      </c>
      <c r="L403" s="111">
        <v>200000</v>
      </c>
      <c r="M403" s="111">
        <f t="shared" si="56"/>
        <v>90000</v>
      </c>
      <c r="N403" s="111">
        <f t="shared" si="57"/>
        <v>90000</v>
      </c>
      <c r="O403" s="111">
        <f t="shared" si="58"/>
        <v>18000</v>
      </c>
      <c r="P403" s="111">
        <f t="shared" si="59"/>
        <v>20000</v>
      </c>
      <c r="Q403" s="111">
        <v>50000</v>
      </c>
      <c r="R403" s="111">
        <v>5</v>
      </c>
      <c r="S403" s="111">
        <f t="shared" si="60"/>
        <v>5000</v>
      </c>
      <c r="T403" s="111">
        <f t="shared" si="61"/>
        <v>250000</v>
      </c>
      <c r="U403" s="111">
        <f t="shared" si="62"/>
        <v>2500</v>
      </c>
      <c r="V403" s="111">
        <f t="shared" si="63"/>
        <v>252500</v>
      </c>
      <c r="W403" t="s">
        <v>2862</v>
      </c>
    </row>
    <row r="404" spans="1:23" x14ac:dyDescent="0.3">
      <c r="A404" s="110">
        <v>400104</v>
      </c>
      <c r="B404" s="110" t="s">
        <v>548</v>
      </c>
      <c r="C404" s="110" t="s">
        <v>548</v>
      </c>
      <c r="D404" s="110" t="s">
        <v>548</v>
      </c>
      <c r="E404" s="110" t="s">
        <v>604</v>
      </c>
      <c r="F404" s="110" t="s">
        <v>117</v>
      </c>
      <c r="G404" s="110" t="s">
        <v>125</v>
      </c>
      <c r="H404" s="111">
        <v>248</v>
      </c>
      <c r="I404" s="111">
        <v>381</v>
      </c>
      <c r="J404" s="111">
        <v>504</v>
      </c>
      <c r="K404" s="111">
        <f t="shared" si="55"/>
        <v>377.66666666666669</v>
      </c>
      <c r="L404" s="111">
        <f>200000*0.7</f>
        <v>140000</v>
      </c>
      <c r="M404" s="111">
        <f t="shared" si="56"/>
        <v>63000</v>
      </c>
      <c r="N404" s="111">
        <f t="shared" si="57"/>
        <v>63000</v>
      </c>
      <c r="O404" s="111">
        <f t="shared" si="58"/>
        <v>12600</v>
      </c>
      <c r="P404" s="111">
        <f t="shared" si="59"/>
        <v>14000</v>
      </c>
      <c r="Q404" s="111">
        <v>50000</v>
      </c>
      <c r="R404" s="111">
        <v>5</v>
      </c>
      <c r="S404" s="111">
        <f t="shared" si="60"/>
        <v>5000</v>
      </c>
      <c r="T404" s="111">
        <f t="shared" si="61"/>
        <v>190000</v>
      </c>
      <c r="U404" s="111">
        <f t="shared" si="62"/>
        <v>1900</v>
      </c>
      <c r="V404" s="111">
        <f t="shared" si="63"/>
        <v>191900</v>
      </c>
      <c r="W404" t="s">
        <v>2863</v>
      </c>
    </row>
    <row r="405" spans="1:23" x14ac:dyDescent="0.3">
      <c r="A405" s="110">
        <v>400106</v>
      </c>
      <c r="B405" s="110" t="s">
        <v>548</v>
      </c>
      <c r="C405" s="110" t="s">
        <v>603</v>
      </c>
      <c r="D405" s="110" t="s">
        <v>603</v>
      </c>
      <c r="E405" s="110" t="s">
        <v>605</v>
      </c>
      <c r="F405" s="110" t="s">
        <v>117</v>
      </c>
      <c r="G405" s="110" t="s">
        <v>114</v>
      </c>
      <c r="H405" s="111">
        <v>100</v>
      </c>
      <c r="I405" s="111">
        <v>105</v>
      </c>
      <c r="J405" s="111">
        <v>97</v>
      </c>
      <c r="K405" s="111">
        <f t="shared" si="55"/>
        <v>100.66666666666667</v>
      </c>
      <c r="L405" s="111">
        <v>150000</v>
      </c>
      <c r="M405" s="111">
        <f t="shared" si="56"/>
        <v>67500</v>
      </c>
      <c r="N405" s="111">
        <f t="shared" si="57"/>
        <v>67500</v>
      </c>
      <c r="O405" s="111">
        <f t="shared" si="58"/>
        <v>13500</v>
      </c>
      <c r="P405" s="111">
        <f t="shared" si="59"/>
        <v>15000</v>
      </c>
      <c r="Q405" s="111">
        <v>30000</v>
      </c>
      <c r="R405" s="111">
        <v>3</v>
      </c>
      <c r="S405" s="111">
        <f t="shared" si="60"/>
        <v>3000</v>
      </c>
      <c r="T405" s="111">
        <f t="shared" si="61"/>
        <v>180000</v>
      </c>
      <c r="U405" s="111">
        <f t="shared" si="62"/>
        <v>1800</v>
      </c>
      <c r="V405" s="111">
        <f t="shared" si="63"/>
        <v>181800</v>
      </c>
      <c r="W405" t="s">
        <v>2864</v>
      </c>
    </row>
    <row r="406" spans="1:23" x14ac:dyDescent="0.3">
      <c r="A406" s="110">
        <v>400108</v>
      </c>
      <c r="B406" s="110" t="s">
        <v>548</v>
      </c>
      <c r="C406" s="110" t="s">
        <v>606</v>
      </c>
      <c r="D406" s="110" t="s">
        <v>606</v>
      </c>
      <c r="E406" s="110" t="s">
        <v>272</v>
      </c>
      <c r="F406" s="110" t="s">
        <v>119</v>
      </c>
      <c r="G406" s="110" t="s">
        <v>114</v>
      </c>
      <c r="H406" s="111">
        <v>308</v>
      </c>
      <c r="I406" s="111">
        <v>317</v>
      </c>
      <c r="J406" s="111">
        <v>300</v>
      </c>
      <c r="K406" s="111">
        <f t="shared" si="55"/>
        <v>308.33333333333331</v>
      </c>
      <c r="L406" s="111">
        <v>200000</v>
      </c>
      <c r="M406" s="111">
        <f t="shared" si="56"/>
        <v>90000</v>
      </c>
      <c r="N406" s="111">
        <f t="shared" si="57"/>
        <v>90000</v>
      </c>
      <c r="O406" s="111">
        <f t="shared" si="58"/>
        <v>18000</v>
      </c>
      <c r="P406" s="111">
        <f t="shared" si="59"/>
        <v>20000</v>
      </c>
      <c r="Q406" s="111">
        <v>50000</v>
      </c>
      <c r="R406" s="111">
        <v>5</v>
      </c>
      <c r="S406" s="111">
        <f t="shared" si="60"/>
        <v>5000</v>
      </c>
      <c r="T406" s="111">
        <f t="shared" si="61"/>
        <v>250000</v>
      </c>
      <c r="U406" s="111">
        <f t="shared" si="62"/>
        <v>2500</v>
      </c>
      <c r="V406" s="111">
        <f t="shared" si="63"/>
        <v>252500</v>
      </c>
      <c r="W406" t="s">
        <v>2865</v>
      </c>
    </row>
    <row r="407" spans="1:23" x14ac:dyDescent="0.3">
      <c r="A407" s="110">
        <v>400112</v>
      </c>
      <c r="B407" s="110" t="s">
        <v>548</v>
      </c>
      <c r="C407" s="110" t="s">
        <v>607</v>
      </c>
      <c r="D407" s="110" t="s">
        <v>607</v>
      </c>
      <c r="E407" s="110" t="s">
        <v>214</v>
      </c>
      <c r="F407" s="110" t="s">
        <v>119</v>
      </c>
      <c r="G407" s="110" t="s">
        <v>114</v>
      </c>
      <c r="H407" s="111">
        <v>409</v>
      </c>
      <c r="I407" s="111">
        <v>417</v>
      </c>
      <c r="J407" s="111">
        <v>408</v>
      </c>
      <c r="K407" s="111">
        <f t="shared" si="55"/>
        <v>411.33333333333331</v>
      </c>
      <c r="L407" s="111">
        <f>300000</f>
        <v>300000</v>
      </c>
      <c r="M407" s="111">
        <f t="shared" si="56"/>
        <v>135000</v>
      </c>
      <c r="N407" s="111">
        <f t="shared" si="57"/>
        <v>135000</v>
      </c>
      <c r="O407" s="111">
        <f t="shared" si="58"/>
        <v>27000</v>
      </c>
      <c r="P407" s="111">
        <f t="shared" si="59"/>
        <v>30000</v>
      </c>
      <c r="Q407" s="111">
        <v>60000</v>
      </c>
      <c r="R407" s="111">
        <v>6</v>
      </c>
      <c r="S407" s="111">
        <f t="shared" si="60"/>
        <v>6000</v>
      </c>
      <c r="T407" s="111">
        <f t="shared" si="61"/>
        <v>360000</v>
      </c>
      <c r="U407" s="111">
        <f t="shared" si="62"/>
        <v>3600</v>
      </c>
      <c r="V407" s="111">
        <f t="shared" si="63"/>
        <v>363600</v>
      </c>
      <c r="W407" t="s">
        <v>2866</v>
      </c>
    </row>
    <row r="408" spans="1:23" x14ac:dyDescent="0.3">
      <c r="A408" s="110">
        <v>400113</v>
      </c>
      <c r="B408" s="110" t="s">
        <v>548</v>
      </c>
      <c r="C408" s="110" t="s">
        <v>607</v>
      </c>
      <c r="D408" s="110" t="s">
        <v>608</v>
      </c>
      <c r="E408" s="110" t="s">
        <v>609</v>
      </c>
      <c r="F408" s="110" t="s">
        <v>117</v>
      </c>
      <c r="G408" s="110" t="s">
        <v>114</v>
      </c>
      <c r="H408" s="111">
        <v>112</v>
      </c>
      <c r="I408" s="111">
        <v>109</v>
      </c>
      <c r="J408" s="111">
        <v>94</v>
      </c>
      <c r="K408" s="111">
        <f t="shared" si="55"/>
        <v>105</v>
      </c>
      <c r="L408" s="111">
        <v>150000</v>
      </c>
      <c r="M408" s="111">
        <f t="shared" si="56"/>
        <v>67500</v>
      </c>
      <c r="N408" s="111">
        <f t="shared" si="57"/>
        <v>67500</v>
      </c>
      <c r="O408" s="111">
        <f t="shared" si="58"/>
        <v>13500</v>
      </c>
      <c r="P408" s="111">
        <f t="shared" si="59"/>
        <v>15000</v>
      </c>
      <c r="Q408" s="111">
        <v>30000</v>
      </c>
      <c r="R408" s="111">
        <v>3</v>
      </c>
      <c r="S408" s="111">
        <f t="shared" si="60"/>
        <v>3000</v>
      </c>
      <c r="T408" s="111">
        <f t="shared" si="61"/>
        <v>180000</v>
      </c>
      <c r="U408" s="111">
        <f t="shared" si="62"/>
        <v>1800</v>
      </c>
      <c r="V408" s="111">
        <f t="shared" si="63"/>
        <v>181800</v>
      </c>
      <c r="W408" t="s">
        <v>2867</v>
      </c>
    </row>
    <row r="409" spans="1:23" x14ac:dyDescent="0.3">
      <c r="A409" s="110">
        <v>400117</v>
      </c>
      <c r="B409" s="110" t="s">
        <v>548</v>
      </c>
      <c r="C409" s="110" t="s">
        <v>607</v>
      </c>
      <c r="D409" s="110" t="s">
        <v>610</v>
      </c>
      <c r="E409" s="110" t="s">
        <v>316</v>
      </c>
      <c r="F409" s="110" t="s">
        <v>168</v>
      </c>
      <c r="G409" s="110" t="s">
        <v>114</v>
      </c>
      <c r="H409" s="111">
        <v>163</v>
      </c>
      <c r="I409" s="111">
        <v>152</v>
      </c>
      <c r="J409" s="111">
        <v>137</v>
      </c>
      <c r="K409" s="111">
        <f t="shared" si="55"/>
        <v>150.66666666666666</v>
      </c>
      <c r="L409" s="111">
        <v>150000</v>
      </c>
      <c r="M409" s="111">
        <f t="shared" si="56"/>
        <v>67500</v>
      </c>
      <c r="N409" s="111">
        <f t="shared" si="57"/>
        <v>67500</v>
      </c>
      <c r="O409" s="111">
        <f t="shared" si="58"/>
        <v>13500</v>
      </c>
      <c r="P409" s="111">
        <f t="shared" si="59"/>
        <v>15000</v>
      </c>
      <c r="Q409" s="111">
        <v>30000</v>
      </c>
      <c r="R409" s="111">
        <v>3</v>
      </c>
      <c r="S409" s="111">
        <f t="shared" si="60"/>
        <v>3000</v>
      </c>
      <c r="T409" s="111">
        <f t="shared" si="61"/>
        <v>180000</v>
      </c>
      <c r="U409" s="111">
        <f t="shared" si="62"/>
        <v>1800</v>
      </c>
      <c r="V409" s="111">
        <f t="shared" si="63"/>
        <v>181800</v>
      </c>
      <c r="W409" t="s">
        <v>2868</v>
      </c>
    </row>
    <row r="410" spans="1:23" x14ac:dyDescent="0.3">
      <c r="A410" s="110">
        <v>400118</v>
      </c>
      <c r="B410" s="110" t="s">
        <v>548</v>
      </c>
      <c r="C410" s="110" t="s">
        <v>607</v>
      </c>
      <c r="D410" s="110" t="s">
        <v>608</v>
      </c>
      <c r="E410" s="110" t="s">
        <v>611</v>
      </c>
      <c r="F410" s="110" t="s">
        <v>113</v>
      </c>
      <c r="G410" s="110" t="s">
        <v>114</v>
      </c>
      <c r="H410" s="111">
        <v>72</v>
      </c>
      <c r="I410" s="111">
        <v>72</v>
      </c>
      <c r="J410" s="111">
        <v>69</v>
      </c>
      <c r="K410" s="111">
        <f t="shared" si="55"/>
        <v>71</v>
      </c>
      <c r="L410" s="111">
        <v>150000</v>
      </c>
      <c r="M410" s="111">
        <f t="shared" si="56"/>
        <v>67500</v>
      </c>
      <c r="N410" s="111">
        <f t="shared" si="57"/>
        <v>67500</v>
      </c>
      <c r="O410" s="111">
        <f t="shared" si="58"/>
        <v>13500</v>
      </c>
      <c r="P410" s="111">
        <f t="shared" si="59"/>
        <v>15000</v>
      </c>
      <c r="Q410" s="111">
        <v>30000</v>
      </c>
      <c r="R410" s="111">
        <v>3</v>
      </c>
      <c r="S410" s="111">
        <f t="shared" si="60"/>
        <v>3000</v>
      </c>
      <c r="T410" s="111">
        <f t="shared" si="61"/>
        <v>180000</v>
      </c>
      <c r="U410" s="111">
        <f t="shared" si="62"/>
        <v>1800</v>
      </c>
      <c r="V410" s="111">
        <f t="shared" si="63"/>
        <v>181800</v>
      </c>
      <c r="W410" t="s">
        <v>2869</v>
      </c>
    </row>
    <row r="411" spans="1:23" x14ac:dyDescent="0.3">
      <c r="A411" s="110">
        <v>400119</v>
      </c>
      <c r="B411" s="110" t="s">
        <v>548</v>
      </c>
      <c r="C411" s="110" t="s">
        <v>607</v>
      </c>
      <c r="D411" s="110" t="s">
        <v>612</v>
      </c>
      <c r="E411" s="110" t="s">
        <v>613</v>
      </c>
      <c r="F411" s="110" t="s">
        <v>168</v>
      </c>
      <c r="G411" s="110" t="s">
        <v>114</v>
      </c>
      <c r="H411" s="111">
        <v>147</v>
      </c>
      <c r="I411" s="111">
        <v>131</v>
      </c>
      <c r="J411" s="111">
        <v>137</v>
      </c>
      <c r="K411" s="111">
        <f t="shared" si="55"/>
        <v>138.33333333333334</v>
      </c>
      <c r="L411" s="111">
        <v>150000</v>
      </c>
      <c r="M411" s="111">
        <f t="shared" si="56"/>
        <v>67500</v>
      </c>
      <c r="N411" s="111">
        <f t="shared" si="57"/>
        <v>67500</v>
      </c>
      <c r="O411" s="111">
        <f t="shared" si="58"/>
        <v>13500</v>
      </c>
      <c r="P411" s="111">
        <f t="shared" si="59"/>
        <v>15000</v>
      </c>
      <c r="Q411" s="111">
        <v>30000</v>
      </c>
      <c r="R411" s="111">
        <v>3</v>
      </c>
      <c r="S411" s="111">
        <f t="shared" si="60"/>
        <v>3000</v>
      </c>
      <c r="T411" s="111">
        <f t="shared" si="61"/>
        <v>180000</v>
      </c>
      <c r="U411" s="111">
        <f t="shared" si="62"/>
        <v>1800</v>
      </c>
      <c r="V411" s="111">
        <f t="shared" si="63"/>
        <v>181800</v>
      </c>
      <c r="W411" t="s">
        <v>2870</v>
      </c>
    </row>
    <row r="412" spans="1:23" x14ac:dyDescent="0.3">
      <c r="A412" s="110">
        <v>400123</v>
      </c>
      <c r="B412" s="110" t="s">
        <v>548</v>
      </c>
      <c r="C412" s="110" t="s">
        <v>614</v>
      </c>
      <c r="D412" s="110" t="s">
        <v>614</v>
      </c>
      <c r="E412" s="110" t="s">
        <v>615</v>
      </c>
      <c r="F412" s="110" t="s">
        <v>119</v>
      </c>
      <c r="G412" s="110" t="s">
        <v>114</v>
      </c>
      <c r="H412" s="111">
        <v>612</v>
      </c>
      <c r="I412" s="111">
        <v>579</v>
      </c>
      <c r="J412" s="111">
        <v>588</v>
      </c>
      <c r="K412" s="111">
        <f t="shared" si="55"/>
        <v>593</v>
      </c>
      <c r="L412" s="111">
        <f>300000</f>
        <v>300000</v>
      </c>
      <c r="M412" s="111">
        <f t="shared" si="56"/>
        <v>135000</v>
      </c>
      <c r="N412" s="111">
        <f t="shared" si="57"/>
        <v>135000</v>
      </c>
      <c r="O412" s="111">
        <f t="shared" si="58"/>
        <v>27000</v>
      </c>
      <c r="P412" s="111">
        <f t="shared" si="59"/>
        <v>30000</v>
      </c>
      <c r="Q412" s="111">
        <v>60000</v>
      </c>
      <c r="R412" s="111">
        <v>6</v>
      </c>
      <c r="S412" s="111">
        <f t="shared" si="60"/>
        <v>6000</v>
      </c>
      <c r="T412" s="111">
        <f t="shared" si="61"/>
        <v>360000</v>
      </c>
      <c r="U412" s="111">
        <f t="shared" si="62"/>
        <v>3600</v>
      </c>
      <c r="V412" s="111">
        <f t="shared" si="63"/>
        <v>363600</v>
      </c>
      <c r="W412" t="s">
        <v>2871</v>
      </c>
    </row>
    <row r="413" spans="1:23" x14ac:dyDescent="0.3">
      <c r="A413" s="110">
        <v>400126</v>
      </c>
      <c r="B413" s="110" t="s">
        <v>548</v>
      </c>
      <c r="C413" s="110" t="s">
        <v>616</v>
      </c>
      <c r="D413" s="110" t="s">
        <v>616</v>
      </c>
      <c r="E413" s="110" t="s">
        <v>214</v>
      </c>
      <c r="F413" s="110" t="s">
        <v>119</v>
      </c>
      <c r="G413" s="110" t="s">
        <v>114</v>
      </c>
      <c r="H413" s="111">
        <v>650</v>
      </c>
      <c r="I413" s="111">
        <v>647</v>
      </c>
      <c r="J413" s="111">
        <v>641</v>
      </c>
      <c r="K413" s="111">
        <f t="shared" si="55"/>
        <v>646</v>
      </c>
      <c r="L413" s="111">
        <f>300000</f>
        <v>300000</v>
      </c>
      <c r="M413" s="111">
        <f t="shared" si="56"/>
        <v>135000</v>
      </c>
      <c r="N413" s="111">
        <f t="shared" si="57"/>
        <v>135000</v>
      </c>
      <c r="O413" s="111">
        <f t="shared" si="58"/>
        <v>27000</v>
      </c>
      <c r="P413" s="111">
        <f t="shared" si="59"/>
        <v>30000</v>
      </c>
      <c r="Q413" s="111">
        <v>60000</v>
      </c>
      <c r="R413" s="111">
        <v>6</v>
      </c>
      <c r="S413" s="111">
        <f t="shared" si="60"/>
        <v>6000</v>
      </c>
      <c r="T413" s="111">
        <f t="shared" si="61"/>
        <v>360000</v>
      </c>
      <c r="U413" s="111">
        <f t="shared" si="62"/>
        <v>3600</v>
      </c>
      <c r="V413" s="111">
        <f t="shared" si="63"/>
        <v>363600</v>
      </c>
      <c r="W413" t="s">
        <v>2872</v>
      </c>
    </row>
    <row r="414" spans="1:23" x14ac:dyDescent="0.3">
      <c r="A414" s="110">
        <v>400127</v>
      </c>
      <c r="B414" s="110" t="s">
        <v>548</v>
      </c>
      <c r="C414" s="110" t="s">
        <v>616</v>
      </c>
      <c r="D414" s="110" t="s">
        <v>616</v>
      </c>
      <c r="E414" s="110" t="s">
        <v>617</v>
      </c>
      <c r="F414" s="110" t="s">
        <v>117</v>
      </c>
      <c r="G414" s="110" t="s">
        <v>114</v>
      </c>
      <c r="H414" s="111">
        <v>301</v>
      </c>
      <c r="I414" s="111">
        <v>323</v>
      </c>
      <c r="J414" s="111">
        <v>326</v>
      </c>
      <c r="K414" s="111">
        <f t="shared" si="55"/>
        <v>316.66666666666669</v>
      </c>
      <c r="L414" s="111">
        <v>200000</v>
      </c>
      <c r="M414" s="111">
        <f t="shared" si="56"/>
        <v>90000</v>
      </c>
      <c r="N414" s="111">
        <f t="shared" si="57"/>
        <v>90000</v>
      </c>
      <c r="O414" s="111">
        <f t="shared" si="58"/>
        <v>18000</v>
      </c>
      <c r="P414" s="111">
        <f t="shared" si="59"/>
        <v>20000</v>
      </c>
      <c r="Q414" s="111">
        <v>50000</v>
      </c>
      <c r="R414" s="111">
        <v>5</v>
      </c>
      <c r="S414" s="111">
        <f t="shared" si="60"/>
        <v>5000</v>
      </c>
      <c r="T414" s="111">
        <f t="shared" si="61"/>
        <v>250000</v>
      </c>
      <c r="U414" s="111">
        <f t="shared" si="62"/>
        <v>2500</v>
      </c>
      <c r="V414" s="111">
        <f t="shared" si="63"/>
        <v>252500</v>
      </c>
      <c r="W414" t="s">
        <v>2873</v>
      </c>
    </row>
    <row r="415" spans="1:23" x14ac:dyDescent="0.3">
      <c r="A415" s="110">
        <v>400128</v>
      </c>
      <c r="B415" s="110" t="s">
        <v>548</v>
      </c>
      <c r="C415" s="110" t="s">
        <v>616</v>
      </c>
      <c r="D415" s="110" t="s">
        <v>618</v>
      </c>
      <c r="E415" s="110" t="s">
        <v>619</v>
      </c>
      <c r="F415" s="110" t="s">
        <v>113</v>
      </c>
      <c r="G415" s="110" t="s">
        <v>114</v>
      </c>
      <c r="H415" s="111">
        <v>97</v>
      </c>
      <c r="I415" s="111">
        <v>87</v>
      </c>
      <c r="J415" s="111">
        <v>78</v>
      </c>
      <c r="K415" s="111">
        <f t="shared" si="55"/>
        <v>87.333333333333329</v>
      </c>
      <c r="L415" s="111">
        <v>150000</v>
      </c>
      <c r="M415" s="111">
        <f t="shared" si="56"/>
        <v>67500</v>
      </c>
      <c r="N415" s="111">
        <f t="shared" si="57"/>
        <v>67500</v>
      </c>
      <c r="O415" s="111">
        <f t="shared" si="58"/>
        <v>13500</v>
      </c>
      <c r="P415" s="111">
        <f t="shared" si="59"/>
        <v>15000</v>
      </c>
      <c r="Q415" s="111">
        <v>30000</v>
      </c>
      <c r="R415" s="111">
        <v>3</v>
      </c>
      <c r="S415" s="111">
        <f t="shared" si="60"/>
        <v>3000</v>
      </c>
      <c r="T415" s="111">
        <f t="shared" si="61"/>
        <v>180000</v>
      </c>
      <c r="U415" s="111">
        <f t="shared" si="62"/>
        <v>1800</v>
      </c>
      <c r="V415" s="111">
        <f t="shared" si="63"/>
        <v>181800</v>
      </c>
      <c r="W415" t="s">
        <v>2874</v>
      </c>
    </row>
    <row r="416" spans="1:23" x14ac:dyDescent="0.3">
      <c r="A416" s="110">
        <v>400129</v>
      </c>
      <c r="B416" s="110" t="s">
        <v>548</v>
      </c>
      <c r="C416" s="110" t="s">
        <v>616</v>
      </c>
      <c r="D416" s="110" t="s">
        <v>620</v>
      </c>
      <c r="E416" s="110" t="s">
        <v>588</v>
      </c>
      <c r="F416" s="110" t="s">
        <v>113</v>
      </c>
      <c r="G416" s="110" t="s">
        <v>114</v>
      </c>
      <c r="H416" s="111">
        <v>25</v>
      </c>
      <c r="I416" s="111">
        <v>24</v>
      </c>
      <c r="J416" s="111">
        <v>22</v>
      </c>
      <c r="K416" s="111">
        <f t="shared" si="55"/>
        <v>23.666666666666668</v>
      </c>
      <c r="L416" s="111">
        <v>50000</v>
      </c>
      <c r="M416" s="111">
        <f t="shared" si="56"/>
        <v>22500</v>
      </c>
      <c r="N416" s="111">
        <f t="shared" si="57"/>
        <v>22500</v>
      </c>
      <c r="O416" s="111">
        <f t="shared" si="58"/>
        <v>4500</v>
      </c>
      <c r="P416" s="111">
        <f t="shared" si="59"/>
        <v>5000</v>
      </c>
      <c r="Q416" s="111">
        <v>10000</v>
      </c>
      <c r="R416" s="111">
        <v>1</v>
      </c>
      <c r="S416" s="111">
        <f t="shared" si="60"/>
        <v>1000</v>
      </c>
      <c r="T416" s="111">
        <f t="shared" si="61"/>
        <v>60000</v>
      </c>
      <c r="U416" s="111">
        <f t="shared" si="62"/>
        <v>600</v>
      </c>
      <c r="V416" s="111">
        <f t="shared" si="63"/>
        <v>60600</v>
      </c>
      <c r="W416" t="s">
        <v>2875</v>
      </c>
    </row>
    <row r="417" spans="1:23" x14ac:dyDescent="0.3">
      <c r="A417" s="110">
        <v>400130</v>
      </c>
      <c r="B417" s="110" t="s">
        <v>548</v>
      </c>
      <c r="C417" s="110" t="s">
        <v>616</v>
      </c>
      <c r="D417" s="110" t="s">
        <v>621</v>
      </c>
      <c r="E417" s="110" t="s">
        <v>622</v>
      </c>
      <c r="F417" s="110" t="s">
        <v>113</v>
      </c>
      <c r="G417" s="110" t="s">
        <v>114</v>
      </c>
      <c r="H417" s="111">
        <v>104</v>
      </c>
      <c r="I417" s="111">
        <v>98</v>
      </c>
      <c r="J417" s="111">
        <v>86</v>
      </c>
      <c r="K417" s="111">
        <f t="shared" si="55"/>
        <v>96</v>
      </c>
      <c r="L417" s="111">
        <v>150000</v>
      </c>
      <c r="M417" s="111">
        <f t="shared" si="56"/>
        <v>67500</v>
      </c>
      <c r="N417" s="111">
        <f t="shared" si="57"/>
        <v>67500</v>
      </c>
      <c r="O417" s="111">
        <f t="shared" si="58"/>
        <v>13500</v>
      </c>
      <c r="P417" s="111">
        <f t="shared" si="59"/>
        <v>15000</v>
      </c>
      <c r="Q417" s="111">
        <v>30000</v>
      </c>
      <c r="R417" s="111">
        <v>3</v>
      </c>
      <c r="S417" s="111">
        <f t="shared" si="60"/>
        <v>3000</v>
      </c>
      <c r="T417" s="111">
        <f t="shared" si="61"/>
        <v>180000</v>
      </c>
      <c r="U417" s="111">
        <f t="shared" si="62"/>
        <v>1800</v>
      </c>
      <c r="V417" s="111">
        <f t="shared" si="63"/>
        <v>181800</v>
      </c>
      <c r="W417" t="s">
        <v>2876</v>
      </c>
    </row>
    <row r="418" spans="1:23" x14ac:dyDescent="0.3">
      <c r="A418" s="110">
        <v>400131</v>
      </c>
      <c r="B418" s="110" t="s">
        <v>548</v>
      </c>
      <c r="C418" s="110" t="s">
        <v>616</v>
      </c>
      <c r="D418" s="110" t="s">
        <v>623</v>
      </c>
      <c r="E418" s="110" t="s">
        <v>353</v>
      </c>
      <c r="F418" s="110" t="s">
        <v>113</v>
      </c>
      <c r="G418" s="110" t="s">
        <v>114</v>
      </c>
      <c r="H418" s="111">
        <v>206</v>
      </c>
      <c r="I418" s="111">
        <v>168</v>
      </c>
      <c r="J418" s="111">
        <v>153</v>
      </c>
      <c r="K418" s="111">
        <f t="shared" si="55"/>
        <v>175.66666666666666</v>
      </c>
      <c r="L418" s="111">
        <v>150000</v>
      </c>
      <c r="M418" s="111">
        <f t="shared" si="56"/>
        <v>67500</v>
      </c>
      <c r="N418" s="111">
        <f t="shared" si="57"/>
        <v>67500</v>
      </c>
      <c r="O418" s="111">
        <f t="shared" si="58"/>
        <v>13500</v>
      </c>
      <c r="P418" s="111">
        <f t="shared" si="59"/>
        <v>15000</v>
      </c>
      <c r="Q418" s="111">
        <v>30000</v>
      </c>
      <c r="R418" s="111">
        <v>3</v>
      </c>
      <c r="S418" s="111">
        <f t="shared" si="60"/>
        <v>3000</v>
      </c>
      <c r="T418" s="111">
        <f t="shared" si="61"/>
        <v>180000</v>
      </c>
      <c r="U418" s="111">
        <f t="shared" si="62"/>
        <v>1800</v>
      </c>
      <c r="V418" s="111">
        <f t="shared" si="63"/>
        <v>181800</v>
      </c>
      <c r="W418" t="s">
        <v>2877</v>
      </c>
    </row>
    <row r="419" spans="1:23" x14ac:dyDescent="0.3">
      <c r="A419" s="110">
        <v>400133</v>
      </c>
      <c r="B419" s="110" t="s">
        <v>548</v>
      </c>
      <c r="C419" s="110" t="s">
        <v>616</v>
      </c>
      <c r="D419" s="110" t="s">
        <v>624</v>
      </c>
      <c r="E419" s="110" t="s">
        <v>184</v>
      </c>
      <c r="F419" s="110" t="s">
        <v>113</v>
      </c>
      <c r="G419" s="110" t="s">
        <v>114</v>
      </c>
      <c r="H419" s="111">
        <v>107</v>
      </c>
      <c r="I419" s="111">
        <v>96</v>
      </c>
      <c r="J419" s="111">
        <v>80</v>
      </c>
      <c r="K419" s="111">
        <f t="shared" si="55"/>
        <v>94.333333333333329</v>
      </c>
      <c r="L419" s="111">
        <v>150000</v>
      </c>
      <c r="M419" s="111">
        <f t="shared" si="56"/>
        <v>67500</v>
      </c>
      <c r="N419" s="111">
        <f t="shared" si="57"/>
        <v>67500</v>
      </c>
      <c r="O419" s="111">
        <f t="shared" si="58"/>
        <v>13500</v>
      </c>
      <c r="P419" s="111">
        <f t="shared" si="59"/>
        <v>15000</v>
      </c>
      <c r="Q419" s="111">
        <v>30000</v>
      </c>
      <c r="R419" s="111">
        <v>3</v>
      </c>
      <c r="S419" s="111">
        <f t="shared" si="60"/>
        <v>3000</v>
      </c>
      <c r="T419" s="111">
        <f t="shared" si="61"/>
        <v>180000</v>
      </c>
      <c r="U419" s="111">
        <f t="shared" si="62"/>
        <v>1800</v>
      </c>
      <c r="V419" s="111">
        <f t="shared" si="63"/>
        <v>181800</v>
      </c>
      <c r="W419" t="s">
        <v>2878</v>
      </c>
    </row>
    <row r="420" spans="1:23" x14ac:dyDescent="0.3">
      <c r="A420" s="110">
        <v>400134</v>
      </c>
      <c r="B420" s="110" t="s">
        <v>548</v>
      </c>
      <c r="C420" s="110" t="s">
        <v>616</v>
      </c>
      <c r="D420" s="110" t="s">
        <v>625</v>
      </c>
      <c r="E420" s="110" t="s">
        <v>482</v>
      </c>
      <c r="F420" s="110" t="s">
        <v>113</v>
      </c>
      <c r="G420" s="110" t="s">
        <v>114</v>
      </c>
      <c r="H420" s="111">
        <v>298</v>
      </c>
      <c r="I420" s="111">
        <v>275</v>
      </c>
      <c r="J420" s="111">
        <v>275</v>
      </c>
      <c r="K420" s="111">
        <f t="shared" si="55"/>
        <v>282.66666666666669</v>
      </c>
      <c r="L420" s="111">
        <v>200000</v>
      </c>
      <c r="M420" s="111">
        <f t="shared" si="56"/>
        <v>90000</v>
      </c>
      <c r="N420" s="111">
        <f t="shared" si="57"/>
        <v>90000</v>
      </c>
      <c r="O420" s="111">
        <f t="shared" si="58"/>
        <v>18000</v>
      </c>
      <c r="P420" s="111">
        <f t="shared" si="59"/>
        <v>20000</v>
      </c>
      <c r="Q420" s="111">
        <v>50000</v>
      </c>
      <c r="R420" s="111">
        <v>5</v>
      </c>
      <c r="S420" s="111">
        <f t="shared" si="60"/>
        <v>5000</v>
      </c>
      <c r="T420" s="111">
        <f t="shared" si="61"/>
        <v>250000</v>
      </c>
      <c r="U420" s="111">
        <f t="shared" si="62"/>
        <v>2500</v>
      </c>
      <c r="V420" s="111">
        <f t="shared" si="63"/>
        <v>252500</v>
      </c>
      <c r="W420" t="s">
        <v>2879</v>
      </c>
    </row>
    <row r="421" spans="1:23" x14ac:dyDescent="0.3">
      <c r="A421" s="110">
        <v>400136</v>
      </c>
      <c r="B421" s="110" t="s">
        <v>548</v>
      </c>
      <c r="C421" s="110" t="s">
        <v>626</v>
      </c>
      <c r="D421" s="110" t="s">
        <v>626</v>
      </c>
      <c r="E421" s="110" t="s">
        <v>274</v>
      </c>
      <c r="F421" s="110" t="s">
        <v>119</v>
      </c>
      <c r="G421" s="110" t="s">
        <v>114</v>
      </c>
      <c r="H421" s="111">
        <v>552</v>
      </c>
      <c r="I421" s="111">
        <v>549</v>
      </c>
      <c r="J421" s="111">
        <v>585</v>
      </c>
      <c r="K421" s="111">
        <f t="shared" si="55"/>
        <v>562</v>
      </c>
      <c r="L421" s="111">
        <f>300000</f>
        <v>300000</v>
      </c>
      <c r="M421" s="111">
        <f t="shared" si="56"/>
        <v>135000</v>
      </c>
      <c r="N421" s="111">
        <f t="shared" si="57"/>
        <v>135000</v>
      </c>
      <c r="O421" s="111">
        <f t="shared" si="58"/>
        <v>27000</v>
      </c>
      <c r="P421" s="111">
        <f t="shared" si="59"/>
        <v>30000</v>
      </c>
      <c r="Q421" s="111">
        <v>60000</v>
      </c>
      <c r="R421" s="111">
        <v>6</v>
      </c>
      <c r="S421" s="111">
        <f t="shared" si="60"/>
        <v>6000</v>
      </c>
      <c r="T421" s="111">
        <f t="shared" si="61"/>
        <v>360000</v>
      </c>
      <c r="U421" s="111">
        <f t="shared" si="62"/>
        <v>3600</v>
      </c>
      <c r="V421" s="111">
        <f t="shared" si="63"/>
        <v>363600</v>
      </c>
      <c r="W421" t="s">
        <v>2880</v>
      </c>
    </row>
    <row r="422" spans="1:23" x14ac:dyDescent="0.3">
      <c r="A422" s="110">
        <v>400137</v>
      </c>
      <c r="B422" s="110" t="s">
        <v>548</v>
      </c>
      <c r="C422" s="110" t="s">
        <v>626</v>
      </c>
      <c r="D422" s="110" t="s">
        <v>626</v>
      </c>
      <c r="E422" s="110" t="s">
        <v>536</v>
      </c>
      <c r="F422" s="110" t="s">
        <v>209</v>
      </c>
      <c r="G422" s="110" t="s">
        <v>114</v>
      </c>
      <c r="H422" s="111">
        <v>117</v>
      </c>
      <c r="I422" s="111">
        <v>110</v>
      </c>
      <c r="J422" s="111">
        <v>124</v>
      </c>
      <c r="K422" s="111">
        <f t="shared" si="55"/>
        <v>117</v>
      </c>
      <c r="L422" s="111">
        <v>150000</v>
      </c>
      <c r="M422" s="111">
        <f t="shared" si="56"/>
        <v>67500</v>
      </c>
      <c r="N422" s="111">
        <f t="shared" si="57"/>
        <v>67500</v>
      </c>
      <c r="O422" s="111">
        <f t="shared" si="58"/>
        <v>13500</v>
      </c>
      <c r="P422" s="111">
        <f t="shared" si="59"/>
        <v>15000</v>
      </c>
      <c r="Q422" s="111">
        <v>30000</v>
      </c>
      <c r="R422" s="111">
        <v>3</v>
      </c>
      <c r="S422" s="111">
        <f t="shared" si="60"/>
        <v>3000</v>
      </c>
      <c r="T422" s="111">
        <f t="shared" si="61"/>
        <v>180000</v>
      </c>
      <c r="U422" s="111">
        <f t="shared" si="62"/>
        <v>1800</v>
      </c>
      <c r="V422" s="111">
        <f t="shared" si="63"/>
        <v>181800</v>
      </c>
      <c r="W422" t="s">
        <v>2881</v>
      </c>
    </row>
    <row r="423" spans="1:23" x14ac:dyDescent="0.3">
      <c r="A423" s="110">
        <v>400141</v>
      </c>
      <c r="B423" s="110" t="s">
        <v>548</v>
      </c>
      <c r="C423" s="110" t="s">
        <v>626</v>
      </c>
      <c r="D423" s="110" t="s">
        <v>627</v>
      </c>
      <c r="E423" s="110" t="s">
        <v>628</v>
      </c>
      <c r="F423" s="110" t="s">
        <v>113</v>
      </c>
      <c r="G423" s="110" t="s">
        <v>114</v>
      </c>
      <c r="H423" s="111">
        <v>28</v>
      </c>
      <c r="I423" s="111">
        <v>22</v>
      </c>
      <c r="J423" s="111">
        <v>19</v>
      </c>
      <c r="K423" s="111">
        <f t="shared" si="55"/>
        <v>23</v>
      </c>
      <c r="L423" s="111">
        <v>50000</v>
      </c>
      <c r="M423" s="111">
        <f t="shared" si="56"/>
        <v>22500</v>
      </c>
      <c r="N423" s="111">
        <f t="shared" si="57"/>
        <v>22500</v>
      </c>
      <c r="O423" s="111">
        <f t="shared" si="58"/>
        <v>4500</v>
      </c>
      <c r="P423" s="111">
        <f t="shared" si="59"/>
        <v>5000</v>
      </c>
      <c r="Q423" s="111">
        <v>10000</v>
      </c>
      <c r="R423" s="111">
        <v>1</v>
      </c>
      <c r="S423" s="111">
        <f t="shared" si="60"/>
        <v>1000</v>
      </c>
      <c r="T423" s="111">
        <f t="shared" si="61"/>
        <v>60000</v>
      </c>
      <c r="U423" s="111">
        <f t="shared" si="62"/>
        <v>600</v>
      </c>
      <c r="V423" s="111">
        <f t="shared" si="63"/>
        <v>60600</v>
      </c>
      <c r="W423" t="s">
        <v>2882</v>
      </c>
    </row>
    <row r="424" spans="1:23" x14ac:dyDescent="0.3">
      <c r="A424" s="110">
        <v>400142</v>
      </c>
      <c r="B424" s="110" t="s">
        <v>548</v>
      </c>
      <c r="C424" s="110" t="s">
        <v>626</v>
      </c>
      <c r="D424" s="110" t="s">
        <v>629</v>
      </c>
      <c r="E424" s="110" t="s">
        <v>630</v>
      </c>
      <c r="F424" s="110" t="s">
        <v>119</v>
      </c>
      <c r="G424" s="110" t="s">
        <v>114</v>
      </c>
      <c r="H424" s="111">
        <v>226</v>
      </c>
      <c r="I424" s="111">
        <v>233</v>
      </c>
      <c r="J424" s="111">
        <v>219</v>
      </c>
      <c r="K424" s="111">
        <f t="shared" si="55"/>
        <v>226</v>
      </c>
      <c r="L424" s="111">
        <v>200000</v>
      </c>
      <c r="M424" s="111">
        <f t="shared" si="56"/>
        <v>90000</v>
      </c>
      <c r="N424" s="111">
        <f t="shared" si="57"/>
        <v>90000</v>
      </c>
      <c r="O424" s="111">
        <f t="shared" si="58"/>
        <v>18000</v>
      </c>
      <c r="P424" s="111">
        <f t="shared" si="59"/>
        <v>20000</v>
      </c>
      <c r="Q424" s="111">
        <v>50000</v>
      </c>
      <c r="R424" s="111">
        <v>5</v>
      </c>
      <c r="S424" s="111">
        <f t="shared" si="60"/>
        <v>5000</v>
      </c>
      <c r="T424" s="111">
        <f t="shared" si="61"/>
        <v>250000</v>
      </c>
      <c r="U424" s="111">
        <f t="shared" si="62"/>
        <v>2500</v>
      </c>
      <c r="V424" s="111">
        <f t="shared" si="63"/>
        <v>252500</v>
      </c>
      <c r="W424" t="s">
        <v>2883</v>
      </c>
    </row>
    <row r="425" spans="1:23" x14ac:dyDescent="0.3">
      <c r="A425" s="110">
        <v>400143</v>
      </c>
      <c r="B425" s="110" t="s">
        <v>548</v>
      </c>
      <c r="C425" s="110" t="s">
        <v>626</v>
      </c>
      <c r="D425" s="110" t="s">
        <v>631</v>
      </c>
      <c r="E425" s="110" t="s">
        <v>184</v>
      </c>
      <c r="F425" s="110" t="s">
        <v>113</v>
      </c>
      <c r="G425" s="110" t="s">
        <v>114</v>
      </c>
      <c r="H425" s="111">
        <v>81</v>
      </c>
      <c r="I425" s="111">
        <v>76</v>
      </c>
      <c r="J425" s="111">
        <v>66</v>
      </c>
      <c r="K425" s="111">
        <f t="shared" si="55"/>
        <v>74.333333333333329</v>
      </c>
      <c r="L425" s="111">
        <v>150000</v>
      </c>
      <c r="M425" s="111">
        <f t="shared" si="56"/>
        <v>67500</v>
      </c>
      <c r="N425" s="111">
        <f t="shared" si="57"/>
        <v>67500</v>
      </c>
      <c r="O425" s="111">
        <f t="shared" si="58"/>
        <v>13500</v>
      </c>
      <c r="P425" s="111">
        <f t="shared" si="59"/>
        <v>15000</v>
      </c>
      <c r="Q425" s="111">
        <v>30000</v>
      </c>
      <c r="R425" s="111">
        <v>3</v>
      </c>
      <c r="S425" s="111">
        <f t="shared" si="60"/>
        <v>3000</v>
      </c>
      <c r="T425" s="111">
        <f t="shared" si="61"/>
        <v>180000</v>
      </c>
      <c r="U425" s="111">
        <f t="shared" si="62"/>
        <v>1800</v>
      </c>
      <c r="V425" s="111">
        <f t="shared" si="63"/>
        <v>181800</v>
      </c>
      <c r="W425" t="s">
        <v>2884</v>
      </c>
    </row>
    <row r="426" spans="1:23" x14ac:dyDescent="0.3">
      <c r="A426" s="110">
        <v>400144</v>
      </c>
      <c r="B426" s="110" t="s">
        <v>548</v>
      </c>
      <c r="C426" s="110" t="s">
        <v>626</v>
      </c>
      <c r="D426" s="110" t="s">
        <v>632</v>
      </c>
      <c r="E426" s="110" t="s">
        <v>373</v>
      </c>
      <c r="F426" s="110" t="s">
        <v>113</v>
      </c>
      <c r="G426" s="110" t="s">
        <v>114</v>
      </c>
      <c r="H426" s="111">
        <v>51</v>
      </c>
      <c r="I426" s="111">
        <v>47</v>
      </c>
      <c r="J426" s="111">
        <v>34</v>
      </c>
      <c r="K426" s="111">
        <f t="shared" si="55"/>
        <v>44</v>
      </c>
      <c r="L426" s="111">
        <v>50000</v>
      </c>
      <c r="M426" s="111">
        <f t="shared" si="56"/>
        <v>22500</v>
      </c>
      <c r="N426" s="111">
        <f t="shared" si="57"/>
        <v>22500</v>
      </c>
      <c r="O426" s="111">
        <f t="shared" si="58"/>
        <v>4500</v>
      </c>
      <c r="P426" s="111">
        <f t="shared" si="59"/>
        <v>5000</v>
      </c>
      <c r="Q426" s="111">
        <v>10000</v>
      </c>
      <c r="R426" s="111">
        <v>1</v>
      </c>
      <c r="S426" s="111">
        <f t="shared" si="60"/>
        <v>1000</v>
      </c>
      <c r="T426" s="111">
        <f t="shared" si="61"/>
        <v>60000</v>
      </c>
      <c r="U426" s="111">
        <f t="shared" si="62"/>
        <v>600</v>
      </c>
      <c r="V426" s="111">
        <f t="shared" si="63"/>
        <v>60600</v>
      </c>
      <c r="W426" t="s">
        <v>2885</v>
      </c>
    </row>
    <row r="427" spans="1:23" x14ac:dyDescent="0.3">
      <c r="A427" s="110">
        <v>400145</v>
      </c>
      <c r="B427" s="110" t="s">
        <v>548</v>
      </c>
      <c r="C427" s="110" t="s">
        <v>626</v>
      </c>
      <c r="D427" s="110" t="s">
        <v>633</v>
      </c>
      <c r="E427" s="110" t="s">
        <v>172</v>
      </c>
      <c r="F427" s="110" t="s">
        <v>168</v>
      </c>
      <c r="G427" s="110" t="s">
        <v>114</v>
      </c>
      <c r="H427" s="111">
        <v>239</v>
      </c>
      <c r="I427" s="111">
        <v>216</v>
      </c>
      <c r="J427" s="111">
        <v>221</v>
      </c>
      <c r="K427" s="111">
        <f t="shared" si="55"/>
        <v>225.33333333333334</v>
      </c>
      <c r="L427" s="111">
        <v>200000</v>
      </c>
      <c r="M427" s="111">
        <f t="shared" si="56"/>
        <v>90000</v>
      </c>
      <c r="N427" s="111">
        <f t="shared" si="57"/>
        <v>90000</v>
      </c>
      <c r="O427" s="111">
        <f t="shared" si="58"/>
        <v>18000</v>
      </c>
      <c r="P427" s="111">
        <f t="shared" si="59"/>
        <v>20000</v>
      </c>
      <c r="Q427" s="111">
        <v>50000</v>
      </c>
      <c r="R427" s="111">
        <v>5</v>
      </c>
      <c r="S427" s="111">
        <f t="shared" si="60"/>
        <v>5000</v>
      </c>
      <c r="T427" s="111">
        <f t="shared" si="61"/>
        <v>250000</v>
      </c>
      <c r="U427" s="111">
        <f t="shared" si="62"/>
        <v>2500</v>
      </c>
      <c r="V427" s="111">
        <f t="shared" si="63"/>
        <v>252500</v>
      </c>
      <c r="W427" t="s">
        <v>2886</v>
      </c>
    </row>
    <row r="428" spans="1:23" x14ac:dyDescent="0.3">
      <c r="A428" s="110">
        <v>400146</v>
      </c>
      <c r="B428" s="110" t="s">
        <v>548</v>
      </c>
      <c r="C428" s="110" t="s">
        <v>634</v>
      </c>
      <c r="D428" s="110" t="s">
        <v>634</v>
      </c>
      <c r="E428" s="110" t="s">
        <v>635</v>
      </c>
      <c r="F428" s="110" t="s">
        <v>113</v>
      </c>
      <c r="G428" s="110" t="s">
        <v>114</v>
      </c>
      <c r="H428" s="111">
        <v>268</v>
      </c>
      <c r="I428" s="111">
        <v>254</v>
      </c>
      <c r="J428" s="111">
        <v>269</v>
      </c>
      <c r="K428" s="111">
        <f t="shared" si="55"/>
        <v>263.66666666666669</v>
      </c>
      <c r="L428" s="111">
        <f>200000*0.7</f>
        <v>140000</v>
      </c>
      <c r="M428" s="111">
        <f t="shared" si="56"/>
        <v>63000</v>
      </c>
      <c r="N428" s="111">
        <f t="shared" si="57"/>
        <v>63000</v>
      </c>
      <c r="O428" s="111">
        <f t="shared" si="58"/>
        <v>12600</v>
      </c>
      <c r="P428" s="111">
        <f t="shared" si="59"/>
        <v>14000</v>
      </c>
      <c r="Q428" s="111">
        <v>50000</v>
      </c>
      <c r="R428" s="111">
        <v>5</v>
      </c>
      <c r="S428" s="111">
        <f t="shared" si="60"/>
        <v>5000</v>
      </c>
      <c r="T428" s="111">
        <f t="shared" si="61"/>
        <v>190000</v>
      </c>
      <c r="U428" s="111">
        <f t="shared" si="62"/>
        <v>1900</v>
      </c>
      <c r="V428" s="111">
        <f t="shared" si="63"/>
        <v>191900</v>
      </c>
      <c r="W428" t="s">
        <v>2887</v>
      </c>
    </row>
    <row r="429" spans="1:23" x14ac:dyDescent="0.3">
      <c r="A429" s="110">
        <v>400147</v>
      </c>
      <c r="B429" s="110" t="s">
        <v>548</v>
      </c>
      <c r="C429" s="110" t="s">
        <v>634</v>
      </c>
      <c r="D429" s="110" t="s">
        <v>634</v>
      </c>
      <c r="E429" s="110" t="s">
        <v>636</v>
      </c>
      <c r="F429" s="110" t="s">
        <v>113</v>
      </c>
      <c r="G429" s="110" t="s">
        <v>114</v>
      </c>
      <c r="H429" s="111">
        <v>283</v>
      </c>
      <c r="I429" s="111">
        <v>280</v>
      </c>
      <c r="J429" s="111">
        <v>260</v>
      </c>
      <c r="K429" s="111">
        <f t="shared" si="55"/>
        <v>274.33333333333331</v>
      </c>
      <c r="L429" s="111">
        <v>200000</v>
      </c>
      <c r="M429" s="111">
        <f t="shared" si="56"/>
        <v>90000</v>
      </c>
      <c r="N429" s="111">
        <f t="shared" si="57"/>
        <v>90000</v>
      </c>
      <c r="O429" s="111">
        <f t="shared" si="58"/>
        <v>18000</v>
      </c>
      <c r="P429" s="111">
        <f t="shared" si="59"/>
        <v>20000</v>
      </c>
      <c r="Q429" s="111">
        <v>50000</v>
      </c>
      <c r="R429" s="111">
        <v>5</v>
      </c>
      <c r="S429" s="111">
        <f t="shared" si="60"/>
        <v>5000</v>
      </c>
      <c r="T429" s="111">
        <f t="shared" si="61"/>
        <v>250000</v>
      </c>
      <c r="U429" s="111">
        <f t="shared" si="62"/>
        <v>2500</v>
      </c>
      <c r="V429" s="111">
        <f t="shared" si="63"/>
        <v>252500</v>
      </c>
      <c r="W429" t="s">
        <v>2888</v>
      </c>
    </row>
    <row r="430" spans="1:23" x14ac:dyDescent="0.3">
      <c r="A430" s="110">
        <v>400148</v>
      </c>
      <c r="B430" s="110" t="s">
        <v>548</v>
      </c>
      <c r="C430" s="110" t="s">
        <v>634</v>
      </c>
      <c r="D430" s="110" t="s">
        <v>634</v>
      </c>
      <c r="E430" s="110" t="s">
        <v>531</v>
      </c>
      <c r="F430" s="110" t="s">
        <v>119</v>
      </c>
      <c r="G430" s="110" t="s">
        <v>114</v>
      </c>
      <c r="H430" s="111">
        <v>500</v>
      </c>
      <c r="I430" s="111">
        <v>482</v>
      </c>
      <c r="J430" s="111">
        <v>468</v>
      </c>
      <c r="K430" s="111">
        <f t="shared" si="55"/>
        <v>483.33333333333331</v>
      </c>
      <c r="L430" s="111">
        <f>300000</f>
        <v>300000</v>
      </c>
      <c r="M430" s="111">
        <f t="shared" si="56"/>
        <v>135000</v>
      </c>
      <c r="N430" s="111">
        <f t="shared" si="57"/>
        <v>135000</v>
      </c>
      <c r="O430" s="111">
        <f t="shared" si="58"/>
        <v>27000</v>
      </c>
      <c r="P430" s="111">
        <f t="shared" si="59"/>
        <v>30000</v>
      </c>
      <c r="Q430" s="111">
        <v>60000</v>
      </c>
      <c r="R430" s="111">
        <v>6</v>
      </c>
      <c r="S430" s="111">
        <f t="shared" si="60"/>
        <v>6000</v>
      </c>
      <c r="T430" s="111">
        <f t="shared" si="61"/>
        <v>360000</v>
      </c>
      <c r="U430" s="111">
        <f t="shared" si="62"/>
        <v>3600</v>
      </c>
      <c r="V430" s="111">
        <f t="shared" si="63"/>
        <v>363600</v>
      </c>
      <c r="W430" t="s">
        <v>2889</v>
      </c>
    </row>
    <row r="431" spans="1:23" x14ac:dyDescent="0.3">
      <c r="A431" s="110">
        <v>400149</v>
      </c>
      <c r="B431" s="110" t="s">
        <v>548</v>
      </c>
      <c r="C431" s="110" t="s">
        <v>634</v>
      </c>
      <c r="D431" s="110" t="s">
        <v>634</v>
      </c>
      <c r="E431" s="110" t="s">
        <v>637</v>
      </c>
      <c r="F431" s="110" t="s">
        <v>117</v>
      </c>
      <c r="G431" s="110" t="s">
        <v>114</v>
      </c>
      <c r="H431" s="111">
        <v>223</v>
      </c>
      <c r="I431" s="111">
        <v>223</v>
      </c>
      <c r="J431" s="111">
        <v>225</v>
      </c>
      <c r="K431" s="111">
        <f t="shared" si="55"/>
        <v>223.66666666666666</v>
      </c>
      <c r="L431" s="111">
        <v>200000</v>
      </c>
      <c r="M431" s="111">
        <f t="shared" si="56"/>
        <v>90000</v>
      </c>
      <c r="N431" s="111">
        <f t="shared" si="57"/>
        <v>90000</v>
      </c>
      <c r="O431" s="111">
        <f t="shared" si="58"/>
        <v>18000</v>
      </c>
      <c r="P431" s="111">
        <f t="shared" si="59"/>
        <v>20000</v>
      </c>
      <c r="Q431" s="111">
        <v>50000</v>
      </c>
      <c r="R431" s="111">
        <v>5</v>
      </c>
      <c r="S431" s="111">
        <f t="shared" si="60"/>
        <v>5000</v>
      </c>
      <c r="T431" s="111">
        <f t="shared" si="61"/>
        <v>250000</v>
      </c>
      <c r="U431" s="111">
        <f t="shared" si="62"/>
        <v>2500</v>
      </c>
      <c r="V431" s="111">
        <f t="shared" si="63"/>
        <v>252500</v>
      </c>
      <c r="W431" t="s">
        <v>2890</v>
      </c>
    </row>
    <row r="432" spans="1:23" x14ac:dyDescent="0.3">
      <c r="A432" s="110">
        <v>400150</v>
      </c>
      <c r="B432" s="110" t="s">
        <v>548</v>
      </c>
      <c r="C432" s="110" t="s">
        <v>634</v>
      </c>
      <c r="D432" s="110" t="s">
        <v>634</v>
      </c>
      <c r="E432" s="110" t="s">
        <v>638</v>
      </c>
      <c r="F432" s="110" t="s">
        <v>117</v>
      </c>
      <c r="G432" s="110" t="s">
        <v>114</v>
      </c>
      <c r="H432" s="111">
        <v>394</v>
      </c>
      <c r="I432" s="111">
        <v>358</v>
      </c>
      <c r="J432" s="111">
        <v>330</v>
      </c>
      <c r="K432" s="111">
        <f t="shared" si="55"/>
        <v>360.66666666666669</v>
      </c>
      <c r="L432" s="111">
        <v>200000</v>
      </c>
      <c r="M432" s="111">
        <f t="shared" si="56"/>
        <v>90000</v>
      </c>
      <c r="N432" s="111">
        <f t="shared" si="57"/>
        <v>90000</v>
      </c>
      <c r="O432" s="111">
        <f t="shared" si="58"/>
        <v>18000</v>
      </c>
      <c r="P432" s="111">
        <f t="shared" si="59"/>
        <v>20000</v>
      </c>
      <c r="Q432" s="111">
        <v>50000</v>
      </c>
      <c r="R432" s="111">
        <v>5</v>
      </c>
      <c r="S432" s="111">
        <f t="shared" si="60"/>
        <v>5000</v>
      </c>
      <c r="T432" s="111">
        <f t="shared" si="61"/>
        <v>250000</v>
      </c>
      <c r="U432" s="111">
        <f t="shared" si="62"/>
        <v>2500</v>
      </c>
      <c r="V432" s="111">
        <f t="shared" si="63"/>
        <v>252500</v>
      </c>
      <c r="W432" t="s">
        <v>2891</v>
      </c>
    </row>
    <row r="433" spans="1:23" x14ac:dyDescent="0.3">
      <c r="A433" s="110">
        <v>400152</v>
      </c>
      <c r="B433" s="110" t="s">
        <v>548</v>
      </c>
      <c r="C433" s="110" t="s">
        <v>634</v>
      </c>
      <c r="D433" s="110" t="s">
        <v>639</v>
      </c>
      <c r="E433" s="110" t="s">
        <v>362</v>
      </c>
      <c r="F433" s="110" t="s">
        <v>168</v>
      </c>
      <c r="G433" s="110" t="s">
        <v>114</v>
      </c>
      <c r="H433" s="111">
        <v>189</v>
      </c>
      <c r="I433" s="111">
        <v>175</v>
      </c>
      <c r="J433" s="111">
        <v>170</v>
      </c>
      <c r="K433" s="111">
        <f t="shared" si="55"/>
        <v>178</v>
      </c>
      <c r="L433" s="111">
        <f>150000*0.7</f>
        <v>105000</v>
      </c>
      <c r="M433" s="111">
        <f t="shared" si="56"/>
        <v>47250</v>
      </c>
      <c r="N433" s="111">
        <f t="shared" si="57"/>
        <v>47250</v>
      </c>
      <c r="O433" s="111">
        <f t="shared" si="58"/>
        <v>9450</v>
      </c>
      <c r="P433" s="111">
        <f t="shared" si="59"/>
        <v>10500</v>
      </c>
      <c r="Q433" s="111">
        <v>30000</v>
      </c>
      <c r="R433" s="111">
        <v>3</v>
      </c>
      <c r="S433" s="111">
        <f t="shared" si="60"/>
        <v>3000</v>
      </c>
      <c r="T433" s="111">
        <f t="shared" si="61"/>
        <v>135000</v>
      </c>
      <c r="U433" s="111">
        <f t="shared" si="62"/>
        <v>1350</v>
      </c>
      <c r="V433" s="111">
        <f t="shared" si="63"/>
        <v>136350</v>
      </c>
      <c r="W433" t="s">
        <v>2892</v>
      </c>
    </row>
    <row r="434" spans="1:23" x14ac:dyDescent="0.3">
      <c r="A434" s="110">
        <v>400153</v>
      </c>
      <c r="B434" s="110" t="s">
        <v>548</v>
      </c>
      <c r="C434" s="110" t="s">
        <v>634</v>
      </c>
      <c r="D434" s="110" t="s">
        <v>640</v>
      </c>
      <c r="E434" s="110" t="s">
        <v>319</v>
      </c>
      <c r="F434" s="110" t="s">
        <v>113</v>
      </c>
      <c r="G434" s="110" t="s">
        <v>114</v>
      </c>
      <c r="H434" s="111">
        <v>77</v>
      </c>
      <c r="I434" s="111">
        <v>86</v>
      </c>
      <c r="J434" s="111">
        <v>78</v>
      </c>
      <c r="K434" s="111">
        <f t="shared" si="55"/>
        <v>80.333333333333329</v>
      </c>
      <c r="L434" s="111">
        <v>150000</v>
      </c>
      <c r="M434" s="111">
        <f t="shared" si="56"/>
        <v>67500</v>
      </c>
      <c r="N434" s="111">
        <f t="shared" si="57"/>
        <v>67500</v>
      </c>
      <c r="O434" s="111">
        <f t="shared" si="58"/>
        <v>13500</v>
      </c>
      <c r="P434" s="111">
        <f t="shared" si="59"/>
        <v>15000</v>
      </c>
      <c r="Q434" s="111">
        <v>30000</v>
      </c>
      <c r="R434" s="111">
        <v>3</v>
      </c>
      <c r="S434" s="111">
        <f t="shared" si="60"/>
        <v>3000</v>
      </c>
      <c r="T434" s="111">
        <f t="shared" si="61"/>
        <v>180000</v>
      </c>
      <c r="U434" s="111">
        <f t="shared" si="62"/>
        <v>1800</v>
      </c>
      <c r="V434" s="111">
        <f t="shared" si="63"/>
        <v>181800</v>
      </c>
      <c r="W434" t="s">
        <v>2893</v>
      </c>
    </row>
    <row r="435" spans="1:23" x14ac:dyDescent="0.3">
      <c r="A435" s="110">
        <v>400155</v>
      </c>
      <c r="B435" s="110" t="s">
        <v>548</v>
      </c>
      <c r="C435" s="110" t="s">
        <v>634</v>
      </c>
      <c r="D435" s="110" t="s">
        <v>641</v>
      </c>
      <c r="E435" s="110" t="s">
        <v>201</v>
      </c>
      <c r="F435" s="110" t="s">
        <v>113</v>
      </c>
      <c r="G435" s="110" t="s">
        <v>114</v>
      </c>
      <c r="H435" s="111">
        <v>132</v>
      </c>
      <c r="I435" s="111">
        <v>130</v>
      </c>
      <c r="J435" s="111">
        <v>133</v>
      </c>
      <c r="K435" s="111">
        <f t="shared" si="55"/>
        <v>131.66666666666666</v>
      </c>
      <c r="L435" s="111">
        <v>150000</v>
      </c>
      <c r="M435" s="111">
        <f t="shared" si="56"/>
        <v>67500</v>
      </c>
      <c r="N435" s="111">
        <f t="shared" si="57"/>
        <v>67500</v>
      </c>
      <c r="O435" s="111">
        <f t="shared" si="58"/>
        <v>13500</v>
      </c>
      <c r="P435" s="111">
        <f t="shared" si="59"/>
        <v>15000</v>
      </c>
      <c r="Q435" s="111">
        <v>30000</v>
      </c>
      <c r="R435" s="111">
        <v>3</v>
      </c>
      <c r="S435" s="111">
        <f t="shared" si="60"/>
        <v>3000</v>
      </c>
      <c r="T435" s="111">
        <f t="shared" si="61"/>
        <v>180000</v>
      </c>
      <c r="U435" s="111">
        <f t="shared" si="62"/>
        <v>1800</v>
      </c>
      <c r="V435" s="111">
        <f t="shared" si="63"/>
        <v>181800</v>
      </c>
      <c r="W435" t="s">
        <v>2894</v>
      </c>
    </row>
    <row r="436" spans="1:23" x14ac:dyDescent="0.3">
      <c r="A436" s="110">
        <v>400156</v>
      </c>
      <c r="B436" s="110" t="s">
        <v>548</v>
      </c>
      <c r="C436" s="110" t="s">
        <v>634</v>
      </c>
      <c r="D436" s="110" t="s">
        <v>642</v>
      </c>
      <c r="E436" s="110" t="s">
        <v>184</v>
      </c>
      <c r="F436" s="110" t="s">
        <v>113</v>
      </c>
      <c r="G436" s="110" t="s">
        <v>114</v>
      </c>
      <c r="H436" s="111">
        <v>74</v>
      </c>
      <c r="I436" s="111">
        <v>65</v>
      </c>
      <c r="J436" s="111">
        <v>70</v>
      </c>
      <c r="K436" s="111">
        <f t="shared" si="55"/>
        <v>69.666666666666671</v>
      </c>
      <c r="L436" s="111">
        <v>150000</v>
      </c>
      <c r="M436" s="111">
        <f t="shared" si="56"/>
        <v>67500</v>
      </c>
      <c r="N436" s="111">
        <f t="shared" si="57"/>
        <v>67500</v>
      </c>
      <c r="O436" s="111">
        <f t="shared" si="58"/>
        <v>13500</v>
      </c>
      <c r="P436" s="111">
        <f t="shared" si="59"/>
        <v>15000</v>
      </c>
      <c r="Q436" s="111">
        <v>30000</v>
      </c>
      <c r="R436" s="111">
        <v>3</v>
      </c>
      <c r="S436" s="111">
        <f t="shared" si="60"/>
        <v>3000</v>
      </c>
      <c r="T436" s="111">
        <f t="shared" si="61"/>
        <v>180000</v>
      </c>
      <c r="U436" s="111">
        <f t="shared" si="62"/>
        <v>1800</v>
      </c>
      <c r="V436" s="111">
        <f t="shared" si="63"/>
        <v>181800</v>
      </c>
      <c r="W436" t="s">
        <v>2895</v>
      </c>
    </row>
    <row r="437" spans="1:23" x14ac:dyDescent="0.3">
      <c r="A437" s="110">
        <v>400159</v>
      </c>
      <c r="B437" s="110" t="s">
        <v>548</v>
      </c>
      <c r="C437" s="110" t="s">
        <v>634</v>
      </c>
      <c r="D437" s="110" t="s">
        <v>643</v>
      </c>
      <c r="E437" s="110" t="s">
        <v>644</v>
      </c>
      <c r="F437" s="110" t="s">
        <v>113</v>
      </c>
      <c r="G437" s="110" t="s">
        <v>114</v>
      </c>
      <c r="H437" s="111">
        <v>20</v>
      </c>
      <c r="I437" s="111">
        <v>15</v>
      </c>
      <c r="J437" s="111">
        <v>10</v>
      </c>
      <c r="K437" s="111">
        <f t="shared" si="55"/>
        <v>15</v>
      </c>
      <c r="L437" s="111">
        <v>50000</v>
      </c>
      <c r="M437" s="111">
        <f t="shared" si="56"/>
        <v>22500</v>
      </c>
      <c r="N437" s="111">
        <f t="shared" si="57"/>
        <v>22500</v>
      </c>
      <c r="O437" s="111">
        <f t="shared" si="58"/>
        <v>4500</v>
      </c>
      <c r="P437" s="111">
        <f t="shared" si="59"/>
        <v>5000</v>
      </c>
      <c r="Q437" s="111">
        <v>10000</v>
      </c>
      <c r="R437" s="111">
        <v>1</v>
      </c>
      <c r="S437" s="111">
        <f t="shared" si="60"/>
        <v>1000</v>
      </c>
      <c r="T437" s="111">
        <f t="shared" si="61"/>
        <v>60000</v>
      </c>
      <c r="U437" s="111">
        <f t="shared" si="62"/>
        <v>600</v>
      </c>
      <c r="V437" s="111">
        <f t="shared" si="63"/>
        <v>60600</v>
      </c>
      <c r="W437" t="s">
        <v>2896</v>
      </c>
    </row>
    <row r="438" spans="1:23" x14ac:dyDescent="0.3">
      <c r="A438" s="110">
        <v>400160</v>
      </c>
      <c r="B438" s="110" t="s">
        <v>548</v>
      </c>
      <c r="C438" s="110" t="s">
        <v>634</v>
      </c>
      <c r="D438" s="110" t="s">
        <v>645</v>
      </c>
      <c r="E438" s="110" t="s">
        <v>646</v>
      </c>
      <c r="F438" s="110" t="s">
        <v>209</v>
      </c>
      <c r="G438" s="110" t="s">
        <v>114</v>
      </c>
      <c r="H438" s="111">
        <v>30</v>
      </c>
      <c r="I438" s="111">
        <v>25</v>
      </c>
      <c r="J438" s="111">
        <v>34</v>
      </c>
      <c r="K438" s="111">
        <f t="shared" si="55"/>
        <v>29.666666666666668</v>
      </c>
      <c r="L438" s="111">
        <v>50000</v>
      </c>
      <c r="M438" s="111">
        <f t="shared" si="56"/>
        <v>22500</v>
      </c>
      <c r="N438" s="111">
        <f t="shared" si="57"/>
        <v>22500</v>
      </c>
      <c r="O438" s="111">
        <f t="shared" si="58"/>
        <v>4500</v>
      </c>
      <c r="P438" s="111">
        <f t="shared" si="59"/>
        <v>5000</v>
      </c>
      <c r="Q438" s="111">
        <v>10000</v>
      </c>
      <c r="R438" s="111">
        <v>1</v>
      </c>
      <c r="S438" s="111">
        <f t="shared" si="60"/>
        <v>1000</v>
      </c>
      <c r="T438" s="111">
        <f t="shared" si="61"/>
        <v>60000</v>
      </c>
      <c r="U438" s="111">
        <f t="shared" si="62"/>
        <v>600</v>
      </c>
      <c r="V438" s="111">
        <f t="shared" si="63"/>
        <v>60600</v>
      </c>
      <c r="W438" t="s">
        <v>2897</v>
      </c>
    </row>
    <row r="439" spans="1:23" x14ac:dyDescent="0.3">
      <c r="A439" s="110">
        <v>400162</v>
      </c>
      <c r="B439" s="110" t="s">
        <v>548</v>
      </c>
      <c r="C439" s="110" t="s">
        <v>634</v>
      </c>
      <c r="D439" s="110" t="s">
        <v>647</v>
      </c>
      <c r="E439" s="110" t="s">
        <v>648</v>
      </c>
      <c r="F439" s="110" t="s">
        <v>135</v>
      </c>
      <c r="G439" s="110" t="s">
        <v>125</v>
      </c>
      <c r="H439" s="111">
        <v>52</v>
      </c>
      <c r="I439" s="111">
        <v>45</v>
      </c>
      <c r="J439" s="111">
        <v>45</v>
      </c>
      <c r="K439" s="111">
        <f t="shared" si="55"/>
        <v>47.333333333333336</v>
      </c>
      <c r="L439" s="111">
        <v>50000</v>
      </c>
      <c r="M439" s="111">
        <f t="shared" si="56"/>
        <v>22500</v>
      </c>
      <c r="N439" s="111">
        <f t="shared" si="57"/>
        <v>22500</v>
      </c>
      <c r="O439" s="111">
        <f t="shared" si="58"/>
        <v>4500</v>
      </c>
      <c r="P439" s="111">
        <f t="shared" si="59"/>
        <v>5000</v>
      </c>
      <c r="Q439" s="111">
        <v>10000</v>
      </c>
      <c r="R439" s="111">
        <v>1</v>
      </c>
      <c r="S439" s="111">
        <f t="shared" si="60"/>
        <v>1000</v>
      </c>
      <c r="T439" s="111">
        <f t="shared" si="61"/>
        <v>60000</v>
      </c>
      <c r="U439" s="111">
        <f t="shared" si="62"/>
        <v>600</v>
      </c>
      <c r="V439" s="111">
        <f t="shared" si="63"/>
        <v>60600</v>
      </c>
      <c r="W439" t="s">
        <v>2898</v>
      </c>
    </row>
    <row r="440" spans="1:23" x14ac:dyDescent="0.3">
      <c r="A440" s="110">
        <v>400163</v>
      </c>
      <c r="B440" s="110" t="s">
        <v>548</v>
      </c>
      <c r="C440" s="110" t="s">
        <v>649</v>
      </c>
      <c r="D440" s="110" t="s">
        <v>649</v>
      </c>
      <c r="E440" s="110" t="s">
        <v>650</v>
      </c>
      <c r="F440" s="110" t="s">
        <v>119</v>
      </c>
      <c r="G440" s="110" t="s">
        <v>114</v>
      </c>
      <c r="H440" s="111">
        <v>449</v>
      </c>
      <c r="I440" s="111">
        <v>414</v>
      </c>
      <c r="J440" s="111">
        <v>389</v>
      </c>
      <c r="K440" s="111">
        <f t="shared" si="55"/>
        <v>417.33333333333331</v>
      </c>
      <c r="L440" s="111">
        <f>300000</f>
        <v>300000</v>
      </c>
      <c r="M440" s="111">
        <f t="shared" si="56"/>
        <v>135000</v>
      </c>
      <c r="N440" s="111">
        <f t="shared" si="57"/>
        <v>135000</v>
      </c>
      <c r="O440" s="111">
        <f t="shared" si="58"/>
        <v>27000</v>
      </c>
      <c r="P440" s="111">
        <f t="shared" si="59"/>
        <v>30000</v>
      </c>
      <c r="Q440" s="111">
        <v>60000</v>
      </c>
      <c r="R440" s="111">
        <v>6</v>
      </c>
      <c r="S440" s="111">
        <f t="shared" si="60"/>
        <v>6000</v>
      </c>
      <c r="T440" s="111">
        <f t="shared" si="61"/>
        <v>360000</v>
      </c>
      <c r="U440" s="111">
        <f t="shared" si="62"/>
        <v>3600</v>
      </c>
      <c r="V440" s="111">
        <f t="shared" si="63"/>
        <v>363600</v>
      </c>
      <c r="W440" t="s">
        <v>2899</v>
      </c>
    </row>
    <row r="441" spans="1:23" x14ac:dyDescent="0.3">
      <c r="A441" s="110">
        <v>400165</v>
      </c>
      <c r="B441" s="110" t="s">
        <v>548</v>
      </c>
      <c r="C441" s="110" t="s">
        <v>649</v>
      </c>
      <c r="D441" s="110" t="s">
        <v>651</v>
      </c>
      <c r="E441" s="110" t="s">
        <v>184</v>
      </c>
      <c r="F441" s="110" t="s">
        <v>113</v>
      </c>
      <c r="G441" s="110" t="s">
        <v>114</v>
      </c>
      <c r="H441" s="111">
        <v>74</v>
      </c>
      <c r="I441" s="111">
        <v>76</v>
      </c>
      <c r="J441" s="111">
        <v>107</v>
      </c>
      <c r="K441" s="111">
        <f t="shared" si="55"/>
        <v>85.666666666666671</v>
      </c>
      <c r="L441" s="111">
        <v>150000</v>
      </c>
      <c r="M441" s="111">
        <f t="shared" si="56"/>
        <v>67500</v>
      </c>
      <c r="N441" s="111">
        <f t="shared" si="57"/>
        <v>67500</v>
      </c>
      <c r="O441" s="111">
        <f t="shared" si="58"/>
        <v>13500</v>
      </c>
      <c r="P441" s="111">
        <f t="shared" si="59"/>
        <v>15000</v>
      </c>
      <c r="Q441" s="111">
        <v>30000</v>
      </c>
      <c r="R441" s="111">
        <v>3</v>
      </c>
      <c r="S441" s="111">
        <f t="shared" si="60"/>
        <v>3000</v>
      </c>
      <c r="T441" s="111">
        <f t="shared" si="61"/>
        <v>180000</v>
      </c>
      <c r="U441" s="111">
        <f t="shared" si="62"/>
        <v>1800</v>
      </c>
      <c r="V441" s="111">
        <f t="shared" si="63"/>
        <v>181800</v>
      </c>
      <c r="W441" t="s">
        <v>2900</v>
      </c>
    </row>
    <row r="442" spans="1:23" x14ac:dyDescent="0.3">
      <c r="A442" s="110">
        <v>400166</v>
      </c>
      <c r="B442" s="110" t="s">
        <v>548</v>
      </c>
      <c r="C442" s="110" t="s">
        <v>649</v>
      </c>
      <c r="D442" s="110" t="s">
        <v>649</v>
      </c>
      <c r="E442" s="110" t="s">
        <v>652</v>
      </c>
      <c r="F442" s="110" t="s">
        <v>117</v>
      </c>
      <c r="G442" s="110" t="s">
        <v>114</v>
      </c>
      <c r="H442" s="111">
        <v>238</v>
      </c>
      <c r="I442" s="111">
        <v>243</v>
      </c>
      <c r="J442" s="111">
        <v>246</v>
      </c>
      <c r="K442" s="111">
        <f t="shared" si="55"/>
        <v>242.33333333333334</v>
      </c>
      <c r="L442" s="111">
        <f>200000*0.7</f>
        <v>140000</v>
      </c>
      <c r="M442" s="111">
        <f t="shared" si="56"/>
        <v>63000</v>
      </c>
      <c r="N442" s="111">
        <f t="shared" si="57"/>
        <v>63000</v>
      </c>
      <c r="O442" s="111">
        <f t="shared" si="58"/>
        <v>12600</v>
      </c>
      <c r="P442" s="111">
        <f t="shared" si="59"/>
        <v>14000</v>
      </c>
      <c r="Q442" s="111">
        <v>50000</v>
      </c>
      <c r="R442" s="111">
        <v>5</v>
      </c>
      <c r="S442" s="111">
        <f t="shared" si="60"/>
        <v>5000</v>
      </c>
      <c r="T442" s="111">
        <f t="shared" si="61"/>
        <v>190000</v>
      </c>
      <c r="U442" s="111">
        <f t="shared" si="62"/>
        <v>1900</v>
      </c>
      <c r="V442" s="111">
        <f t="shared" si="63"/>
        <v>191900</v>
      </c>
      <c r="W442" t="s">
        <v>2901</v>
      </c>
    </row>
    <row r="443" spans="1:23" x14ac:dyDescent="0.3">
      <c r="A443" s="110">
        <v>402030</v>
      </c>
      <c r="B443" s="110" t="s">
        <v>548</v>
      </c>
      <c r="C443" s="110" t="s">
        <v>548</v>
      </c>
      <c r="D443" s="110" t="s">
        <v>548</v>
      </c>
      <c r="E443" s="110" t="s">
        <v>653</v>
      </c>
      <c r="F443" s="110" t="s">
        <v>117</v>
      </c>
      <c r="G443" s="110" t="s">
        <v>125</v>
      </c>
      <c r="H443" s="111">
        <v>696</v>
      </c>
      <c r="I443" s="111">
        <v>693</v>
      </c>
      <c r="J443" s="111">
        <v>692</v>
      </c>
      <c r="K443" s="111">
        <f t="shared" si="55"/>
        <v>693.66666666666663</v>
      </c>
      <c r="L443" s="111">
        <f>300000</f>
        <v>300000</v>
      </c>
      <c r="M443" s="111">
        <f t="shared" si="56"/>
        <v>135000</v>
      </c>
      <c r="N443" s="111">
        <f t="shared" si="57"/>
        <v>135000</v>
      </c>
      <c r="O443" s="111">
        <f t="shared" si="58"/>
        <v>27000</v>
      </c>
      <c r="P443" s="111">
        <f t="shared" si="59"/>
        <v>30000</v>
      </c>
      <c r="Q443" s="111">
        <v>60000</v>
      </c>
      <c r="R443" s="111">
        <v>6</v>
      </c>
      <c r="S443" s="111">
        <f t="shared" si="60"/>
        <v>6000</v>
      </c>
      <c r="T443" s="111">
        <f t="shared" si="61"/>
        <v>360000</v>
      </c>
      <c r="U443" s="111">
        <f t="shared" si="62"/>
        <v>3600</v>
      </c>
      <c r="V443" s="111">
        <f t="shared" si="63"/>
        <v>363600</v>
      </c>
      <c r="W443" t="s">
        <v>2902</v>
      </c>
    </row>
    <row r="444" spans="1:23" x14ac:dyDescent="0.3">
      <c r="A444" s="110">
        <v>402161</v>
      </c>
      <c r="B444" s="110" t="s">
        <v>548</v>
      </c>
      <c r="C444" s="110" t="s">
        <v>548</v>
      </c>
      <c r="D444" s="110" t="s">
        <v>548</v>
      </c>
      <c r="E444" s="110" t="s">
        <v>654</v>
      </c>
      <c r="F444" s="110" t="s">
        <v>117</v>
      </c>
      <c r="G444" s="110" t="s">
        <v>125</v>
      </c>
      <c r="H444" s="111">
        <v>359</v>
      </c>
      <c r="I444" s="111">
        <v>396</v>
      </c>
      <c r="J444" s="111">
        <v>422</v>
      </c>
      <c r="K444" s="111">
        <f t="shared" si="55"/>
        <v>392.33333333333331</v>
      </c>
      <c r="L444" s="111">
        <v>200000</v>
      </c>
      <c r="M444" s="111">
        <f t="shared" si="56"/>
        <v>90000</v>
      </c>
      <c r="N444" s="111">
        <f t="shared" si="57"/>
        <v>90000</v>
      </c>
      <c r="O444" s="111">
        <f t="shared" si="58"/>
        <v>18000</v>
      </c>
      <c r="P444" s="111">
        <f t="shared" si="59"/>
        <v>20000</v>
      </c>
      <c r="Q444" s="111">
        <v>50000</v>
      </c>
      <c r="R444" s="111">
        <v>5</v>
      </c>
      <c r="S444" s="111">
        <f t="shared" si="60"/>
        <v>5000</v>
      </c>
      <c r="T444" s="111">
        <f t="shared" si="61"/>
        <v>250000</v>
      </c>
      <c r="U444" s="111">
        <f t="shared" si="62"/>
        <v>2500</v>
      </c>
      <c r="V444" s="111">
        <f t="shared" si="63"/>
        <v>252500</v>
      </c>
      <c r="W444" t="s">
        <v>2903</v>
      </c>
    </row>
    <row r="445" spans="1:23" x14ac:dyDescent="0.3">
      <c r="A445" s="110">
        <v>402172</v>
      </c>
      <c r="B445" s="110" t="s">
        <v>548</v>
      </c>
      <c r="C445" s="110" t="s">
        <v>548</v>
      </c>
      <c r="D445" s="110" t="s">
        <v>548</v>
      </c>
      <c r="E445" s="110" t="s">
        <v>655</v>
      </c>
      <c r="F445" s="110" t="s">
        <v>117</v>
      </c>
      <c r="G445" s="110" t="s">
        <v>114</v>
      </c>
      <c r="H445" s="111">
        <v>386</v>
      </c>
      <c r="I445" s="111">
        <v>404</v>
      </c>
      <c r="J445" s="111">
        <v>406</v>
      </c>
      <c r="K445" s="111">
        <f t="shared" si="55"/>
        <v>398.66666666666669</v>
      </c>
      <c r="L445" s="111">
        <v>200000</v>
      </c>
      <c r="M445" s="111">
        <f t="shared" si="56"/>
        <v>90000</v>
      </c>
      <c r="N445" s="111">
        <f t="shared" si="57"/>
        <v>90000</v>
      </c>
      <c r="O445" s="111">
        <f t="shared" si="58"/>
        <v>18000</v>
      </c>
      <c r="P445" s="111">
        <f t="shared" si="59"/>
        <v>20000</v>
      </c>
      <c r="Q445" s="111">
        <v>50000</v>
      </c>
      <c r="R445" s="111">
        <v>5</v>
      </c>
      <c r="S445" s="111">
        <f t="shared" si="60"/>
        <v>5000</v>
      </c>
      <c r="T445" s="111">
        <f t="shared" si="61"/>
        <v>250000</v>
      </c>
      <c r="U445" s="111">
        <f t="shared" si="62"/>
        <v>2500</v>
      </c>
      <c r="V445" s="111">
        <f t="shared" si="63"/>
        <v>252500</v>
      </c>
      <c r="W445" t="s">
        <v>2904</v>
      </c>
    </row>
    <row r="446" spans="1:23" x14ac:dyDescent="0.3">
      <c r="A446" s="110">
        <v>402183</v>
      </c>
      <c r="B446" s="110" t="s">
        <v>548</v>
      </c>
      <c r="C446" s="110" t="s">
        <v>548</v>
      </c>
      <c r="D446" s="110" t="s">
        <v>548</v>
      </c>
      <c r="E446" s="110" t="s">
        <v>656</v>
      </c>
      <c r="F446" s="110" t="s">
        <v>117</v>
      </c>
      <c r="G446" s="110" t="s">
        <v>125</v>
      </c>
      <c r="H446" s="111">
        <v>375</v>
      </c>
      <c r="I446" s="111">
        <v>454</v>
      </c>
      <c r="J446" s="111">
        <v>519</v>
      </c>
      <c r="K446" s="111">
        <f t="shared" si="55"/>
        <v>449.33333333333331</v>
      </c>
      <c r="L446" s="111">
        <f>300000*0.7</f>
        <v>210000</v>
      </c>
      <c r="M446" s="111">
        <f t="shared" si="56"/>
        <v>94500</v>
      </c>
      <c r="N446" s="111">
        <f t="shared" si="57"/>
        <v>94500</v>
      </c>
      <c r="O446" s="111">
        <f t="shared" si="58"/>
        <v>18900</v>
      </c>
      <c r="P446" s="111">
        <f t="shared" si="59"/>
        <v>21000</v>
      </c>
      <c r="Q446" s="111">
        <v>60000</v>
      </c>
      <c r="R446" s="111">
        <v>6</v>
      </c>
      <c r="S446" s="111">
        <f t="shared" si="60"/>
        <v>6000</v>
      </c>
      <c r="T446" s="111">
        <f t="shared" si="61"/>
        <v>270000</v>
      </c>
      <c r="U446" s="111">
        <f t="shared" si="62"/>
        <v>2700</v>
      </c>
      <c r="V446" s="111">
        <f t="shared" si="63"/>
        <v>272700</v>
      </c>
      <c r="W446" t="s">
        <v>2905</v>
      </c>
    </row>
    <row r="447" spans="1:23" x14ac:dyDescent="0.3">
      <c r="A447" s="110">
        <v>403531</v>
      </c>
      <c r="B447" s="110" t="s">
        <v>548</v>
      </c>
      <c r="C447" s="110" t="s">
        <v>548</v>
      </c>
      <c r="D447" s="110" t="s">
        <v>548</v>
      </c>
      <c r="E447" s="110" t="s">
        <v>657</v>
      </c>
      <c r="F447" s="110" t="s">
        <v>117</v>
      </c>
      <c r="G447" s="110" t="s">
        <v>125</v>
      </c>
      <c r="H447" s="111">
        <v>632</v>
      </c>
      <c r="I447" s="111">
        <v>692</v>
      </c>
      <c r="J447" s="111">
        <v>789</v>
      </c>
      <c r="K447" s="111">
        <f t="shared" si="55"/>
        <v>704.33333333333337</v>
      </c>
      <c r="L447" s="111">
        <f>300000</f>
        <v>300000</v>
      </c>
      <c r="M447" s="111">
        <f t="shared" si="56"/>
        <v>135000</v>
      </c>
      <c r="N447" s="111">
        <f t="shared" si="57"/>
        <v>135000</v>
      </c>
      <c r="O447" s="111">
        <f t="shared" si="58"/>
        <v>27000</v>
      </c>
      <c r="P447" s="111">
        <f t="shared" si="59"/>
        <v>30000</v>
      </c>
      <c r="Q447" s="111">
        <v>60000</v>
      </c>
      <c r="R447" s="111">
        <v>6</v>
      </c>
      <c r="S447" s="111">
        <f t="shared" si="60"/>
        <v>6000</v>
      </c>
      <c r="T447" s="111">
        <f t="shared" si="61"/>
        <v>360000</v>
      </c>
      <c r="U447" s="111">
        <f t="shared" si="62"/>
        <v>3600</v>
      </c>
      <c r="V447" s="111">
        <f t="shared" si="63"/>
        <v>363600</v>
      </c>
      <c r="W447" t="s">
        <v>2906</v>
      </c>
    </row>
    <row r="448" spans="1:23" x14ac:dyDescent="0.3">
      <c r="A448" s="110">
        <v>403534</v>
      </c>
      <c r="B448" s="110" t="s">
        <v>548</v>
      </c>
      <c r="C448" s="110" t="s">
        <v>548</v>
      </c>
      <c r="D448" s="110" t="s">
        <v>548</v>
      </c>
      <c r="E448" s="110" t="s">
        <v>658</v>
      </c>
      <c r="F448" s="110" t="s">
        <v>117</v>
      </c>
      <c r="G448" s="110" t="s">
        <v>125</v>
      </c>
      <c r="H448" s="111">
        <v>932</v>
      </c>
      <c r="I448" s="111">
        <v>936</v>
      </c>
      <c r="J448" s="111">
        <v>939</v>
      </c>
      <c r="K448" s="111">
        <f t="shared" si="55"/>
        <v>935.66666666666663</v>
      </c>
      <c r="L448" s="111">
        <f>300000</f>
        <v>300000</v>
      </c>
      <c r="M448" s="111">
        <f t="shared" si="56"/>
        <v>135000</v>
      </c>
      <c r="N448" s="111">
        <f t="shared" si="57"/>
        <v>135000</v>
      </c>
      <c r="O448" s="111">
        <f t="shared" si="58"/>
        <v>27000</v>
      </c>
      <c r="P448" s="111">
        <f t="shared" si="59"/>
        <v>30000</v>
      </c>
      <c r="Q448" s="111">
        <v>60000</v>
      </c>
      <c r="R448" s="111">
        <v>6</v>
      </c>
      <c r="S448" s="111">
        <f t="shared" si="60"/>
        <v>6000</v>
      </c>
      <c r="T448" s="111">
        <f t="shared" si="61"/>
        <v>360000</v>
      </c>
      <c r="U448" s="111">
        <f t="shared" si="62"/>
        <v>3600</v>
      </c>
      <c r="V448" s="111">
        <f t="shared" si="63"/>
        <v>363600</v>
      </c>
      <c r="W448" t="s">
        <v>2907</v>
      </c>
    </row>
    <row r="449" spans="1:23" x14ac:dyDescent="0.3">
      <c r="A449" s="110">
        <v>403535</v>
      </c>
      <c r="B449" s="110" t="s">
        <v>548</v>
      </c>
      <c r="C449" s="110" t="s">
        <v>548</v>
      </c>
      <c r="D449" s="110" t="s">
        <v>548</v>
      </c>
      <c r="E449" s="110" t="s">
        <v>659</v>
      </c>
      <c r="F449" s="110" t="s">
        <v>113</v>
      </c>
      <c r="G449" s="110" t="s">
        <v>114</v>
      </c>
      <c r="H449" s="111">
        <v>293</v>
      </c>
      <c r="I449" s="111">
        <v>319</v>
      </c>
      <c r="J449" s="111">
        <v>330</v>
      </c>
      <c r="K449" s="111">
        <f t="shared" si="55"/>
        <v>314</v>
      </c>
      <c r="L449" s="111">
        <v>200000</v>
      </c>
      <c r="M449" s="111">
        <f t="shared" si="56"/>
        <v>90000</v>
      </c>
      <c r="N449" s="111">
        <f t="shared" si="57"/>
        <v>90000</v>
      </c>
      <c r="O449" s="111">
        <f t="shared" si="58"/>
        <v>18000</v>
      </c>
      <c r="P449" s="111">
        <f t="shared" si="59"/>
        <v>20000</v>
      </c>
      <c r="Q449" s="111">
        <v>50000</v>
      </c>
      <c r="R449" s="111">
        <v>5</v>
      </c>
      <c r="S449" s="111">
        <f t="shared" si="60"/>
        <v>5000</v>
      </c>
      <c r="T449" s="111">
        <f t="shared" si="61"/>
        <v>250000</v>
      </c>
      <c r="U449" s="111">
        <f t="shared" si="62"/>
        <v>2500</v>
      </c>
      <c r="V449" s="111">
        <f t="shared" si="63"/>
        <v>252500</v>
      </c>
      <c r="W449" t="s">
        <v>2908</v>
      </c>
    </row>
    <row r="450" spans="1:23" x14ac:dyDescent="0.3">
      <c r="A450" s="110">
        <v>403536</v>
      </c>
      <c r="B450" s="110" t="s">
        <v>548</v>
      </c>
      <c r="C450" s="110" t="s">
        <v>548</v>
      </c>
      <c r="D450" s="110" t="s">
        <v>548</v>
      </c>
      <c r="E450" s="110" t="s">
        <v>660</v>
      </c>
      <c r="F450" s="110" t="s">
        <v>113</v>
      </c>
      <c r="G450" s="110" t="s">
        <v>114</v>
      </c>
      <c r="H450" s="111">
        <v>1149</v>
      </c>
      <c r="I450" s="111">
        <v>1237</v>
      </c>
      <c r="J450" s="111">
        <v>1244</v>
      </c>
      <c r="K450" s="111">
        <f t="shared" ref="K450:K513" si="64">+(H450+I450+J450)/3</f>
        <v>1210</v>
      </c>
      <c r="L450" s="111">
        <f>600000</f>
        <v>600000</v>
      </c>
      <c r="M450" s="111">
        <f t="shared" ref="M450:M513" si="65">+L450*0.45</f>
        <v>270000</v>
      </c>
      <c r="N450" s="111">
        <f t="shared" ref="N450:N513" si="66">+L450*0.45</f>
        <v>270000</v>
      </c>
      <c r="O450" s="111">
        <f t="shared" ref="O450:O513" si="67">+N450*0.2</f>
        <v>54000</v>
      </c>
      <c r="P450" s="111">
        <f t="shared" ref="P450:P513" si="68">++L450*0.1</f>
        <v>60000</v>
      </c>
      <c r="Q450" s="111">
        <v>80000</v>
      </c>
      <c r="R450" s="111">
        <v>8</v>
      </c>
      <c r="S450" s="111">
        <f t="shared" ref="S450:S513" si="69">+Q450*0.1</f>
        <v>8000</v>
      </c>
      <c r="T450" s="111">
        <f t="shared" ref="T450:T513" si="70">+L450+Q450</f>
        <v>680000</v>
      </c>
      <c r="U450" s="111">
        <f t="shared" ref="U450:U513" si="71">+T450*0.01</f>
        <v>6800</v>
      </c>
      <c r="V450" s="111">
        <f t="shared" ref="V450:V513" si="72">+T450+U450</f>
        <v>686800</v>
      </c>
      <c r="W450" t="s">
        <v>2909</v>
      </c>
    </row>
    <row r="451" spans="1:23" x14ac:dyDescent="0.3">
      <c r="A451" s="110">
        <v>403537</v>
      </c>
      <c r="B451" s="110" t="s">
        <v>548</v>
      </c>
      <c r="C451" s="110" t="s">
        <v>548</v>
      </c>
      <c r="D451" s="110" t="s">
        <v>548</v>
      </c>
      <c r="E451" s="110" t="s">
        <v>325</v>
      </c>
      <c r="F451" s="110" t="s">
        <v>119</v>
      </c>
      <c r="G451" s="110" t="s">
        <v>114</v>
      </c>
      <c r="H451" s="111">
        <v>823</v>
      </c>
      <c r="I451" s="111">
        <v>820</v>
      </c>
      <c r="J451" s="111">
        <v>853</v>
      </c>
      <c r="K451" s="111">
        <f t="shared" si="64"/>
        <v>832</v>
      </c>
      <c r="L451" s="111">
        <f>300000</f>
        <v>300000</v>
      </c>
      <c r="M451" s="111">
        <f t="shared" si="65"/>
        <v>135000</v>
      </c>
      <c r="N451" s="111">
        <f t="shared" si="66"/>
        <v>135000</v>
      </c>
      <c r="O451" s="111">
        <f t="shared" si="67"/>
        <v>27000</v>
      </c>
      <c r="P451" s="111">
        <f t="shared" si="68"/>
        <v>30000</v>
      </c>
      <c r="Q451" s="111">
        <v>60000</v>
      </c>
      <c r="R451" s="111">
        <v>6</v>
      </c>
      <c r="S451" s="111">
        <f t="shared" si="69"/>
        <v>6000</v>
      </c>
      <c r="T451" s="111">
        <f t="shared" si="70"/>
        <v>360000</v>
      </c>
      <c r="U451" s="111">
        <f t="shared" si="71"/>
        <v>3600</v>
      </c>
      <c r="V451" s="111">
        <f t="shared" si="72"/>
        <v>363600</v>
      </c>
      <c r="W451" t="s">
        <v>2910</v>
      </c>
    </row>
    <row r="452" spans="1:23" x14ac:dyDescent="0.3">
      <c r="A452" s="110">
        <v>403538</v>
      </c>
      <c r="B452" s="110" t="s">
        <v>548</v>
      </c>
      <c r="C452" s="110" t="s">
        <v>548</v>
      </c>
      <c r="D452" s="110" t="s">
        <v>548</v>
      </c>
      <c r="E452" s="110" t="s">
        <v>661</v>
      </c>
      <c r="F452" s="110" t="s">
        <v>119</v>
      </c>
      <c r="G452" s="110" t="s">
        <v>114</v>
      </c>
      <c r="H452" s="111">
        <v>534</v>
      </c>
      <c r="I452" s="111">
        <v>580</v>
      </c>
      <c r="J452" s="111">
        <v>661</v>
      </c>
      <c r="K452" s="111">
        <f t="shared" si="64"/>
        <v>591.66666666666663</v>
      </c>
      <c r="L452" s="111">
        <f>300000</f>
        <v>300000</v>
      </c>
      <c r="M452" s="111">
        <f t="shared" si="65"/>
        <v>135000</v>
      </c>
      <c r="N452" s="111">
        <f t="shared" si="66"/>
        <v>135000</v>
      </c>
      <c r="O452" s="111">
        <f t="shared" si="67"/>
        <v>27000</v>
      </c>
      <c r="P452" s="111">
        <f t="shared" si="68"/>
        <v>30000</v>
      </c>
      <c r="Q452" s="111">
        <v>60000</v>
      </c>
      <c r="R452" s="111">
        <v>6</v>
      </c>
      <c r="S452" s="111">
        <f t="shared" si="69"/>
        <v>6000</v>
      </c>
      <c r="T452" s="111">
        <f t="shared" si="70"/>
        <v>360000</v>
      </c>
      <c r="U452" s="111">
        <f t="shared" si="71"/>
        <v>3600</v>
      </c>
      <c r="V452" s="111">
        <f t="shared" si="72"/>
        <v>363600</v>
      </c>
      <c r="W452" t="s">
        <v>2911</v>
      </c>
    </row>
    <row r="453" spans="1:23" x14ac:dyDescent="0.3">
      <c r="A453" s="110">
        <v>403543</v>
      </c>
      <c r="B453" s="110" t="s">
        <v>548</v>
      </c>
      <c r="C453" s="110" t="s">
        <v>548</v>
      </c>
      <c r="D453" s="110" t="s">
        <v>548</v>
      </c>
      <c r="E453" s="110" t="s">
        <v>662</v>
      </c>
      <c r="F453" s="110" t="s">
        <v>113</v>
      </c>
      <c r="G453" s="110" t="s">
        <v>114</v>
      </c>
      <c r="H453" s="111">
        <v>872</v>
      </c>
      <c r="I453" s="111">
        <v>907</v>
      </c>
      <c r="J453" s="111">
        <v>924</v>
      </c>
      <c r="K453" s="111">
        <f t="shared" si="64"/>
        <v>901</v>
      </c>
      <c r="L453" s="111">
        <f>300000</f>
        <v>300000</v>
      </c>
      <c r="M453" s="111">
        <f t="shared" si="65"/>
        <v>135000</v>
      </c>
      <c r="N453" s="111">
        <f t="shared" si="66"/>
        <v>135000</v>
      </c>
      <c r="O453" s="111">
        <f t="shared" si="67"/>
        <v>27000</v>
      </c>
      <c r="P453" s="111">
        <f t="shared" si="68"/>
        <v>30000</v>
      </c>
      <c r="Q453" s="111">
        <v>60000</v>
      </c>
      <c r="R453" s="111">
        <v>6</v>
      </c>
      <c r="S453" s="111">
        <f t="shared" si="69"/>
        <v>6000</v>
      </c>
      <c r="T453" s="111">
        <f t="shared" si="70"/>
        <v>360000</v>
      </c>
      <c r="U453" s="111">
        <f t="shared" si="71"/>
        <v>3600</v>
      </c>
      <c r="V453" s="111">
        <f t="shared" si="72"/>
        <v>363600</v>
      </c>
      <c r="W453" t="s">
        <v>2912</v>
      </c>
    </row>
    <row r="454" spans="1:23" x14ac:dyDescent="0.3">
      <c r="A454" s="110">
        <v>500102</v>
      </c>
      <c r="B454" s="110" t="s">
        <v>663</v>
      </c>
      <c r="C454" s="110" t="s">
        <v>663</v>
      </c>
      <c r="D454" s="110" t="s">
        <v>663</v>
      </c>
      <c r="E454" s="110" t="s">
        <v>664</v>
      </c>
      <c r="F454" s="110" t="s">
        <v>122</v>
      </c>
      <c r="G454" s="110" t="s">
        <v>114</v>
      </c>
      <c r="H454" s="111">
        <v>487</v>
      </c>
      <c r="I454" s="111">
        <v>485</v>
      </c>
      <c r="J454" s="111">
        <v>467</v>
      </c>
      <c r="K454" s="111">
        <f t="shared" si="64"/>
        <v>479.66666666666669</v>
      </c>
      <c r="L454" s="111">
        <f>300000*0.7</f>
        <v>210000</v>
      </c>
      <c r="M454" s="111">
        <f t="shared" si="65"/>
        <v>94500</v>
      </c>
      <c r="N454" s="111">
        <f t="shared" si="66"/>
        <v>94500</v>
      </c>
      <c r="O454" s="111">
        <f t="shared" si="67"/>
        <v>18900</v>
      </c>
      <c r="P454" s="111">
        <f t="shared" si="68"/>
        <v>21000</v>
      </c>
      <c r="Q454" s="111">
        <v>60000</v>
      </c>
      <c r="R454" s="111">
        <v>6</v>
      </c>
      <c r="S454" s="111">
        <f t="shared" si="69"/>
        <v>6000</v>
      </c>
      <c r="T454" s="111">
        <f t="shared" si="70"/>
        <v>270000</v>
      </c>
      <c r="U454" s="111">
        <f t="shared" si="71"/>
        <v>2700</v>
      </c>
      <c r="V454" s="111">
        <f t="shared" si="72"/>
        <v>272700</v>
      </c>
      <c r="W454" t="s">
        <v>2913</v>
      </c>
    </row>
    <row r="455" spans="1:23" x14ac:dyDescent="0.3">
      <c r="A455" s="110">
        <v>500103</v>
      </c>
      <c r="B455" s="110" t="s">
        <v>663</v>
      </c>
      <c r="C455" s="110" t="s">
        <v>665</v>
      </c>
      <c r="D455" s="110" t="s">
        <v>665</v>
      </c>
      <c r="E455" s="110" t="s">
        <v>177</v>
      </c>
      <c r="F455" s="110" t="s">
        <v>119</v>
      </c>
      <c r="G455" s="110" t="s">
        <v>114</v>
      </c>
      <c r="H455" s="111">
        <v>127</v>
      </c>
      <c r="I455" s="111">
        <v>109</v>
      </c>
      <c r="J455" s="111">
        <v>79</v>
      </c>
      <c r="K455" s="111">
        <f t="shared" si="64"/>
        <v>105</v>
      </c>
      <c r="L455" s="111">
        <v>150000</v>
      </c>
      <c r="M455" s="111">
        <f t="shared" si="65"/>
        <v>67500</v>
      </c>
      <c r="N455" s="111">
        <f t="shared" si="66"/>
        <v>67500</v>
      </c>
      <c r="O455" s="111">
        <f t="shared" si="67"/>
        <v>13500</v>
      </c>
      <c r="P455" s="111">
        <f t="shared" si="68"/>
        <v>15000</v>
      </c>
      <c r="Q455" s="111">
        <v>30000</v>
      </c>
      <c r="R455" s="111">
        <v>3</v>
      </c>
      <c r="S455" s="111">
        <f t="shared" si="69"/>
        <v>3000</v>
      </c>
      <c r="T455" s="111">
        <f t="shared" si="70"/>
        <v>180000</v>
      </c>
      <c r="U455" s="111">
        <f t="shared" si="71"/>
        <v>1800</v>
      </c>
      <c r="V455" s="111">
        <f t="shared" si="72"/>
        <v>181800</v>
      </c>
      <c r="W455" t="s">
        <v>2914</v>
      </c>
    </row>
    <row r="456" spans="1:23" x14ac:dyDescent="0.3">
      <c r="A456" s="110">
        <v>500104</v>
      </c>
      <c r="B456" s="110" t="s">
        <v>663</v>
      </c>
      <c r="C456" s="110" t="s">
        <v>663</v>
      </c>
      <c r="D456" s="110" t="s">
        <v>663</v>
      </c>
      <c r="E456" s="110" t="s">
        <v>310</v>
      </c>
      <c r="F456" s="110" t="s">
        <v>113</v>
      </c>
      <c r="G456" s="110" t="s">
        <v>114</v>
      </c>
      <c r="H456" s="111">
        <v>490</v>
      </c>
      <c r="I456" s="111">
        <v>476</v>
      </c>
      <c r="J456" s="111">
        <v>463</v>
      </c>
      <c r="K456" s="111">
        <f t="shared" si="64"/>
        <v>476.33333333333331</v>
      </c>
      <c r="L456" s="111">
        <f>300000*0.7</f>
        <v>210000</v>
      </c>
      <c r="M456" s="111">
        <f t="shared" si="65"/>
        <v>94500</v>
      </c>
      <c r="N456" s="111">
        <f t="shared" si="66"/>
        <v>94500</v>
      </c>
      <c r="O456" s="111">
        <f t="shared" si="67"/>
        <v>18900</v>
      </c>
      <c r="P456" s="111">
        <f t="shared" si="68"/>
        <v>21000</v>
      </c>
      <c r="Q456" s="111">
        <v>60000</v>
      </c>
      <c r="R456" s="111">
        <v>6</v>
      </c>
      <c r="S456" s="111">
        <f t="shared" si="69"/>
        <v>6000</v>
      </c>
      <c r="T456" s="111">
        <f t="shared" si="70"/>
        <v>270000</v>
      </c>
      <c r="U456" s="111">
        <f t="shared" si="71"/>
        <v>2700</v>
      </c>
      <c r="V456" s="111">
        <f t="shared" si="72"/>
        <v>272700</v>
      </c>
      <c r="W456" t="s">
        <v>2915</v>
      </c>
    </row>
    <row r="457" spans="1:23" x14ac:dyDescent="0.3">
      <c r="A457" s="110">
        <v>500108</v>
      </c>
      <c r="B457" s="110" t="s">
        <v>663</v>
      </c>
      <c r="C457" s="110" t="s">
        <v>663</v>
      </c>
      <c r="D457" s="110" t="s">
        <v>663</v>
      </c>
      <c r="E457" s="110" t="s">
        <v>491</v>
      </c>
      <c r="F457" s="110" t="s">
        <v>117</v>
      </c>
      <c r="G457" s="110" t="s">
        <v>125</v>
      </c>
      <c r="H457" s="111">
        <v>212</v>
      </c>
      <c r="I457" s="111">
        <v>186</v>
      </c>
      <c r="J457" s="111">
        <v>165</v>
      </c>
      <c r="K457" s="111">
        <f t="shared" si="64"/>
        <v>187.66666666666666</v>
      </c>
      <c r="L457" s="111">
        <f>150000*0.7</f>
        <v>105000</v>
      </c>
      <c r="M457" s="111">
        <f t="shared" si="65"/>
        <v>47250</v>
      </c>
      <c r="N457" s="111">
        <f t="shared" si="66"/>
        <v>47250</v>
      </c>
      <c r="O457" s="111">
        <f t="shared" si="67"/>
        <v>9450</v>
      </c>
      <c r="P457" s="111">
        <f t="shared" si="68"/>
        <v>10500</v>
      </c>
      <c r="Q457" s="111">
        <v>30000</v>
      </c>
      <c r="R457" s="111">
        <v>3</v>
      </c>
      <c r="S457" s="111">
        <f t="shared" si="69"/>
        <v>3000</v>
      </c>
      <c r="T457" s="111">
        <f t="shared" si="70"/>
        <v>135000</v>
      </c>
      <c r="U457" s="111">
        <f t="shared" si="71"/>
        <v>1350</v>
      </c>
      <c r="V457" s="111">
        <f t="shared" si="72"/>
        <v>136350</v>
      </c>
      <c r="W457" t="s">
        <v>2916</v>
      </c>
    </row>
    <row r="458" spans="1:23" x14ac:dyDescent="0.3">
      <c r="A458" s="110">
        <v>500110</v>
      </c>
      <c r="B458" s="110" t="s">
        <v>663</v>
      </c>
      <c r="C458" s="110" t="s">
        <v>663</v>
      </c>
      <c r="D458" s="110" t="s">
        <v>663</v>
      </c>
      <c r="E458" s="110" t="s">
        <v>666</v>
      </c>
      <c r="F458" s="110" t="s">
        <v>117</v>
      </c>
      <c r="G458" s="110" t="s">
        <v>125</v>
      </c>
      <c r="H458" s="111">
        <v>355</v>
      </c>
      <c r="I458" s="111">
        <v>333</v>
      </c>
      <c r="J458" s="111">
        <v>340</v>
      </c>
      <c r="K458" s="111">
        <f t="shared" si="64"/>
        <v>342.66666666666669</v>
      </c>
      <c r="L458" s="111">
        <v>200000</v>
      </c>
      <c r="M458" s="111">
        <f t="shared" si="65"/>
        <v>90000</v>
      </c>
      <c r="N458" s="111">
        <f t="shared" si="66"/>
        <v>90000</v>
      </c>
      <c r="O458" s="111">
        <f t="shared" si="67"/>
        <v>18000</v>
      </c>
      <c r="P458" s="111">
        <f t="shared" si="68"/>
        <v>20000</v>
      </c>
      <c r="Q458" s="111">
        <v>50000</v>
      </c>
      <c r="R458" s="111">
        <v>5</v>
      </c>
      <c r="S458" s="111">
        <f t="shared" si="69"/>
        <v>5000</v>
      </c>
      <c r="T458" s="111">
        <f t="shared" si="70"/>
        <v>250000</v>
      </c>
      <c r="U458" s="111">
        <f t="shared" si="71"/>
        <v>2500</v>
      </c>
      <c r="V458" s="111">
        <f t="shared" si="72"/>
        <v>252500</v>
      </c>
      <c r="W458" t="s">
        <v>2917</v>
      </c>
    </row>
    <row r="459" spans="1:23" x14ac:dyDescent="0.3">
      <c r="A459" s="110">
        <v>500111</v>
      </c>
      <c r="B459" s="110" t="s">
        <v>663</v>
      </c>
      <c r="C459" s="110" t="s">
        <v>663</v>
      </c>
      <c r="D459" s="110" t="s">
        <v>663</v>
      </c>
      <c r="E459" s="110" t="s">
        <v>667</v>
      </c>
      <c r="F459" s="110" t="s">
        <v>113</v>
      </c>
      <c r="G459" s="110" t="s">
        <v>114</v>
      </c>
      <c r="H459" s="111">
        <v>212</v>
      </c>
      <c r="I459" s="111">
        <v>198</v>
      </c>
      <c r="J459" s="111">
        <v>202</v>
      </c>
      <c r="K459" s="111">
        <f t="shared" si="64"/>
        <v>204</v>
      </c>
      <c r="L459" s="111">
        <v>200000</v>
      </c>
      <c r="M459" s="111">
        <f t="shared" si="65"/>
        <v>90000</v>
      </c>
      <c r="N459" s="111">
        <f t="shared" si="66"/>
        <v>90000</v>
      </c>
      <c r="O459" s="111">
        <f t="shared" si="67"/>
        <v>18000</v>
      </c>
      <c r="P459" s="111">
        <f t="shared" si="68"/>
        <v>20000</v>
      </c>
      <c r="Q459" s="111">
        <v>50000</v>
      </c>
      <c r="R459" s="111">
        <v>5</v>
      </c>
      <c r="S459" s="111">
        <f t="shared" si="69"/>
        <v>5000</v>
      </c>
      <c r="T459" s="111">
        <f t="shared" si="70"/>
        <v>250000</v>
      </c>
      <c r="U459" s="111">
        <f t="shared" si="71"/>
        <v>2500</v>
      </c>
      <c r="V459" s="111">
        <f t="shared" si="72"/>
        <v>252500</v>
      </c>
      <c r="W459" t="s">
        <v>2918</v>
      </c>
    </row>
    <row r="460" spans="1:23" x14ac:dyDescent="0.3">
      <c r="A460" s="110">
        <v>500113</v>
      </c>
      <c r="B460" s="110" t="s">
        <v>663</v>
      </c>
      <c r="C460" s="110" t="s">
        <v>663</v>
      </c>
      <c r="D460" s="110" t="s">
        <v>663</v>
      </c>
      <c r="E460" s="110" t="s">
        <v>247</v>
      </c>
      <c r="F460" s="110" t="s">
        <v>113</v>
      </c>
      <c r="G460" s="110" t="s">
        <v>114</v>
      </c>
      <c r="H460" s="111">
        <v>80</v>
      </c>
      <c r="I460" s="111">
        <v>85</v>
      </c>
      <c r="J460" s="111">
        <v>90</v>
      </c>
      <c r="K460" s="111">
        <f t="shared" si="64"/>
        <v>85</v>
      </c>
      <c r="L460" s="111">
        <v>150000</v>
      </c>
      <c r="M460" s="111">
        <f t="shared" si="65"/>
        <v>67500</v>
      </c>
      <c r="N460" s="111">
        <f t="shared" si="66"/>
        <v>67500</v>
      </c>
      <c r="O460" s="111">
        <f t="shared" si="67"/>
        <v>13500</v>
      </c>
      <c r="P460" s="111">
        <f t="shared" si="68"/>
        <v>15000</v>
      </c>
      <c r="Q460" s="111">
        <v>30000</v>
      </c>
      <c r="R460" s="111">
        <v>3</v>
      </c>
      <c r="S460" s="111">
        <f t="shared" si="69"/>
        <v>3000</v>
      </c>
      <c r="T460" s="111">
        <f t="shared" si="70"/>
        <v>180000</v>
      </c>
      <c r="U460" s="111">
        <f t="shared" si="71"/>
        <v>1800</v>
      </c>
      <c r="V460" s="111">
        <f t="shared" si="72"/>
        <v>181800</v>
      </c>
      <c r="W460" t="s">
        <v>2919</v>
      </c>
    </row>
    <row r="461" spans="1:23" x14ac:dyDescent="0.3">
      <c r="A461" s="110">
        <v>500117</v>
      </c>
      <c r="B461" s="110" t="s">
        <v>663</v>
      </c>
      <c r="C461" s="110" t="s">
        <v>663</v>
      </c>
      <c r="D461" s="110" t="s">
        <v>668</v>
      </c>
      <c r="E461" s="110" t="s">
        <v>669</v>
      </c>
      <c r="F461" s="110" t="s">
        <v>117</v>
      </c>
      <c r="G461" s="110" t="s">
        <v>114</v>
      </c>
      <c r="H461" s="111">
        <v>100</v>
      </c>
      <c r="I461" s="111">
        <v>89</v>
      </c>
      <c r="J461" s="111">
        <v>90</v>
      </c>
      <c r="K461" s="111">
        <f t="shared" si="64"/>
        <v>93</v>
      </c>
      <c r="L461" s="111">
        <v>150000</v>
      </c>
      <c r="M461" s="111">
        <f t="shared" si="65"/>
        <v>67500</v>
      </c>
      <c r="N461" s="111">
        <f t="shared" si="66"/>
        <v>67500</v>
      </c>
      <c r="O461" s="111">
        <f t="shared" si="67"/>
        <v>13500</v>
      </c>
      <c r="P461" s="111">
        <f t="shared" si="68"/>
        <v>15000</v>
      </c>
      <c r="Q461" s="111">
        <v>30000</v>
      </c>
      <c r="R461" s="111">
        <v>3</v>
      </c>
      <c r="S461" s="111">
        <f t="shared" si="69"/>
        <v>3000</v>
      </c>
      <c r="T461" s="111">
        <f t="shared" si="70"/>
        <v>180000</v>
      </c>
      <c r="U461" s="111">
        <f t="shared" si="71"/>
        <v>1800</v>
      </c>
      <c r="V461" s="111">
        <f t="shared" si="72"/>
        <v>181800</v>
      </c>
      <c r="W461" t="s">
        <v>2920</v>
      </c>
    </row>
    <row r="462" spans="1:23" x14ac:dyDescent="0.3">
      <c r="A462" s="110">
        <v>500201</v>
      </c>
      <c r="B462" s="110" t="s">
        <v>663</v>
      </c>
      <c r="C462" s="110" t="s">
        <v>670</v>
      </c>
      <c r="D462" s="110" t="s">
        <v>670</v>
      </c>
      <c r="E462" s="110" t="s">
        <v>272</v>
      </c>
      <c r="F462" s="110" t="s">
        <v>119</v>
      </c>
      <c r="G462" s="110" t="s">
        <v>114</v>
      </c>
      <c r="H462" s="111">
        <v>339</v>
      </c>
      <c r="I462" s="111">
        <v>343</v>
      </c>
      <c r="J462" s="111">
        <v>347</v>
      </c>
      <c r="K462" s="111">
        <f t="shared" si="64"/>
        <v>343</v>
      </c>
      <c r="L462" s="111">
        <v>200000</v>
      </c>
      <c r="M462" s="111">
        <f t="shared" si="65"/>
        <v>90000</v>
      </c>
      <c r="N462" s="111">
        <f t="shared" si="66"/>
        <v>90000</v>
      </c>
      <c r="O462" s="111">
        <f t="shared" si="67"/>
        <v>18000</v>
      </c>
      <c r="P462" s="111">
        <f t="shared" si="68"/>
        <v>20000</v>
      </c>
      <c r="Q462" s="111">
        <v>50000</v>
      </c>
      <c r="R462" s="111">
        <v>5</v>
      </c>
      <c r="S462" s="111">
        <f t="shared" si="69"/>
        <v>5000</v>
      </c>
      <c r="T462" s="111">
        <f t="shared" si="70"/>
        <v>250000</v>
      </c>
      <c r="U462" s="111">
        <f t="shared" si="71"/>
        <v>2500</v>
      </c>
      <c r="V462" s="111">
        <f t="shared" si="72"/>
        <v>252500</v>
      </c>
      <c r="W462" t="s">
        <v>2921</v>
      </c>
    </row>
    <row r="463" spans="1:23" x14ac:dyDescent="0.3">
      <c r="A463" s="110">
        <v>500203</v>
      </c>
      <c r="B463" s="110" t="s">
        <v>663</v>
      </c>
      <c r="C463" s="110" t="s">
        <v>670</v>
      </c>
      <c r="D463" s="110" t="s">
        <v>670</v>
      </c>
      <c r="E463" s="110" t="s">
        <v>282</v>
      </c>
      <c r="F463" s="110" t="s">
        <v>209</v>
      </c>
      <c r="G463" s="110" t="s">
        <v>114</v>
      </c>
      <c r="H463" s="111">
        <v>165</v>
      </c>
      <c r="I463" s="111">
        <v>168</v>
      </c>
      <c r="J463" s="111">
        <v>150</v>
      </c>
      <c r="K463" s="111">
        <f t="shared" si="64"/>
        <v>161</v>
      </c>
      <c r="L463" s="111">
        <v>150000</v>
      </c>
      <c r="M463" s="111">
        <f t="shared" si="65"/>
        <v>67500</v>
      </c>
      <c r="N463" s="111">
        <f t="shared" si="66"/>
        <v>67500</v>
      </c>
      <c r="O463" s="111">
        <f t="shared" si="67"/>
        <v>13500</v>
      </c>
      <c r="P463" s="111">
        <f t="shared" si="68"/>
        <v>15000</v>
      </c>
      <c r="Q463" s="111">
        <v>30000</v>
      </c>
      <c r="R463" s="111">
        <v>3</v>
      </c>
      <c r="S463" s="111">
        <f t="shared" si="69"/>
        <v>3000</v>
      </c>
      <c r="T463" s="111">
        <f t="shared" si="70"/>
        <v>180000</v>
      </c>
      <c r="U463" s="111">
        <f t="shared" si="71"/>
        <v>1800</v>
      </c>
      <c r="V463" s="111">
        <f t="shared" si="72"/>
        <v>181800</v>
      </c>
      <c r="W463" t="s">
        <v>2922</v>
      </c>
    </row>
    <row r="464" spans="1:23" x14ac:dyDescent="0.3">
      <c r="A464" s="110">
        <v>500204</v>
      </c>
      <c r="B464" s="110" t="s">
        <v>663</v>
      </c>
      <c r="C464" s="110" t="s">
        <v>670</v>
      </c>
      <c r="D464" s="110" t="s">
        <v>671</v>
      </c>
      <c r="E464" s="110" t="s">
        <v>672</v>
      </c>
      <c r="F464" s="110" t="s">
        <v>113</v>
      </c>
      <c r="G464" s="110" t="s">
        <v>114</v>
      </c>
      <c r="H464" s="111">
        <v>45</v>
      </c>
      <c r="I464" s="111">
        <v>30</v>
      </c>
      <c r="J464" s="111">
        <v>22</v>
      </c>
      <c r="K464" s="111">
        <f t="shared" si="64"/>
        <v>32.333333333333336</v>
      </c>
      <c r="L464" s="111">
        <v>50000</v>
      </c>
      <c r="M464" s="111">
        <f t="shared" si="65"/>
        <v>22500</v>
      </c>
      <c r="N464" s="111">
        <f t="shared" si="66"/>
        <v>22500</v>
      </c>
      <c r="O464" s="111">
        <f t="shared" si="67"/>
        <v>4500</v>
      </c>
      <c r="P464" s="111">
        <f t="shared" si="68"/>
        <v>5000</v>
      </c>
      <c r="Q464" s="111">
        <v>10000</v>
      </c>
      <c r="R464" s="111">
        <v>1</v>
      </c>
      <c r="S464" s="111">
        <f t="shared" si="69"/>
        <v>1000</v>
      </c>
      <c r="T464" s="111">
        <f t="shared" si="70"/>
        <v>60000</v>
      </c>
      <c r="U464" s="111">
        <f t="shared" si="71"/>
        <v>600</v>
      </c>
      <c r="V464" s="111">
        <f t="shared" si="72"/>
        <v>60600</v>
      </c>
      <c r="W464" t="s">
        <v>2923</v>
      </c>
    </row>
    <row r="465" spans="1:23" x14ac:dyDescent="0.3">
      <c r="A465" s="110">
        <v>500301</v>
      </c>
      <c r="B465" s="110" t="s">
        <v>663</v>
      </c>
      <c r="C465" s="110" t="s">
        <v>673</v>
      </c>
      <c r="D465" s="110" t="s">
        <v>673</v>
      </c>
      <c r="E465" s="110" t="s">
        <v>319</v>
      </c>
      <c r="F465" s="110" t="s">
        <v>113</v>
      </c>
      <c r="G465" s="110" t="s">
        <v>114</v>
      </c>
      <c r="H465" s="111">
        <v>62</v>
      </c>
      <c r="I465" s="111">
        <v>65</v>
      </c>
      <c r="J465" s="111">
        <v>61</v>
      </c>
      <c r="K465" s="111">
        <f t="shared" si="64"/>
        <v>62.666666666666664</v>
      </c>
      <c r="L465" s="111">
        <v>150000</v>
      </c>
      <c r="M465" s="111">
        <f t="shared" si="65"/>
        <v>67500</v>
      </c>
      <c r="N465" s="111">
        <f t="shared" si="66"/>
        <v>67500</v>
      </c>
      <c r="O465" s="111">
        <f t="shared" si="67"/>
        <v>13500</v>
      </c>
      <c r="P465" s="111">
        <f t="shared" si="68"/>
        <v>15000</v>
      </c>
      <c r="Q465" s="111">
        <v>30000</v>
      </c>
      <c r="R465" s="111">
        <v>3</v>
      </c>
      <c r="S465" s="111">
        <f t="shared" si="69"/>
        <v>3000</v>
      </c>
      <c r="T465" s="111">
        <f t="shared" si="70"/>
        <v>180000</v>
      </c>
      <c r="U465" s="111">
        <f t="shared" si="71"/>
        <v>1800</v>
      </c>
      <c r="V465" s="111">
        <f t="shared" si="72"/>
        <v>181800</v>
      </c>
      <c r="W465" t="s">
        <v>2924</v>
      </c>
    </row>
    <row r="466" spans="1:23" x14ac:dyDescent="0.3">
      <c r="A466" s="110">
        <v>500401</v>
      </c>
      <c r="B466" s="110" t="s">
        <v>663</v>
      </c>
      <c r="C466" s="110" t="s">
        <v>674</v>
      </c>
      <c r="D466" s="110" t="s">
        <v>674</v>
      </c>
      <c r="E466" s="110" t="s">
        <v>177</v>
      </c>
      <c r="F466" s="110" t="s">
        <v>119</v>
      </c>
      <c r="G466" s="110" t="s">
        <v>114</v>
      </c>
      <c r="H466" s="111">
        <v>166</v>
      </c>
      <c r="I466" s="111">
        <v>159</v>
      </c>
      <c r="J466" s="111">
        <v>165</v>
      </c>
      <c r="K466" s="111">
        <f t="shared" si="64"/>
        <v>163.33333333333334</v>
      </c>
      <c r="L466" s="111">
        <v>150000</v>
      </c>
      <c r="M466" s="111">
        <f t="shared" si="65"/>
        <v>67500</v>
      </c>
      <c r="N466" s="111">
        <f t="shared" si="66"/>
        <v>67500</v>
      </c>
      <c r="O466" s="111">
        <f t="shared" si="67"/>
        <v>13500</v>
      </c>
      <c r="P466" s="111">
        <f t="shared" si="68"/>
        <v>15000</v>
      </c>
      <c r="Q466" s="111">
        <v>30000</v>
      </c>
      <c r="R466" s="111">
        <v>3</v>
      </c>
      <c r="S466" s="111">
        <f t="shared" si="69"/>
        <v>3000</v>
      </c>
      <c r="T466" s="111">
        <f t="shared" si="70"/>
        <v>180000</v>
      </c>
      <c r="U466" s="111">
        <f t="shared" si="71"/>
        <v>1800</v>
      </c>
      <c r="V466" s="111">
        <f t="shared" si="72"/>
        <v>181800</v>
      </c>
      <c r="W466" t="s">
        <v>2925</v>
      </c>
    </row>
    <row r="467" spans="1:23" x14ac:dyDescent="0.3">
      <c r="A467" s="110">
        <v>500501</v>
      </c>
      <c r="B467" s="110" t="s">
        <v>663</v>
      </c>
      <c r="C467" s="110" t="s">
        <v>675</v>
      </c>
      <c r="D467" s="110" t="s">
        <v>675</v>
      </c>
      <c r="E467" s="110" t="s">
        <v>272</v>
      </c>
      <c r="F467" s="110" t="s">
        <v>119</v>
      </c>
      <c r="G467" s="110" t="s">
        <v>114</v>
      </c>
      <c r="H467" s="111">
        <v>52</v>
      </c>
      <c r="I467" s="111">
        <v>53</v>
      </c>
      <c r="J467" s="111">
        <v>45</v>
      </c>
      <c r="K467" s="111">
        <f t="shared" si="64"/>
        <v>50</v>
      </c>
      <c r="L467" s="111">
        <v>50000</v>
      </c>
      <c r="M467" s="111">
        <f t="shared" si="65"/>
        <v>22500</v>
      </c>
      <c r="N467" s="111">
        <f t="shared" si="66"/>
        <v>22500</v>
      </c>
      <c r="O467" s="111">
        <f t="shared" si="67"/>
        <v>4500</v>
      </c>
      <c r="P467" s="111">
        <f t="shared" si="68"/>
        <v>5000</v>
      </c>
      <c r="Q467" s="111">
        <v>10000</v>
      </c>
      <c r="R467" s="111">
        <v>1</v>
      </c>
      <c r="S467" s="111">
        <f t="shared" si="69"/>
        <v>1000</v>
      </c>
      <c r="T467" s="111">
        <f t="shared" si="70"/>
        <v>60000</v>
      </c>
      <c r="U467" s="111">
        <f t="shared" si="71"/>
        <v>600</v>
      </c>
      <c r="V467" s="111">
        <f t="shared" si="72"/>
        <v>60600</v>
      </c>
      <c r="W467" t="s">
        <v>2926</v>
      </c>
    </row>
    <row r="468" spans="1:23" x14ac:dyDescent="0.3">
      <c r="A468" s="110">
        <v>500603</v>
      </c>
      <c r="B468" s="110" t="s">
        <v>663</v>
      </c>
      <c r="C468" s="110" t="s">
        <v>665</v>
      </c>
      <c r="D468" s="110" t="s">
        <v>676</v>
      </c>
      <c r="E468" s="110" t="s">
        <v>272</v>
      </c>
      <c r="F468" s="110" t="s">
        <v>119</v>
      </c>
      <c r="G468" s="110" t="s">
        <v>114</v>
      </c>
      <c r="H468" s="111">
        <v>306</v>
      </c>
      <c r="I468" s="111">
        <v>292</v>
      </c>
      <c r="J468" s="111">
        <v>256</v>
      </c>
      <c r="K468" s="111">
        <f t="shared" si="64"/>
        <v>284.66666666666669</v>
      </c>
      <c r="L468" s="111">
        <v>200000</v>
      </c>
      <c r="M468" s="111">
        <f t="shared" si="65"/>
        <v>90000</v>
      </c>
      <c r="N468" s="111">
        <f t="shared" si="66"/>
        <v>90000</v>
      </c>
      <c r="O468" s="111">
        <f t="shared" si="67"/>
        <v>18000</v>
      </c>
      <c r="P468" s="111">
        <f t="shared" si="68"/>
        <v>20000</v>
      </c>
      <c r="Q468" s="111">
        <v>50000</v>
      </c>
      <c r="R468" s="111">
        <v>5</v>
      </c>
      <c r="S468" s="111">
        <f t="shared" si="69"/>
        <v>5000</v>
      </c>
      <c r="T468" s="111">
        <f t="shared" si="70"/>
        <v>250000</v>
      </c>
      <c r="U468" s="111">
        <f t="shared" si="71"/>
        <v>2500</v>
      </c>
      <c r="V468" s="111">
        <f t="shared" si="72"/>
        <v>252500</v>
      </c>
      <c r="W468" t="s">
        <v>2927</v>
      </c>
    </row>
    <row r="469" spans="1:23" x14ac:dyDescent="0.3">
      <c r="A469" s="110">
        <v>500604</v>
      </c>
      <c r="B469" s="110" t="s">
        <v>663</v>
      </c>
      <c r="C469" s="110" t="s">
        <v>665</v>
      </c>
      <c r="D469" s="110" t="s">
        <v>677</v>
      </c>
      <c r="E469" s="110" t="s">
        <v>678</v>
      </c>
      <c r="F469" s="110" t="s">
        <v>113</v>
      </c>
      <c r="G469" s="110" t="s">
        <v>114</v>
      </c>
      <c r="H469" s="111">
        <v>73</v>
      </c>
      <c r="I469" s="111">
        <v>77</v>
      </c>
      <c r="J469" s="111">
        <v>69</v>
      </c>
      <c r="K469" s="111">
        <f t="shared" si="64"/>
        <v>73</v>
      </c>
      <c r="L469" s="111">
        <v>150000</v>
      </c>
      <c r="M469" s="111">
        <f t="shared" si="65"/>
        <v>67500</v>
      </c>
      <c r="N469" s="111">
        <f t="shared" si="66"/>
        <v>67500</v>
      </c>
      <c r="O469" s="111">
        <f t="shared" si="67"/>
        <v>13500</v>
      </c>
      <c r="P469" s="111">
        <f t="shared" si="68"/>
        <v>15000</v>
      </c>
      <c r="Q469" s="111">
        <v>30000</v>
      </c>
      <c r="R469" s="111">
        <v>3</v>
      </c>
      <c r="S469" s="111">
        <f t="shared" si="69"/>
        <v>3000</v>
      </c>
      <c r="T469" s="111">
        <f t="shared" si="70"/>
        <v>180000</v>
      </c>
      <c r="U469" s="111">
        <f t="shared" si="71"/>
        <v>1800</v>
      </c>
      <c r="V469" s="111">
        <f t="shared" si="72"/>
        <v>181800</v>
      </c>
      <c r="W469" t="s">
        <v>2928</v>
      </c>
    </row>
    <row r="470" spans="1:23" x14ac:dyDescent="0.3">
      <c r="A470" s="110">
        <v>500701</v>
      </c>
      <c r="B470" s="110" t="s">
        <v>663</v>
      </c>
      <c r="C470" s="110" t="s">
        <v>679</v>
      </c>
      <c r="D470" s="110" t="s">
        <v>679</v>
      </c>
      <c r="E470" s="110" t="s">
        <v>214</v>
      </c>
      <c r="F470" s="110" t="s">
        <v>119</v>
      </c>
      <c r="G470" s="110" t="s">
        <v>114</v>
      </c>
      <c r="H470" s="111">
        <v>205</v>
      </c>
      <c r="I470" s="111">
        <v>200</v>
      </c>
      <c r="J470" s="111">
        <v>200</v>
      </c>
      <c r="K470" s="111">
        <f t="shared" si="64"/>
        <v>201.66666666666666</v>
      </c>
      <c r="L470" s="111">
        <v>200000</v>
      </c>
      <c r="M470" s="111">
        <f t="shared" si="65"/>
        <v>90000</v>
      </c>
      <c r="N470" s="111">
        <f t="shared" si="66"/>
        <v>90000</v>
      </c>
      <c r="O470" s="111">
        <f t="shared" si="67"/>
        <v>18000</v>
      </c>
      <c r="P470" s="111">
        <f t="shared" si="68"/>
        <v>20000</v>
      </c>
      <c r="Q470" s="111">
        <v>50000</v>
      </c>
      <c r="R470" s="111">
        <v>5</v>
      </c>
      <c r="S470" s="111">
        <f t="shared" si="69"/>
        <v>5000</v>
      </c>
      <c r="T470" s="111">
        <f t="shared" si="70"/>
        <v>250000</v>
      </c>
      <c r="U470" s="111">
        <f t="shared" si="71"/>
        <v>2500</v>
      </c>
      <c r="V470" s="111">
        <f t="shared" si="72"/>
        <v>252500</v>
      </c>
      <c r="W470" t="s">
        <v>2929</v>
      </c>
    </row>
    <row r="471" spans="1:23" x14ac:dyDescent="0.3">
      <c r="A471" s="110">
        <v>500802</v>
      </c>
      <c r="B471" s="110" t="s">
        <v>663</v>
      </c>
      <c r="C471" s="110" t="s">
        <v>680</v>
      </c>
      <c r="D471" s="110" t="s">
        <v>681</v>
      </c>
      <c r="E471" s="110" t="s">
        <v>184</v>
      </c>
      <c r="F471" s="110" t="s">
        <v>113</v>
      </c>
      <c r="G471" s="110" t="s">
        <v>114</v>
      </c>
      <c r="H471" s="111">
        <v>21</v>
      </c>
      <c r="I471" s="111">
        <v>20</v>
      </c>
      <c r="J471" s="111">
        <v>21</v>
      </c>
      <c r="K471" s="111">
        <f t="shared" si="64"/>
        <v>20.666666666666668</v>
      </c>
      <c r="L471" s="111">
        <v>50000</v>
      </c>
      <c r="M471" s="111">
        <f t="shared" si="65"/>
        <v>22500</v>
      </c>
      <c r="N471" s="111">
        <f t="shared" si="66"/>
        <v>22500</v>
      </c>
      <c r="O471" s="111">
        <f t="shared" si="67"/>
        <v>4500</v>
      </c>
      <c r="P471" s="111">
        <f t="shared" si="68"/>
        <v>5000</v>
      </c>
      <c r="Q471" s="111">
        <v>10000</v>
      </c>
      <c r="R471" s="111">
        <v>1</v>
      </c>
      <c r="S471" s="111">
        <f t="shared" si="69"/>
        <v>1000</v>
      </c>
      <c r="T471" s="111">
        <f t="shared" si="70"/>
        <v>60000</v>
      </c>
      <c r="U471" s="111">
        <f t="shared" si="71"/>
        <v>600</v>
      </c>
      <c r="V471" s="111">
        <f t="shared" si="72"/>
        <v>60600</v>
      </c>
      <c r="W471" t="s">
        <v>2930</v>
      </c>
    </row>
    <row r="472" spans="1:23" x14ac:dyDescent="0.3">
      <c r="A472" s="110">
        <v>500901</v>
      </c>
      <c r="B472" s="110" t="s">
        <v>663</v>
      </c>
      <c r="C472" s="110" t="s">
        <v>466</v>
      </c>
      <c r="D472" s="110" t="s">
        <v>466</v>
      </c>
      <c r="E472" s="110" t="s">
        <v>682</v>
      </c>
      <c r="F472" s="110" t="s">
        <v>119</v>
      </c>
      <c r="G472" s="110" t="s">
        <v>114</v>
      </c>
      <c r="H472" s="111">
        <v>158</v>
      </c>
      <c r="I472" s="111">
        <v>149</v>
      </c>
      <c r="J472" s="111">
        <v>156</v>
      </c>
      <c r="K472" s="111">
        <f t="shared" si="64"/>
        <v>154.33333333333334</v>
      </c>
      <c r="L472" s="111">
        <v>150000</v>
      </c>
      <c r="M472" s="111">
        <f t="shared" si="65"/>
        <v>67500</v>
      </c>
      <c r="N472" s="111">
        <f t="shared" si="66"/>
        <v>67500</v>
      </c>
      <c r="O472" s="111">
        <f t="shared" si="67"/>
        <v>13500</v>
      </c>
      <c r="P472" s="111">
        <f t="shared" si="68"/>
        <v>15000</v>
      </c>
      <c r="Q472" s="111">
        <v>30000</v>
      </c>
      <c r="R472" s="111">
        <v>3</v>
      </c>
      <c r="S472" s="111">
        <f t="shared" si="69"/>
        <v>3000</v>
      </c>
      <c r="T472" s="111">
        <f t="shared" si="70"/>
        <v>180000</v>
      </c>
      <c r="U472" s="111">
        <f t="shared" si="71"/>
        <v>1800</v>
      </c>
      <c r="V472" s="111">
        <f t="shared" si="72"/>
        <v>181800</v>
      </c>
      <c r="W472" t="s">
        <v>2931</v>
      </c>
    </row>
    <row r="473" spans="1:23" x14ac:dyDescent="0.3">
      <c r="A473" s="110">
        <v>501003</v>
      </c>
      <c r="B473" s="110" t="s">
        <v>663</v>
      </c>
      <c r="C473" s="110" t="s">
        <v>683</v>
      </c>
      <c r="D473" s="110" t="s">
        <v>684</v>
      </c>
      <c r="E473" s="110" t="s">
        <v>178</v>
      </c>
      <c r="F473" s="110" t="s">
        <v>119</v>
      </c>
      <c r="G473" s="110" t="s">
        <v>114</v>
      </c>
      <c r="H473" s="111">
        <v>205</v>
      </c>
      <c r="I473" s="111">
        <v>209</v>
      </c>
      <c r="J473" s="111">
        <v>184</v>
      </c>
      <c r="K473" s="111">
        <f t="shared" si="64"/>
        <v>199.33333333333334</v>
      </c>
      <c r="L473" s="111">
        <v>150000</v>
      </c>
      <c r="M473" s="111">
        <f t="shared" si="65"/>
        <v>67500</v>
      </c>
      <c r="N473" s="111">
        <f t="shared" si="66"/>
        <v>67500</v>
      </c>
      <c r="O473" s="111">
        <f t="shared" si="67"/>
        <v>13500</v>
      </c>
      <c r="P473" s="111">
        <f t="shared" si="68"/>
        <v>15000</v>
      </c>
      <c r="Q473" s="111">
        <v>30000</v>
      </c>
      <c r="R473" s="111">
        <v>3</v>
      </c>
      <c r="S473" s="111">
        <f t="shared" si="69"/>
        <v>3000</v>
      </c>
      <c r="T473" s="111">
        <f t="shared" si="70"/>
        <v>180000</v>
      </c>
      <c r="U473" s="111">
        <f t="shared" si="71"/>
        <v>1800</v>
      </c>
      <c r="V473" s="111">
        <f t="shared" si="72"/>
        <v>181800</v>
      </c>
      <c r="W473" t="s">
        <v>2932</v>
      </c>
    </row>
    <row r="474" spans="1:23" x14ac:dyDescent="0.3">
      <c r="A474" s="110">
        <v>501004</v>
      </c>
      <c r="B474" s="110" t="s">
        <v>663</v>
      </c>
      <c r="C474" s="110" t="s">
        <v>683</v>
      </c>
      <c r="D474" s="110" t="s">
        <v>685</v>
      </c>
      <c r="E474" s="110" t="s">
        <v>588</v>
      </c>
      <c r="F474" s="110" t="s">
        <v>113</v>
      </c>
      <c r="G474" s="110" t="s">
        <v>114</v>
      </c>
      <c r="H474" s="111">
        <v>36</v>
      </c>
      <c r="I474" s="111">
        <v>32</v>
      </c>
      <c r="J474" s="111">
        <v>35</v>
      </c>
      <c r="K474" s="111">
        <f t="shared" si="64"/>
        <v>34.333333333333336</v>
      </c>
      <c r="L474" s="111">
        <v>50000</v>
      </c>
      <c r="M474" s="111">
        <f t="shared" si="65"/>
        <v>22500</v>
      </c>
      <c r="N474" s="111">
        <f t="shared" si="66"/>
        <v>22500</v>
      </c>
      <c r="O474" s="111">
        <f t="shared" si="67"/>
        <v>4500</v>
      </c>
      <c r="P474" s="111">
        <f t="shared" si="68"/>
        <v>5000</v>
      </c>
      <c r="Q474" s="111">
        <v>10000</v>
      </c>
      <c r="R474" s="111">
        <v>1</v>
      </c>
      <c r="S474" s="111">
        <f t="shared" si="69"/>
        <v>1000</v>
      </c>
      <c r="T474" s="111">
        <f t="shared" si="70"/>
        <v>60000</v>
      </c>
      <c r="U474" s="111">
        <f t="shared" si="71"/>
        <v>600</v>
      </c>
      <c r="V474" s="111">
        <f t="shared" si="72"/>
        <v>60600</v>
      </c>
      <c r="W474" t="s">
        <v>2933</v>
      </c>
    </row>
    <row r="475" spans="1:23" x14ac:dyDescent="0.3">
      <c r="A475" s="110">
        <v>501010</v>
      </c>
      <c r="B475" s="110" t="s">
        <v>663</v>
      </c>
      <c r="C475" s="110" t="s">
        <v>683</v>
      </c>
      <c r="D475" s="110" t="s">
        <v>683</v>
      </c>
      <c r="E475" s="110" t="s">
        <v>650</v>
      </c>
      <c r="F475" s="110" t="s">
        <v>119</v>
      </c>
      <c r="G475" s="110" t="s">
        <v>114</v>
      </c>
      <c r="H475" s="111">
        <v>192</v>
      </c>
      <c r="I475" s="111">
        <v>202</v>
      </c>
      <c r="J475" s="111">
        <v>190</v>
      </c>
      <c r="K475" s="111">
        <f t="shared" si="64"/>
        <v>194.66666666666666</v>
      </c>
      <c r="L475" s="111">
        <v>150000</v>
      </c>
      <c r="M475" s="111">
        <f t="shared" si="65"/>
        <v>67500</v>
      </c>
      <c r="N475" s="111">
        <f t="shared" si="66"/>
        <v>67500</v>
      </c>
      <c r="O475" s="111">
        <f t="shared" si="67"/>
        <v>13500</v>
      </c>
      <c r="P475" s="111">
        <f t="shared" si="68"/>
        <v>15000</v>
      </c>
      <c r="Q475" s="111">
        <v>30000</v>
      </c>
      <c r="R475" s="111">
        <v>3</v>
      </c>
      <c r="S475" s="111">
        <f t="shared" si="69"/>
        <v>3000</v>
      </c>
      <c r="T475" s="111">
        <f t="shared" si="70"/>
        <v>180000</v>
      </c>
      <c r="U475" s="111">
        <f t="shared" si="71"/>
        <v>1800</v>
      </c>
      <c r="V475" s="111">
        <f t="shared" si="72"/>
        <v>181800</v>
      </c>
      <c r="W475" t="s">
        <v>2934</v>
      </c>
    </row>
    <row r="476" spans="1:23" x14ac:dyDescent="0.3">
      <c r="A476" s="110">
        <v>501101</v>
      </c>
      <c r="B476" s="110" t="s">
        <v>663</v>
      </c>
      <c r="C476" s="110" t="s">
        <v>686</v>
      </c>
      <c r="D476" s="110" t="s">
        <v>686</v>
      </c>
      <c r="E476" s="110" t="s">
        <v>687</v>
      </c>
      <c r="F476" s="110" t="s">
        <v>113</v>
      </c>
      <c r="G476" s="110" t="s">
        <v>114</v>
      </c>
      <c r="H476" s="111">
        <v>42</v>
      </c>
      <c r="I476" s="111">
        <v>41</v>
      </c>
      <c r="J476" s="111">
        <v>39</v>
      </c>
      <c r="K476" s="111">
        <f t="shared" si="64"/>
        <v>40.666666666666664</v>
      </c>
      <c r="L476" s="111">
        <v>50000</v>
      </c>
      <c r="M476" s="111">
        <f t="shared" si="65"/>
        <v>22500</v>
      </c>
      <c r="N476" s="111">
        <f t="shared" si="66"/>
        <v>22500</v>
      </c>
      <c r="O476" s="111">
        <f t="shared" si="67"/>
        <v>4500</v>
      </c>
      <c r="P476" s="111">
        <f t="shared" si="68"/>
        <v>5000</v>
      </c>
      <c r="Q476" s="111">
        <v>10000</v>
      </c>
      <c r="R476" s="111">
        <v>1</v>
      </c>
      <c r="S476" s="111">
        <f t="shared" si="69"/>
        <v>1000</v>
      </c>
      <c r="T476" s="111">
        <f t="shared" si="70"/>
        <v>60000</v>
      </c>
      <c r="U476" s="111">
        <f t="shared" si="71"/>
        <v>600</v>
      </c>
      <c r="V476" s="111">
        <f t="shared" si="72"/>
        <v>60600</v>
      </c>
      <c r="W476" t="s">
        <v>2935</v>
      </c>
    </row>
    <row r="477" spans="1:23" x14ac:dyDescent="0.3">
      <c r="A477" s="110">
        <v>501102</v>
      </c>
      <c r="B477" s="110" t="s">
        <v>663</v>
      </c>
      <c r="C477" s="110" t="s">
        <v>686</v>
      </c>
      <c r="D477" s="110" t="s">
        <v>688</v>
      </c>
      <c r="E477" s="110" t="s">
        <v>184</v>
      </c>
      <c r="F477" s="110" t="s">
        <v>113</v>
      </c>
      <c r="G477" s="110" t="s">
        <v>114</v>
      </c>
      <c r="H477" s="111">
        <v>40</v>
      </c>
      <c r="I477" s="111">
        <v>38</v>
      </c>
      <c r="J477" s="111">
        <v>42</v>
      </c>
      <c r="K477" s="111">
        <f t="shared" si="64"/>
        <v>40</v>
      </c>
      <c r="L477" s="111">
        <v>50000</v>
      </c>
      <c r="M477" s="111">
        <f t="shared" si="65"/>
        <v>22500</v>
      </c>
      <c r="N477" s="111">
        <f t="shared" si="66"/>
        <v>22500</v>
      </c>
      <c r="O477" s="111">
        <f t="shared" si="67"/>
        <v>4500</v>
      </c>
      <c r="P477" s="111">
        <f t="shared" si="68"/>
        <v>5000</v>
      </c>
      <c r="Q477" s="111">
        <v>10000</v>
      </c>
      <c r="R477" s="111">
        <v>1</v>
      </c>
      <c r="S477" s="111">
        <f t="shared" si="69"/>
        <v>1000</v>
      </c>
      <c r="T477" s="111">
        <f t="shared" si="70"/>
        <v>60000</v>
      </c>
      <c r="U477" s="111">
        <f t="shared" si="71"/>
        <v>600</v>
      </c>
      <c r="V477" s="111">
        <f t="shared" si="72"/>
        <v>60600</v>
      </c>
      <c r="W477" t="s">
        <v>2936</v>
      </c>
    </row>
    <row r="478" spans="1:23" x14ac:dyDescent="0.3">
      <c r="A478" s="110">
        <v>502035</v>
      </c>
      <c r="B478" s="110" t="s">
        <v>663</v>
      </c>
      <c r="C478" s="110" t="s">
        <v>663</v>
      </c>
      <c r="D478" s="110" t="s">
        <v>663</v>
      </c>
      <c r="E478" s="110" t="s">
        <v>689</v>
      </c>
      <c r="F478" s="110" t="s">
        <v>117</v>
      </c>
      <c r="G478" s="110" t="s">
        <v>125</v>
      </c>
      <c r="H478" s="111">
        <v>424</v>
      </c>
      <c r="I478" s="111">
        <v>415</v>
      </c>
      <c r="J478" s="111">
        <v>410</v>
      </c>
      <c r="K478" s="111">
        <f t="shared" si="64"/>
        <v>416.33333333333331</v>
      </c>
      <c r="L478" s="111">
        <f>300000</f>
        <v>300000</v>
      </c>
      <c r="M478" s="111">
        <f t="shared" si="65"/>
        <v>135000</v>
      </c>
      <c r="N478" s="111">
        <f t="shared" si="66"/>
        <v>135000</v>
      </c>
      <c r="O478" s="111">
        <f t="shared" si="67"/>
        <v>27000</v>
      </c>
      <c r="P478" s="111">
        <f t="shared" si="68"/>
        <v>30000</v>
      </c>
      <c r="Q478" s="111">
        <v>60000</v>
      </c>
      <c r="R478" s="111">
        <v>6</v>
      </c>
      <c r="S478" s="111">
        <f t="shared" si="69"/>
        <v>6000</v>
      </c>
      <c r="T478" s="111">
        <f t="shared" si="70"/>
        <v>360000</v>
      </c>
      <c r="U478" s="111">
        <f t="shared" si="71"/>
        <v>3600</v>
      </c>
      <c r="V478" s="111">
        <f t="shared" si="72"/>
        <v>363600</v>
      </c>
      <c r="W478" t="s">
        <v>2937</v>
      </c>
    </row>
    <row r="479" spans="1:23" x14ac:dyDescent="0.3">
      <c r="A479" s="110">
        <v>503132</v>
      </c>
      <c r="B479" s="110" t="s">
        <v>663</v>
      </c>
      <c r="C479" s="110" t="s">
        <v>663</v>
      </c>
      <c r="D479" s="110" t="s">
        <v>663</v>
      </c>
      <c r="E479" s="110" t="s">
        <v>690</v>
      </c>
      <c r="F479" s="110" t="s">
        <v>119</v>
      </c>
      <c r="G479" s="110" t="s">
        <v>114</v>
      </c>
      <c r="H479" s="111">
        <v>938</v>
      </c>
      <c r="I479" s="111">
        <v>917</v>
      </c>
      <c r="J479" s="111">
        <v>887</v>
      </c>
      <c r="K479" s="111">
        <f t="shared" si="64"/>
        <v>914</v>
      </c>
      <c r="L479" s="111">
        <f>300000</f>
        <v>300000</v>
      </c>
      <c r="M479" s="111">
        <f t="shared" si="65"/>
        <v>135000</v>
      </c>
      <c r="N479" s="111">
        <f t="shared" si="66"/>
        <v>135000</v>
      </c>
      <c r="O479" s="111">
        <f t="shared" si="67"/>
        <v>27000</v>
      </c>
      <c r="P479" s="111">
        <f t="shared" si="68"/>
        <v>30000</v>
      </c>
      <c r="Q479" s="111">
        <v>60000</v>
      </c>
      <c r="R479" s="111">
        <v>6</v>
      </c>
      <c r="S479" s="111">
        <f t="shared" si="69"/>
        <v>6000</v>
      </c>
      <c r="T479" s="111">
        <f t="shared" si="70"/>
        <v>360000</v>
      </c>
      <c r="U479" s="111">
        <f t="shared" si="71"/>
        <v>3600</v>
      </c>
      <c r="V479" s="111">
        <f t="shared" si="72"/>
        <v>363600</v>
      </c>
      <c r="W479" t="s">
        <v>2938</v>
      </c>
    </row>
    <row r="480" spans="1:23" x14ac:dyDescent="0.3">
      <c r="A480" s="110">
        <v>503241</v>
      </c>
      <c r="B480" s="110" t="s">
        <v>663</v>
      </c>
      <c r="C480" s="110" t="s">
        <v>663</v>
      </c>
      <c r="D480" s="110" t="s">
        <v>663</v>
      </c>
      <c r="E480" s="110" t="s">
        <v>682</v>
      </c>
      <c r="F480" s="110" t="s">
        <v>119</v>
      </c>
      <c r="G480" s="110" t="s">
        <v>114</v>
      </c>
      <c r="H480" s="111">
        <v>393</v>
      </c>
      <c r="I480" s="111">
        <v>403</v>
      </c>
      <c r="J480" s="111">
        <v>453</v>
      </c>
      <c r="K480" s="111">
        <f t="shared" si="64"/>
        <v>416.33333333333331</v>
      </c>
      <c r="L480" s="111">
        <f>300000</f>
        <v>300000</v>
      </c>
      <c r="M480" s="111">
        <f t="shared" si="65"/>
        <v>135000</v>
      </c>
      <c r="N480" s="111">
        <f t="shared" si="66"/>
        <v>135000</v>
      </c>
      <c r="O480" s="111">
        <f t="shared" si="67"/>
        <v>27000</v>
      </c>
      <c r="P480" s="111">
        <f t="shared" si="68"/>
        <v>30000</v>
      </c>
      <c r="Q480" s="111">
        <v>60000</v>
      </c>
      <c r="R480" s="111">
        <v>6</v>
      </c>
      <c r="S480" s="111">
        <f t="shared" si="69"/>
        <v>6000</v>
      </c>
      <c r="T480" s="111">
        <f t="shared" si="70"/>
        <v>360000</v>
      </c>
      <c r="U480" s="111">
        <f t="shared" si="71"/>
        <v>3600</v>
      </c>
      <c r="V480" s="111">
        <f t="shared" si="72"/>
        <v>363600</v>
      </c>
      <c r="W480" t="s">
        <v>2939</v>
      </c>
    </row>
    <row r="481" spans="1:23" x14ac:dyDescent="0.3">
      <c r="A481" s="110">
        <v>503242</v>
      </c>
      <c r="B481" s="110" t="s">
        <v>663</v>
      </c>
      <c r="C481" s="110" t="s">
        <v>663</v>
      </c>
      <c r="D481" s="110" t="s">
        <v>663</v>
      </c>
      <c r="E481" s="110" t="s">
        <v>691</v>
      </c>
      <c r="F481" s="110" t="s">
        <v>119</v>
      </c>
      <c r="G481" s="110" t="s">
        <v>114</v>
      </c>
      <c r="H481" s="111">
        <v>420</v>
      </c>
      <c r="I481" s="111">
        <v>439</v>
      </c>
      <c r="J481" s="111">
        <v>440</v>
      </c>
      <c r="K481" s="111">
        <f t="shared" si="64"/>
        <v>433</v>
      </c>
      <c r="L481" s="111">
        <f>300000</f>
        <v>300000</v>
      </c>
      <c r="M481" s="111">
        <f t="shared" si="65"/>
        <v>135000</v>
      </c>
      <c r="N481" s="111">
        <f t="shared" si="66"/>
        <v>135000</v>
      </c>
      <c r="O481" s="111">
        <f t="shared" si="67"/>
        <v>27000</v>
      </c>
      <c r="P481" s="111">
        <f t="shared" si="68"/>
        <v>30000</v>
      </c>
      <c r="Q481" s="111">
        <v>60000</v>
      </c>
      <c r="R481" s="111">
        <v>6</v>
      </c>
      <c r="S481" s="111">
        <f t="shared" si="69"/>
        <v>6000</v>
      </c>
      <c r="T481" s="111">
        <f t="shared" si="70"/>
        <v>360000</v>
      </c>
      <c r="U481" s="111">
        <f t="shared" si="71"/>
        <v>3600</v>
      </c>
      <c r="V481" s="111">
        <f t="shared" si="72"/>
        <v>363600</v>
      </c>
      <c r="W481" t="s">
        <v>2940</v>
      </c>
    </row>
    <row r="482" spans="1:23" x14ac:dyDescent="0.3">
      <c r="A482" s="110">
        <v>503311</v>
      </c>
      <c r="B482" s="110" t="s">
        <v>663</v>
      </c>
      <c r="C482" s="110" t="s">
        <v>663</v>
      </c>
      <c r="D482" s="110" t="s">
        <v>668</v>
      </c>
      <c r="E482" s="110" t="s">
        <v>383</v>
      </c>
      <c r="F482" s="110" t="s">
        <v>113</v>
      </c>
      <c r="G482" s="110" t="s">
        <v>114</v>
      </c>
      <c r="H482" s="111">
        <v>79</v>
      </c>
      <c r="I482" s="111">
        <v>71</v>
      </c>
      <c r="J482" s="111">
        <v>71</v>
      </c>
      <c r="K482" s="111">
        <f t="shared" si="64"/>
        <v>73.666666666666671</v>
      </c>
      <c r="L482" s="111">
        <v>150000</v>
      </c>
      <c r="M482" s="111">
        <f t="shared" si="65"/>
        <v>67500</v>
      </c>
      <c r="N482" s="111">
        <f t="shared" si="66"/>
        <v>67500</v>
      </c>
      <c r="O482" s="111">
        <f t="shared" si="67"/>
        <v>13500</v>
      </c>
      <c r="P482" s="111">
        <f t="shared" si="68"/>
        <v>15000</v>
      </c>
      <c r="Q482" s="111">
        <v>30000</v>
      </c>
      <c r="R482" s="111">
        <v>3</v>
      </c>
      <c r="S482" s="111">
        <f t="shared" si="69"/>
        <v>3000</v>
      </c>
      <c r="T482" s="111">
        <f t="shared" si="70"/>
        <v>180000</v>
      </c>
      <c r="U482" s="111">
        <f t="shared" si="71"/>
        <v>1800</v>
      </c>
      <c r="V482" s="111">
        <f t="shared" si="72"/>
        <v>181800</v>
      </c>
      <c r="W482" t="s">
        <v>2941</v>
      </c>
    </row>
    <row r="483" spans="1:23" x14ac:dyDescent="0.3">
      <c r="A483" s="110">
        <v>503312</v>
      </c>
      <c r="B483" s="110" t="s">
        <v>663</v>
      </c>
      <c r="C483" s="110" t="s">
        <v>663</v>
      </c>
      <c r="D483" s="110" t="s">
        <v>663</v>
      </c>
      <c r="E483" s="110" t="s">
        <v>320</v>
      </c>
      <c r="F483" s="110" t="s">
        <v>113</v>
      </c>
      <c r="G483" s="110" t="s">
        <v>114</v>
      </c>
      <c r="H483" s="111">
        <v>564</v>
      </c>
      <c r="I483" s="111">
        <v>544</v>
      </c>
      <c r="J483" s="111">
        <v>530</v>
      </c>
      <c r="K483" s="111">
        <f t="shared" si="64"/>
        <v>546</v>
      </c>
      <c r="L483" s="111">
        <f>300000</f>
        <v>300000</v>
      </c>
      <c r="M483" s="111">
        <f t="shared" si="65"/>
        <v>135000</v>
      </c>
      <c r="N483" s="111">
        <f t="shared" si="66"/>
        <v>135000</v>
      </c>
      <c r="O483" s="111">
        <f t="shared" si="67"/>
        <v>27000</v>
      </c>
      <c r="P483" s="111">
        <f t="shared" si="68"/>
        <v>30000</v>
      </c>
      <c r="Q483" s="111">
        <v>60000</v>
      </c>
      <c r="R483" s="111">
        <v>6</v>
      </c>
      <c r="S483" s="111">
        <f t="shared" si="69"/>
        <v>6000</v>
      </c>
      <c r="T483" s="111">
        <f t="shared" si="70"/>
        <v>360000</v>
      </c>
      <c r="U483" s="111">
        <f t="shared" si="71"/>
        <v>3600</v>
      </c>
      <c r="V483" s="111">
        <f t="shared" si="72"/>
        <v>363600</v>
      </c>
      <c r="W483" t="s">
        <v>2942</v>
      </c>
    </row>
    <row r="484" spans="1:23" x14ac:dyDescent="0.3">
      <c r="A484" s="110">
        <v>503322</v>
      </c>
      <c r="B484" s="110" t="s">
        <v>663</v>
      </c>
      <c r="C484" s="110" t="s">
        <v>663</v>
      </c>
      <c r="D484" s="110" t="s">
        <v>663</v>
      </c>
      <c r="E484" s="110" t="s">
        <v>692</v>
      </c>
      <c r="F484" s="110" t="s">
        <v>122</v>
      </c>
      <c r="G484" s="110" t="s">
        <v>114</v>
      </c>
      <c r="H484" s="111">
        <v>422</v>
      </c>
      <c r="I484" s="111">
        <v>414</v>
      </c>
      <c r="J484" s="111">
        <v>391</v>
      </c>
      <c r="K484" s="111">
        <f t="shared" si="64"/>
        <v>409</v>
      </c>
      <c r="L484" s="111">
        <f>300000</f>
        <v>300000</v>
      </c>
      <c r="M484" s="111">
        <f t="shared" si="65"/>
        <v>135000</v>
      </c>
      <c r="N484" s="111">
        <f t="shared" si="66"/>
        <v>135000</v>
      </c>
      <c r="O484" s="111">
        <f t="shared" si="67"/>
        <v>27000</v>
      </c>
      <c r="P484" s="111">
        <f t="shared" si="68"/>
        <v>30000</v>
      </c>
      <c r="Q484" s="111">
        <v>60000</v>
      </c>
      <c r="R484" s="111">
        <v>6</v>
      </c>
      <c r="S484" s="111">
        <f t="shared" si="69"/>
        <v>6000</v>
      </c>
      <c r="T484" s="111">
        <f t="shared" si="70"/>
        <v>360000</v>
      </c>
      <c r="U484" s="111">
        <f t="shared" si="71"/>
        <v>3600</v>
      </c>
      <c r="V484" s="111">
        <f t="shared" si="72"/>
        <v>363600</v>
      </c>
      <c r="W484" t="s">
        <v>2943</v>
      </c>
    </row>
    <row r="485" spans="1:23" x14ac:dyDescent="0.3">
      <c r="A485" s="110">
        <v>505015</v>
      </c>
      <c r="B485" s="110" t="s">
        <v>663</v>
      </c>
      <c r="C485" s="110" t="s">
        <v>663</v>
      </c>
      <c r="D485" s="110" t="s">
        <v>663</v>
      </c>
      <c r="E485" s="110" t="s">
        <v>693</v>
      </c>
      <c r="F485" s="110" t="s">
        <v>135</v>
      </c>
      <c r="G485" s="110" t="s">
        <v>125</v>
      </c>
      <c r="H485" s="111">
        <v>43</v>
      </c>
      <c r="I485" s="111">
        <v>41</v>
      </c>
      <c r="J485" s="111">
        <v>37</v>
      </c>
      <c r="K485" s="111">
        <f t="shared" si="64"/>
        <v>40.333333333333336</v>
      </c>
      <c r="L485" s="111">
        <v>50000</v>
      </c>
      <c r="M485" s="111">
        <f t="shared" si="65"/>
        <v>22500</v>
      </c>
      <c r="N485" s="111">
        <f t="shared" si="66"/>
        <v>22500</v>
      </c>
      <c r="O485" s="111">
        <f t="shared" si="67"/>
        <v>4500</v>
      </c>
      <c r="P485" s="111">
        <f t="shared" si="68"/>
        <v>5000</v>
      </c>
      <c r="Q485" s="111">
        <v>10000</v>
      </c>
      <c r="R485" s="111">
        <v>1</v>
      </c>
      <c r="S485" s="111">
        <f t="shared" si="69"/>
        <v>1000</v>
      </c>
      <c r="T485" s="111">
        <f t="shared" si="70"/>
        <v>60000</v>
      </c>
      <c r="U485" s="111">
        <f t="shared" si="71"/>
        <v>600</v>
      </c>
      <c r="V485" s="111">
        <f t="shared" si="72"/>
        <v>60600</v>
      </c>
      <c r="W485" t="s">
        <v>2944</v>
      </c>
    </row>
    <row r="486" spans="1:23" x14ac:dyDescent="0.3">
      <c r="A486" s="110">
        <v>600061</v>
      </c>
      <c r="B486" s="110" t="s">
        <v>694</v>
      </c>
      <c r="C486" s="110" t="s">
        <v>694</v>
      </c>
      <c r="D486" s="110" t="s">
        <v>694</v>
      </c>
      <c r="E486" s="110" t="s">
        <v>695</v>
      </c>
      <c r="F486" s="110" t="s">
        <v>122</v>
      </c>
      <c r="G486" s="110" t="s">
        <v>114</v>
      </c>
      <c r="H486" s="111">
        <v>427</v>
      </c>
      <c r="I486" s="111">
        <v>452</v>
      </c>
      <c r="J486" s="111">
        <v>475</v>
      </c>
      <c r="K486" s="111">
        <f t="shared" si="64"/>
        <v>451.33333333333331</v>
      </c>
      <c r="L486" s="111">
        <f>300000*0.7</f>
        <v>210000</v>
      </c>
      <c r="M486" s="111">
        <f t="shared" si="65"/>
        <v>94500</v>
      </c>
      <c r="N486" s="111">
        <f t="shared" si="66"/>
        <v>94500</v>
      </c>
      <c r="O486" s="111">
        <f t="shared" si="67"/>
        <v>18900</v>
      </c>
      <c r="P486" s="111">
        <f t="shared" si="68"/>
        <v>21000</v>
      </c>
      <c r="Q486" s="111">
        <v>60000</v>
      </c>
      <c r="R486" s="111">
        <v>6</v>
      </c>
      <c r="S486" s="111">
        <f t="shared" si="69"/>
        <v>6000</v>
      </c>
      <c r="T486" s="111">
        <f t="shared" si="70"/>
        <v>270000</v>
      </c>
      <c r="U486" s="111">
        <f t="shared" si="71"/>
        <v>2700</v>
      </c>
      <c r="V486" s="111">
        <f t="shared" si="72"/>
        <v>272700</v>
      </c>
      <c r="W486" t="s">
        <v>2945</v>
      </c>
    </row>
    <row r="487" spans="1:23" x14ac:dyDescent="0.3">
      <c r="A487" s="110">
        <v>600221</v>
      </c>
      <c r="B487" s="110" t="s">
        <v>694</v>
      </c>
      <c r="C487" s="110" t="s">
        <v>696</v>
      </c>
      <c r="D487" s="110" t="s">
        <v>696</v>
      </c>
      <c r="E487" s="110" t="s">
        <v>697</v>
      </c>
      <c r="F487" s="110" t="s">
        <v>117</v>
      </c>
      <c r="G487" s="110" t="s">
        <v>125</v>
      </c>
      <c r="H487" s="111">
        <v>231</v>
      </c>
      <c r="I487" s="111">
        <v>225</v>
      </c>
      <c r="J487" s="111">
        <v>235</v>
      </c>
      <c r="K487" s="111">
        <f t="shared" si="64"/>
        <v>230.33333333333334</v>
      </c>
      <c r="L487" s="111">
        <v>200000</v>
      </c>
      <c r="M487" s="111">
        <f t="shared" si="65"/>
        <v>90000</v>
      </c>
      <c r="N487" s="111">
        <f t="shared" si="66"/>
        <v>90000</v>
      </c>
      <c r="O487" s="111">
        <f t="shared" si="67"/>
        <v>18000</v>
      </c>
      <c r="P487" s="111">
        <f t="shared" si="68"/>
        <v>20000</v>
      </c>
      <c r="Q487" s="111">
        <v>50000</v>
      </c>
      <c r="R487" s="111">
        <v>5</v>
      </c>
      <c r="S487" s="111">
        <f t="shared" si="69"/>
        <v>5000</v>
      </c>
      <c r="T487" s="111">
        <f t="shared" si="70"/>
        <v>250000</v>
      </c>
      <c r="U487" s="111">
        <f t="shared" si="71"/>
        <v>2500</v>
      </c>
      <c r="V487" s="111">
        <f t="shared" si="72"/>
        <v>252500</v>
      </c>
      <c r="W487" t="s">
        <v>2946</v>
      </c>
    </row>
    <row r="488" spans="1:23" x14ac:dyDescent="0.3">
      <c r="A488" s="110">
        <v>600327</v>
      </c>
      <c r="B488" s="110" t="s">
        <v>694</v>
      </c>
      <c r="C488" s="110" t="s">
        <v>694</v>
      </c>
      <c r="D488" s="110" t="s">
        <v>694</v>
      </c>
      <c r="E488" s="110" t="s">
        <v>698</v>
      </c>
      <c r="F488" s="110" t="s">
        <v>119</v>
      </c>
      <c r="G488" s="110" t="s">
        <v>114</v>
      </c>
      <c r="H488" s="111">
        <v>424</v>
      </c>
      <c r="I488" s="111">
        <v>367</v>
      </c>
      <c r="J488" s="111">
        <v>362</v>
      </c>
      <c r="K488" s="111">
        <f t="shared" si="64"/>
        <v>384.33333333333331</v>
      </c>
      <c r="L488" s="111">
        <v>200000</v>
      </c>
      <c r="M488" s="111">
        <f t="shared" si="65"/>
        <v>90000</v>
      </c>
      <c r="N488" s="111">
        <f t="shared" si="66"/>
        <v>90000</v>
      </c>
      <c r="O488" s="111">
        <f t="shared" si="67"/>
        <v>18000</v>
      </c>
      <c r="P488" s="111">
        <f t="shared" si="68"/>
        <v>20000</v>
      </c>
      <c r="Q488" s="111">
        <v>50000</v>
      </c>
      <c r="R488" s="111">
        <v>5</v>
      </c>
      <c r="S488" s="111">
        <f t="shared" si="69"/>
        <v>5000</v>
      </c>
      <c r="T488" s="111">
        <f t="shared" si="70"/>
        <v>250000</v>
      </c>
      <c r="U488" s="111">
        <f t="shared" si="71"/>
        <v>2500</v>
      </c>
      <c r="V488" s="111">
        <f t="shared" si="72"/>
        <v>252500</v>
      </c>
      <c r="W488" t="s">
        <v>2947</v>
      </c>
    </row>
    <row r="489" spans="1:23" x14ac:dyDescent="0.3">
      <c r="A489" s="110">
        <v>601007</v>
      </c>
      <c r="B489" s="110" t="s">
        <v>694</v>
      </c>
      <c r="C489" s="110" t="s">
        <v>696</v>
      </c>
      <c r="D489" s="110" t="s">
        <v>696</v>
      </c>
      <c r="E489" s="110" t="s">
        <v>646</v>
      </c>
      <c r="F489" s="110" t="s">
        <v>209</v>
      </c>
      <c r="G489" s="110" t="s">
        <v>114</v>
      </c>
      <c r="H489" s="111">
        <v>191</v>
      </c>
      <c r="I489" s="111">
        <v>176</v>
      </c>
      <c r="J489" s="111">
        <v>163</v>
      </c>
      <c r="K489" s="111">
        <f t="shared" si="64"/>
        <v>176.66666666666666</v>
      </c>
      <c r="L489" s="111">
        <v>150000</v>
      </c>
      <c r="M489" s="111">
        <f t="shared" si="65"/>
        <v>67500</v>
      </c>
      <c r="N489" s="111">
        <f t="shared" si="66"/>
        <v>67500</v>
      </c>
      <c r="O489" s="111">
        <f t="shared" si="67"/>
        <v>13500</v>
      </c>
      <c r="P489" s="111">
        <f t="shared" si="68"/>
        <v>15000</v>
      </c>
      <c r="Q489" s="111">
        <v>30000</v>
      </c>
      <c r="R489" s="111">
        <v>3</v>
      </c>
      <c r="S489" s="111">
        <f t="shared" si="69"/>
        <v>3000</v>
      </c>
      <c r="T489" s="111">
        <f t="shared" si="70"/>
        <v>180000</v>
      </c>
      <c r="U489" s="111">
        <f t="shared" si="71"/>
        <v>1800</v>
      </c>
      <c r="V489" s="111">
        <f t="shared" si="72"/>
        <v>181800</v>
      </c>
      <c r="W489" t="s">
        <v>2948</v>
      </c>
    </row>
    <row r="490" spans="1:23" x14ac:dyDescent="0.3">
      <c r="A490" s="110">
        <v>601008</v>
      </c>
      <c r="B490" s="110" t="s">
        <v>694</v>
      </c>
      <c r="C490" s="110" t="s">
        <v>696</v>
      </c>
      <c r="D490" s="110" t="s">
        <v>696</v>
      </c>
      <c r="E490" s="110" t="s">
        <v>508</v>
      </c>
      <c r="F490" s="110" t="s">
        <v>209</v>
      </c>
      <c r="G490" s="110" t="s">
        <v>114</v>
      </c>
      <c r="H490" s="111">
        <v>169</v>
      </c>
      <c r="I490" s="111">
        <v>177</v>
      </c>
      <c r="J490" s="111">
        <v>169</v>
      </c>
      <c r="K490" s="111">
        <f t="shared" si="64"/>
        <v>171.66666666666666</v>
      </c>
      <c r="L490" s="111">
        <f>150000*0.7</f>
        <v>105000</v>
      </c>
      <c r="M490" s="111">
        <f t="shared" si="65"/>
        <v>47250</v>
      </c>
      <c r="N490" s="111">
        <f t="shared" si="66"/>
        <v>47250</v>
      </c>
      <c r="O490" s="111">
        <f t="shared" si="67"/>
        <v>9450</v>
      </c>
      <c r="P490" s="111">
        <f t="shared" si="68"/>
        <v>10500</v>
      </c>
      <c r="Q490" s="111">
        <v>30000</v>
      </c>
      <c r="R490" s="111">
        <v>3</v>
      </c>
      <c r="S490" s="111">
        <f t="shared" si="69"/>
        <v>3000</v>
      </c>
      <c r="T490" s="111">
        <f t="shared" si="70"/>
        <v>135000</v>
      </c>
      <c r="U490" s="111">
        <f t="shared" si="71"/>
        <v>1350</v>
      </c>
      <c r="V490" s="111">
        <f t="shared" si="72"/>
        <v>136350</v>
      </c>
      <c r="W490" t="s">
        <v>2949</v>
      </c>
    </row>
    <row r="491" spans="1:23" x14ac:dyDescent="0.3">
      <c r="A491" s="110">
        <v>601009</v>
      </c>
      <c r="B491" s="110" t="s">
        <v>694</v>
      </c>
      <c r="C491" s="110" t="s">
        <v>696</v>
      </c>
      <c r="D491" s="110" t="s">
        <v>696</v>
      </c>
      <c r="E491" s="110" t="s">
        <v>699</v>
      </c>
      <c r="F491" s="110" t="s">
        <v>209</v>
      </c>
      <c r="G491" s="110" t="s">
        <v>114</v>
      </c>
      <c r="H491" s="111">
        <v>95</v>
      </c>
      <c r="I491" s="111">
        <v>90</v>
      </c>
      <c r="J491" s="111">
        <v>91</v>
      </c>
      <c r="K491" s="111">
        <f t="shared" si="64"/>
        <v>92</v>
      </c>
      <c r="L491" s="111">
        <v>150000</v>
      </c>
      <c r="M491" s="111">
        <f t="shared" si="65"/>
        <v>67500</v>
      </c>
      <c r="N491" s="111">
        <f t="shared" si="66"/>
        <v>67500</v>
      </c>
      <c r="O491" s="111">
        <f t="shared" si="67"/>
        <v>13500</v>
      </c>
      <c r="P491" s="111">
        <f t="shared" si="68"/>
        <v>15000</v>
      </c>
      <c r="Q491" s="111">
        <v>30000</v>
      </c>
      <c r="R491" s="111">
        <v>3</v>
      </c>
      <c r="S491" s="111">
        <f t="shared" si="69"/>
        <v>3000</v>
      </c>
      <c r="T491" s="111">
        <f t="shared" si="70"/>
        <v>180000</v>
      </c>
      <c r="U491" s="111">
        <f t="shared" si="71"/>
        <v>1800</v>
      </c>
      <c r="V491" s="111">
        <f t="shared" si="72"/>
        <v>181800</v>
      </c>
      <c r="W491" t="s">
        <v>2950</v>
      </c>
    </row>
    <row r="492" spans="1:23" x14ac:dyDescent="0.3">
      <c r="A492" s="110">
        <v>601013</v>
      </c>
      <c r="B492" s="110" t="s">
        <v>694</v>
      </c>
      <c r="C492" s="110" t="s">
        <v>696</v>
      </c>
      <c r="D492" s="110" t="s">
        <v>700</v>
      </c>
      <c r="E492" s="110" t="s">
        <v>184</v>
      </c>
      <c r="F492" s="110" t="s">
        <v>113</v>
      </c>
      <c r="G492" s="110" t="s">
        <v>114</v>
      </c>
      <c r="H492" s="111">
        <v>158</v>
      </c>
      <c r="I492" s="111">
        <v>155</v>
      </c>
      <c r="J492" s="111">
        <v>157</v>
      </c>
      <c r="K492" s="111">
        <f t="shared" si="64"/>
        <v>156.66666666666666</v>
      </c>
      <c r="L492" s="111">
        <v>150000</v>
      </c>
      <c r="M492" s="111">
        <f t="shared" si="65"/>
        <v>67500</v>
      </c>
      <c r="N492" s="111">
        <f t="shared" si="66"/>
        <v>67500</v>
      </c>
      <c r="O492" s="111">
        <f t="shared" si="67"/>
        <v>13500</v>
      </c>
      <c r="P492" s="111">
        <f t="shared" si="68"/>
        <v>15000</v>
      </c>
      <c r="Q492" s="111">
        <v>30000</v>
      </c>
      <c r="R492" s="111">
        <v>3</v>
      </c>
      <c r="S492" s="111">
        <f t="shared" si="69"/>
        <v>3000</v>
      </c>
      <c r="T492" s="111">
        <f t="shared" si="70"/>
        <v>180000</v>
      </c>
      <c r="U492" s="111">
        <f t="shared" si="71"/>
        <v>1800</v>
      </c>
      <c r="V492" s="111">
        <f t="shared" si="72"/>
        <v>181800</v>
      </c>
      <c r="W492" t="s">
        <v>2951</v>
      </c>
    </row>
    <row r="493" spans="1:23" x14ac:dyDescent="0.3">
      <c r="A493" s="110">
        <v>601014</v>
      </c>
      <c r="B493" s="110" t="s">
        <v>694</v>
      </c>
      <c r="C493" s="110" t="s">
        <v>696</v>
      </c>
      <c r="D493" s="110" t="s">
        <v>701</v>
      </c>
      <c r="E493" s="110" t="s">
        <v>368</v>
      </c>
      <c r="F493" s="110" t="s">
        <v>113</v>
      </c>
      <c r="G493" s="110" t="s">
        <v>114</v>
      </c>
      <c r="H493" s="111">
        <v>104</v>
      </c>
      <c r="I493" s="111">
        <v>106</v>
      </c>
      <c r="J493" s="111">
        <v>106</v>
      </c>
      <c r="K493" s="111">
        <f t="shared" si="64"/>
        <v>105.33333333333333</v>
      </c>
      <c r="L493" s="111">
        <v>150000</v>
      </c>
      <c r="M493" s="111">
        <f t="shared" si="65"/>
        <v>67500</v>
      </c>
      <c r="N493" s="111">
        <f t="shared" si="66"/>
        <v>67500</v>
      </c>
      <c r="O493" s="111">
        <f t="shared" si="67"/>
        <v>13500</v>
      </c>
      <c r="P493" s="111">
        <f t="shared" si="68"/>
        <v>15000</v>
      </c>
      <c r="Q493" s="111">
        <v>30000</v>
      </c>
      <c r="R493" s="111">
        <v>3</v>
      </c>
      <c r="S493" s="111">
        <f t="shared" si="69"/>
        <v>3000</v>
      </c>
      <c r="T493" s="111">
        <f t="shared" si="70"/>
        <v>180000</v>
      </c>
      <c r="U493" s="111">
        <f t="shared" si="71"/>
        <v>1800</v>
      </c>
      <c r="V493" s="111">
        <f t="shared" si="72"/>
        <v>181800</v>
      </c>
      <c r="W493" t="s">
        <v>2952</v>
      </c>
    </row>
    <row r="494" spans="1:23" x14ac:dyDescent="0.3">
      <c r="A494" s="110">
        <v>601015</v>
      </c>
      <c r="B494" s="110" t="s">
        <v>694</v>
      </c>
      <c r="C494" s="110" t="s">
        <v>696</v>
      </c>
      <c r="D494" s="110" t="s">
        <v>696</v>
      </c>
      <c r="E494" s="110" t="s">
        <v>247</v>
      </c>
      <c r="F494" s="110" t="s">
        <v>113</v>
      </c>
      <c r="G494" s="110" t="s">
        <v>114</v>
      </c>
      <c r="H494" s="111">
        <v>339</v>
      </c>
      <c r="I494" s="111">
        <v>307</v>
      </c>
      <c r="J494" s="111">
        <v>266</v>
      </c>
      <c r="K494" s="111">
        <f t="shared" si="64"/>
        <v>304</v>
      </c>
      <c r="L494" s="111">
        <v>200000</v>
      </c>
      <c r="M494" s="111">
        <f t="shared" si="65"/>
        <v>90000</v>
      </c>
      <c r="N494" s="111">
        <f t="shared" si="66"/>
        <v>90000</v>
      </c>
      <c r="O494" s="111">
        <f t="shared" si="67"/>
        <v>18000</v>
      </c>
      <c r="P494" s="111">
        <f t="shared" si="68"/>
        <v>20000</v>
      </c>
      <c r="Q494" s="111">
        <v>50000</v>
      </c>
      <c r="R494" s="111">
        <v>5</v>
      </c>
      <c r="S494" s="111">
        <f t="shared" si="69"/>
        <v>5000</v>
      </c>
      <c r="T494" s="111">
        <f t="shared" si="70"/>
        <v>250000</v>
      </c>
      <c r="U494" s="111">
        <f t="shared" si="71"/>
        <v>2500</v>
      </c>
      <c r="V494" s="111">
        <f t="shared" si="72"/>
        <v>252500</v>
      </c>
      <c r="W494" t="s">
        <v>2953</v>
      </c>
    </row>
    <row r="495" spans="1:23" x14ac:dyDescent="0.3">
      <c r="A495" s="110">
        <v>601031</v>
      </c>
      <c r="B495" s="110" t="s">
        <v>694</v>
      </c>
      <c r="C495" s="110" t="s">
        <v>694</v>
      </c>
      <c r="D495" s="110" t="s">
        <v>694</v>
      </c>
      <c r="E495" s="110" t="s">
        <v>702</v>
      </c>
      <c r="F495" s="110" t="s">
        <v>209</v>
      </c>
      <c r="G495" s="110" t="s">
        <v>114</v>
      </c>
      <c r="H495" s="111">
        <v>342</v>
      </c>
      <c r="I495" s="111">
        <v>327</v>
      </c>
      <c r="J495" s="111">
        <v>306</v>
      </c>
      <c r="K495" s="111">
        <f t="shared" si="64"/>
        <v>325</v>
      </c>
      <c r="L495" s="111">
        <v>200000</v>
      </c>
      <c r="M495" s="111">
        <f t="shared" si="65"/>
        <v>90000</v>
      </c>
      <c r="N495" s="111">
        <f t="shared" si="66"/>
        <v>90000</v>
      </c>
      <c r="O495" s="111">
        <f t="shared" si="67"/>
        <v>18000</v>
      </c>
      <c r="P495" s="111">
        <f t="shared" si="68"/>
        <v>20000</v>
      </c>
      <c r="Q495" s="111">
        <v>50000</v>
      </c>
      <c r="R495" s="111">
        <v>5</v>
      </c>
      <c r="S495" s="111">
        <f t="shared" si="69"/>
        <v>5000</v>
      </c>
      <c r="T495" s="111">
        <f t="shared" si="70"/>
        <v>250000</v>
      </c>
      <c r="U495" s="111">
        <f t="shared" si="71"/>
        <v>2500</v>
      </c>
      <c r="V495" s="111">
        <f t="shared" si="72"/>
        <v>252500</v>
      </c>
      <c r="W495" t="s">
        <v>2954</v>
      </c>
    </row>
    <row r="496" spans="1:23" x14ac:dyDescent="0.3">
      <c r="A496" s="110">
        <v>601035</v>
      </c>
      <c r="B496" s="110" t="s">
        <v>694</v>
      </c>
      <c r="C496" s="110" t="s">
        <v>694</v>
      </c>
      <c r="D496" s="110" t="s">
        <v>694</v>
      </c>
      <c r="E496" s="110" t="s">
        <v>536</v>
      </c>
      <c r="F496" s="110" t="s">
        <v>209</v>
      </c>
      <c r="G496" s="110" t="s">
        <v>114</v>
      </c>
      <c r="H496" s="111">
        <v>369</v>
      </c>
      <c r="I496" s="111">
        <v>356</v>
      </c>
      <c r="J496" s="111">
        <v>355</v>
      </c>
      <c r="K496" s="111">
        <f t="shared" si="64"/>
        <v>360</v>
      </c>
      <c r="L496" s="111">
        <v>200000</v>
      </c>
      <c r="M496" s="111">
        <f t="shared" si="65"/>
        <v>90000</v>
      </c>
      <c r="N496" s="111">
        <f t="shared" si="66"/>
        <v>90000</v>
      </c>
      <c r="O496" s="111">
        <f t="shared" si="67"/>
        <v>18000</v>
      </c>
      <c r="P496" s="111">
        <f t="shared" si="68"/>
        <v>20000</v>
      </c>
      <c r="Q496" s="111">
        <v>50000</v>
      </c>
      <c r="R496" s="111">
        <v>5</v>
      </c>
      <c r="S496" s="111">
        <f t="shared" si="69"/>
        <v>5000</v>
      </c>
      <c r="T496" s="111">
        <f t="shared" si="70"/>
        <v>250000</v>
      </c>
      <c r="U496" s="111">
        <f t="shared" si="71"/>
        <v>2500</v>
      </c>
      <c r="V496" s="111">
        <f t="shared" si="72"/>
        <v>252500</v>
      </c>
      <c r="W496" t="s">
        <v>2955</v>
      </c>
    </row>
    <row r="497" spans="1:23" x14ac:dyDescent="0.3">
      <c r="A497" s="110">
        <v>601037</v>
      </c>
      <c r="B497" s="110" t="s">
        <v>694</v>
      </c>
      <c r="C497" s="110" t="s">
        <v>694</v>
      </c>
      <c r="D497" s="110" t="s">
        <v>694</v>
      </c>
      <c r="E497" s="110" t="s">
        <v>703</v>
      </c>
      <c r="F497" s="110" t="s">
        <v>209</v>
      </c>
      <c r="G497" s="110" t="s">
        <v>114</v>
      </c>
      <c r="H497" s="111">
        <v>360</v>
      </c>
      <c r="I497" s="111">
        <v>364</v>
      </c>
      <c r="J497" s="111">
        <v>357</v>
      </c>
      <c r="K497" s="111">
        <f t="shared" si="64"/>
        <v>360.33333333333331</v>
      </c>
      <c r="L497" s="111">
        <v>200000</v>
      </c>
      <c r="M497" s="111">
        <f t="shared" si="65"/>
        <v>90000</v>
      </c>
      <c r="N497" s="111">
        <f t="shared" si="66"/>
        <v>90000</v>
      </c>
      <c r="O497" s="111">
        <f t="shared" si="67"/>
        <v>18000</v>
      </c>
      <c r="P497" s="111">
        <f t="shared" si="68"/>
        <v>20000</v>
      </c>
      <c r="Q497" s="111">
        <v>50000</v>
      </c>
      <c r="R497" s="111">
        <v>5</v>
      </c>
      <c r="S497" s="111">
        <f t="shared" si="69"/>
        <v>5000</v>
      </c>
      <c r="T497" s="111">
        <f t="shared" si="70"/>
        <v>250000</v>
      </c>
      <c r="U497" s="111">
        <f t="shared" si="71"/>
        <v>2500</v>
      </c>
      <c r="V497" s="111">
        <f t="shared" si="72"/>
        <v>252500</v>
      </c>
      <c r="W497" t="s">
        <v>2956</v>
      </c>
    </row>
    <row r="498" spans="1:23" x14ac:dyDescent="0.3">
      <c r="A498" s="110">
        <v>601040</v>
      </c>
      <c r="B498" s="110" t="s">
        <v>694</v>
      </c>
      <c r="C498" s="110" t="s">
        <v>694</v>
      </c>
      <c r="D498" s="110" t="s">
        <v>704</v>
      </c>
      <c r="E498" s="110" t="s">
        <v>705</v>
      </c>
      <c r="F498" s="110" t="s">
        <v>168</v>
      </c>
      <c r="G498" s="110" t="s">
        <v>114</v>
      </c>
      <c r="H498" s="111">
        <v>128</v>
      </c>
      <c r="I498" s="111">
        <v>140</v>
      </c>
      <c r="J498" s="111">
        <v>133</v>
      </c>
      <c r="K498" s="111">
        <f t="shared" si="64"/>
        <v>133.66666666666666</v>
      </c>
      <c r="L498" s="111">
        <v>150000</v>
      </c>
      <c r="M498" s="111">
        <f t="shared" si="65"/>
        <v>67500</v>
      </c>
      <c r="N498" s="111">
        <f t="shared" si="66"/>
        <v>67500</v>
      </c>
      <c r="O498" s="111">
        <f t="shared" si="67"/>
        <v>13500</v>
      </c>
      <c r="P498" s="111">
        <f t="shared" si="68"/>
        <v>15000</v>
      </c>
      <c r="Q498" s="111">
        <v>30000</v>
      </c>
      <c r="R498" s="111">
        <v>3</v>
      </c>
      <c r="S498" s="111">
        <f t="shared" si="69"/>
        <v>3000</v>
      </c>
      <c r="T498" s="111">
        <f t="shared" si="70"/>
        <v>180000</v>
      </c>
      <c r="U498" s="111">
        <f t="shared" si="71"/>
        <v>1800</v>
      </c>
      <c r="V498" s="111">
        <f t="shared" si="72"/>
        <v>181800</v>
      </c>
      <c r="W498" t="s">
        <v>2957</v>
      </c>
    </row>
    <row r="499" spans="1:23" x14ac:dyDescent="0.3">
      <c r="A499" s="110">
        <v>601071</v>
      </c>
      <c r="B499" s="110" t="s">
        <v>694</v>
      </c>
      <c r="C499" s="110" t="s">
        <v>706</v>
      </c>
      <c r="D499" s="110" t="s">
        <v>706</v>
      </c>
      <c r="E499" s="110" t="s">
        <v>282</v>
      </c>
      <c r="F499" s="110" t="s">
        <v>209</v>
      </c>
      <c r="G499" s="110" t="s">
        <v>114</v>
      </c>
      <c r="H499" s="111">
        <v>54</v>
      </c>
      <c r="I499" s="111">
        <v>49</v>
      </c>
      <c r="J499" s="111">
        <v>52</v>
      </c>
      <c r="K499" s="111">
        <f t="shared" si="64"/>
        <v>51.666666666666664</v>
      </c>
      <c r="L499" s="111">
        <v>150000</v>
      </c>
      <c r="M499" s="111">
        <f t="shared" si="65"/>
        <v>67500</v>
      </c>
      <c r="N499" s="111">
        <f t="shared" si="66"/>
        <v>67500</v>
      </c>
      <c r="O499" s="111">
        <f t="shared" si="67"/>
        <v>13500</v>
      </c>
      <c r="P499" s="111">
        <f t="shared" si="68"/>
        <v>15000</v>
      </c>
      <c r="Q499" s="111">
        <v>30000</v>
      </c>
      <c r="R499" s="111">
        <v>3</v>
      </c>
      <c r="S499" s="111">
        <f t="shared" si="69"/>
        <v>3000</v>
      </c>
      <c r="T499" s="111">
        <f t="shared" si="70"/>
        <v>180000</v>
      </c>
      <c r="U499" s="111">
        <f t="shared" si="71"/>
        <v>1800</v>
      </c>
      <c r="V499" s="111">
        <f t="shared" si="72"/>
        <v>181800</v>
      </c>
      <c r="W499" t="s">
        <v>2958</v>
      </c>
    </row>
    <row r="500" spans="1:23" x14ac:dyDescent="0.3">
      <c r="A500" s="110">
        <v>601110</v>
      </c>
      <c r="B500" s="110" t="s">
        <v>694</v>
      </c>
      <c r="C500" s="110" t="s">
        <v>707</v>
      </c>
      <c r="D500" s="110" t="s">
        <v>707</v>
      </c>
      <c r="E500" s="110" t="s">
        <v>708</v>
      </c>
      <c r="F500" s="110" t="s">
        <v>209</v>
      </c>
      <c r="G500" s="110" t="s">
        <v>114</v>
      </c>
      <c r="H500" s="111">
        <v>110</v>
      </c>
      <c r="I500" s="111">
        <v>106</v>
      </c>
      <c r="J500" s="111">
        <v>111</v>
      </c>
      <c r="K500" s="111">
        <f t="shared" si="64"/>
        <v>109</v>
      </c>
      <c r="L500" s="111">
        <v>150000</v>
      </c>
      <c r="M500" s="111">
        <f t="shared" si="65"/>
        <v>67500</v>
      </c>
      <c r="N500" s="111">
        <f t="shared" si="66"/>
        <v>67500</v>
      </c>
      <c r="O500" s="111">
        <f t="shared" si="67"/>
        <v>13500</v>
      </c>
      <c r="P500" s="111">
        <f t="shared" si="68"/>
        <v>15000</v>
      </c>
      <c r="Q500" s="111">
        <v>30000</v>
      </c>
      <c r="R500" s="111">
        <v>3</v>
      </c>
      <c r="S500" s="111">
        <f t="shared" si="69"/>
        <v>3000</v>
      </c>
      <c r="T500" s="111">
        <f t="shared" si="70"/>
        <v>180000</v>
      </c>
      <c r="U500" s="111">
        <f t="shared" si="71"/>
        <v>1800</v>
      </c>
      <c r="V500" s="111">
        <f t="shared" si="72"/>
        <v>181800</v>
      </c>
      <c r="W500" t="s">
        <v>2959</v>
      </c>
    </row>
    <row r="501" spans="1:23" x14ac:dyDescent="0.3">
      <c r="A501" s="110">
        <v>601111</v>
      </c>
      <c r="B501" s="110" t="s">
        <v>694</v>
      </c>
      <c r="C501" s="110" t="s">
        <v>707</v>
      </c>
      <c r="D501" s="110" t="s">
        <v>707</v>
      </c>
      <c r="E501" s="110" t="s">
        <v>709</v>
      </c>
      <c r="F501" s="110" t="s">
        <v>209</v>
      </c>
      <c r="G501" s="110" t="s">
        <v>114</v>
      </c>
      <c r="H501" s="111">
        <v>35</v>
      </c>
      <c r="I501" s="111">
        <v>43</v>
      </c>
      <c r="J501" s="111">
        <v>38</v>
      </c>
      <c r="K501" s="111">
        <f t="shared" si="64"/>
        <v>38.666666666666664</v>
      </c>
      <c r="L501" s="111">
        <v>50000</v>
      </c>
      <c r="M501" s="111">
        <f t="shared" si="65"/>
        <v>22500</v>
      </c>
      <c r="N501" s="111">
        <f t="shared" si="66"/>
        <v>22500</v>
      </c>
      <c r="O501" s="111">
        <f t="shared" si="67"/>
        <v>4500</v>
      </c>
      <c r="P501" s="111">
        <f t="shared" si="68"/>
        <v>5000</v>
      </c>
      <c r="Q501" s="111">
        <v>10000</v>
      </c>
      <c r="R501" s="111">
        <v>1</v>
      </c>
      <c r="S501" s="111">
        <f t="shared" si="69"/>
        <v>1000</v>
      </c>
      <c r="T501" s="111">
        <f t="shared" si="70"/>
        <v>60000</v>
      </c>
      <c r="U501" s="111">
        <f t="shared" si="71"/>
        <v>600</v>
      </c>
      <c r="V501" s="111">
        <f t="shared" si="72"/>
        <v>60600</v>
      </c>
      <c r="W501" t="s">
        <v>2960</v>
      </c>
    </row>
    <row r="502" spans="1:23" x14ac:dyDescent="0.3">
      <c r="A502" s="110">
        <v>601113</v>
      </c>
      <c r="B502" s="110" t="s">
        <v>694</v>
      </c>
      <c r="C502" s="110" t="s">
        <v>707</v>
      </c>
      <c r="D502" s="110" t="s">
        <v>710</v>
      </c>
      <c r="E502" s="110" t="s">
        <v>184</v>
      </c>
      <c r="F502" s="110" t="s">
        <v>113</v>
      </c>
      <c r="G502" s="110" t="s">
        <v>114</v>
      </c>
      <c r="H502" s="111">
        <v>89</v>
      </c>
      <c r="I502" s="111">
        <v>96</v>
      </c>
      <c r="J502" s="111">
        <v>90</v>
      </c>
      <c r="K502" s="111">
        <f t="shared" si="64"/>
        <v>91.666666666666671</v>
      </c>
      <c r="L502" s="111">
        <v>150000</v>
      </c>
      <c r="M502" s="111">
        <f t="shared" si="65"/>
        <v>67500</v>
      </c>
      <c r="N502" s="111">
        <f t="shared" si="66"/>
        <v>67500</v>
      </c>
      <c r="O502" s="111">
        <f t="shared" si="67"/>
        <v>13500</v>
      </c>
      <c r="P502" s="111">
        <f t="shared" si="68"/>
        <v>15000</v>
      </c>
      <c r="Q502" s="111">
        <v>30000</v>
      </c>
      <c r="R502" s="111">
        <v>3</v>
      </c>
      <c r="S502" s="111">
        <f t="shared" si="69"/>
        <v>3000</v>
      </c>
      <c r="T502" s="111">
        <f t="shared" si="70"/>
        <v>180000</v>
      </c>
      <c r="U502" s="111">
        <f t="shared" si="71"/>
        <v>1800</v>
      </c>
      <c r="V502" s="111">
        <f t="shared" si="72"/>
        <v>181800</v>
      </c>
      <c r="W502" t="s">
        <v>2961</v>
      </c>
    </row>
    <row r="503" spans="1:23" x14ac:dyDescent="0.3">
      <c r="A503" s="110">
        <v>601119</v>
      </c>
      <c r="B503" s="110" t="s">
        <v>694</v>
      </c>
      <c r="C503" s="110" t="s">
        <v>711</v>
      </c>
      <c r="D503" s="110" t="s">
        <v>711</v>
      </c>
      <c r="E503" s="110" t="s">
        <v>712</v>
      </c>
      <c r="F503" s="110" t="s">
        <v>209</v>
      </c>
      <c r="G503" s="110" t="s">
        <v>114</v>
      </c>
      <c r="H503" s="111">
        <v>165</v>
      </c>
      <c r="I503" s="111">
        <v>151</v>
      </c>
      <c r="J503" s="111">
        <v>142</v>
      </c>
      <c r="K503" s="111">
        <f t="shared" si="64"/>
        <v>152.66666666666666</v>
      </c>
      <c r="L503" s="111">
        <v>150000</v>
      </c>
      <c r="M503" s="111">
        <f t="shared" si="65"/>
        <v>67500</v>
      </c>
      <c r="N503" s="111">
        <f t="shared" si="66"/>
        <v>67500</v>
      </c>
      <c r="O503" s="111">
        <f t="shared" si="67"/>
        <v>13500</v>
      </c>
      <c r="P503" s="111">
        <f t="shared" si="68"/>
        <v>15000</v>
      </c>
      <c r="Q503" s="111">
        <v>30000</v>
      </c>
      <c r="R503" s="111">
        <v>3</v>
      </c>
      <c r="S503" s="111">
        <f t="shared" si="69"/>
        <v>3000</v>
      </c>
      <c r="T503" s="111">
        <f t="shared" si="70"/>
        <v>180000</v>
      </c>
      <c r="U503" s="111">
        <f t="shared" si="71"/>
        <v>1800</v>
      </c>
      <c r="V503" s="111">
        <f t="shared" si="72"/>
        <v>181800</v>
      </c>
      <c r="W503" t="s">
        <v>2962</v>
      </c>
    </row>
    <row r="504" spans="1:23" x14ac:dyDescent="0.3">
      <c r="A504" s="110">
        <v>602001</v>
      </c>
      <c r="B504" s="110" t="s">
        <v>694</v>
      </c>
      <c r="C504" s="110" t="s">
        <v>713</v>
      </c>
      <c r="D504" s="110" t="s">
        <v>714</v>
      </c>
      <c r="E504" s="110" t="s">
        <v>715</v>
      </c>
      <c r="F504" s="110" t="s">
        <v>113</v>
      </c>
      <c r="G504" s="110" t="s">
        <v>114</v>
      </c>
      <c r="H504" s="111">
        <v>80</v>
      </c>
      <c r="I504" s="111">
        <v>67</v>
      </c>
      <c r="J504" s="111">
        <v>83</v>
      </c>
      <c r="K504" s="111">
        <f t="shared" si="64"/>
        <v>76.666666666666671</v>
      </c>
      <c r="L504" s="111">
        <v>150000</v>
      </c>
      <c r="M504" s="111">
        <f t="shared" si="65"/>
        <v>67500</v>
      </c>
      <c r="N504" s="111">
        <f t="shared" si="66"/>
        <v>67500</v>
      </c>
      <c r="O504" s="111">
        <f t="shared" si="67"/>
        <v>13500</v>
      </c>
      <c r="P504" s="111">
        <f t="shared" si="68"/>
        <v>15000</v>
      </c>
      <c r="Q504" s="111">
        <v>30000</v>
      </c>
      <c r="R504" s="111">
        <v>3</v>
      </c>
      <c r="S504" s="111">
        <f t="shared" si="69"/>
        <v>3000</v>
      </c>
      <c r="T504" s="111">
        <f t="shared" si="70"/>
        <v>180000</v>
      </c>
      <c r="U504" s="111">
        <f t="shared" si="71"/>
        <v>1800</v>
      </c>
      <c r="V504" s="111">
        <f t="shared" si="72"/>
        <v>181800</v>
      </c>
      <c r="W504" t="s">
        <v>2963</v>
      </c>
    </row>
    <row r="505" spans="1:23" x14ac:dyDescent="0.3">
      <c r="A505" s="110">
        <v>602002</v>
      </c>
      <c r="B505" s="110" t="s">
        <v>694</v>
      </c>
      <c r="C505" s="110" t="s">
        <v>713</v>
      </c>
      <c r="D505" s="110" t="s">
        <v>716</v>
      </c>
      <c r="E505" s="110" t="s">
        <v>143</v>
      </c>
      <c r="F505" s="110" t="s">
        <v>113</v>
      </c>
      <c r="G505" s="110" t="s">
        <v>114</v>
      </c>
      <c r="H505" s="111">
        <v>154</v>
      </c>
      <c r="I505" s="111">
        <v>166</v>
      </c>
      <c r="J505" s="111">
        <v>147</v>
      </c>
      <c r="K505" s="111">
        <f t="shared" si="64"/>
        <v>155.66666666666666</v>
      </c>
      <c r="L505" s="111">
        <v>150000</v>
      </c>
      <c r="M505" s="111">
        <f t="shared" si="65"/>
        <v>67500</v>
      </c>
      <c r="N505" s="111">
        <f t="shared" si="66"/>
        <v>67500</v>
      </c>
      <c r="O505" s="111">
        <f t="shared" si="67"/>
        <v>13500</v>
      </c>
      <c r="P505" s="111">
        <f t="shared" si="68"/>
        <v>15000</v>
      </c>
      <c r="Q505" s="111">
        <v>30000</v>
      </c>
      <c r="R505" s="111">
        <v>3</v>
      </c>
      <c r="S505" s="111">
        <f t="shared" si="69"/>
        <v>3000</v>
      </c>
      <c r="T505" s="111">
        <f t="shared" si="70"/>
        <v>180000</v>
      </c>
      <c r="U505" s="111">
        <f t="shared" si="71"/>
        <v>1800</v>
      </c>
      <c r="V505" s="111">
        <f t="shared" si="72"/>
        <v>181800</v>
      </c>
      <c r="W505" t="s">
        <v>2964</v>
      </c>
    </row>
    <row r="506" spans="1:23" x14ac:dyDescent="0.3">
      <c r="A506" s="110">
        <v>602003</v>
      </c>
      <c r="B506" s="110" t="s">
        <v>694</v>
      </c>
      <c r="C506" s="110" t="s">
        <v>713</v>
      </c>
      <c r="D506" s="110" t="s">
        <v>713</v>
      </c>
      <c r="E506" s="110" t="s">
        <v>390</v>
      </c>
      <c r="F506" s="110" t="s">
        <v>113</v>
      </c>
      <c r="G506" s="110" t="s">
        <v>114</v>
      </c>
      <c r="H506" s="111">
        <v>153</v>
      </c>
      <c r="I506" s="111">
        <v>154</v>
      </c>
      <c r="J506" s="111">
        <v>163</v>
      </c>
      <c r="K506" s="111">
        <f t="shared" si="64"/>
        <v>156.66666666666666</v>
      </c>
      <c r="L506" s="111">
        <v>150000</v>
      </c>
      <c r="M506" s="111">
        <f t="shared" si="65"/>
        <v>67500</v>
      </c>
      <c r="N506" s="111">
        <f t="shared" si="66"/>
        <v>67500</v>
      </c>
      <c r="O506" s="111">
        <f t="shared" si="67"/>
        <v>13500</v>
      </c>
      <c r="P506" s="111">
        <f t="shared" si="68"/>
        <v>15000</v>
      </c>
      <c r="Q506" s="111">
        <v>30000</v>
      </c>
      <c r="R506" s="111">
        <v>3</v>
      </c>
      <c r="S506" s="111">
        <f t="shared" si="69"/>
        <v>3000</v>
      </c>
      <c r="T506" s="111">
        <f t="shared" si="70"/>
        <v>180000</v>
      </c>
      <c r="U506" s="111">
        <f t="shared" si="71"/>
        <v>1800</v>
      </c>
      <c r="V506" s="111">
        <f t="shared" si="72"/>
        <v>181800</v>
      </c>
      <c r="W506" t="s">
        <v>2965</v>
      </c>
    </row>
    <row r="507" spans="1:23" x14ac:dyDescent="0.3">
      <c r="A507" s="110">
        <v>602018</v>
      </c>
      <c r="B507" s="110" t="s">
        <v>694</v>
      </c>
      <c r="C507" s="110" t="s">
        <v>696</v>
      </c>
      <c r="D507" s="110" t="s">
        <v>717</v>
      </c>
      <c r="E507" s="110" t="s">
        <v>241</v>
      </c>
      <c r="F507" s="110" t="s">
        <v>113</v>
      </c>
      <c r="G507" s="110" t="s">
        <v>114</v>
      </c>
      <c r="H507" s="111">
        <v>118</v>
      </c>
      <c r="I507" s="111">
        <v>101</v>
      </c>
      <c r="J507" s="111">
        <v>98</v>
      </c>
      <c r="K507" s="111">
        <f t="shared" si="64"/>
        <v>105.66666666666667</v>
      </c>
      <c r="L507" s="111">
        <v>150000</v>
      </c>
      <c r="M507" s="111">
        <f t="shared" si="65"/>
        <v>67500</v>
      </c>
      <c r="N507" s="111">
        <f t="shared" si="66"/>
        <v>67500</v>
      </c>
      <c r="O507" s="111">
        <f t="shared" si="67"/>
        <v>13500</v>
      </c>
      <c r="P507" s="111">
        <f t="shared" si="68"/>
        <v>15000</v>
      </c>
      <c r="Q507" s="111">
        <v>30000</v>
      </c>
      <c r="R507" s="111">
        <v>3</v>
      </c>
      <c r="S507" s="111">
        <f t="shared" si="69"/>
        <v>3000</v>
      </c>
      <c r="T507" s="111">
        <f t="shared" si="70"/>
        <v>180000</v>
      </c>
      <c r="U507" s="111">
        <f t="shared" si="71"/>
        <v>1800</v>
      </c>
      <c r="V507" s="111">
        <f t="shared" si="72"/>
        <v>181800</v>
      </c>
      <c r="W507" t="s">
        <v>2966</v>
      </c>
    </row>
    <row r="508" spans="1:23" x14ac:dyDescent="0.3">
      <c r="A508" s="110">
        <v>602022</v>
      </c>
      <c r="B508" s="110" t="s">
        <v>694</v>
      </c>
      <c r="C508" s="110" t="s">
        <v>696</v>
      </c>
      <c r="D508" s="110" t="s">
        <v>718</v>
      </c>
      <c r="E508" s="110" t="s">
        <v>272</v>
      </c>
      <c r="F508" s="110" t="s">
        <v>119</v>
      </c>
      <c r="G508" s="110" t="s">
        <v>114</v>
      </c>
      <c r="H508" s="111">
        <v>244</v>
      </c>
      <c r="I508" s="111">
        <v>257</v>
      </c>
      <c r="J508" s="111">
        <v>260</v>
      </c>
      <c r="K508" s="111">
        <f t="shared" si="64"/>
        <v>253.66666666666666</v>
      </c>
      <c r="L508" s="111">
        <v>200000</v>
      </c>
      <c r="M508" s="111">
        <f t="shared" si="65"/>
        <v>90000</v>
      </c>
      <c r="N508" s="111">
        <f t="shared" si="66"/>
        <v>90000</v>
      </c>
      <c r="O508" s="111">
        <f t="shared" si="67"/>
        <v>18000</v>
      </c>
      <c r="P508" s="111">
        <f t="shared" si="68"/>
        <v>20000</v>
      </c>
      <c r="Q508" s="111">
        <v>50000</v>
      </c>
      <c r="R508" s="111">
        <v>5</v>
      </c>
      <c r="S508" s="111">
        <f t="shared" si="69"/>
        <v>5000</v>
      </c>
      <c r="T508" s="111">
        <f t="shared" si="70"/>
        <v>250000</v>
      </c>
      <c r="U508" s="111">
        <f t="shared" si="71"/>
        <v>2500</v>
      </c>
      <c r="V508" s="111">
        <f t="shared" si="72"/>
        <v>252500</v>
      </c>
      <c r="W508" t="s">
        <v>2967</v>
      </c>
    </row>
    <row r="509" spans="1:23" x14ac:dyDescent="0.3">
      <c r="A509" s="110">
        <v>602041</v>
      </c>
      <c r="B509" s="110" t="s">
        <v>694</v>
      </c>
      <c r="C509" s="110" t="s">
        <v>694</v>
      </c>
      <c r="D509" s="110" t="s">
        <v>694</v>
      </c>
      <c r="E509" s="110" t="s">
        <v>319</v>
      </c>
      <c r="F509" s="110" t="s">
        <v>113</v>
      </c>
      <c r="G509" s="110" t="s">
        <v>114</v>
      </c>
      <c r="H509" s="111">
        <v>263</v>
      </c>
      <c r="I509" s="111">
        <v>273</v>
      </c>
      <c r="J509" s="111">
        <v>261</v>
      </c>
      <c r="K509" s="111">
        <f t="shared" si="64"/>
        <v>265.66666666666669</v>
      </c>
      <c r="L509" s="111">
        <v>200000</v>
      </c>
      <c r="M509" s="111">
        <f t="shared" si="65"/>
        <v>90000</v>
      </c>
      <c r="N509" s="111">
        <f t="shared" si="66"/>
        <v>90000</v>
      </c>
      <c r="O509" s="111">
        <f t="shared" si="67"/>
        <v>18000</v>
      </c>
      <c r="P509" s="111">
        <f t="shared" si="68"/>
        <v>20000</v>
      </c>
      <c r="Q509" s="111">
        <v>50000</v>
      </c>
      <c r="R509" s="111">
        <v>5</v>
      </c>
      <c r="S509" s="111">
        <f t="shared" si="69"/>
        <v>5000</v>
      </c>
      <c r="T509" s="111">
        <f t="shared" si="70"/>
        <v>250000</v>
      </c>
      <c r="U509" s="111">
        <f t="shared" si="71"/>
        <v>2500</v>
      </c>
      <c r="V509" s="111">
        <f t="shared" si="72"/>
        <v>252500</v>
      </c>
      <c r="W509" t="s">
        <v>2968</v>
      </c>
    </row>
    <row r="510" spans="1:23" x14ac:dyDescent="0.3">
      <c r="A510" s="110">
        <v>602042</v>
      </c>
      <c r="B510" s="110" t="s">
        <v>694</v>
      </c>
      <c r="C510" s="110" t="s">
        <v>694</v>
      </c>
      <c r="D510" s="110" t="s">
        <v>694</v>
      </c>
      <c r="E510" s="110" t="s">
        <v>719</v>
      </c>
      <c r="F510" s="110" t="s">
        <v>113</v>
      </c>
      <c r="G510" s="110" t="s">
        <v>114</v>
      </c>
      <c r="H510" s="111">
        <v>110</v>
      </c>
      <c r="I510" s="111">
        <v>116</v>
      </c>
      <c r="J510" s="111">
        <v>121</v>
      </c>
      <c r="K510" s="111">
        <f t="shared" si="64"/>
        <v>115.66666666666667</v>
      </c>
      <c r="L510" s="111">
        <v>150000</v>
      </c>
      <c r="M510" s="111">
        <f t="shared" si="65"/>
        <v>67500</v>
      </c>
      <c r="N510" s="111">
        <f t="shared" si="66"/>
        <v>67500</v>
      </c>
      <c r="O510" s="111">
        <f t="shared" si="67"/>
        <v>13500</v>
      </c>
      <c r="P510" s="111">
        <f t="shared" si="68"/>
        <v>15000</v>
      </c>
      <c r="Q510" s="111">
        <v>30000</v>
      </c>
      <c r="R510" s="111">
        <v>3</v>
      </c>
      <c r="S510" s="111">
        <f t="shared" si="69"/>
        <v>3000</v>
      </c>
      <c r="T510" s="111">
        <f t="shared" si="70"/>
        <v>180000</v>
      </c>
      <c r="U510" s="111">
        <f t="shared" si="71"/>
        <v>1800</v>
      </c>
      <c r="V510" s="111">
        <f t="shared" si="72"/>
        <v>181800</v>
      </c>
      <c r="W510" t="s">
        <v>2969</v>
      </c>
    </row>
    <row r="511" spans="1:23" x14ac:dyDescent="0.3">
      <c r="A511" s="110">
        <v>602045</v>
      </c>
      <c r="B511" s="110" t="s">
        <v>694</v>
      </c>
      <c r="C511" s="110" t="s">
        <v>694</v>
      </c>
      <c r="D511" s="110" t="s">
        <v>720</v>
      </c>
      <c r="E511" s="110" t="s">
        <v>721</v>
      </c>
      <c r="F511" s="110" t="s">
        <v>168</v>
      </c>
      <c r="G511" s="110" t="s">
        <v>114</v>
      </c>
      <c r="H511" s="111">
        <v>122</v>
      </c>
      <c r="I511" s="111">
        <v>132</v>
      </c>
      <c r="J511" s="111">
        <v>137</v>
      </c>
      <c r="K511" s="111">
        <f t="shared" si="64"/>
        <v>130.33333333333334</v>
      </c>
      <c r="L511" s="111">
        <f>150000*0.7</f>
        <v>105000</v>
      </c>
      <c r="M511" s="111">
        <f t="shared" si="65"/>
        <v>47250</v>
      </c>
      <c r="N511" s="111">
        <f t="shared" si="66"/>
        <v>47250</v>
      </c>
      <c r="O511" s="111">
        <f t="shared" si="67"/>
        <v>9450</v>
      </c>
      <c r="P511" s="111">
        <f t="shared" si="68"/>
        <v>10500</v>
      </c>
      <c r="Q511" s="111">
        <v>30000</v>
      </c>
      <c r="R511" s="111">
        <v>3</v>
      </c>
      <c r="S511" s="111">
        <f t="shared" si="69"/>
        <v>3000</v>
      </c>
      <c r="T511" s="111">
        <f t="shared" si="70"/>
        <v>135000</v>
      </c>
      <c r="U511" s="111">
        <f t="shared" si="71"/>
        <v>1350</v>
      </c>
      <c r="V511" s="111">
        <f t="shared" si="72"/>
        <v>136350</v>
      </c>
      <c r="W511" t="s">
        <v>2970</v>
      </c>
    </row>
    <row r="512" spans="1:23" x14ac:dyDescent="0.3">
      <c r="A512" s="110">
        <v>602052</v>
      </c>
      <c r="B512" s="110" t="s">
        <v>694</v>
      </c>
      <c r="C512" s="110" t="s">
        <v>694</v>
      </c>
      <c r="D512" s="110" t="s">
        <v>722</v>
      </c>
      <c r="E512" s="110" t="s">
        <v>172</v>
      </c>
      <c r="F512" s="110" t="s">
        <v>168</v>
      </c>
      <c r="G512" s="110" t="s">
        <v>114</v>
      </c>
      <c r="H512" s="111">
        <v>126</v>
      </c>
      <c r="I512" s="111">
        <v>134</v>
      </c>
      <c r="J512" s="111">
        <v>124</v>
      </c>
      <c r="K512" s="111">
        <f t="shared" si="64"/>
        <v>128</v>
      </c>
      <c r="L512" s="111">
        <v>150000</v>
      </c>
      <c r="M512" s="111">
        <f t="shared" si="65"/>
        <v>67500</v>
      </c>
      <c r="N512" s="111">
        <f t="shared" si="66"/>
        <v>67500</v>
      </c>
      <c r="O512" s="111">
        <f t="shared" si="67"/>
        <v>13500</v>
      </c>
      <c r="P512" s="111">
        <f t="shared" si="68"/>
        <v>15000</v>
      </c>
      <c r="Q512" s="111">
        <v>30000</v>
      </c>
      <c r="R512" s="111">
        <v>3</v>
      </c>
      <c r="S512" s="111">
        <f t="shared" si="69"/>
        <v>3000</v>
      </c>
      <c r="T512" s="111">
        <f t="shared" si="70"/>
        <v>180000</v>
      </c>
      <c r="U512" s="111">
        <f t="shared" si="71"/>
        <v>1800</v>
      </c>
      <c r="V512" s="111">
        <f t="shared" si="72"/>
        <v>181800</v>
      </c>
      <c r="W512" t="s">
        <v>2971</v>
      </c>
    </row>
    <row r="513" spans="1:23" x14ac:dyDescent="0.3">
      <c r="A513" s="110">
        <v>602062</v>
      </c>
      <c r="B513" s="110" t="s">
        <v>694</v>
      </c>
      <c r="C513" s="110" t="s">
        <v>694</v>
      </c>
      <c r="D513" s="110" t="s">
        <v>694</v>
      </c>
      <c r="E513" s="110" t="s">
        <v>723</v>
      </c>
      <c r="F513" s="110" t="s">
        <v>122</v>
      </c>
      <c r="G513" s="110" t="s">
        <v>114</v>
      </c>
      <c r="H513" s="111">
        <v>830</v>
      </c>
      <c r="I513" s="111">
        <v>779</v>
      </c>
      <c r="J513" s="111">
        <v>728</v>
      </c>
      <c r="K513" s="111">
        <f t="shared" si="64"/>
        <v>779</v>
      </c>
      <c r="L513" s="111">
        <f>300000</f>
        <v>300000</v>
      </c>
      <c r="M513" s="111">
        <f t="shared" si="65"/>
        <v>135000</v>
      </c>
      <c r="N513" s="111">
        <f t="shared" si="66"/>
        <v>135000</v>
      </c>
      <c r="O513" s="111">
        <f t="shared" si="67"/>
        <v>27000</v>
      </c>
      <c r="P513" s="111">
        <f t="shared" si="68"/>
        <v>30000</v>
      </c>
      <c r="Q513" s="111">
        <v>60000</v>
      </c>
      <c r="R513" s="111">
        <v>6</v>
      </c>
      <c r="S513" s="111">
        <f t="shared" si="69"/>
        <v>6000</v>
      </c>
      <c r="T513" s="111">
        <f t="shared" si="70"/>
        <v>360000</v>
      </c>
      <c r="U513" s="111">
        <f t="shared" si="71"/>
        <v>3600</v>
      </c>
      <c r="V513" s="111">
        <f t="shared" si="72"/>
        <v>363600</v>
      </c>
      <c r="W513" t="s">
        <v>2972</v>
      </c>
    </row>
    <row r="514" spans="1:23" x14ac:dyDescent="0.3">
      <c r="A514" s="110">
        <v>602073</v>
      </c>
      <c r="B514" s="110" t="s">
        <v>694</v>
      </c>
      <c r="C514" s="110" t="s">
        <v>706</v>
      </c>
      <c r="D514" s="110" t="s">
        <v>724</v>
      </c>
      <c r="E514" s="110" t="s">
        <v>177</v>
      </c>
      <c r="F514" s="110" t="s">
        <v>119</v>
      </c>
      <c r="G514" s="110" t="s">
        <v>114</v>
      </c>
      <c r="H514" s="111">
        <v>401</v>
      </c>
      <c r="I514" s="111">
        <v>385</v>
      </c>
      <c r="J514" s="111">
        <v>395</v>
      </c>
      <c r="K514" s="111">
        <f t="shared" ref="K514:K577" si="73">+(H514+I514+J514)/3</f>
        <v>393.66666666666669</v>
      </c>
      <c r="L514" s="111">
        <v>200000</v>
      </c>
      <c r="M514" s="111">
        <f t="shared" ref="M514:M577" si="74">+L514*0.45</f>
        <v>90000</v>
      </c>
      <c r="N514" s="111">
        <f t="shared" ref="N514:N577" si="75">+L514*0.45</f>
        <v>90000</v>
      </c>
      <c r="O514" s="111">
        <f t="shared" ref="O514:O577" si="76">+N514*0.2</f>
        <v>18000</v>
      </c>
      <c r="P514" s="111">
        <f t="shared" ref="P514:P577" si="77">++L514*0.1</f>
        <v>20000</v>
      </c>
      <c r="Q514" s="111">
        <v>50000</v>
      </c>
      <c r="R514" s="111">
        <v>5</v>
      </c>
      <c r="S514" s="111">
        <f t="shared" ref="S514:S577" si="78">+Q514*0.1</f>
        <v>5000</v>
      </c>
      <c r="T514" s="111">
        <f t="shared" ref="T514:T577" si="79">+L514+Q514</f>
        <v>250000</v>
      </c>
      <c r="U514" s="111">
        <f t="shared" ref="U514:U577" si="80">+T514*0.01</f>
        <v>2500</v>
      </c>
      <c r="V514" s="111">
        <f t="shared" ref="V514:V577" si="81">+T514+U514</f>
        <v>252500</v>
      </c>
      <c r="W514" t="s">
        <v>2973</v>
      </c>
    </row>
    <row r="515" spans="1:23" x14ac:dyDescent="0.3">
      <c r="A515" s="110">
        <v>602074</v>
      </c>
      <c r="B515" s="110" t="s">
        <v>694</v>
      </c>
      <c r="C515" s="110" t="s">
        <v>706</v>
      </c>
      <c r="D515" s="110" t="s">
        <v>725</v>
      </c>
      <c r="E515" s="110" t="s">
        <v>672</v>
      </c>
      <c r="F515" s="110" t="s">
        <v>113</v>
      </c>
      <c r="G515" s="110" t="s">
        <v>114</v>
      </c>
      <c r="H515" s="111">
        <v>63</v>
      </c>
      <c r="I515" s="111">
        <v>63</v>
      </c>
      <c r="J515" s="111">
        <v>52</v>
      </c>
      <c r="K515" s="111">
        <f t="shared" si="73"/>
        <v>59.333333333333336</v>
      </c>
      <c r="L515" s="111">
        <v>150000</v>
      </c>
      <c r="M515" s="111">
        <f t="shared" si="74"/>
        <v>67500</v>
      </c>
      <c r="N515" s="111">
        <f t="shared" si="75"/>
        <v>67500</v>
      </c>
      <c r="O515" s="111">
        <f t="shared" si="76"/>
        <v>13500</v>
      </c>
      <c r="P515" s="111">
        <f t="shared" si="77"/>
        <v>15000</v>
      </c>
      <c r="Q515" s="111">
        <v>30000</v>
      </c>
      <c r="R515" s="111">
        <v>3</v>
      </c>
      <c r="S515" s="111">
        <f t="shared" si="78"/>
        <v>3000</v>
      </c>
      <c r="T515" s="111">
        <f t="shared" si="79"/>
        <v>180000</v>
      </c>
      <c r="U515" s="111">
        <f t="shared" si="80"/>
        <v>1800</v>
      </c>
      <c r="V515" s="111">
        <f t="shared" si="81"/>
        <v>181800</v>
      </c>
      <c r="W515" t="s">
        <v>2974</v>
      </c>
    </row>
    <row r="516" spans="1:23" x14ac:dyDescent="0.3">
      <c r="A516" s="110">
        <v>602075</v>
      </c>
      <c r="B516" s="110" t="s">
        <v>694</v>
      </c>
      <c r="C516" s="110" t="s">
        <v>706</v>
      </c>
      <c r="D516" s="110" t="s">
        <v>726</v>
      </c>
      <c r="E516" s="110" t="s">
        <v>184</v>
      </c>
      <c r="F516" s="110" t="s">
        <v>113</v>
      </c>
      <c r="G516" s="110" t="s">
        <v>114</v>
      </c>
      <c r="H516" s="111">
        <v>146</v>
      </c>
      <c r="I516" s="111">
        <v>138</v>
      </c>
      <c r="J516" s="111">
        <v>129</v>
      </c>
      <c r="K516" s="111">
        <f t="shared" si="73"/>
        <v>137.66666666666666</v>
      </c>
      <c r="L516" s="111">
        <v>150000</v>
      </c>
      <c r="M516" s="111">
        <f t="shared" si="74"/>
        <v>67500</v>
      </c>
      <c r="N516" s="111">
        <f t="shared" si="75"/>
        <v>67500</v>
      </c>
      <c r="O516" s="111">
        <f t="shared" si="76"/>
        <v>13500</v>
      </c>
      <c r="P516" s="111">
        <f t="shared" si="77"/>
        <v>15000</v>
      </c>
      <c r="Q516" s="111">
        <v>30000</v>
      </c>
      <c r="R516" s="111">
        <v>3</v>
      </c>
      <c r="S516" s="111">
        <f t="shared" si="78"/>
        <v>3000</v>
      </c>
      <c r="T516" s="111">
        <f t="shared" si="79"/>
        <v>180000</v>
      </c>
      <c r="U516" s="111">
        <f t="shared" si="80"/>
        <v>1800</v>
      </c>
      <c r="V516" s="111">
        <f t="shared" si="81"/>
        <v>181800</v>
      </c>
      <c r="W516" t="s">
        <v>2975</v>
      </c>
    </row>
    <row r="517" spans="1:23" x14ac:dyDescent="0.3">
      <c r="A517" s="110">
        <v>602083</v>
      </c>
      <c r="B517" s="110" t="s">
        <v>694</v>
      </c>
      <c r="C517" s="110" t="s">
        <v>727</v>
      </c>
      <c r="D517" s="110" t="s">
        <v>728</v>
      </c>
      <c r="E517" s="110" t="s">
        <v>409</v>
      </c>
      <c r="F517" s="110" t="s">
        <v>168</v>
      </c>
      <c r="G517" s="110" t="s">
        <v>114</v>
      </c>
      <c r="H517" s="111">
        <v>168</v>
      </c>
      <c r="I517" s="111">
        <v>157</v>
      </c>
      <c r="J517" s="111">
        <v>170</v>
      </c>
      <c r="K517" s="111">
        <f t="shared" si="73"/>
        <v>165</v>
      </c>
      <c r="L517" s="111">
        <v>150000</v>
      </c>
      <c r="M517" s="111">
        <f t="shared" si="74"/>
        <v>67500</v>
      </c>
      <c r="N517" s="111">
        <f t="shared" si="75"/>
        <v>67500</v>
      </c>
      <c r="O517" s="111">
        <f t="shared" si="76"/>
        <v>13500</v>
      </c>
      <c r="P517" s="111">
        <f t="shared" si="77"/>
        <v>15000</v>
      </c>
      <c r="Q517" s="111">
        <v>30000</v>
      </c>
      <c r="R517" s="111">
        <v>3</v>
      </c>
      <c r="S517" s="111">
        <f t="shared" si="78"/>
        <v>3000</v>
      </c>
      <c r="T517" s="111">
        <f t="shared" si="79"/>
        <v>180000</v>
      </c>
      <c r="U517" s="111">
        <f t="shared" si="80"/>
        <v>1800</v>
      </c>
      <c r="V517" s="111">
        <f t="shared" si="81"/>
        <v>181800</v>
      </c>
      <c r="W517" t="s">
        <v>2976</v>
      </c>
    </row>
    <row r="518" spans="1:23" x14ac:dyDescent="0.3">
      <c r="A518" s="110">
        <v>602084</v>
      </c>
      <c r="B518" s="110" t="s">
        <v>694</v>
      </c>
      <c r="C518" s="110" t="s">
        <v>727</v>
      </c>
      <c r="D518" s="110" t="s">
        <v>729</v>
      </c>
      <c r="E518" s="110" t="s">
        <v>319</v>
      </c>
      <c r="F518" s="110" t="s">
        <v>113</v>
      </c>
      <c r="G518" s="110" t="s">
        <v>114</v>
      </c>
      <c r="H518" s="111">
        <v>56</v>
      </c>
      <c r="I518" s="111">
        <v>56</v>
      </c>
      <c r="J518" s="111">
        <v>51</v>
      </c>
      <c r="K518" s="111">
        <f t="shared" si="73"/>
        <v>54.333333333333336</v>
      </c>
      <c r="L518" s="111">
        <v>150000</v>
      </c>
      <c r="M518" s="111">
        <f t="shared" si="74"/>
        <v>67500</v>
      </c>
      <c r="N518" s="111">
        <f t="shared" si="75"/>
        <v>67500</v>
      </c>
      <c r="O518" s="111">
        <f t="shared" si="76"/>
        <v>13500</v>
      </c>
      <c r="P518" s="111">
        <f t="shared" si="77"/>
        <v>15000</v>
      </c>
      <c r="Q518" s="111">
        <v>30000</v>
      </c>
      <c r="R518" s="111">
        <v>3</v>
      </c>
      <c r="S518" s="111">
        <f t="shared" si="78"/>
        <v>3000</v>
      </c>
      <c r="T518" s="111">
        <f t="shared" si="79"/>
        <v>180000</v>
      </c>
      <c r="U518" s="111">
        <f t="shared" si="80"/>
        <v>1800</v>
      </c>
      <c r="V518" s="111">
        <f t="shared" si="81"/>
        <v>181800</v>
      </c>
      <c r="W518" t="s">
        <v>2977</v>
      </c>
    </row>
    <row r="519" spans="1:23" x14ac:dyDescent="0.3">
      <c r="A519" s="110">
        <v>602086</v>
      </c>
      <c r="B519" s="110" t="s">
        <v>694</v>
      </c>
      <c r="C519" s="110" t="s">
        <v>727</v>
      </c>
      <c r="D519" s="110" t="s">
        <v>730</v>
      </c>
      <c r="E519" s="110" t="s">
        <v>319</v>
      </c>
      <c r="F519" s="110" t="s">
        <v>113</v>
      </c>
      <c r="G519" s="110" t="s">
        <v>114</v>
      </c>
      <c r="H519" s="111">
        <v>77</v>
      </c>
      <c r="I519" s="111">
        <v>77</v>
      </c>
      <c r="J519" s="111">
        <v>87</v>
      </c>
      <c r="K519" s="111">
        <f t="shared" si="73"/>
        <v>80.333333333333329</v>
      </c>
      <c r="L519" s="111">
        <v>150000</v>
      </c>
      <c r="M519" s="111">
        <f t="shared" si="74"/>
        <v>67500</v>
      </c>
      <c r="N519" s="111">
        <f t="shared" si="75"/>
        <v>67500</v>
      </c>
      <c r="O519" s="111">
        <f t="shared" si="76"/>
        <v>13500</v>
      </c>
      <c r="P519" s="111">
        <f t="shared" si="77"/>
        <v>15000</v>
      </c>
      <c r="Q519" s="111">
        <v>30000</v>
      </c>
      <c r="R519" s="111">
        <v>3</v>
      </c>
      <c r="S519" s="111">
        <f t="shared" si="78"/>
        <v>3000</v>
      </c>
      <c r="T519" s="111">
        <f t="shared" si="79"/>
        <v>180000</v>
      </c>
      <c r="U519" s="111">
        <f t="shared" si="80"/>
        <v>1800</v>
      </c>
      <c r="V519" s="111">
        <f t="shared" si="81"/>
        <v>181800</v>
      </c>
      <c r="W519" t="s">
        <v>2978</v>
      </c>
    </row>
    <row r="520" spans="1:23" x14ac:dyDescent="0.3">
      <c r="A520" s="110">
        <v>602092</v>
      </c>
      <c r="B520" s="110" t="s">
        <v>694</v>
      </c>
      <c r="C520" s="110" t="s">
        <v>731</v>
      </c>
      <c r="D520" s="110" t="s">
        <v>731</v>
      </c>
      <c r="E520" s="110" t="s">
        <v>588</v>
      </c>
      <c r="F520" s="110" t="s">
        <v>113</v>
      </c>
      <c r="G520" s="110" t="s">
        <v>114</v>
      </c>
      <c r="H520" s="111">
        <v>254</v>
      </c>
      <c r="I520" s="111">
        <v>260</v>
      </c>
      <c r="J520" s="111">
        <v>242</v>
      </c>
      <c r="K520" s="111">
        <f t="shared" si="73"/>
        <v>252</v>
      </c>
      <c r="L520" s="111">
        <v>200000</v>
      </c>
      <c r="M520" s="111">
        <f t="shared" si="74"/>
        <v>90000</v>
      </c>
      <c r="N520" s="111">
        <f t="shared" si="75"/>
        <v>90000</v>
      </c>
      <c r="O520" s="111">
        <f t="shared" si="76"/>
        <v>18000</v>
      </c>
      <c r="P520" s="111">
        <f t="shared" si="77"/>
        <v>20000</v>
      </c>
      <c r="Q520" s="111">
        <v>50000</v>
      </c>
      <c r="R520" s="111">
        <v>5</v>
      </c>
      <c r="S520" s="111">
        <f t="shared" si="78"/>
        <v>5000</v>
      </c>
      <c r="T520" s="111">
        <f t="shared" si="79"/>
        <v>250000</v>
      </c>
      <c r="U520" s="111">
        <f t="shared" si="80"/>
        <v>2500</v>
      </c>
      <c r="V520" s="111">
        <f t="shared" si="81"/>
        <v>252500</v>
      </c>
      <c r="W520" t="s">
        <v>2979</v>
      </c>
    </row>
    <row r="521" spans="1:23" x14ac:dyDescent="0.3">
      <c r="A521" s="110">
        <v>602093</v>
      </c>
      <c r="B521" s="110" t="s">
        <v>694</v>
      </c>
      <c r="C521" s="110" t="s">
        <v>731</v>
      </c>
      <c r="D521" s="110" t="s">
        <v>731</v>
      </c>
      <c r="E521" s="110" t="s">
        <v>184</v>
      </c>
      <c r="F521" s="110" t="s">
        <v>113</v>
      </c>
      <c r="G521" s="110" t="s">
        <v>114</v>
      </c>
      <c r="H521" s="111">
        <v>366</v>
      </c>
      <c r="I521" s="111">
        <v>344</v>
      </c>
      <c r="J521" s="111">
        <v>347</v>
      </c>
      <c r="K521" s="111">
        <f t="shared" si="73"/>
        <v>352.33333333333331</v>
      </c>
      <c r="L521" s="111">
        <v>200000</v>
      </c>
      <c r="M521" s="111">
        <f t="shared" si="74"/>
        <v>90000</v>
      </c>
      <c r="N521" s="111">
        <f t="shared" si="75"/>
        <v>90000</v>
      </c>
      <c r="O521" s="111">
        <f t="shared" si="76"/>
        <v>18000</v>
      </c>
      <c r="P521" s="111">
        <f t="shared" si="77"/>
        <v>20000</v>
      </c>
      <c r="Q521" s="111">
        <v>50000</v>
      </c>
      <c r="R521" s="111">
        <v>5</v>
      </c>
      <c r="S521" s="111">
        <f t="shared" si="78"/>
        <v>5000</v>
      </c>
      <c r="T521" s="111">
        <f t="shared" si="79"/>
        <v>250000</v>
      </c>
      <c r="U521" s="111">
        <f t="shared" si="80"/>
        <v>2500</v>
      </c>
      <c r="V521" s="111">
        <f t="shared" si="81"/>
        <v>252500</v>
      </c>
      <c r="W521" t="s">
        <v>2980</v>
      </c>
    </row>
    <row r="522" spans="1:23" x14ac:dyDescent="0.3">
      <c r="A522" s="110">
        <v>602094</v>
      </c>
      <c r="B522" s="110" t="s">
        <v>694</v>
      </c>
      <c r="C522" s="110" t="s">
        <v>731</v>
      </c>
      <c r="D522" s="110" t="s">
        <v>732</v>
      </c>
      <c r="E522" s="110" t="s">
        <v>733</v>
      </c>
      <c r="F522" s="110" t="s">
        <v>113</v>
      </c>
      <c r="G522" s="110" t="s">
        <v>114</v>
      </c>
      <c r="H522" s="111">
        <v>14</v>
      </c>
      <c r="I522" s="111">
        <v>20</v>
      </c>
      <c r="J522" s="111">
        <v>18</v>
      </c>
      <c r="K522" s="111">
        <f t="shared" si="73"/>
        <v>17.333333333333332</v>
      </c>
      <c r="L522" s="111">
        <v>50000</v>
      </c>
      <c r="M522" s="111">
        <f t="shared" si="74"/>
        <v>22500</v>
      </c>
      <c r="N522" s="111">
        <f t="shared" si="75"/>
        <v>22500</v>
      </c>
      <c r="O522" s="111">
        <f t="shared" si="76"/>
        <v>4500</v>
      </c>
      <c r="P522" s="111">
        <f t="shared" si="77"/>
        <v>5000</v>
      </c>
      <c r="Q522" s="111">
        <v>10000</v>
      </c>
      <c r="R522" s="111">
        <v>1</v>
      </c>
      <c r="S522" s="111">
        <f t="shared" si="78"/>
        <v>1000</v>
      </c>
      <c r="T522" s="111">
        <f t="shared" si="79"/>
        <v>60000</v>
      </c>
      <c r="U522" s="111">
        <f t="shared" si="80"/>
        <v>600</v>
      </c>
      <c r="V522" s="111">
        <f t="shared" si="81"/>
        <v>60600</v>
      </c>
      <c r="W522" t="s">
        <v>2981</v>
      </c>
    </row>
    <row r="523" spans="1:23" x14ac:dyDescent="0.3">
      <c r="A523" s="110">
        <v>602104</v>
      </c>
      <c r="B523" s="110" t="s">
        <v>694</v>
      </c>
      <c r="C523" s="110" t="s">
        <v>734</v>
      </c>
      <c r="D523" s="110" t="s">
        <v>735</v>
      </c>
      <c r="E523" s="110" t="s">
        <v>184</v>
      </c>
      <c r="F523" s="110" t="s">
        <v>113</v>
      </c>
      <c r="G523" s="110" t="s">
        <v>114</v>
      </c>
      <c r="H523" s="111">
        <v>65</v>
      </c>
      <c r="I523" s="111">
        <v>73</v>
      </c>
      <c r="J523" s="111">
        <v>76</v>
      </c>
      <c r="K523" s="111">
        <f t="shared" si="73"/>
        <v>71.333333333333329</v>
      </c>
      <c r="L523" s="111">
        <v>150000</v>
      </c>
      <c r="M523" s="111">
        <f t="shared" si="74"/>
        <v>67500</v>
      </c>
      <c r="N523" s="111">
        <f t="shared" si="75"/>
        <v>67500</v>
      </c>
      <c r="O523" s="111">
        <f t="shared" si="76"/>
        <v>13500</v>
      </c>
      <c r="P523" s="111">
        <f t="shared" si="77"/>
        <v>15000</v>
      </c>
      <c r="Q523" s="111">
        <v>30000</v>
      </c>
      <c r="R523" s="111">
        <v>3</v>
      </c>
      <c r="S523" s="111">
        <f t="shared" si="78"/>
        <v>3000</v>
      </c>
      <c r="T523" s="111">
        <f t="shared" si="79"/>
        <v>180000</v>
      </c>
      <c r="U523" s="111">
        <f t="shared" si="80"/>
        <v>1800</v>
      </c>
      <c r="V523" s="111">
        <f t="shared" si="81"/>
        <v>181800</v>
      </c>
      <c r="W523" t="s">
        <v>2982</v>
      </c>
    </row>
    <row r="524" spans="1:23" x14ac:dyDescent="0.3">
      <c r="A524" s="110">
        <v>602106</v>
      </c>
      <c r="B524" s="110" t="s">
        <v>694</v>
      </c>
      <c r="C524" s="110" t="s">
        <v>734</v>
      </c>
      <c r="D524" s="110" t="s">
        <v>734</v>
      </c>
      <c r="E524" s="110" t="s">
        <v>736</v>
      </c>
      <c r="F524" s="110" t="s">
        <v>113</v>
      </c>
      <c r="G524" s="110" t="s">
        <v>114</v>
      </c>
      <c r="H524" s="111">
        <v>173</v>
      </c>
      <c r="I524" s="111">
        <v>173</v>
      </c>
      <c r="J524" s="111">
        <v>189</v>
      </c>
      <c r="K524" s="111">
        <f t="shared" si="73"/>
        <v>178.33333333333334</v>
      </c>
      <c r="L524" s="111">
        <v>150000</v>
      </c>
      <c r="M524" s="111">
        <f t="shared" si="74"/>
        <v>67500</v>
      </c>
      <c r="N524" s="111">
        <f t="shared" si="75"/>
        <v>67500</v>
      </c>
      <c r="O524" s="111">
        <f t="shared" si="76"/>
        <v>13500</v>
      </c>
      <c r="P524" s="111">
        <f t="shared" si="77"/>
        <v>15000</v>
      </c>
      <c r="Q524" s="111">
        <v>30000</v>
      </c>
      <c r="R524" s="111">
        <v>3</v>
      </c>
      <c r="S524" s="111">
        <f t="shared" si="78"/>
        <v>3000</v>
      </c>
      <c r="T524" s="111">
        <f t="shared" si="79"/>
        <v>180000</v>
      </c>
      <c r="U524" s="111">
        <f t="shared" si="80"/>
        <v>1800</v>
      </c>
      <c r="V524" s="111">
        <f t="shared" si="81"/>
        <v>181800</v>
      </c>
      <c r="W524" t="s">
        <v>2983</v>
      </c>
    </row>
    <row r="525" spans="1:23" x14ac:dyDescent="0.3">
      <c r="A525" s="110">
        <v>602107</v>
      </c>
      <c r="B525" s="110" t="s">
        <v>694</v>
      </c>
      <c r="C525" s="110" t="s">
        <v>734</v>
      </c>
      <c r="D525" s="110" t="s">
        <v>737</v>
      </c>
      <c r="E525" s="110" t="s">
        <v>390</v>
      </c>
      <c r="F525" s="110" t="s">
        <v>113</v>
      </c>
      <c r="G525" s="110" t="s">
        <v>114</v>
      </c>
      <c r="H525" s="111">
        <v>57</v>
      </c>
      <c r="I525" s="111">
        <v>54</v>
      </c>
      <c r="J525" s="111">
        <v>49</v>
      </c>
      <c r="K525" s="111">
        <f t="shared" si="73"/>
        <v>53.333333333333336</v>
      </c>
      <c r="L525" s="111">
        <v>150000</v>
      </c>
      <c r="M525" s="111">
        <f t="shared" si="74"/>
        <v>67500</v>
      </c>
      <c r="N525" s="111">
        <f t="shared" si="75"/>
        <v>67500</v>
      </c>
      <c r="O525" s="111">
        <f t="shared" si="76"/>
        <v>13500</v>
      </c>
      <c r="P525" s="111">
        <f t="shared" si="77"/>
        <v>15000</v>
      </c>
      <c r="Q525" s="111">
        <v>30000</v>
      </c>
      <c r="R525" s="111">
        <v>3</v>
      </c>
      <c r="S525" s="111">
        <f t="shared" si="78"/>
        <v>3000</v>
      </c>
      <c r="T525" s="111">
        <f t="shared" si="79"/>
        <v>180000</v>
      </c>
      <c r="U525" s="111">
        <f t="shared" si="80"/>
        <v>1800</v>
      </c>
      <c r="V525" s="111">
        <f t="shared" si="81"/>
        <v>181800</v>
      </c>
      <c r="W525" t="s">
        <v>2984</v>
      </c>
    </row>
    <row r="526" spans="1:23" x14ac:dyDescent="0.3">
      <c r="A526" s="110">
        <v>602115</v>
      </c>
      <c r="B526" s="110" t="s">
        <v>694</v>
      </c>
      <c r="C526" s="110" t="s">
        <v>707</v>
      </c>
      <c r="D526" s="110" t="s">
        <v>738</v>
      </c>
      <c r="E526" s="110" t="s">
        <v>406</v>
      </c>
      <c r="F526" s="110" t="s">
        <v>113</v>
      </c>
      <c r="G526" s="110" t="s">
        <v>114</v>
      </c>
      <c r="H526" s="111">
        <v>140</v>
      </c>
      <c r="I526" s="111">
        <v>151</v>
      </c>
      <c r="J526" s="111">
        <v>151</v>
      </c>
      <c r="K526" s="111">
        <f t="shared" si="73"/>
        <v>147.33333333333334</v>
      </c>
      <c r="L526" s="111">
        <v>150000</v>
      </c>
      <c r="M526" s="111">
        <f t="shared" si="74"/>
        <v>67500</v>
      </c>
      <c r="N526" s="111">
        <f t="shared" si="75"/>
        <v>67500</v>
      </c>
      <c r="O526" s="111">
        <f t="shared" si="76"/>
        <v>13500</v>
      </c>
      <c r="P526" s="111">
        <f t="shared" si="77"/>
        <v>15000</v>
      </c>
      <c r="Q526" s="111">
        <v>30000</v>
      </c>
      <c r="R526" s="111">
        <v>3</v>
      </c>
      <c r="S526" s="111">
        <f t="shared" si="78"/>
        <v>3000</v>
      </c>
      <c r="T526" s="111">
        <f t="shared" si="79"/>
        <v>180000</v>
      </c>
      <c r="U526" s="111">
        <f t="shared" si="80"/>
        <v>1800</v>
      </c>
      <c r="V526" s="111">
        <f t="shared" si="81"/>
        <v>181800</v>
      </c>
      <c r="W526" t="s">
        <v>2985</v>
      </c>
    </row>
    <row r="527" spans="1:23" x14ac:dyDescent="0.3">
      <c r="A527" s="110">
        <v>602121</v>
      </c>
      <c r="B527" s="110" t="s">
        <v>694</v>
      </c>
      <c r="C527" s="110" t="s">
        <v>711</v>
      </c>
      <c r="D527" s="110" t="s">
        <v>739</v>
      </c>
      <c r="E527" s="110" t="s">
        <v>588</v>
      </c>
      <c r="F527" s="110" t="s">
        <v>113</v>
      </c>
      <c r="G527" s="110" t="s">
        <v>114</v>
      </c>
      <c r="H527" s="111">
        <v>29</v>
      </c>
      <c r="I527" s="111">
        <v>34</v>
      </c>
      <c r="J527" s="111">
        <v>33</v>
      </c>
      <c r="K527" s="111">
        <f t="shared" si="73"/>
        <v>32</v>
      </c>
      <c r="L527" s="111">
        <v>50000</v>
      </c>
      <c r="M527" s="111">
        <f t="shared" si="74"/>
        <v>22500</v>
      </c>
      <c r="N527" s="111">
        <f t="shared" si="75"/>
        <v>22500</v>
      </c>
      <c r="O527" s="111">
        <f t="shared" si="76"/>
        <v>4500</v>
      </c>
      <c r="P527" s="111">
        <f t="shared" si="77"/>
        <v>5000</v>
      </c>
      <c r="Q527" s="111">
        <v>10000</v>
      </c>
      <c r="R527" s="111">
        <v>1</v>
      </c>
      <c r="S527" s="111">
        <f t="shared" si="78"/>
        <v>1000</v>
      </c>
      <c r="T527" s="111">
        <f t="shared" si="79"/>
        <v>60000</v>
      </c>
      <c r="U527" s="111">
        <f t="shared" si="80"/>
        <v>600</v>
      </c>
      <c r="V527" s="111">
        <f t="shared" si="81"/>
        <v>60600</v>
      </c>
      <c r="W527" t="s">
        <v>2986</v>
      </c>
    </row>
    <row r="528" spans="1:23" x14ac:dyDescent="0.3">
      <c r="A528" s="110">
        <v>602128</v>
      </c>
      <c r="B528" s="110" t="s">
        <v>694</v>
      </c>
      <c r="C528" s="110" t="s">
        <v>740</v>
      </c>
      <c r="D528" s="110" t="s">
        <v>741</v>
      </c>
      <c r="E528" s="110" t="s">
        <v>742</v>
      </c>
      <c r="F528" s="110" t="s">
        <v>113</v>
      </c>
      <c r="G528" s="110" t="s">
        <v>114</v>
      </c>
      <c r="H528" s="111">
        <v>97</v>
      </c>
      <c r="I528" s="111">
        <v>104</v>
      </c>
      <c r="J528" s="111">
        <v>117</v>
      </c>
      <c r="K528" s="111">
        <f t="shared" si="73"/>
        <v>106</v>
      </c>
      <c r="L528" s="111">
        <v>150000</v>
      </c>
      <c r="M528" s="111">
        <f t="shared" si="74"/>
        <v>67500</v>
      </c>
      <c r="N528" s="111">
        <f t="shared" si="75"/>
        <v>67500</v>
      </c>
      <c r="O528" s="111">
        <f t="shared" si="76"/>
        <v>13500</v>
      </c>
      <c r="P528" s="111">
        <f t="shared" si="77"/>
        <v>15000</v>
      </c>
      <c r="Q528" s="111">
        <v>30000</v>
      </c>
      <c r="R528" s="111">
        <v>3</v>
      </c>
      <c r="S528" s="111">
        <f t="shared" si="78"/>
        <v>3000</v>
      </c>
      <c r="T528" s="111">
        <f t="shared" si="79"/>
        <v>180000</v>
      </c>
      <c r="U528" s="111">
        <f t="shared" si="80"/>
        <v>1800</v>
      </c>
      <c r="V528" s="111">
        <f t="shared" si="81"/>
        <v>181800</v>
      </c>
      <c r="W528" t="s">
        <v>2987</v>
      </c>
    </row>
    <row r="529" spans="1:23" x14ac:dyDescent="0.3">
      <c r="A529" s="110">
        <v>603004</v>
      </c>
      <c r="B529" s="110" t="s">
        <v>694</v>
      </c>
      <c r="C529" s="110" t="s">
        <v>713</v>
      </c>
      <c r="D529" s="110" t="s">
        <v>713</v>
      </c>
      <c r="E529" s="110" t="s">
        <v>743</v>
      </c>
      <c r="F529" s="110" t="s">
        <v>117</v>
      </c>
      <c r="G529" s="110" t="s">
        <v>125</v>
      </c>
      <c r="H529" s="111">
        <v>206</v>
      </c>
      <c r="I529" s="111">
        <v>193</v>
      </c>
      <c r="J529" s="111">
        <v>179</v>
      </c>
      <c r="K529" s="111">
        <f t="shared" si="73"/>
        <v>192.66666666666666</v>
      </c>
      <c r="L529" s="111">
        <f>150000</f>
        <v>150000</v>
      </c>
      <c r="M529" s="111">
        <f t="shared" si="74"/>
        <v>67500</v>
      </c>
      <c r="N529" s="111">
        <f t="shared" si="75"/>
        <v>67500</v>
      </c>
      <c r="O529" s="111">
        <f t="shared" si="76"/>
        <v>13500</v>
      </c>
      <c r="P529" s="111">
        <f t="shared" si="77"/>
        <v>15000</v>
      </c>
      <c r="Q529" s="111">
        <v>30000</v>
      </c>
      <c r="R529" s="111">
        <v>3</v>
      </c>
      <c r="S529" s="111">
        <f t="shared" si="78"/>
        <v>3000</v>
      </c>
      <c r="T529" s="111">
        <f t="shared" si="79"/>
        <v>180000</v>
      </c>
      <c r="U529" s="111">
        <f t="shared" si="80"/>
        <v>1800</v>
      </c>
      <c r="V529" s="111">
        <f t="shared" si="81"/>
        <v>181800</v>
      </c>
      <c r="W529" t="s">
        <v>2988</v>
      </c>
    </row>
    <row r="530" spans="1:23" x14ac:dyDescent="0.3">
      <c r="A530" s="110">
        <v>603024</v>
      </c>
      <c r="B530" s="110" t="s">
        <v>694</v>
      </c>
      <c r="C530" s="110" t="s">
        <v>696</v>
      </c>
      <c r="D530" s="110" t="s">
        <v>696</v>
      </c>
      <c r="E530" s="110" t="s">
        <v>214</v>
      </c>
      <c r="F530" s="110" t="s">
        <v>119</v>
      </c>
      <c r="G530" s="110" t="s">
        <v>114</v>
      </c>
      <c r="H530" s="111">
        <v>438</v>
      </c>
      <c r="I530" s="111">
        <v>467</v>
      </c>
      <c r="J530" s="111">
        <v>471</v>
      </c>
      <c r="K530" s="111">
        <f t="shared" si="73"/>
        <v>458.66666666666669</v>
      </c>
      <c r="L530" s="111">
        <f>300000</f>
        <v>300000</v>
      </c>
      <c r="M530" s="111">
        <f t="shared" si="74"/>
        <v>135000</v>
      </c>
      <c r="N530" s="111">
        <f t="shared" si="75"/>
        <v>135000</v>
      </c>
      <c r="O530" s="111">
        <f t="shared" si="76"/>
        <v>27000</v>
      </c>
      <c r="P530" s="111">
        <f t="shared" si="77"/>
        <v>30000</v>
      </c>
      <c r="Q530" s="111">
        <v>60000</v>
      </c>
      <c r="R530" s="111">
        <v>6</v>
      </c>
      <c r="S530" s="111">
        <f t="shared" si="78"/>
        <v>6000</v>
      </c>
      <c r="T530" s="111">
        <f t="shared" si="79"/>
        <v>360000</v>
      </c>
      <c r="U530" s="111">
        <f t="shared" si="80"/>
        <v>3600</v>
      </c>
      <c r="V530" s="111">
        <f t="shared" si="81"/>
        <v>363600</v>
      </c>
      <c r="W530" t="s">
        <v>2989</v>
      </c>
    </row>
    <row r="531" spans="1:23" x14ac:dyDescent="0.3">
      <c r="A531" s="110">
        <v>603025</v>
      </c>
      <c r="B531" s="110" t="s">
        <v>694</v>
      </c>
      <c r="C531" s="110" t="s">
        <v>696</v>
      </c>
      <c r="D531" s="110" t="s">
        <v>744</v>
      </c>
      <c r="E531" s="110" t="s">
        <v>272</v>
      </c>
      <c r="F531" s="110" t="s">
        <v>119</v>
      </c>
      <c r="G531" s="110" t="s">
        <v>114</v>
      </c>
      <c r="H531" s="111">
        <v>160</v>
      </c>
      <c r="I531" s="111">
        <v>160</v>
      </c>
      <c r="J531" s="111">
        <v>154</v>
      </c>
      <c r="K531" s="111">
        <f t="shared" si="73"/>
        <v>158</v>
      </c>
      <c r="L531" s="111">
        <v>150000</v>
      </c>
      <c r="M531" s="111">
        <f t="shared" si="74"/>
        <v>67500</v>
      </c>
      <c r="N531" s="111">
        <f t="shared" si="75"/>
        <v>67500</v>
      </c>
      <c r="O531" s="111">
        <f t="shared" si="76"/>
        <v>13500</v>
      </c>
      <c r="P531" s="111">
        <f t="shared" si="77"/>
        <v>15000</v>
      </c>
      <c r="Q531" s="111">
        <v>30000</v>
      </c>
      <c r="R531" s="111">
        <v>3</v>
      </c>
      <c r="S531" s="111">
        <f t="shared" si="78"/>
        <v>3000</v>
      </c>
      <c r="T531" s="111">
        <f t="shared" si="79"/>
        <v>180000</v>
      </c>
      <c r="U531" s="111">
        <f t="shared" si="80"/>
        <v>1800</v>
      </c>
      <c r="V531" s="111">
        <f t="shared" si="81"/>
        <v>181800</v>
      </c>
      <c r="W531" t="s">
        <v>2990</v>
      </c>
    </row>
    <row r="532" spans="1:23" x14ac:dyDescent="0.3">
      <c r="A532" s="110">
        <v>603026</v>
      </c>
      <c r="B532" s="110" t="s">
        <v>694</v>
      </c>
      <c r="C532" s="110" t="s">
        <v>696</v>
      </c>
      <c r="D532" s="110" t="s">
        <v>696</v>
      </c>
      <c r="E532" s="110" t="s">
        <v>745</v>
      </c>
      <c r="F532" s="110" t="s">
        <v>117</v>
      </c>
      <c r="G532" s="110" t="s">
        <v>114</v>
      </c>
      <c r="H532" s="111">
        <v>406</v>
      </c>
      <c r="I532" s="111">
        <v>404</v>
      </c>
      <c r="J532" s="111">
        <v>430</v>
      </c>
      <c r="K532" s="111">
        <f t="shared" si="73"/>
        <v>413.33333333333331</v>
      </c>
      <c r="L532" s="111">
        <f>300000*0.7</f>
        <v>210000</v>
      </c>
      <c r="M532" s="111">
        <f t="shared" si="74"/>
        <v>94500</v>
      </c>
      <c r="N532" s="111">
        <f t="shared" si="75"/>
        <v>94500</v>
      </c>
      <c r="O532" s="111">
        <f t="shared" si="76"/>
        <v>18900</v>
      </c>
      <c r="P532" s="111">
        <f t="shared" si="77"/>
        <v>21000</v>
      </c>
      <c r="Q532" s="111">
        <v>60000</v>
      </c>
      <c r="R532" s="111">
        <v>6</v>
      </c>
      <c r="S532" s="111">
        <f t="shared" si="78"/>
        <v>6000</v>
      </c>
      <c r="T532" s="111">
        <f t="shared" si="79"/>
        <v>270000</v>
      </c>
      <c r="U532" s="111">
        <f t="shared" si="80"/>
        <v>2700</v>
      </c>
      <c r="V532" s="111">
        <f t="shared" si="81"/>
        <v>272700</v>
      </c>
      <c r="W532" t="s">
        <v>2991</v>
      </c>
    </row>
    <row r="533" spans="1:23" x14ac:dyDescent="0.3">
      <c r="A533" s="110">
        <v>603057</v>
      </c>
      <c r="B533" s="110" t="s">
        <v>694</v>
      </c>
      <c r="C533" s="110" t="s">
        <v>694</v>
      </c>
      <c r="D533" s="110" t="s">
        <v>694</v>
      </c>
      <c r="E533" s="110" t="s">
        <v>746</v>
      </c>
      <c r="F533" s="110" t="s">
        <v>119</v>
      </c>
      <c r="G533" s="110" t="s">
        <v>114</v>
      </c>
      <c r="H533" s="111">
        <v>293</v>
      </c>
      <c r="I533" s="111">
        <v>302</v>
      </c>
      <c r="J533" s="111">
        <v>284</v>
      </c>
      <c r="K533" s="111">
        <f t="shared" si="73"/>
        <v>293</v>
      </c>
      <c r="L533" s="111">
        <v>200000</v>
      </c>
      <c r="M533" s="111">
        <f t="shared" si="74"/>
        <v>90000</v>
      </c>
      <c r="N533" s="111">
        <f t="shared" si="75"/>
        <v>90000</v>
      </c>
      <c r="O533" s="111">
        <f t="shared" si="76"/>
        <v>18000</v>
      </c>
      <c r="P533" s="111">
        <f t="shared" si="77"/>
        <v>20000</v>
      </c>
      <c r="Q533" s="111">
        <v>50000</v>
      </c>
      <c r="R533" s="111">
        <v>5</v>
      </c>
      <c r="S533" s="111">
        <f t="shared" si="78"/>
        <v>5000</v>
      </c>
      <c r="T533" s="111">
        <f t="shared" si="79"/>
        <v>250000</v>
      </c>
      <c r="U533" s="111">
        <f t="shared" si="80"/>
        <v>2500</v>
      </c>
      <c r="V533" s="111">
        <f t="shared" si="81"/>
        <v>252500</v>
      </c>
      <c r="W533" t="s">
        <v>2992</v>
      </c>
    </row>
    <row r="534" spans="1:23" x14ac:dyDescent="0.3">
      <c r="A534" s="110">
        <v>603058</v>
      </c>
      <c r="B534" s="110" t="s">
        <v>694</v>
      </c>
      <c r="C534" s="110" t="s">
        <v>694</v>
      </c>
      <c r="D534" s="110" t="s">
        <v>694</v>
      </c>
      <c r="E534" s="110" t="s">
        <v>272</v>
      </c>
      <c r="F534" s="110" t="s">
        <v>119</v>
      </c>
      <c r="G534" s="110" t="s">
        <v>114</v>
      </c>
      <c r="H534" s="111">
        <v>845</v>
      </c>
      <c r="I534" s="111">
        <v>793</v>
      </c>
      <c r="J534" s="111">
        <v>695</v>
      </c>
      <c r="K534" s="111">
        <f t="shared" si="73"/>
        <v>777.66666666666663</v>
      </c>
      <c r="L534" s="111">
        <f>300000</f>
        <v>300000</v>
      </c>
      <c r="M534" s="111">
        <f t="shared" si="74"/>
        <v>135000</v>
      </c>
      <c r="N534" s="111">
        <f t="shared" si="75"/>
        <v>135000</v>
      </c>
      <c r="O534" s="111">
        <f t="shared" si="76"/>
        <v>27000</v>
      </c>
      <c r="P534" s="111">
        <f t="shared" si="77"/>
        <v>30000</v>
      </c>
      <c r="Q534" s="111">
        <v>60000</v>
      </c>
      <c r="R534" s="111">
        <v>6</v>
      </c>
      <c r="S534" s="111">
        <f t="shared" si="78"/>
        <v>6000</v>
      </c>
      <c r="T534" s="111">
        <f t="shared" si="79"/>
        <v>360000</v>
      </c>
      <c r="U534" s="111">
        <f t="shared" si="80"/>
        <v>3600</v>
      </c>
      <c r="V534" s="111">
        <f t="shared" si="81"/>
        <v>363600</v>
      </c>
      <c r="W534" t="s">
        <v>2993</v>
      </c>
    </row>
    <row r="535" spans="1:23" x14ac:dyDescent="0.3">
      <c r="A535" s="110">
        <v>603059</v>
      </c>
      <c r="B535" s="110" t="s">
        <v>694</v>
      </c>
      <c r="C535" s="110" t="s">
        <v>694</v>
      </c>
      <c r="D535" s="110" t="s">
        <v>694</v>
      </c>
      <c r="E535" s="110" t="s">
        <v>747</v>
      </c>
      <c r="F535" s="110" t="s">
        <v>119</v>
      </c>
      <c r="G535" s="110" t="s">
        <v>114</v>
      </c>
      <c r="H535" s="111">
        <v>553</v>
      </c>
      <c r="I535" s="111">
        <v>525</v>
      </c>
      <c r="J535" s="111">
        <v>534</v>
      </c>
      <c r="K535" s="111">
        <f t="shared" si="73"/>
        <v>537.33333333333337</v>
      </c>
      <c r="L535" s="111">
        <f>300000</f>
        <v>300000</v>
      </c>
      <c r="M535" s="111">
        <f t="shared" si="74"/>
        <v>135000</v>
      </c>
      <c r="N535" s="111">
        <f t="shared" si="75"/>
        <v>135000</v>
      </c>
      <c r="O535" s="111">
        <f t="shared" si="76"/>
        <v>27000</v>
      </c>
      <c r="P535" s="111">
        <f t="shared" si="77"/>
        <v>30000</v>
      </c>
      <c r="Q535" s="111">
        <v>60000</v>
      </c>
      <c r="R535" s="111">
        <v>6</v>
      </c>
      <c r="S535" s="111">
        <f t="shared" si="78"/>
        <v>6000</v>
      </c>
      <c r="T535" s="111">
        <f t="shared" si="79"/>
        <v>360000</v>
      </c>
      <c r="U535" s="111">
        <f t="shared" si="80"/>
        <v>3600</v>
      </c>
      <c r="V535" s="111">
        <f t="shared" si="81"/>
        <v>363600</v>
      </c>
      <c r="W535" t="s">
        <v>2994</v>
      </c>
    </row>
    <row r="536" spans="1:23" x14ac:dyDescent="0.3">
      <c r="A536" s="110">
        <v>603065</v>
      </c>
      <c r="B536" s="110" t="s">
        <v>694</v>
      </c>
      <c r="C536" s="110" t="s">
        <v>694</v>
      </c>
      <c r="D536" s="110" t="s">
        <v>694</v>
      </c>
      <c r="E536" s="110" t="s">
        <v>748</v>
      </c>
      <c r="F536" s="110" t="s">
        <v>117</v>
      </c>
      <c r="G536" s="110" t="s">
        <v>125</v>
      </c>
      <c r="H536" s="111">
        <v>433</v>
      </c>
      <c r="I536" s="111">
        <v>467</v>
      </c>
      <c r="J536" s="111">
        <v>504</v>
      </c>
      <c r="K536" s="111">
        <f t="shared" si="73"/>
        <v>468</v>
      </c>
      <c r="L536" s="111">
        <f>300000</f>
        <v>300000</v>
      </c>
      <c r="M536" s="111">
        <f t="shared" si="74"/>
        <v>135000</v>
      </c>
      <c r="N536" s="111">
        <f t="shared" si="75"/>
        <v>135000</v>
      </c>
      <c r="O536" s="111">
        <f t="shared" si="76"/>
        <v>27000</v>
      </c>
      <c r="P536" s="111">
        <f t="shared" si="77"/>
        <v>30000</v>
      </c>
      <c r="Q536" s="111">
        <v>60000</v>
      </c>
      <c r="R536" s="111">
        <v>6</v>
      </c>
      <c r="S536" s="111">
        <f t="shared" si="78"/>
        <v>6000</v>
      </c>
      <c r="T536" s="111">
        <f t="shared" si="79"/>
        <v>360000</v>
      </c>
      <c r="U536" s="111">
        <f t="shared" si="80"/>
        <v>3600</v>
      </c>
      <c r="V536" s="111">
        <f t="shared" si="81"/>
        <v>363600</v>
      </c>
      <c r="W536" t="s">
        <v>2995</v>
      </c>
    </row>
    <row r="537" spans="1:23" x14ac:dyDescent="0.3">
      <c r="A537" s="110">
        <v>603067</v>
      </c>
      <c r="B537" s="110" t="s">
        <v>694</v>
      </c>
      <c r="C537" s="110" t="s">
        <v>694</v>
      </c>
      <c r="D537" s="110" t="s">
        <v>694</v>
      </c>
      <c r="E537" s="110" t="s">
        <v>749</v>
      </c>
      <c r="F537" s="110" t="s">
        <v>117</v>
      </c>
      <c r="G537" s="110" t="s">
        <v>114</v>
      </c>
      <c r="H537" s="111">
        <v>458</v>
      </c>
      <c r="I537" s="111">
        <v>432</v>
      </c>
      <c r="J537" s="111">
        <v>411</v>
      </c>
      <c r="K537" s="111">
        <f t="shared" si="73"/>
        <v>433.66666666666669</v>
      </c>
      <c r="L537" s="111">
        <f>300000*0.7</f>
        <v>210000</v>
      </c>
      <c r="M537" s="111">
        <f t="shared" si="74"/>
        <v>94500</v>
      </c>
      <c r="N537" s="111">
        <f t="shared" si="75"/>
        <v>94500</v>
      </c>
      <c r="O537" s="111">
        <f t="shared" si="76"/>
        <v>18900</v>
      </c>
      <c r="P537" s="111">
        <f t="shared" si="77"/>
        <v>21000</v>
      </c>
      <c r="Q537" s="111">
        <v>60000</v>
      </c>
      <c r="R537" s="111">
        <v>6</v>
      </c>
      <c r="S537" s="111">
        <f t="shared" si="78"/>
        <v>6000</v>
      </c>
      <c r="T537" s="111">
        <f t="shared" si="79"/>
        <v>270000</v>
      </c>
      <c r="U537" s="111">
        <f t="shared" si="80"/>
        <v>2700</v>
      </c>
      <c r="V537" s="111">
        <f t="shared" si="81"/>
        <v>272700</v>
      </c>
      <c r="W537" t="s">
        <v>2996</v>
      </c>
    </row>
    <row r="538" spans="1:23" x14ac:dyDescent="0.3">
      <c r="A538" s="110">
        <v>603070</v>
      </c>
      <c r="B538" s="110" t="s">
        <v>694</v>
      </c>
      <c r="C538" s="110" t="s">
        <v>694</v>
      </c>
      <c r="D538" s="110" t="s">
        <v>694</v>
      </c>
      <c r="E538" s="110" t="s">
        <v>750</v>
      </c>
      <c r="F538" s="110" t="s">
        <v>119</v>
      </c>
      <c r="G538" s="110" t="s">
        <v>114</v>
      </c>
      <c r="H538" s="111">
        <v>812</v>
      </c>
      <c r="I538" s="111">
        <v>791</v>
      </c>
      <c r="J538" s="111">
        <v>795</v>
      </c>
      <c r="K538" s="111">
        <f t="shared" si="73"/>
        <v>799.33333333333337</v>
      </c>
      <c r="L538" s="111">
        <f>300000*0.7</f>
        <v>210000</v>
      </c>
      <c r="M538" s="111">
        <f t="shared" si="74"/>
        <v>94500</v>
      </c>
      <c r="N538" s="111">
        <f t="shared" si="75"/>
        <v>94500</v>
      </c>
      <c r="O538" s="111">
        <f t="shared" si="76"/>
        <v>18900</v>
      </c>
      <c r="P538" s="111">
        <f t="shared" si="77"/>
        <v>21000</v>
      </c>
      <c r="Q538" s="111">
        <v>60000</v>
      </c>
      <c r="R538" s="111">
        <v>6</v>
      </c>
      <c r="S538" s="111">
        <f t="shared" si="78"/>
        <v>6000</v>
      </c>
      <c r="T538" s="111">
        <f t="shared" si="79"/>
        <v>270000</v>
      </c>
      <c r="U538" s="111">
        <f t="shared" si="80"/>
        <v>2700</v>
      </c>
      <c r="V538" s="111">
        <f t="shared" si="81"/>
        <v>272700</v>
      </c>
      <c r="W538" t="s">
        <v>2997</v>
      </c>
    </row>
    <row r="539" spans="1:23" x14ac:dyDescent="0.3">
      <c r="A539" s="110">
        <v>603071</v>
      </c>
      <c r="B539" s="110" t="s">
        <v>694</v>
      </c>
      <c r="C539" s="110" t="s">
        <v>694</v>
      </c>
      <c r="D539" s="110" t="s">
        <v>694</v>
      </c>
      <c r="E539" s="110" t="s">
        <v>751</v>
      </c>
      <c r="F539" s="110" t="s">
        <v>117</v>
      </c>
      <c r="G539" s="110" t="s">
        <v>114</v>
      </c>
      <c r="H539" s="111">
        <v>135</v>
      </c>
      <c r="I539" s="111">
        <v>214</v>
      </c>
      <c r="J539" s="111">
        <v>260</v>
      </c>
      <c r="K539" s="111">
        <f t="shared" si="73"/>
        <v>203</v>
      </c>
      <c r="L539" s="111">
        <v>200000</v>
      </c>
      <c r="M539" s="111">
        <f t="shared" si="74"/>
        <v>90000</v>
      </c>
      <c r="N539" s="111">
        <f t="shared" si="75"/>
        <v>90000</v>
      </c>
      <c r="O539" s="111">
        <f t="shared" si="76"/>
        <v>18000</v>
      </c>
      <c r="P539" s="111">
        <f t="shared" si="77"/>
        <v>20000</v>
      </c>
      <c r="Q539" s="111">
        <v>50000</v>
      </c>
      <c r="R539" s="111">
        <v>5</v>
      </c>
      <c r="S539" s="111">
        <f t="shared" si="78"/>
        <v>5000</v>
      </c>
      <c r="T539" s="111">
        <f t="shared" si="79"/>
        <v>250000</v>
      </c>
      <c r="U539" s="111">
        <f t="shared" si="80"/>
        <v>2500</v>
      </c>
      <c r="V539" s="111">
        <f t="shared" si="81"/>
        <v>252500</v>
      </c>
      <c r="W539" t="s">
        <v>2998</v>
      </c>
    </row>
    <row r="540" spans="1:23" x14ac:dyDescent="0.3">
      <c r="A540" s="110">
        <v>603076</v>
      </c>
      <c r="B540" s="110" t="s">
        <v>694</v>
      </c>
      <c r="C540" s="110" t="s">
        <v>706</v>
      </c>
      <c r="D540" s="110" t="s">
        <v>706</v>
      </c>
      <c r="E540" s="110" t="s">
        <v>272</v>
      </c>
      <c r="F540" s="110" t="s">
        <v>119</v>
      </c>
      <c r="G540" s="110" t="s">
        <v>114</v>
      </c>
      <c r="H540" s="111">
        <v>522</v>
      </c>
      <c r="I540" s="111">
        <v>542</v>
      </c>
      <c r="J540" s="111">
        <v>592</v>
      </c>
      <c r="K540" s="111">
        <f t="shared" si="73"/>
        <v>552</v>
      </c>
      <c r="L540" s="111">
        <f>300000</f>
        <v>300000</v>
      </c>
      <c r="M540" s="111">
        <f t="shared" si="74"/>
        <v>135000</v>
      </c>
      <c r="N540" s="111">
        <f t="shared" si="75"/>
        <v>135000</v>
      </c>
      <c r="O540" s="111">
        <f t="shared" si="76"/>
        <v>27000</v>
      </c>
      <c r="P540" s="111">
        <f t="shared" si="77"/>
        <v>30000</v>
      </c>
      <c r="Q540" s="111">
        <v>60000</v>
      </c>
      <c r="R540" s="111">
        <v>6</v>
      </c>
      <c r="S540" s="111">
        <f t="shared" si="78"/>
        <v>6000</v>
      </c>
      <c r="T540" s="111">
        <f t="shared" si="79"/>
        <v>360000</v>
      </c>
      <c r="U540" s="111">
        <f t="shared" si="80"/>
        <v>3600</v>
      </c>
      <c r="V540" s="111">
        <f t="shared" si="81"/>
        <v>363600</v>
      </c>
      <c r="W540" t="s">
        <v>2999</v>
      </c>
    </row>
    <row r="541" spans="1:23" x14ac:dyDescent="0.3">
      <c r="A541" s="110">
        <v>603077</v>
      </c>
      <c r="B541" s="110" t="s">
        <v>694</v>
      </c>
      <c r="C541" s="110" t="s">
        <v>706</v>
      </c>
      <c r="D541" s="110" t="s">
        <v>706</v>
      </c>
      <c r="E541" s="110" t="s">
        <v>329</v>
      </c>
      <c r="F541" s="110" t="s">
        <v>119</v>
      </c>
      <c r="G541" s="110" t="s">
        <v>114</v>
      </c>
      <c r="H541" s="111">
        <v>804</v>
      </c>
      <c r="I541" s="111">
        <v>809</v>
      </c>
      <c r="J541" s="111">
        <v>786</v>
      </c>
      <c r="K541" s="111">
        <f t="shared" si="73"/>
        <v>799.66666666666663</v>
      </c>
      <c r="L541" s="111">
        <f>300000</f>
        <v>300000</v>
      </c>
      <c r="M541" s="111">
        <f t="shared" si="74"/>
        <v>135000</v>
      </c>
      <c r="N541" s="111">
        <f t="shared" si="75"/>
        <v>135000</v>
      </c>
      <c r="O541" s="111">
        <f t="shared" si="76"/>
        <v>27000</v>
      </c>
      <c r="P541" s="111">
        <f t="shared" si="77"/>
        <v>30000</v>
      </c>
      <c r="Q541" s="111">
        <v>60000</v>
      </c>
      <c r="R541" s="111">
        <v>6</v>
      </c>
      <c r="S541" s="111">
        <f t="shared" si="78"/>
        <v>6000</v>
      </c>
      <c r="T541" s="111">
        <f t="shared" si="79"/>
        <v>360000</v>
      </c>
      <c r="U541" s="111">
        <f t="shared" si="80"/>
        <v>3600</v>
      </c>
      <c r="V541" s="111">
        <f t="shared" si="81"/>
        <v>363600</v>
      </c>
      <c r="W541" t="s">
        <v>3000</v>
      </c>
    </row>
    <row r="542" spans="1:23" x14ac:dyDescent="0.3">
      <c r="A542" s="110">
        <v>603078</v>
      </c>
      <c r="B542" s="110" t="s">
        <v>694</v>
      </c>
      <c r="C542" s="110" t="s">
        <v>706</v>
      </c>
      <c r="D542" s="110" t="s">
        <v>706</v>
      </c>
      <c r="E542" s="110" t="s">
        <v>752</v>
      </c>
      <c r="F542" s="110" t="s">
        <v>117</v>
      </c>
      <c r="G542" s="110" t="s">
        <v>125</v>
      </c>
      <c r="H542" s="111">
        <v>332</v>
      </c>
      <c r="I542" s="111">
        <v>320</v>
      </c>
      <c r="J542" s="111">
        <v>312</v>
      </c>
      <c r="K542" s="111">
        <f t="shared" si="73"/>
        <v>321.33333333333331</v>
      </c>
      <c r="L542" s="111">
        <v>200000</v>
      </c>
      <c r="M542" s="111">
        <f t="shared" si="74"/>
        <v>90000</v>
      </c>
      <c r="N542" s="111">
        <f t="shared" si="75"/>
        <v>90000</v>
      </c>
      <c r="O542" s="111">
        <f t="shared" si="76"/>
        <v>18000</v>
      </c>
      <c r="P542" s="111">
        <f t="shared" si="77"/>
        <v>20000</v>
      </c>
      <c r="Q542" s="111">
        <v>50000</v>
      </c>
      <c r="R542" s="111">
        <v>5</v>
      </c>
      <c r="S542" s="111">
        <f t="shared" si="78"/>
        <v>5000</v>
      </c>
      <c r="T542" s="111">
        <f t="shared" si="79"/>
        <v>250000</v>
      </c>
      <c r="U542" s="111">
        <f t="shared" si="80"/>
        <v>2500</v>
      </c>
      <c r="V542" s="111">
        <f t="shared" si="81"/>
        <v>252500</v>
      </c>
      <c r="W542" t="s">
        <v>3001</v>
      </c>
    </row>
    <row r="543" spans="1:23" x14ac:dyDescent="0.3">
      <c r="A543" s="110">
        <v>603087</v>
      </c>
      <c r="B543" s="110" t="s">
        <v>694</v>
      </c>
      <c r="C543" s="110" t="s">
        <v>727</v>
      </c>
      <c r="D543" s="110" t="s">
        <v>727</v>
      </c>
      <c r="E543" s="110" t="s">
        <v>329</v>
      </c>
      <c r="F543" s="110" t="s">
        <v>119</v>
      </c>
      <c r="G543" s="110" t="s">
        <v>114</v>
      </c>
      <c r="H543" s="111">
        <v>324</v>
      </c>
      <c r="I543" s="111">
        <v>341</v>
      </c>
      <c r="J543" s="111">
        <v>350</v>
      </c>
      <c r="K543" s="111">
        <f t="shared" si="73"/>
        <v>338.33333333333331</v>
      </c>
      <c r="L543" s="111">
        <v>200000</v>
      </c>
      <c r="M543" s="111">
        <f t="shared" si="74"/>
        <v>90000</v>
      </c>
      <c r="N543" s="111">
        <f t="shared" si="75"/>
        <v>90000</v>
      </c>
      <c r="O543" s="111">
        <f t="shared" si="76"/>
        <v>18000</v>
      </c>
      <c r="P543" s="111">
        <f t="shared" si="77"/>
        <v>20000</v>
      </c>
      <c r="Q543" s="111">
        <v>50000</v>
      </c>
      <c r="R543" s="111">
        <v>5</v>
      </c>
      <c r="S543" s="111">
        <f t="shared" si="78"/>
        <v>5000</v>
      </c>
      <c r="T543" s="111">
        <f t="shared" si="79"/>
        <v>250000</v>
      </c>
      <c r="U543" s="111">
        <f t="shared" si="80"/>
        <v>2500</v>
      </c>
      <c r="V543" s="111">
        <f t="shared" si="81"/>
        <v>252500</v>
      </c>
      <c r="W543" t="s">
        <v>3002</v>
      </c>
    </row>
    <row r="544" spans="1:23" x14ac:dyDescent="0.3">
      <c r="A544" s="110">
        <v>603098</v>
      </c>
      <c r="B544" s="110" t="s">
        <v>694</v>
      </c>
      <c r="C544" s="110" t="s">
        <v>731</v>
      </c>
      <c r="D544" s="110" t="s">
        <v>731</v>
      </c>
      <c r="E544" s="110" t="s">
        <v>137</v>
      </c>
      <c r="F544" s="110" t="s">
        <v>119</v>
      </c>
      <c r="G544" s="110" t="s">
        <v>114</v>
      </c>
      <c r="H544" s="111">
        <v>504</v>
      </c>
      <c r="I544" s="111">
        <v>515</v>
      </c>
      <c r="J544" s="111">
        <v>527</v>
      </c>
      <c r="K544" s="111">
        <f t="shared" si="73"/>
        <v>515.33333333333337</v>
      </c>
      <c r="L544" s="111">
        <f>300000</f>
        <v>300000</v>
      </c>
      <c r="M544" s="111">
        <f t="shared" si="74"/>
        <v>135000</v>
      </c>
      <c r="N544" s="111">
        <f t="shared" si="75"/>
        <v>135000</v>
      </c>
      <c r="O544" s="111">
        <f t="shared" si="76"/>
        <v>27000</v>
      </c>
      <c r="P544" s="111">
        <f t="shared" si="77"/>
        <v>30000</v>
      </c>
      <c r="Q544" s="111">
        <v>60000</v>
      </c>
      <c r="R544" s="111">
        <v>6</v>
      </c>
      <c r="S544" s="111">
        <f t="shared" si="78"/>
        <v>6000</v>
      </c>
      <c r="T544" s="111">
        <f t="shared" si="79"/>
        <v>360000</v>
      </c>
      <c r="U544" s="111">
        <f t="shared" si="80"/>
        <v>3600</v>
      </c>
      <c r="V544" s="111">
        <f t="shared" si="81"/>
        <v>363600</v>
      </c>
      <c r="W544" t="s">
        <v>3003</v>
      </c>
    </row>
    <row r="545" spans="1:23" x14ac:dyDescent="0.3">
      <c r="A545" s="110">
        <v>603099</v>
      </c>
      <c r="B545" s="110" t="s">
        <v>694</v>
      </c>
      <c r="C545" s="110" t="s">
        <v>731</v>
      </c>
      <c r="D545" s="110" t="s">
        <v>753</v>
      </c>
      <c r="E545" s="110" t="s">
        <v>274</v>
      </c>
      <c r="F545" s="110" t="s">
        <v>119</v>
      </c>
      <c r="G545" s="110" t="s">
        <v>114</v>
      </c>
      <c r="H545" s="111">
        <v>176</v>
      </c>
      <c r="I545" s="111">
        <v>174</v>
      </c>
      <c r="J545" s="111">
        <v>174</v>
      </c>
      <c r="K545" s="111">
        <f t="shared" si="73"/>
        <v>174.66666666666666</v>
      </c>
      <c r="L545" s="111">
        <f>150000*0.7</f>
        <v>105000</v>
      </c>
      <c r="M545" s="111">
        <f t="shared" si="74"/>
        <v>47250</v>
      </c>
      <c r="N545" s="111">
        <f t="shared" si="75"/>
        <v>47250</v>
      </c>
      <c r="O545" s="111">
        <f t="shared" si="76"/>
        <v>9450</v>
      </c>
      <c r="P545" s="111">
        <f t="shared" si="77"/>
        <v>10500</v>
      </c>
      <c r="Q545" s="111">
        <v>30000</v>
      </c>
      <c r="R545" s="111">
        <v>3</v>
      </c>
      <c r="S545" s="111">
        <f t="shared" si="78"/>
        <v>3000</v>
      </c>
      <c r="T545" s="111">
        <f t="shared" si="79"/>
        <v>135000</v>
      </c>
      <c r="U545" s="111">
        <f t="shared" si="80"/>
        <v>1350</v>
      </c>
      <c r="V545" s="111">
        <f t="shared" si="81"/>
        <v>136350</v>
      </c>
      <c r="W545" t="s">
        <v>3004</v>
      </c>
    </row>
    <row r="546" spans="1:23" x14ac:dyDescent="0.3">
      <c r="A546" s="110">
        <v>603100</v>
      </c>
      <c r="B546" s="110" t="s">
        <v>694</v>
      </c>
      <c r="C546" s="110" t="s">
        <v>731</v>
      </c>
      <c r="D546" s="110" t="s">
        <v>731</v>
      </c>
      <c r="E546" s="110" t="s">
        <v>754</v>
      </c>
      <c r="F546" s="110" t="s">
        <v>117</v>
      </c>
      <c r="G546" s="110" t="s">
        <v>114</v>
      </c>
      <c r="H546" s="111">
        <v>144</v>
      </c>
      <c r="I546" s="111">
        <v>154</v>
      </c>
      <c r="J546" s="111">
        <v>159</v>
      </c>
      <c r="K546" s="111">
        <f t="shared" si="73"/>
        <v>152.33333333333334</v>
      </c>
      <c r="L546" s="111">
        <v>150000</v>
      </c>
      <c r="M546" s="111">
        <f t="shared" si="74"/>
        <v>67500</v>
      </c>
      <c r="N546" s="111">
        <f t="shared" si="75"/>
        <v>67500</v>
      </c>
      <c r="O546" s="111">
        <f t="shared" si="76"/>
        <v>13500</v>
      </c>
      <c r="P546" s="111">
        <f t="shared" si="77"/>
        <v>15000</v>
      </c>
      <c r="Q546" s="111">
        <v>30000</v>
      </c>
      <c r="R546" s="111">
        <v>3</v>
      </c>
      <c r="S546" s="111">
        <f t="shared" si="78"/>
        <v>3000</v>
      </c>
      <c r="T546" s="111">
        <f t="shared" si="79"/>
        <v>180000</v>
      </c>
      <c r="U546" s="111">
        <f t="shared" si="80"/>
        <v>1800</v>
      </c>
      <c r="V546" s="111">
        <f t="shared" si="81"/>
        <v>181800</v>
      </c>
      <c r="W546" t="s">
        <v>3005</v>
      </c>
    </row>
    <row r="547" spans="1:23" x14ac:dyDescent="0.3">
      <c r="A547" s="110">
        <v>603101</v>
      </c>
      <c r="B547" s="110" t="s">
        <v>694</v>
      </c>
      <c r="C547" s="110" t="s">
        <v>731</v>
      </c>
      <c r="D547" s="110" t="s">
        <v>731</v>
      </c>
      <c r="E547" s="110" t="s">
        <v>755</v>
      </c>
      <c r="F547" s="110" t="s">
        <v>117</v>
      </c>
      <c r="G547" s="110" t="s">
        <v>114</v>
      </c>
      <c r="H547" s="111">
        <v>70</v>
      </c>
      <c r="I547" s="111">
        <v>75</v>
      </c>
      <c r="J547" s="111">
        <v>82</v>
      </c>
      <c r="K547" s="111">
        <f t="shared" si="73"/>
        <v>75.666666666666671</v>
      </c>
      <c r="L547" s="111">
        <v>150000</v>
      </c>
      <c r="M547" s="111">
        <f t="shared" si="74"/>
        <v>67500</v>
      </c>
      <c r="N547" s="111">
        <f t="shared" si="75"/>
        <v>67500</v>
      </c>
      <c r="O547" s="111">
        <f t="shared" si="76"/>
        <v>13500</v>
      </c>
      <c r="P547" s="111">
        <f t="shared" si="77"/>
        <v>15000</v>
      </c>
      <c r="Q547" s="111">
        <v>30000</v>
      </c>
      <c r="R547" s="111">
        <v>3</v>
      </c>
      <c r="S547" s="111">
        <f t="shared" si="78"/>
        <v>3000</v>
      </c>
      <c r="T547" s="111">
        <f t="shared" si="79"/>
        <v>180000</v>
      </c>
      <c r="U547" s="111">
        <f t="shared" si="80"/>
        <v>1800</v>
      </c>
      <c r="V547" s="111">
        <f t="shared" si="81"/>
        <v>181800</v>
      </c>
      <c r="W547" t="s">
        <v>3006</v>
      </c>
    </row>
    <row r="548" spans="1:23" x14ac:dyDescent="0.3">
      <c r="A548" s="110">
        <v>603108</v>
      </c>
      <c r="B548" s="110" t="s">
        <v>694</v>
      </c>
      <c r="C548" s="110" t="s">
        <v>734</v>
      </c>
      <c r="D548" s="110" t="s">
        <v>734</v>
      </c>
      <c r="E548" s="110" t="s">
        <v>755</v>
      </c>
      <c r="F548" s="110" t="s">
        <v>117</v>
      </c>
      <c r="G548" s="110" t="s">
        <v>114</v>
      </c>
      <c r="H548" s="111">
        <v>113</v>
      </c>
      <c r="I548" s="111">
        <v>121</v>
      </c>
      <c r="J548" s="111">
        <v>103</v>
      </c>
      <c r="K548" s="111">
        <f t="shared" si="73"/>
        <v>112.33333333333333</v>
      </c>
      <c r="L548" s="111">
        <v>150000</v>
      </c>
      <c r="M548" s="111">
        <f t="shared" si="74"/>
        <v>67500</v>
      </c>
      <c r="N548" s="111">
        <f t="shared" si="75"/>
        <v>67500</v>
      </c>
      <c r="O548" s="111">
        <f t="shared" si="76"/>
        <v>13500</v>
      </c>
      <c r="P548" s="111">
        <f t="shared" si="77"/>
        <v>15000</v>
      </c>
      <c r="Q548" s="111">
        <v>30000</v>
      </c>
      <c r="R548" s="111">
        <v>3</v>
      </c>
      <c r="S548" s="111">
        <f t="shared" si="78"/>
        <v>3000</v>
      </c>
      <c r="T548" s="111">
        <f t="shared" si="79"/>
        <v>180000</v>
      </c>
      <c r="U548" s="111">
        <f t="shared" si="80"/>
        <v>1800</v>
      </c>
      <c r="V548" s="111">
        <f t="shared" si="81"/>
        <v>181800</v>
      </c>
      <c r="W548" t="s">
        <v>3007</v>
      </c>
    </row>
    <row r="549" spans="1:23" x14ac:dyDescent="0.3">
      <c r="A549" s="110">
        <v>603116</v>
      </c>
      <c r="B549" s="110" t="s">
        <v>694</v>
      </c>
      <c r="C549" s="110" t="s">
        <v>707</v>
      </c>
      <c r="D549" s="110" t="s">
        <v>707</v>
      </c>
      <c r="E549" s="110" t="s">
        <v>272</v>
      </c>
      <c r="F549" s="110" t="s">
        <v>119</v>
      </c>
      <c r="G549" s="110" t="s">
        <v>114</v>
      </c>
      <c r="H549" s="111">
        <v>375</v>
      </c>
      <c r="I549" s="111">
        <v>338</v>
      </c>
      <c r="J549" s="111">
        <v>310</v>
      </c>
      <c r="K549" s="111">
        <f t="shared" si="73"/>
        <v>341</v>
      </c>
      <c r="L549" s="111">
        <v>200000</v>
      </c>
      <c r="M549" s="111">
        <f t="shared" si="74"/>
        <v>90000</v>
      </c>
      <c r="N549" s="111">
        <f t="shared" si="75"/>
        <v>90000</v>
      </c>
      <c r="O549" s="111">
        <f t="shared" si="76"/>
        <v>18000</v>
      </c>
      <c r="P549" s="111">
        <f t="shared" si="77"/>
        <v>20000</v>
      </c>
      <c r="Q549" s="111">
        <v>50000</v>
      </c>
      <c r="R549" s="111">
        <v>5</v>
      </c>
      <c r="S549" s="111">
        <f t="shared" si="78"/>
        <v>5000</v>
      </c>
      <c r="T549" s="111">
        <f t="shared" si="79"/>
        <v>250000</v>
      </c>
      <c r="U549" s="111">
        <f t="shared" si="80"/>
        <v>2500</v>
      </c>
      <c r="V549" s="111">
        <f t="shared" si="81"/>
        <v>252500</v>
      </c>
      <c r="W549" t="s">
        <v>3008</v>
      </c>
    </row>
    <row r="550" spans="1:23" x14ac:dyDescent="0.3">
      <c r="A550" s="110">
        <v>603123</v>
      </c>
      <c r="B550" s="110" t="s">
        <v>694</v>
      </c>
      <c r="C550" s="110" t="s">
        <v>711</v>
      </c>
      <c r="D550" s="110" t="s">
        <v>711</v>
      </c>
      <c r="E550" s="110" t="s">
        <v>214</v>
      </c>
      <c r="F550" s="110" t="s">
        <v>119</v>
      </c>
      <c r="G550" s="110" t="s">
        <v>114</v>
      </c>
      <c r="H550" s="111">
        <v>266</v>
      </c>
      <c r="I550" s="111">
        <v>283</v>
      </c>
      <c r="J550" s="111">
        <v>285</v>
      </c>
      <c r="K550" s="111">
        <f t="shared" si="73"/>
        <v>278</v>
      </c>
      <c r="L550" s="111">
        <v>200000</v>
      </c>
      <c r="M550" s="111">
        <f t="shared" si="74"/>
        <v>90000</v>
      </c>
      <c r="N550" s="111">
        <f t="shared" si="75"/>
        <v>90000</v>
      </c>
      <c r="O550" s="111">
        <f t="shared" si="76"/>
        <v>18000</v>
      </c>
      <c r="P550" s="111">
        <f t="shared" si="77"/>
        <v>20000</v>
      </c>
      <c r="Q550" s="111">
        <v>50000</v>
      </c>
      <c r="R550" s="111">
        <v>5</v>
      </c>
      <c r="S550" s="111">
        <f t="shared" si="78"/>
        <v>5000</v>
      </c>
      <c r="T550" s="111">
        <f t="shared" si="79"/>
        <v>250000</v>
      </c>
      <c r="U550" s="111">
        <f t="shared" si="80"/>
        <v>2500</v>
      </c>
      <c r="V550" s="111">
        <f t="shared" si="81"/>
        <v>252500</v>
      </c>
      <c r="W550" t="s">
        <v>3009</v>
      </c>
    </row>
    <row r="551" spans="1:23" x14ac:dyDescent="0.3">
      <c r="A551" s="110">
        <v>603130</v>
      </c>
      <c r="B551" s="110" t="s">
        <v>694</v>
      </c>
      <c r="C551" s="110" t="s">
        <v>740</v>
      </c>
      <c r="D551" s="110" t="s">
        <v>740</v>
      </c>
      <c r="E551" s="110" t="s">
        <v>756</v>
      </c>
      <c r="F551" s="110" t="s">
        <v>119</v>
      </c>
      <c r="G551" s="110" t="s">
        <v>114</v>
      </c>
      <c r="H551" s="111">
        <v>245</v>
      </c>
      <c r="I551" s="111">
        <v>256</v>
      </c>
      <c r="J551" s="111">
        <v>265</v>
      </c>
      <c r="K551" s="111">
        <f t="shared" si="73"/>
        <v>255.33333333333334</v>
      </c>
      <c r="L551" s="111">
        <v>200000</v>
      </c>
      <c r="M551" s="111">
        <f t="shared" si="74"/>
        <v>90000</v>
      </c>
      <c r="N551" s="111">
        <f t="shared" si="75"/>
        <v>90000</v>
      </c>
      <c r="O551" s="111">
        <f t="shared" si="76"/>
        <v>18000</v>
      </c>
      <c r="P551" s="111">
        <f t="shared" si="77"/>
        <v>20000</v>
      </c>
      <c r="Q551" s="111">
        <v>50000</v>
      </c>
      <c r="R551" s="111">
        <v>5</v>
      </c>
      <c r="S551" s="111">
        <f t="shared" si="78"/>
        <v>5000</v>
      </c>
      <c r="T551" s="111">
        <f t="shared" si="79"/>
        <v>250000</v>
      </c>
      <c r="U551" s="111">
        <f t="shared" si="80"/>
        <v>2500</v>
      </c>
      <c r="V551" s="111">
        <f t="shared" si="81"/>
        <v>252500</v>
      </c>
      <c r="W551" t="s">
        <v>3010</v>
      </c>
    </row>
    <row r="552" spans="1:23" x14ac:dyDescent="0.3">
      <c r="A552" s="110">
        <v>607055</v>
      </c>
      <c r="B552" s="110" t="s">
        <v>694</v>
      </c>
      <c r="C552" s="110" t="s">
        <v>694</v>
      </c>
      <c r="D552" s="110" t="s">
        <v>694</v>
      </c>
      <c r="E552" s="110" t="s">
        <v>693</v>
      </c>
      <c r="F552" s="110" t="s">
        <v>135</v>
      </c>
      <c r="G552" s="110" t="s">
        <v>125</v>
      </c>
      <c r="H552" s="111">
        <v>86</v>
      </c>
      <c r="I552" s="111">
        <v>101</v>
      </c>
      <c r="J552" s="111">
        <v>105</v>
      </c>
      <c r="K552" s="111">
        <f t="shared" si="73"/>
        <v>97.333333333333329</v>
      </c>
      <c r="L552" s="111">
        <v>150000</v>
      </c>
      <c r="M552" s="111">
        <f t="shared" si="74"/>
        <v>67500</v>
      </c>
      <c r="N552" s="111">
        <f t="shared" si="75"/>
        <v>67500</v>
      </c>
      <c r="O552" s="111">
        <f t="shared" si="76"/>
        <v>13500</v>
      </c>
      <c r="P552" s="111">
        <f t="shared" si="77"/>
        <v>15000</v>
      </c>
      <c r="Q552" s="111">
        <v>30000</v>
      </c>
      <c r="R552" s="111">
        <v>3</v>
      </c>
      <c r="S552" s="111">
        <f t="shared" si="78"/>
        <v>3000</v>
      </c>
      <c r="T552" s="111">
        <f t="shared" si="79"/>
        <v>180000</v>
      </c>
      <c r="U552" s="111">
        <f t="shared" si="80"/>
        <v>1800</v>
      </c>
      <c r="V552" s="111">
        <f t="shared" si="81"/>
        <v>181800</v>
      </c>
      <c r="W552" t="s">
        <v>3011</v>
      </c>
    </row>
    <row r="553" spans="1:23" x14ac:dyDescent="0.3">
      <c r="A553" s="110">
        <v>608060</v>
      </c>
      <c r="B553" s="110" t="s">
        <v>694</v>
      </c>
      <c r="C553" s="110" t="s">
        <v>694</v>
      </c>
      <c r="D553" s="110" t="s">
        <v>694</v>
      </c>
      <c r="E553" s="110" t="s">
        <v>757</v>
      </c>
      <c r="F553" s="110" t="s">
        <v>296</v>
      </c>
      <c r="G553" s="110" t="s">
        <v>114</v>
      </c>
      <c r="H553" s="111">
        <v>208</v>
      </c>
      <c r="I553" s="111">
        <v>204</v>
      </c>
      <c r="J553" s="111">
        <v>184</v>
      </c>
      <c r="K553" s="111">
        <f t="shared" si="73"/>
        <v>198.66666666666666</v>
      </c>
      <c r="L553" s="111">
        <v>150000</v>
      </c>
      <c r="M553" s="111">
        <f t="shared" si="74"/>
        <v>67500</v>
      </c>
      <c r="N553" s="111">
        <f t="shared" si="75"/>
        <v>67500</v>
      </c>
      <c r="O553" s="111">
        <f t="shared" si="76"/>
        <v>13500</v>
      </c>
      <c r="P553" s="111">
        <f t="shared" si="77"/>
        <v>15000</v>
      </c>
      <c r="Q553" s="111">
        <v>30000</v>
      </c>
      <c r="R553" s="111">
        <v>3</v>
      </c>
      <c r="S553" s="111">
        <f t="shared" si="78"/>
        <v>3000</v>
      </c>
      <c r="T553" s="111">
        <f t="shared" si="79"/>
        <v>180000</v>
      </c>
      <c r="U553" s="111">
        <f t="shared" si="80"/>
        <v>1800</v>
      </c>
      <c r="V553" s="111">
        <f t="shared" si="81"/>
        <v>181800</v>
      </c>
      <c r="W553" t="s">
        <v>3012</v>
      </c>
    </row>
    <row r="554" spans="1:23" x14ac:dyDescent="0.3">
      <c r="A554" s="110">
        <v>700101</v>
      </c>
      <c r="B554" s="110" t="s">
        <v>758</v>
      </c>
      <c r="C554" s="110" t="s">
        <v>758</v>
      </c>
      <c r="D554" s="110" t="s">
        <v>758</v>
      </c>
      <c r="E554" s="110" t="s">
        <v>282</v>
      </c>
      <c r="F554" s="110" t="s">
        <v>209</v>
      </c>
      <c r="G554" s="110" t="s">
        <v>114</v>
      </c>
      <c r="H554" s="111">
        <v>154</v>
      </c>
      <c r="I554" s="111">
        <v>160</v>
      </c>
      <c r="J554" s="111">
        <v>164</v>
      </c>
      <c r="K554" s="111">
        <f t="shared" si="73"/>
        <v>159.33333333333334</v>
      </c>
      <c r="L554" s="111">
        <v>150000</v>
      </c>
      <c r="M554" s="111">
        <f t="shared" si="74"/>
        <v>67500</v>
      </c>
      <c r="N554" s="111">
        <f t="shared" si="75"/>
        <v>67500</v>
      </c>
      <c r="O554" s="111">
        <f t="shared" si="76"/>
        <v>13500</v>
      </c>
      <c r="P554" s="111">
        <f t="shared" si="77"/>
        <v>15000</v>
      </c>
      <c r="Q554" s="111">
        <v>30000</v>
      </c>
      <c r="R554" s="111">
        <v>3</v>
      </c>
      <c r="S554" s="111">
        <f t="shared" si="78"/>
        <v>3000</v>
      </c>
      <c r="T554" s="111">
        <f t="shared" si="79"/>
        <v>180000</v>
      </c>
      <c r="U554" s="111">
        <f t="shared" si="80"/>
        <v>1800</v>
      </c>
      <c r="V554" s="111">
        <f t="shared" si="81"/>
        <v>181800</v>
      </c>
      <c r="W554" t="s">
        <v>3013</v>
      </c>
    </row>
    <row r="555" spans="1:23" x14ac:dyDescent="0.3">
      <c r="A555" s="110">
        <v>700102</v>
      </c>
      <c r="B555" s="110" t="s">
        <v>758</v>
      </c>
      <c r="C555" s="110" t="s">
        <v>758</v>
      </c>
      <c r="D555" s="110" t="s">
        <v>758</v>
      </c>
      <c r="E555" s="110" t="s">
        <v>759</v>
      </c>
      <c r="F555" s="110" t="s">
        <v>113</v>
      </c>
      <c r="G555" s="110" t="s">
        <v>114</v>
      </c>
      <c r="H555" s="111">
        <v>503</v>
      </c>
      <c r="I555" s="111">
        <v>533</v>
      </c>
      <c r="J555" s="111">
        <v>521</v>
      </c>
      <c r="K555" s="111">
        <f t="shared" si="73"/>
        <v>519</v>
      </c>
      <c r="L555" s="111">
        <f>300000</f>
        <v>300000</v>
      </c>
      <c r="M555" s="111">
        <f t="shared" si="74"/>
        <v>135000</v>
      </c>
      <c r="N555" s="111">
        <f t="shared" si="75"/>
        <v>135000</v>
      </c>
      <c r="O555" s="111">
        <f t="shared" si="76"/>
        <v>27000</v>
      </c>
      <c r="P555" s="111">
        <f t="shared" si="77"/>
        <v>30000</v>
      </c>
      <c r="Q555" s="111">
        <v>60000</v>
      </c>
      <c r="R555" s="111">
        <v>6</v>
      </c>
      <c r="S555" s="111">
        <f t="shared" si="78"/>
        <v>6000</v>
      </c>
      <c r="T555" s="111">
        <f t="shared" si="79"/>
        <v>360000</v>
      </c>
      <c r="U555" s="111">
        <f t="shared" si="80"/>
        <v>3600</v>
      </c>
      <c r="V555" s="111">
        <f t="shared" si="81"/>
        <v>363600</v>
      </c>
      <c r="W555" t="s">
        <v>3014</v>
      </c>
    </row>
    <row r="556" spans="1:23" x14ac:dyDescent="0.3">
      <c r="A556" s="110">
        <v>700103</v>
      </c>
      <c r="B556" s="110" t="s">
        <v>758</v>
      </c>
      <c r="C556" s="110" t="s">
        <v>758</v>
      </c>
      <c r="D556" s="110" t="s">
        <v>758</v>
      </c>
      <c r="E556" s="110" t="s">
        <v>203</v>
      </c>
      <c r="F556" s="110" t="s">
        <v>113</v>
      </c>
      <c r="G556" s="110" t="s">
        <v>114</v>
      </c>
      <c r="H556" s="111">
        <v>490</v>
      </c>
      <c r="I556" s="111">
        <v>472</v>
      </c>
      <c r="J556" s="111">
        <v>486</v>
      </c>
      <c r="K556" s="111">
        <f t="shared" si="73"/>
        <v>482.66666666666669</v>
      </c>
      <c r="L556" s="111">
        <f>300000*0.7</f>
        <v>210000</v>
      </c>
      <c r="M556" s="111">
        <f t="shared" si="74"/>
        <v>94500</v>
      </c>
      <c r="N556" s="111">
        <f t="shared" si="75"/>
        <v>94500</v>
      </c>
      <c r="O556" s="111">
        <f t="shared" si="76"/>
        <v>18900</v>
      </c>
      <c r="P556" s="111">
        <f t="shared" si="77"/>
        <v>21000</v>
      </c>
      <c r="Q556" s="111">
        <v>60000</v>
      </c>
      <c r="R556" s="111">
        <v>6</v>
      </c>
      <c r="S556" s="111">
        <f t="shared" si="78"/>
        <v>6000</v>
      </c>
      <c r="T556" s="111">
        <f t="shared" si="79"/>
        <v>270000</v>
      </c>
      <c r="U556" s="111">
        <f t="shared" si="80"/>
        <v>2700</v>
      </c>
      <c r="V556" s="111">
        <f t="shared" si="81"/>
        <v>272700</v>
      </c>
      <c r="W556" t="s">
        <v>3015</v>
      </c>
    </row>
    <row r="557" spans="1:23" x14ac:dyDescent="0.3">
      <c r="A557" s="110">
        <v>700106</v>
      </c>
      <c r="B557" s="110" t="s">
        <v>758</v>
      </c>
      <c r="C557" s="110" t="s">
        <v>758</v>
      </c>
      <c r="D557" s="110" t="s">
        <v>758</v>
      </c>
      <c r="E557" s="110" t="s">
        <v>760</v>
      </c>
      <c r="F557" s="110" t="s">
        <v>113</v>
      </c>
      <c r="G557" s="110" t="s">
        <v>114</v>
      </c>
      <c r="H557" s="111">
        <v>117</v>
      </c>
      <c r="I557" s="111">
        <v>108</v>
      </c>
      <c r="J557" s="111">
        <v>107</v>
      </c>
      <c r="K557" s="111">
        <f t="shared" si="73"/>
        <v>110.66666666666667</v>
      </c>
      <c r="L557" s="111">
        <v>150000</v>
      </c>
      <c r="M557" s="111">
        <f t="shared" si="74"/>
        <v>67500</v>
      </c>
      <c r="N557" s="111">
        <f t="shared" si="75"/>
        <v>67500</v>
      </c>
      <c r="O557" s="111">
        <f t="shared" si="76"/>
        <v>13500</v>
      </c>
      <c r="P557" s="111">
        <f t="shared" si="77"/>
        <v>15000</v>
      </c>
      <c r="Q557" s="111">
        <v>30000</v>
      </c>
      <c r="R557" s="111">
        <v>3</v>
      </c>
      <c r="S557" s="111">
        <f t="shared" si="78"/>
        <v>3000</v>
      </c>
      <c r="T557" s="111">
        <f t="shared" si="79"/>
        <v>180000</v>
      </c>
      <c r="U557" s="111">
        <f t="shared" si="80"/>
        <v>1800</v>
      </c>
      <c r="V557" s="111">
        <f t="shared" si="81"/>
        <v>181800</v>
      </c>
      <c r="W557" t="s">
        <v>3016</v>
      </c>
    </row>
    <row r="558" spans="1:23" x14ac:dyDescent="0.3">
      <c r="A558" s="110">
        <v>700108</v>
      </c>
      <c r="B558" s="110" t="s">
        <v>758</v>
      </c>
      <c r="C558" s="110" t="s">
        <v>758</v>
      </c>
      <c r="D558" s="110" t="s">
        <v>758</v>
      </c>
      <c r="E558" s="110" t="s">
        <v>588</v>
      </c>
      <c r="F558" s="110" t="s">
        <v>113</v>
      </c>
      <c r="G558" s="110" t="s">
        <v>114</v>
      </c>
      <c r="H558" s="111">
        <v>614</v>
      </c>
      <c r="I558" s="111">
        <v>600</v>
      </c>
      <c r="J558" s="111">
        <v>578</v>
      </c>
      <c r="K558" s="111">
        <f t="shared" si="73"/>
        <v>597.33333333333337</v>
      </c>
      <c r="L558" s="111">
        <f>300000</f>
        <v>300000</v>
      </c>
      <c r="M558" s="111">
        <f t="shared" si="74"/>
        <v>135000</v>
      </c>
      <c r="N558" s="111">
        <f t="shared" si="75"/>
        <v>135000</v>
      </c>
      <c r="O558" s="111">
        <f t="shared" si="76"/>
        <v>27000</v>
      </c>
      <c r="P558" s="111">
        <f t="shared" si="77"/>
        <v>30000</v>
      </c>
      <c r="Q558" s="111">
        <v>60000</v>
      </c>
      <c r="R558" s="111">
        <v>6</v>
      </c>
      <c r="S558" s="111">
        <f t="shared" si="78"/>
        <v>6000</v>
      </c>
      <c r="T558" s="111">
        <f t="shared" si="79"/>
        <v>360000</v>
      </c>
      <c r="U558" s="111">
        <f t="shared" si="80"/>
        <v>3600</v>
      </c>
      <c r="V558" s="111">
        <f t="shared" si="81"/>
        <v>363600</v>
      </c>
      <c r="W558" t="s">
        <v>3017</v>
      </c>
    </row>
    <row r="559" spans="1:23" x14ac:dyDescent="0.3">
      <c r="A559" s="110">
        <v>700112</v>
      </c>
      <c r="B559" s="110" t="s">
        <v>758</v>
      </c>
      <c r="C559" s="110" t="s">
        <v>758</v>
      </c>
      <c r="D559" s="110" t="s">
        <v>758</v>
      </c>
      <c r="E559" s="110" t="s">
        <v>184</v>
      </c>
      <c r="F559" s="110" t="s">
        <v>113</v>
      </c>
      <c r="G559" s="110" t="s">
        <v>114</v>
      </c>
      <c r="H559" s="111">
        <v>243</v>
      </c>
      <c r="I559" s="111">
        <v>230</v>
      </c>
      <c r="J559" s="111">
        <v>240</v>
      </c>
      <c r="K559" s="111">
        <f t="shared" si="73"/>
        <v>237.66666666666666</v>
      </c>
      <c r="L559" s="111">
        <v>200000</v>
      </c>
      <c r="M559" s="111">
        <f t="shared" si="74"/>
        <v>90000</v>
      </c>
      <c r="N559" s="111">
        <f t="shared" si="75"/>
        <v>90000</v>
      </c>
      <c r="O559" s="111">
        <f t="shared" si="76"/>
        <v>18000</v>
      </c>
      <c r="P559" s="111">
        <f t="shared" si="77"/>
        <v>20000</v>
      </c>
      <c r="Q559" s="111">
        <v>50000</v>
      </c>
      <c r="R559" s="111">
        <v>5</v>
      </c>
      <c r="S559" s="111">
        <f t="shared" si="78"/>
        <v>5000</v>
      </c>
      <c r="T559" s="111">
        <f t="shared" si="79"/>
        <v>250000</v>
      </c>
      <c r="U559" s="111">
        <f t="shared" si="80"/>
        <v>2500</v>
      </c>
      <c r="V559" s="111">
        <f t="shared" si="81"/>
        <v>252500</v>
      </c>
      <c r="W559" t="s">
        <v>3018</v>
      </c>
    </row>
    <row r="560" spans="1:23" x14ac:dyDescent="0.3">
      <c r="A560" s="110">
        <v>700113</v>
      </c>
      <c r="B560" s="110" t="s">
        <v>758</v>
      </c>
      <c r="C560" s="110" t="s">
        <v>758</v>
      </c>
      <c r="D560" s="110" t="s">
        <v>758</v>
      </c>
      <c r="E560" s="110" t="s">
        <v>746</v>
      </c>
      <c r="F560" s="110" t="s">
        <v>119</v>
      </c>
      <c r="G560" s="110" t="s">
        <v>114</v>
      </c>
      <c r="H560" s="111">
        <v>455</v>
      </c>
      <c r="I560" s="111">
        <v>453</v>
      </c>
      <c r="J560" s="111">
        <v>458</v>
      </c>
      <c r="K560" s="111">
        <f t="shared" si="73"/>
        <v>455.33333333333331</v>
      </c>
      <c r="L560" s="111">
        <f>300000</f>
        <v>300000</v>
      </c>
      <c r="M560" s="111">
        <f t="shared" si="74"/>
        <v>135000</v>
      </c>
      <c r="N560" s="111">
        <f t="shared" si="75"/>
        <v>135000</v>
      </c>
      <c r="O560" s="111">
        <f t="shared" si="76"/>
        <v>27000</v>
      </c>
      <c r="P560" s="111">
        <f t="shared" si="77"/>
        <v>30000</v>
      </c>
      <c r="Q560" s="111">
        <v>60000</v>
      </c>
      <c r="R560" s="111">
        <v>6</v>
      </c>
      <c r="S560" s="111">
        <f t="shared" si="78"/>
        <v>6000</v>
      </c>
      <c r="T560" s="111">
        <f t="shared" si="79"/>
        <v>360000</v>
      </c>
      <c r="U560" s="111">
        <f t="shared" si="80"/>
        <v>3600</v>
      </c>
      <c r="V560" s="111">
        <f t="shared" si="81"/>
        <v>363600</v>
      </c>
      <c r="W560" t="s">
        <v>3019</v>
      </c>
    </row>
    <row r="561" spans="1:23" x14ac:dyDescent="0.3">
      <c r="A561" s="110">
        <v>700114</v>
      </c>
      <c r="B561" s="110" t="s">
        <v>758</v>
      </c>
      <c r="C561" s="110" t="s">
        <v>758</v>
      </c>
      <c r="D561" s="110" t="s">
        <v>758</v>
      </c>
      <c r="E561" s="110" t="s">
        <v>761</v>
      </c>
      <c r="F561" s="110" t="s">
        <v>119</v>
      </c>
      <c r="G561" s="110" t="s">
        <v>114</v>
      </c>
      <c r="H561" s="111">
        <v>559</v>
      </c>
      <c r="I561" s="111">
        <v>484</v>
      </c>
      <c r="J561" s="111">
        <v>487</v>
      </c>
      <c r="K561" s="111">
        <f t="shared" si="73"/>
        <v>510</v>
      </c>
      <c r="L561" s="111">
        <f>300000</f>
        <v>300000</v>
      </c>
      <c r="M561" s="111">
        <f t="shared" si="74"/>
        <v>135000</v>
      </c>
      <c r="N561" s="111">
        <f t="shared" si="75"/>
        <v>135000</v>
      </c>
      <c r="O561" s="111">
        <f t="shared" si="76"/>
        <v>27000</v>
      </c>
      <c r="P561" s="111">
        <f t="shared" si="77"/>
        <v>30000</v>
      </c>
      <c r="Q561" s="111">
        <v>60000</v>
      </c>
      <c r="R561" s="111">
        <v>6</v>
      </c>
      <c r="S561" s="111">
        <f t="shared" si="78"/>
        <v>6000</v>
      </c>
      <c r="T561" s="111">
        <f t="shared" si="79"/>
        <v>360000</v>
      </c>
      <c r="U561" s="111">
        <f t="shared" si="80"/>
        <v>3600</v>
      </c>
      <c r="V561" s="111">
        <f t="shared" si="81"/>
        <v>363600</v>
      </c>
      <c r="W561" t="s">
        <v>3020</v>
      </c>
    </row>
    <row r="562" spans="1:23" x14ac:dyDescent="0.3">
      <c r="A562" s="110">
        <v>700115</v>
      </c>
      <c r="B562" s="110" t="s">
        <v>758</v>
      </c>
      <c r="C562" s="110" t="s">
        <v>758</v>
      </c>
      <c r="D562" s="110" t="s">
        <v>758</v>
      </c>
      <c r="E562" s="110" t="s">
        <v>762</v>
      </c>
      <c r="F562" s="110" t="s">
        <v>122</v>
      </c>
      <c r="G562" s="110" t="s">
        <v>125</v>
      </c>
      <c r="H562" s="111">
        <v>646</v>
      </c>
      <c r="I562" s="111">
        <v>647</v>
      </c>
      <c r="J562" s="111">
        <v>651</v>
      </c>
      <c r="K562" s="111">
        <f t="shared" si="73"/>
        <v>648</v>
      </c>
      <c r="L562" s="111">
        <f>300000</f>
        <v>300000</v>
      </c>
      <c r="M562" s="111">
        <f t="shared" si="74"/>
        <v>135000</v>
      </c>
      <c r="N562" s="111">
        <f t="shared" si="75"/>
        <v>135000</v>
      </c>
      <c r="O562" s="111">
        <f t="shared" si="76"/>
        <v>27000</v>
      </c>
      <c r="P562" s="111">
        <f t="shared" si="77"/>
        <v>30000</v>
      </c>
      <c r="Q562" s="111">
        <v>60000</v>
      </c>
      <c r="R562" s="111">
        <v>6</v>
      </c>
      <c r="S562" s="111">
        <f t="shared" si="78"/>
        <v>6000</v>
      </c>
      <c r="T562" s="111">
        <f t="shared" si="79"/>
        <v>360000</v>
      </c>
      <c r="U562" s="111">
        <f t="shared" si="80"/>
        <v>3600</v>
      </c>
      <c r="V562" s="111">
        <f t="shared" si="81"/>
        <v>363600</v>
      </c>
      <c r="W562" t="s">
        <v>3021</v>
      </c>
    </row>
    <row r="563" spans="1:23" x14ac:dyDescent="0.3">
      <c r="A563" s="110">
        <v>700116</v>
      </c>
      <c r="B563" s="110" t="s">
        <v>758</v>
      </c>
      <c r="C563" s="110" t="s">
        <v>758</v>
      </c>
      <c r="D563" s="110" t="s">
        <v>758</v>
      </c>
      <c r="E563" s="110" t="s">
        <v>763</v>
      </c>
      <c r="F563" s="110" t="s">
        <v>122</v>
      </c>
      <c r="G563" s="110" t="s">
        <v>114</v>
      </c>
      <c r="H563" s="111">
        <v>610</v>
      </c>
      <c r="I563" s="111">
        <v>610</v>
      </c>
      <c r="J563" s="111">
        <v>584</v>
      </c>
      <c r="K563" s="111">
        <f t="shared" si="73"/>
        <v>601.33333333333337</v>
      </c>
      <c r="L563" s="111">
        <f>300000*0.7</f>
        <v>210000</v>
      </c>
      <c r="M563" s="111">
        <f t="shared" si="74"/>
        <v>94500</v>
      </c>
      <c r="N563" s="111">
        <f t="shared" si="75"/>
        <v>94500</v>
      </c>
      <c r="O563" s="111">
        <f t="shared" si="76"/>
        <v>18900</v>
      </c>
      <c r="P563" s="111">
        <f t="shared" si="77"/>
        <v>21000</v>
      </c>
      <c r="Q563" s="111">
        <v>60000</v>
      </c>
      <c r="R563" s="111">
        <v>6</v>
      </c>
      <c r="S563" s="111">
        <f t="shared" si="78"/>
        <v>6000</v>
      </c>
      <c r="T563" s="111">
        <f t="shared" si="79"/>
        <v>270000</v>
      </c>
      <c r="U563" s="111">
        <f t="shared" si="80"/>
        <v>2700</v>
      </c>
      <c r="V563" s="111">
        <f t="shared" si="81"/>
        <v>272700</v>
      </c>
      <c r="W563" t="s">
        <v>3022</v>
      </c>
    </row>
    <row r="564" spans="1:23" x14ac:dyDescent="0.3">
      <c r="A564" s="110">
        <v>700118</v>
      </c>
      <c r="B564" s="110" t="s">
        <v>758</v>
      </c>
      <c r="C564" s="110" t="s">
        <v>758</v>
      </c>
      <c r="D564" s="110" t="s">
        <v>758</v>
      </c>
      <c r="E564" s="110" t="s">
        <v>764</v>
      </c>
      <c r="F564" s="110" t="s">
        <v>117</v>
      </c>
      <c r="G564" s="110" t="s">
        <v>125</v>
      </c>
      <c r="H564" s="111">
        <v>530</v>
      </c>
      <c r="I564" s="111">
        <v>561</v>
      </c>
      <c r="J564" s="111">
        <v>591</v>
      </c>
      <c r="K564" s="111">
        <f t="shared" si="73"/>
        <v>560.66666666666663</v>
      </c>
      <c r="L564" s="111">
        <f>300000*0.7</f>
        <v>210000</v>
      </c>
      <c r="M564" s="111">
        <f t="shared" si="74"/>
        <v>94500</v>
      </c>
      <c r="N564" s="111">
        <f t="shared" si="75"/>
        <v>94500</v>
      </c>
      <c r="O564" s="111">
        <f t="shared" si="76"/>
        <v>18900</v>
      </c>
      <c r="P564" s="111">
        <f t="shared" si="77"/>
        <v>21000</v>
      </c>
      <c r="Q564" s="111">
        <v>60000</v>
      </c>
      <c r="R564" s="111">
        <v>6</v>
      </c>
      <c r="S564" s="111">
        <f t="shared" si="78"/>
        <v>6000</v>
      </c>
      <c r="T564" s="111">
        <f t="shared" si="79"/>
        <v>270000</v>
      </c>
      <c r="U564" s="111">
        <f t="shared" si="80"/>
        <v>2700</v>
      </c>
      <c r="V564" s="111">
        <f t="shared" si="81"/>
        <v>272700</v>
      </c>
      <c r="W564" t="s">
        <v>3023</v>
      </c>
    </row>
    <row r="565" spans="1:23" x14ac:dyDescent="0.3">
      <c r="A565" s="110">
        <v>700120</v>
      </c>
      <c r="B565" s="110" t="s">
        <v>758</v>
      </c>
      <c r="C565" s="110" t="s">
        <v>758</v>
      </c>
      <c r="D565" s="110" t="s">
        <v>758</v>
      </c>
      <c r="E565" s="110" t="s">
        <v>765</v>
      </c>
      <c r="F565" s="110" t="s">
        <v>117</v>
      </c>
      <c r="G565" s="110" t="s">
        <v>125</v>
      </c>
      <c r="H565" s="111">
        <v>414</v>
      </c>
      <c r="I565" s="111">
        <v>412</v>
      </c>
      <c r="J565" s="111">
        <v>424</v>
      </c>
      <c r="K565" s="111">
        <f t="shared" si="73"/>
        <v>416.66666666666669</v>
      </c>
      <c r="L565" s="111">
        <f>300000*0.7</f>
        <v>210000</v>
      </c>
      <c r="M565" s="111">
        <f t="shared" si="74"/>
        <v>94500</v>
      </c>
      <c r="N565" s="111">
        <f t="shared" si="75"/>
        <v>94500</v>
      </c>
      <c r="O565" s="111">
        <f t="shared" si="76"/>
        <v>18900</v>
      </c>
      <c r="P565" s="111">
        <f t="shared" si="77"/>
        <v>21000</v>
      </c>
      <c r="Q565" s="111">
        <v>60000</v>
      </c>
      <c r="R565" s="111">
        <v>6</v>
      </c>
      <c r="S565" s="111">
        <f t="shared" si="78"/>
        <v>6000</v>
      </c>
      <c r="T565" s="111">
        <f t="shared" si="79"/>
        <v>270000</v>
      </c>
      <c r="U565" s="111">
        <f t="shared" si="80"/>
        <v>2700</v>
      </c>
      <c r="V565" s="111">
        <f t="shared" si="81"/>
        <v>272700</v>
      </c>
      <c r="W565" t="s">
        <v>3024</v>
      </c>
    </row>
    <row r="566" spans="1:23" x14ac:dyDescent="0.3">
      <c r="A566" s="110">
        <v>700121</v>
      </c>
      <c r="B566" s="110" t="s">
        <v>758</v>
      </c>
      <c r="C566" s="110" t="s">
        <v>758</v>
      </c>
      <c r="D566" s="110" t="s">
        <v>758</v>
      </c>
      <c r="E566" s="110" t="s">
        <v>467</v>
      </c>
      <c r="F566" s="110" t="s">
        <v>135</v>
      </c>
      <c r="G566" s="110" t="s">
        <v>114</v>
      </c>
      <c r="H566" s="111">
        <v>38</v>
      </c>
      <c r="I566" s="111">
        <v>46</v>
      </c>
      <c r="J566" s="111">
        <v>34</v>
      </c>
      <c r="K566" s="111">
        <f t="shared" si="73"/>
        <v>39.333333333333336</v>
      </c>
      <c r="L566" s="111">
        <v>50000</v>
      </c>
      <c r="M566" s="111">
        <f t="shared" si="74"/>
        <v>22500</v>
      </c>
      <c r="N566" s="111">
        <f t="shared" si="75"/>
        <v>22500</v>
      </c>
      <c r="O566" s="111">
        <f t="shared" si="76"/>
        <v>4500</v>
      </c>
      <c r="P566" s="111">
        <f t="shared" si="77"/>
        <v>5000</v>
      </c>
      <c r="Q566" s="111">
        <v>10000</v>
      </c>
      <c r="R566" s="111">
        <v>1</v>
      </c>
      <c r="S566" s="111">
        <f t="shared" si="78"/>
        <v>1000</v>
      </c>
      <c r="T566" s="111">
        <f t="shared" si="79"/>
        <v>60000</v>
      </c>
      <c r="U566" s="111">
        <f t="shared" si="80"/>
        <v>600</v>
      </c>
      <c r="V566" s="111">
        <f t="shared" si="81"/>
        <v>60600</v>
      </c>
      <c r="W566" t="s">
        <v>3025</v>
      </c>
    </row>
    <row r="567" spans="1:23" x14ac:dyDescent="0.3">
      <c r="A567" s="110">
        <v>700204</v>
      </c>
      <c r="B567" s="110" t="s">
        <v>758</v>
      </c>
      <c r="C567" s="110" t="s">
        <v>766</v>
      </c>
      <c r="D567" s="110" t="s">
        <v>766</v>
      </c>
      <c r="E567" s="110" t="s">
        <v>511</v>
      </c>
      <c r="F567" s="110" t="s">
        <v>119</v>
      </c>
      <c r="G567" s="110" t="s">
        <v>114</v>
      </c>
      <c r="H567" s="111">
        <v>452</v>
      </c>
      <c r="I567" s="111">
        <v>455</v>
      </c>
      <c r="J567" s="111">
        <v>434</v>
      </c>
      <c r="K567" s="111">
        <f t="shared" si="73"/>
        <v>447</v>
      </c>
      <c r="L567" s="111">
        <f>300000</f>
        <v>300000</v>
      </c>
      <c r="M567" s="111">
        <f t="shared" si="74"/>
        <v>135000</v>
      </c>
      <c r="N567" s="111">
        <f t="shared" si="75"/>
        <v>135000</v>
      </c>
      <c r="O567" s="111">
        <f t="shared" si="76"/>
        <v>27000</v>
      </c>
      <c r="P567" s="111">
        <f t="shared" si="77"/>
        <v>30000</v>
      </c>
      <c r="Q567" s="111">
        <v>60000</v>
      </c>
      <c r="R567" s="111">
        <v>6</v>
      </c>
      <c r="S567" s="111">
        <f t="shared" si="78"/>
        <v>6000</v>
      </c>
      <c r="T567" s="111">
        <f t="shared" si="79"/>
        <v>360000</v>
      </c>
      <c r="U567" s="111">
        <f t="shared" si="80"/>
        <v>3600</v>
      </c>
      <c r="V567" s="111">
        <f t="shared" si="81"/>
        <v>363600</v>
      </c>
      <c r="W567" t="s">
        <v>3026</v>
      </c>
    </row>
    <row r="568" spans="1:23" x14ac:dyDescent="0.3">
      <c r="A568" s="110">
        <v>700205</v>
      </c>
      <c r="B568" s="110" t="s">
        <v>758</v>
      </c>
      <c r="C568" s="110" t="s">
        <v>766</v>
      </c>
      <c r="D568" s="110" t="s">
        <v>766</v>
      </c>
      <c r="E568" s="110" t="s">
        <v>767</v>
      </c>
      <c r="F568" s="110" t="s">
        <v>117</v>
      </c>
      <c r="G568" s="110" t="s">
        <v>114</v>
      </c>
      <c r="H568" s="111">
        <v>107</v>
      </c>
      <c r="I568" s="111">
        <v>117</v>
      </c>
      <c r="J568" s="111">
        <v>113</v>
      </c>
      <c r="K568" s="111">
        <f t="shared" si="73"/>
        <v>112.33333333333333</v>
      </c>
      <c r="L568" s="111">
        <f>150000*0.7</f>
        <v>105000</v>
      </c>
      <c r="M568" s="111">
        <f t="shared" si="74"/>
        <v>47250</v>
      </c>
      <c r="N568" s="111">
        <f t="shared" si="75"/>
        <v>47250</v>
      </c>
      <c r="O568" s="111">
        <f t="shared" si="76"/>
        <v>9450</v>
      </c>
      <c r="P568" s="111">
        <f t="shared" si="77"/>
        <v>10500</v>
      </c>
      <c r="Q568" s="111">
        <v>30000</v>
      </c>
      <c r="R568" s="111">
        <v>3</v>
      </c>
      <c r="S568" s="111">
        <f t="shared" si="78"/>
        <v>3000</v>
      </c>
      <c r="T568" s="111">
        <f t="shared" si="79"/>
        <v>135000</v>
      </c>
      <c r="U568" s="111">
        <f t="shared" si="80"/>
        <v>1350</v>
      </c>
      <c r="V568" s="111">
        <f t="shared" si="81"/>
        <v>136350</v>
      </c>
      <c r="W568" t="s">
        <v>3027</v>
      </c>
    </row>
    <row r="569" spans="1:23" x14ac:dyDescent="0.3">
      <c r="A569" s="110">
        <v>700307</v>
      </c>
      <c r="B569" s="110" t="s">
        <v>758</v>
      </c>
      <c r="C569" s="110" t="s">
        <v>768</v>
      </c>
      <c r="D569" s="110" t="s">
        <v>768</v>
      </c>
      <c r="E569" s="110" t="s">
        <v>184</v>
      </c>
      <c r="F569" s="110" t="s">
        <v>113</v>
      </c>
      <c r="G569" s="110" t="s">
        <v>114</v>
      </c>
      <c r="H569" s="111">
        <v>158</v>
      </c>
      <c r="I569" s="111">
        <v>155</v>
      </c>
      <c r="J569" s="111">
        <v>157</v>
      </c>
      <c r="K569" s="111">
        <f t="shared" si="73"/>
        <v>156.66666666666666</v>
      </c>
      <c r="L569" s="111">
        <v>150000</v>
      </c>
      <c r="M569" s="111">
        <f t="shared" si="74"/>
        <v>67500</v>
      </c>
      <c r="N569" s="111">
        <f t="shared" si="75"/>
        <v>67500</v>
      </c>
      <c r="O569" s="111">
        <f t="shared" si="76"/>
        <v>13500</v>
      </c>
      <c r="P569" s="111">
        <f t="shared" si="77"/>
        <v>15000</v>
      </c>
      <c r="Q569" s="111">
        <v>30000</v>
      </c>
      <c r="R569" s="111">
        <v>3</v>
      </c>
      <c r="S569" s="111">
        <f t="shared" si="78"/>
        <v>3000</v>
      </c>
      <c r="T569" s="111">
        <f t="shared" si="79"/>
        <v>180000</v>
      </c>
      <c r="U569" s="111">
        <f t="shared" si="80"/>
        <v>1800</v>
      </c>
      <c r="V569" s="111">
        <f t="shared" si="81"/>
        <v>181800</v>
      </c>
      <c r="W569" t="s">
        <v>3028</v>
      </c>
    </row>
    <row r="570" spans="1:23" x14ac:dyDescent="0.3">
      <c r="A570" s="110">
        <v>700308</v>
      </c>
      <c r="B570" s="110" t="s">
        <v>758</v>
      </c>
      <c r="C570" s="110" t="s">
        <v>768</v>
      </c>
      <c r="D570" s="110" t="s">
        <v>768</v>
      </c>
      <c r="E570" s="110" t="s">
        <v>769</v>
      </c>
      <c r="F570" s="110" t="s">
        <v>113</v>
      </c>
      <c r="G570" s="110" t="s">
        <v>114</v>
      </c>
      <c r="H570" s="111">
        <v>605</v>
      </c>
      <c r="I570" s="111">
        <v>583</v>
      </c>
      <c r="J570" s="111">
        <v>561</v>
      </c>
      <c r="K570" s="111">
        <f t="shared" si="73"/>
        <v>583</v>
      </c>
      <c r="L570" s="111">
        <f>300000</f>
        <v>300000</v>
      </c>
      <c r="M570" s="111">
        <f t="shared" si="74"/>
        <v>135000</v>
      </c>
      <c r="N570" s="111">
        <f t="shared" si="75"/>
        <v>135000</v>
      </c>
      <c r="O570" s="111">
        <f t="shared" si="76"/>
        <v>27000</v>
      </c>
      <c r="P570" s="111">
        <f t="shared" si="77"/>
        <v>30000</v>
      </c>
      <c r="Q570" s="111">
        <v>60000</v>
      </c>
      <c r="R570" s="111">
        <v>6</v>
      </c>
      <c r="S570" s="111">
        <f t="shared" si="78"/>
        <v>6000</v>
      </c>
      <c r="T570" s="111">
        <f t="shared" si="79"/>
        <v>360000</v>
      </c>
      <c r="U570" s="111">
        <f t="shared" si="80"/>
        <v>3600</v>
      </c>
      <c r="V570" s="111">
        <f t="shared" si="81"/>
        <v>363600</v>
      </c>
      <c r="W570" t="s">
        <v>3029</v>
      </c>
    </row>
    <row r="571" spans="1:23" x14ac:dyDescent="0.3">
      <c r="A571" s="110">
        <v>700310</v>
      </c>
      <c r="B571" s="110" t="s">
        <v>758</v>
      </c>
      <c r="C571" s="110" t="s">
        <v>768</v>
      </c>
      <c r="D571" s="110" t="s">
        <v>770</v>
      </c>
      <c r="E571" s="110" t="s">
        <v>184</v>
      </c>
      <c r="F571" s="110" t="s">
        <v>113</v>
      </c>
      <c r="G571" s="110" t="s">
        <v>114</v>
      </c>
      <c r="H571" s="111">
        <v>49</v>
      </c>
      <c r="I571" s="111">
        <v>53</v>
      </c>
      <c r="J571" s="111">
        <v>63</v>
      </c>
      <c r="K571" s="111">
        <f t="shared" si="73"/>
        <v>55</v>
      </c>
      <c r="L571" s="111">
        <v>150000</v>
      </c>
      <c r="M571" s="111">
        <f t="shared" si="74"/>
        <v>67500</v>
      </c>
      <c r="N571" s="111">
        <f t="shared" si="75"/>
        <v>67500</v>
      </c>
      <c r="O571" s="111">
        <f t="shared" si="76"/>
        <v>13500</v>
      </c>
      <c r="P571" s="111">
        <f t="shared" si="77"/>
        <v>15000</v>
      </c>
      <c r="Q571" s="111">
        <v>30000</v>
      </c>
      <c r="R571" s="111">
        <v>3</v>
      </c>
      <c r="S571" s="111">
        <f t="shared" si="78"/>
        <v>3000</v>
      </c>
      <c r="T571" s="111">
        <f t="shared" si="79"/>
        <v>180000</v>
      </c>
      <c r="U571" s="111">
        <f t="shared" si="80"/>
        <v>1800</v>
      </c>
      <c r="V571" s="111">
        <f t="shared" si="81"/>
        <v>181800</v>
      </c>
      <c r="W571" t="s">
        <v>3030</v>
      </c>
    </row>
    <row r="572" spans="1:23" x14ac:dyDescent="0.3">
      <c r="A572" s="110">
        <v>700311</v>
      </c>
      <c r="B572" s="110" t="s">
        <v>758</v>
      </c>
      <c r="C572" s="110" t="s">
        <v>768</v>
      </c>
      <c r="D572" s="110" t="s">
        <v>771</v>
      </c>
      <c r="E572" s="110" t="s">
        <v>201</v>
      </c>
      <c r="F572" s="110" t="s">
        <v>113</v>
      </c>
      <c r="G572" s="110" t="s">
        <v>114</v>
      </c>
      <c r="H572" s="111">
        <v>116</v>
      </c>
      <c r="I572" s="111">
        <v>112</v>
      </c>
      <c r="J572" s="111">
        <v>92</v>
      </c>
      <c r="K572" s="111">
        <f t="shared" si="73"/>
        <v>106.66666666666667</v>
      </c>
      <c r="L572" s="111">
        <v>150000</v>
      </c>
      <c r="M572" s="111">
        <f t="shared" si="74"/>
        <v>67500</v>
      </c>
      <c r="N572" s="111">
        <f t="shared" si="75"/>
        <v>67500</v>
      </c>
      <c r="O572" s="111">
        <f t="shared" si="76"/>
        <v>13500</v>
      </c>
      <c r="P572" s="111">
        <f t="shared" si="77"/>
        <v>15000</v>
      </c>
      <c r="Q572" s="111">
        <v>30000</v>
      </c>
      <c r="R572" s="111">
        <v>3</v>
      </c>
      <c r="S572" s="111">
        <f t="shared" si="78"/>
        <v>3000</v>
      </c>
      <c r="T572" s="111">
        <f t="shared" si="79"/>
        <v>180000</v>
      </c>
      <c r="U572" s="111">
        <f t="shared" si="80"/>
        <v>1800</v>
      </c>
      <c r="V572" s="111">
        <f t="shared" si="81"/>
        <v>181800</v>
      </c>
      <c r="W572" t="s">
        <v>3031</v>
      </c>
    </row>
    <row r="573" spans="1:23" x14ac:dyDescent="0.3">
      <c r="A573" s="110">
        <v>700312</v>
      </c>
      <c r="B573" s="110" t="s">
        <v>758</v>
      </c>
      <c r="C573" s="110" t="s">
        <v>768</v>
      </c>
      <c r="D573" s="110" t="s">
        <v>772</v>
      </c>
      <c r="E573" s="110" t="s">
        <v>619</v>
      </c>
      <c r="F573" s="110" t="s">
        <v>113</v>
      </c>
      <c r="G573" s="110" t="s">
        <v>114</v>
      </c>
      <c r="H573" s="111">
        <v>73</v>
      </c>
      <c r="I573" s="111">
        <v>82</v>
      </c>
      <c r="J573" s="111">
        <v>83</v>
      </c>
      <c r="K573" s="111">
        <f t="shared" si="73"/>
        <v>79.333333333333329</v>
      </c>
      <c r="L573" s="111">
        <v>150000</v>
      </c>
      <c r="M573" s="111">
        <f t="shared" si="74"/>
        <v>67500</v>
      </c>
      <c r="N573" s="111">
        <f t="shared" si="75"/>
        <v>67500</v>
      </c>
      <c r="O573" s="111">
        <f t="shared" si="76"/>
        <v>13500</v>
      </c>
      <c r="P573" s="111">
        <f t="shared" si="77"/>
        <v>15000</v>
      </c>
      <c r="Q573" s="111">
        <v>30000</v>
      </c>
      <c r="R573" s="111">
        <v>3</v>
      </c>
      <c r="S573" s="111">
        <f t="shared" si="78"/>
        <v>3000</v>
      </c>
      <c r="T573" s="111">
        <f t="shared" si="79"/>
        <v>180000</v>
      </c>
      <c r="U573" s="111">
        <f t="shared" si="80"/>
        <v>1800</v>
      </c>
      <c r="V573" s="111">
        <f t="shared" si="81"/>
        <v>181800</v>
      </c>
      <c r="W573" t="s">
        <v>3032</v>
      </c>
    </row>
    <row r="574" spans="1:23" x14ac:dyDescent="0.3">
      <c r="A574" s="110">
        <v>700314</v>
      </c>
      <c r="B574" s="110" t="s">
        <v>758</v>
      </c>
      <c r="C574" s="110" t="s">
        <v>768</v>
      </c>
      <c r="D574" s="110" t="s">
        <v>773</v>
      </c>
      <c r="E574" s="110" t="s">
        <v>774</v>
      </c>
      <c r="F574" s="110" t="s">
        <v>113</v>
      </c>
      <c r="G574" s="110" t="s">
        <v>114</v>
      </c>
      <c r="H574" s="111">
        <v>34</v>
      </c>
      <c r="I574" s="111">
        <v>30</v>
      </c>
      <c r="J574" s="111">
        <v>26</v>
      </c>
      <c r="K574" s="111">
        <f t="shared" si="73"/>
        <v>30</v>
      </c>
      <c r="L574" s="111">
        <v>50000</v>
      </c>
      <c r="M574" s="111">
        <f t="shared" si="74"/>
        <v>22500</v>
      </c>
      <c r="N574" s="111">
        <f t="shared" si="75"/>
        <v>22500</v>
      </c>
      <c r="O574" s="111">
        <f t="shared" si="76"/>
        <v>4500</v>
      </c>
      <c r="P574" s="111">
        <f t="shared" si="77"/>
        <v>5000</v>
      </c>
      <c r="Q574" s="111">
        <v>10000</v>
      </c>
      <c r="R574" s="111">
        <v>1</v>
      </c>
      <c r="S574" s="111">
        <f t="shared" si="78"/>
        <v>1000</v>
      </c>
      <c r="T574" s="111">
        <f t="shared" si="79"/>
        <v>60000</v>
      </c>
      <c r="U574" s="111">
        <f t="shared" si="80"/>
        <v>600</v>
      </c>
      <c r="V574" s="111">
        <f t="shared" si="81"/>
        <v>60600</v>
      </c>
      <c r="W574" t="s">
        <v>3033</v>
      </c>
    </row>
    <row r="575" spans="1:23" x14ac:dyDescent="0.3">
      <c r="A575" s="110">
        <v>700315</v>
      </c>
      <c r="B575" s="110" t="s">
        <v>758</v>
      </c>
      <c r="C575" s="110" t="s">
        <v>768</v>
      </c>
      <c r="D575" s="110" t="s">
        <v>775</v>
      </c>
      <c r="E575" s="110" t="s">
        <v>301</v>
      </c>
      <c r="F575" s="110" t="s">
        <v>113</v>
      </c>
      <c r="G575" s="110" t="s">
        <v>114</v>
      </c>
      <c r="H575" s="111">
        <v>60</v>
      </c>
      <c r="I575" s="111">
        <v>65</v>
      </c>
      <c r="J575" s="111">
        <v>55</v>
      </c>
      <c r="K575" s="111">
        <f t="shared" si="73"/>
        <v>60</v>
      </c>
      <c r="L575" s="111">
        <v>150000</v>
      </c>
      <c r="M575" s="111">
        <f t="shared" si="74"/>
        <v>67500</v>
      </c>
      <c r="N575" s="111">
        <f t="shared" si="75"/>
        <v>67500</v>
      </c>
      <c r="O575" s="111">
        <f t="shared" si="76"/>
        <v>13500</v>
      </c>
      <c r="P575" s="111">
        <f t="shared" si="77"/>
        <v>15000</v>
      </c>
      <c r="Q575" s="111">
        <v>30000</v>
      </c>
      <c r="R575" s="111">
        <v>3</v>
      </c>
      <c r="S575" s="111">
        <f t="shared" si="78"/>
        <v>3000</v>
      </c>
      <c r="T575" s="111">
        <f t="shared" si="79"/>
        <v>180000</v>
      </c>
      <c r="U575" s="111">
        <f t="shared" si="80"/>
        <v>1800</v>
      </c>
      <c r="V575" s="111">
        <f t="shared" si="81"/>
        <v>181800</v>
      </c>
      <c r="W575" t="s">
        <v>3034</v>
      </c>
    </row>
    <row r="576" spans="1:23" x14ac:dyDescent="0.3">
      <c r="A576" s="110">
        <v>700317</v>
      </c>
      <c r="B576" s="110" t="s">
        <v>758</v>
      </c>
      <c r="C576" s="110" t="s">
        <v>768</v>
      </c>
      <c r="D576" s="110" t="s">
        <v>776</v>
      </c>
      <c r="E576" s="110" t="s">
        <v>777</v>
      </c>
      <c r="F576" s="110" t="s">
        <v>113</v>
      </c>
      <c r="G576" s="110" t="s">
        <v>114</v>
      </c>
      <c r="H576" s="111">
        <v>117</v>
      </c>
      <c r="I576" s="111">
        <v>130</v>
      </c>
      <c r="J576" s="111">
        <v>114</v>
      </c>
      <c r="K576" s="111">
        <f t="shared" si="73"/>
        <v>120.33333333333333</v>
      </c>
      <c r="L576" s="111">
        <v>150000</v>
      </c>
      <c r="M576" s="111">
        <f t="shared" si="74"/>
        <v>67500</v>
      </c>
      <c r="N576" s="111">
        <f t="shared" si="75"/>
        <v>67500</v>
      </c>
      <c r="O576" s="111">
        <f t="shared" si="76"/>
        <v>13500</v>
      </c>
      <c r="P576" s="111">
        <f t="shared" si="77"/>
        <v>15000</v>
      </c>
      <c r="Q576" s="111">
        <v>30000</v>
      </c>
      <c r="R576" s="111">
        <v>3</v>
      </c>
      <c r="S576" s="111">
        <f t="shared" si="78"/>
        <v>3000</v>
      </c>
      <c r="T576" s="111">
        <f t="shared" si="79"/>
        <v>180000</v>
      </c>
      <c r="U576" s="111">
        <f t="shared" si="80"/>
        <v>1800</v>
      </c>
      <c r="V576" s="111">
        <f t="shared" si="81"/>
        <v>181800</v>
      </c>
      <c r="W576" t="s">
        <v>3035</v>
      </c>
    </row>
    <row r="577" spans="1:23" x14ac:dyDescent="0.3">
      <c r="A577" s="110">
        <v>700318</v>
      </c>
      <c r="B577" s="110" t="s">
        <v>758</v>
      </c>
      <c r="C577" s="110" t="s">
        <v>768</v>
      </c>
      <c r="D577" s="110" t="s">
        <v>768</v>
      </c>
      <c r="E577" s="110" t="s">
        <v>214</v>
      </c>
      <c r="F577" s="110" t="s">
        <v>119</v>
      </c>
      <c r="G577" s="110" t="s">
        <v>114</v>
      </c>
      <c r="H577" s="111">
        <v>1049</v>
      </c>
      <c r="I577" s="111">
        <v>1035</v>
      </c>
      <c r="J577" s="111">
        <v>1032</v>
      </c>
      <c r="K577" s="111">
        <f t="shared" si="73"/>
        <v>1038.6666666666667</v>
      </c>
      <c r="L577" s="111">
        <f>600000</f>
        <v>600000</v>
      </c>
      <c r="M577" s="111">
        <f t="shared" si="74"/>
        <v>270000</v>
      </c>
      <c r="N577" s="111">
        <f t="shared" si="75"/>
        <v>270000</v>
      </c>
      <c r="O577" s="111">
        <f t="shared" si="76"/>
        <v>54000</v>
      </c>
      <c r="P577" s="111">
        <f t="shared" si="77"/>
        <v>60000</v>
      </c>
      <c r="Q577" s="111">
        <v>80000</v>
      </c>
      <c r="R577" s="111">
        <v>8</v>
      </c>
      <c r="S577" s="111">
        <f t="shared" si="78"/>
        <v>8000</v>
      </c>
      <c r="T577" s="111">
        <f t="shared" si="79"/>
        <v>680000</v>
      </c>
      <c r="U577" s="111">
        <f t="shared" si="80"/>
        <v>6800</v>
      </c>
      <c r="V577" s="111">
        <f t="shared" si="81"/>
        <v>686800</v>
      </c>
      <c r="W577" t="s">
        <v>3036</v>
      </c>
    </row>
    <row r="578" spans="1:23" x14ac:dyDescent="0.3">
      <c r="A578" s="110">
        <v>700320</v>
      </c>
      <c r="B578" s="110" t="s">
        <v>758</v>
      </c>
      <c r="C578" s="110" t="s">
        <v>768</v>
      </c>
      <c r="D578" s="110" t="s">
        <v>772</v>
      </c>
      <c r="E578" s="110" t="s">
        <v>778</v>
      </c>
      <c r="F578" s="110" t="s">
        <v>117</v>
      </c>
      <c r="G578" s="110" t="s">
        <v>125</v>
      </c>
      <c r="H578" s="111">
        <v>265</v>
      </c>
      <c r="I578" s="111">
        <v>250</v>
      </c>
      <c r="J578" s="111">
        <v>236</v>
      </c>
      <c r="K578" s="111">
        <f t="shared" ref="K578:K641" si="82">+(H578+I578+J578)/3</f>
        <v>250.33333333333334</v>
      </c>
      <c r="L578" s="111">
        <v>200000</v>
      </c>
      <c r="M578" s="111">
        <f t="shared" ref="M578:M641" si="83">+L578*0.45</f>
        <v>90000</v>
      </c>
      <c r="N578" s="111">
        <f t="shared" ref="N578:N641" si="84">+L578*0.45</f>
        <v>90000</v>
      </c>
      <c r="O578" s="111">
        <f t="shared" ref="O578:O641" si="85">+N578*0.2</f>
        <v>18000</v>
      </c>
      <c r="P578" s="111">
        <f t="shared" ref="P578:P641" si="86">++L578*0.1</f>
        <v>20000</v>
      </c>
      <c r="Q578" s="111">
        <v>50000</v>
      </c>
      <c r="R578" s="111">
        <v>5</v>
      </c>
      <c r="S578" s="111">
        <f t="shared" ref="S578:S641" si="87">+Q578*0.1</f>
        <v>5000</v>
      </c>
      <c r="T578" s="111">
        <f t="shared" ref="T578:T641" si="88">+L578+Q578</f>
        <v>250000</v>
      </c>
      <c r="U578" s="111">
        <f t="shared" ref="U578:U641" si="89">+T578*0.01</f>
        <v>2500</v>
      </c>
      <c r="V578" s="111">
        <f t="shared" ref="V578:V641" si="90">+T578+U578</f>
        <v>252500</v>
      </c>
      <c r="W578" t="s">
        <v>3037</v>
      </c>
    </row>
    <row r="579" spans="1:23" x14ac:dyDescent="0.3">
      <c r="A579" s="110">
        <v>700323</v>
      </c>
      <c r="B579" s="110" t="s">
        <v>758</v>
      </c>
      <c r="C579" s="110" t="s">
        <v>768</v>
      </c>
      <c r="D579" s="110" t="s">
        <v>768</v>
      </c>
      <c r="E579" s="110" t="s">
        <v>779</v>
      </c>
      <c r="F579" s="110" t="s">
        <v>117</v>
      </c>
      <c r="G579" s="110" t="s">
        <v>125</v>
      </c>
      <c r="H579" s="111">
        <v>410</v>
      </c>
      <c r="I579" s="111">
        <v>428</v>
      </c>
      <c r="J579" s="111">
        <v>435</v>
      </c>
      <c r="K579" s="111">
        <f t="shared" si="82"/>
        <v>424.33333333333331</v>
      </c>
      <c r="L579" s="111">
        <f>300000*0.7</f>
        <v>210000</v>
      </c>
      <c r="M579" s="111">
        <f t="shared" si="83"/>
        <v>94500</v>
      </c>
      <c r="N579" s="111">
        <f t="shared" si="84"/>
        <v>94500</v>
      </c>
      <c r="O579" s="111">
        <f t="shared" si="85"/>
        <v>18900</v>
      </c>
      <c r="P579" s="111">
        <f t="shared" si="86"/>
        <v>21000</v>
      </c>
      <c r="Q579" s="111">
        <v>60000</v>
      </c>
      <c r="R579" s="111">
        <v>6</v>
      </c>
      <c r="S579" s="111">
        <f t="shared" si="87"/>
        <v>6000</v>
      </c>
      <c r="T579" s="111">
        <f t="shared" si="88"/>
        <v>270000</v>
      </c>
      <c r="U579" s="111">
        <f t="shared" si="89"/>
        <v>2700</v>
      </c>
      <c r="V579" s="111">
        <f t="shared" si="90"/>
        <v>272700</v>
      </c>
      <c r="W579" t="s">
        <v>3038</v>
      </c>
    </row>
    <row r="580" spans="1:23" x14ac:dyDescent="0.3">
      <c r="A580" s="110">
        <v>700330</v>
      </c>
      <c r="B580" s="110" t="s">
        <v>758</v>
      </c>
      <c r="C580" s="110" t="s">
        <v>768</v>
      </c>
      <c r="D580" s="110" t="s">
        <v>768</v>
      </c>
      <c r="E580" s="110" t="s">
        <v>780</v>
      </c>
      <c r="F580" s="110" t="s">
        <v>117</v>
      </c>
      <c r="G580" s="110" t="s">
        <v>114</v>
      </c>
      <c r="H580" s="111">
        <v>164</v>
      </c>
      <c r="I580" s="111">
        <v>147</v>
      </c>
      <c r="J580" s="111">
        <v>153</v>
      </c>
      <c r="K580" s="111">
        <f t="shared" si="82"/>
        <v>154.66666666666666</v>
      </c>
      <c r="L580" s="111">
        <v>150000</v>
      </c>
      <c r="M580" s="111">
        <f t="shared" si="83"/>
        <v>67500</v>
      </c>
      <c r="N580" s="111">
        <f t="shared" si="84"/>
        <v>67500</v>
      </c>
      <c r="O580" s="111">
        <f t="shared" si="85"/>
        <v>13500</v>
      </c>
      <c r="P580" s="111">
        <f t="shared" si="86"/>
        <v>15000</v>
      </c>
      <c r="Q580" s="111">
        <v>30000</v>
      </c>
      <c r="R580" s="111">
        <v>3</v>
      </c>
      <c r="S580" s="111">
        <f t="shared" si="87"/>
        <v>3000</v>
      </c>
      <c r="T580" s="111">
        <f t="shared" si="88"/>
        <v>180000</v>
      </c>
      <c r="U580" s="111">
        <f t="shared" si="89"/>
        <v>1800</v>
      </c>
      <c r="V580" s="111">
        <f t="shared" si="90"/>
        <v>181800</v>
      </c>
      <c r="W580" t="s">
        <v>3039</v>
      </c>
    </row>
    <row r="581" spans="1:23" x14ac:dyDescent="0.3">
      <c r="A581" s="110">
        <v>700401</v>
      </c>
      <c r="B581" s="110" t="s">
        <v>758</v>
      </c>
      <c r="C581" s="110" t="s">
        <v>781</v>
      </c>
      <c r="D581" s="110" t="s">
        <v>781</v>
      </c>
      <c r="E581" s="110" t="s">
        <v>782</v>
      </c>
      <c r="F581" s="110" t="s">
        <v>113</v>
      </c>
      <c r="G581" s="110" t="s">
        <v>114</v>
      </c>
      <c r="H581" s="111">
        <v>72</v>
      </c>
      <c r="I581" s="111">
        <v>66</v>
      </c>
      <c r="J581" s="111">
        <v>72</v>
      </c>
      <c r="K581" s="111">
        <f t="shared" si="82"/>
        <v>70</v>
      </c>
      <c r="L581" s="111">
        <v>150000</v>
      </c>
      <c r="M581" s="111">
        <f t="shared" si="83"/>
        <v>67500</v>
      </c>
      <c r="N581" s="111">
        <f t="shared" si="84"/>
        <v>67500</v>
      </c>
      <c r="O581" s="111">
        <f t="shared" si="85"/>
        <v>13500</v>
      </c>
      <c r="P581" s="111">
        <f t="shared" si="86"/>
        <v>15000</v>
      </c>
      <c r="Q581" s="111">
        <v>30000</v>
      </c>
      <c r="R581" s="111">
        <v>3</v>
      </c>
      <c r="S581" s="111">
        <f t="shared" si="87"/>
        <v>3000</v>
      </c>
      <c r="T581" s="111">
        <f t="shared" si="88"/>
        <v>180000</v>
      </c>
      <c r="U581" s="111">
        <f t="shared" si="89"/>
        <v>1800</v>
      </c>
      <c r="V581" s="111">
        <f t="shared" si="90"/>
        <v>181800</v>
      </c>
      <c r="W581" t="s">
        <v>3040</v>
      </c>
    </row>
    <row r="582" spans="1:23" x14ac:dyDescent="0.3">
      <c r="A582" s="110">
        <v>700402</v>
      </c>
      <c r="B582" s="110" t="s">
        <v>758</v>
      </c>
      <c r="C582" s="110" t="s">
        <v>781</v>
      </c>
      <c r="D582" s="110" t="s">
        <v>783</v>
      </c>
      <c r="E582" s="110" t="s">
        <v>319</v>
      </c>
      <c r="F582" s="110" t="s">
        <v>113</v>
      </c>
      <c r="G582" s="110" t="s">
        <v>114</v>
      </c>
      <c r="H582" s="111">
        <v>61</v>
      </c>
      <c r="I582" s="111">
        <v>52</v>
      </c>
      <c r="J582" s="111">
        <v>42</v>
      </c>
      <c r="K582" s="111">
        <f t="shared" si="82"/>
        <v>51.666666666666664</v>
      </c>
      <c r="L582" s="111">
        <v>150000</v>
      </c>
      <c r="M582" s="111">
        <f t="shared" si="83"/>
        <v>67500</v>
      </c>
      <c r="N582" s="111">
        <f t="shared" si="84"/>
        <v>67500</v>
      </c>
      <c r="O582" s="111">
        <f t="shared" si="85"/>
        <v>13500</v>
      </c>
      <c r="P582" s="111">
        <f t="shared" si="86"/>
        <v>15000</v>
      </c>
      <c r="Q582" s="111">
        <v>30000</v>
      </c>
      <c r="R582" s="111">
        <v>3</v>
      </c>
      <c r="S582" s="111">
        <f t="shared" si="87"/>
        <v>3000</v>
      </c>
      <c r="T582" s="111">
        <f t="shared" si="88"/>
        <v>180000</v>
      </c>
      <c r="U582" s="111">
        <f t="shared" si="89"/>
        <v>1800</v>
      </c>
      <c r="V582" s="111">
        <f t="shared" si="90"/>
        <v>181800</v>
      </c>
      <c r="W582" t="s">
        <v>3041</v>
      </c>
    </row>
    <row r="583" spans="1:23" x14ac:dyDescent="0.3">
      <c r="A583" s="110">
        <v>700403</v>
      </c>
      <c r="B583" s="110" t="s">
        <v>758</v>
      </c>
      <c r="C583" s="110" t="s">
        <v>781</v>
      </c>
      <c r="D583" s="110" t="s">
        <v>781</v>
      </c>
      <c r="E583" s="110" t="s">
        <v>784</v>
      </c>
      <c r="F583" s="110" t="s">
        <v>119</v>
      </c>
      <c r="G583" s="110" t="s">
        <v>114</v>
      </c>
      <c r="H583" s="111">
        <v>426</v>
      </c>
      <c r="I583" s="111">
        <v>407</v>
      </c>
      <c r="J583" s="111">
        <v>383</v>
      </c>
      <c r="K583" s="111">
        <f t="shared" si="82"/>
        <v>405.33333333333331</v>
      </c>
      <c r="L583" s="111">
        <f>300000</f>
        <v>300000</v>
      </c>
      <c r="M583" s="111">
        <f t="shared" si="83"/>
        <v>135000</v>
      </c>
      <c r="N583" s="111">
        <f t="shared" si="84"/>
        <v>135000</v>
      </c>
      <c r="O583" s="111">
        <f t="shared" si="85"/>
        <v>27000</v>
      </c>
      <c r="P583" s="111">
        <f t="shared" si="86"/>
        <v>30000</v>
      </c>
      <c r="Q583" s="111">
        <v>60000</v>
      </c>
      <c r="R583" s="111">
        <v>6</v>
      </c>
      <c r="S583" s="111">
        <f t="shared" si="87"/>
        <v>6000</v>
      </c>
      <c r="T583" s="111">
        <f t="shared" si="88"/>
        <v>360000</v>
      </c>
      <c r="U583" s="111">
        <f t="shared" si="89"/>
        <v>3600</v>
      </c>
      <c r="V583" s="111">
        <f t="shared" si="90"/>
        <v>363600</v>
      </c>
      <c r="W583" t="s">
        <v>3042</v>
      </c>
    </row>
    <row r="584" spans="1:23" x14ac:dyDescent="0.3">
      <c r="A584" s="110">
        <v>800001</v>
      </c>
      <c r="B584" s="110" t="s">
        <v>785</v>
      </c>
      <c r="C584" s="110" t="s">
        <v>785</v>
      </c>
      <c r="D584" s="110" t="s">
        <v>785</v>
      </c>
      <c r="E584" s="110" t="s">
        <v>693</v>
      </c>
      <c r="F584" s="110" t="s">
        <v>135</v>
      </c>
      <c r="G584" s="110" t="s">
        <v>125</v>
      </c>
      <c r="H584" s="111">
        <v>89</v>
      </c>
      <c r="I584" s="111">
        <v>75</v>
      </c>
      <c r="J584" s="111">
        <v>84</v>
      </c>
      <c r="K584" s="111">
        <f t="shared" si="82"/>
        <v>82.666666666666671</v>
      </c>
      <c r="L584" s="111">
        <v>150000</v>
      </c>
      <c r="M584" s="111">
        <f t="shared" si="83"/>
        <v>67500</v>
      </c>
      <c r="N584" s="111">
        <f t="shared" si="84"/>
        <v>67500</v>
      </c>
      <c r="O584" s="111">
        <f t="shared" si="85"/>
        <v>13500</v>
      </c>
      <c r="P584" s="111">
        <f t="shared" si="86"/>
        <v>15000</v>
      </c>
      <c r="Q584" s="111">
        <v>30000</v>
      </c>
      <c r="R584" s="111">
        <v>3</v>
      </c>
      <c r="S584" s="111">
        <f t="shared" si="87"/>
        <v>3000</v>
      </c>
      <c r="T584" s="111">
        <f t="shared" si="88"/>
        <v>180000</v>
      </c>
      <c r="U584" s="111">
        <f t="shared" si="89"/>
        <v>1800</v>
      </c>
      <c r="V584" s="111">
        <f t="shared" si="90"/>
        <v>181800</v>
      </c>
      <c r="W584" t="s">
        <v>3043</v>
      </c>
    </row>
    <row r="585" spans="1:23" x14ac:dyDescent="0.3">
      <c r="A585" s="110">
        <v>800003</v>
      </c>
      <c r="B585" s="110" t="s">
        <v>785</v>
      </c>
      <c r="C585" s="110" t="s">
        <v>785</v>
      </c>
      <c r="D585" s="110" t="s">
        <v>785</v>
      </c>
      <c r="E585" s="110" t="s">
        <v>786</v>
      </c>
      <c r="F585" s="110" t="s">
        <v>168</v>
      </c>
      <c r="G585" s="110" t="s">
        <v>114</v>
      </c>
      <c r="H585" s="111">
        <v>186</v>
      </c>
      <c r="I585" s="111">
        <v>172</v>
      </c>
      <c r="J585" s="111">
        <v>178</v>
      </c>
      <c r="K585" s="111">
        <f t="shared" si="82"/>
        <v>178.66666666666666</v>
      </c>
      <c r="L585" s="111">
        <v>150000</v>
      </c>
      <c r="M585" s="111">
        <f t="shared" si="83"/>
        <v>67500</v>
      </c>
      <c r="N585" s="111">
        <f t="shared" si="84"/>
        <v>67500</v>
      </c>
      <c r="O585" s="111">
        <f t="shared" si="85"/>
        <v>13500</v>
      </c>
      <c r="P585" s="111">
        <f t="shared" si="86"/>
        <v>15000</v>
      </c>
      <c r="Q585" s="111">
        <v>30000</v>
      </c>
      <c r="R585" s="111">
        <v>3</v>
      </c>
      <c r="S585" s="111">
        <f t="shared" si="87"/>
        <v>3000</v>
      </c>
      <c r="T585" s="111">
        <f t="shared" si="88"/>
        <v>180000</v>
      </c>
      <c r="U585" s="111">
        <f t="shared" si="89"/>
        <v>1800</v>
      </c>
      <c r="V585" s="111">
        <f t="shared" si="90"/>
        <v>181800</v>
      </c>
      <c r="W585" t="s">
        <v>3044</v>
      </c>
    </row>
    <row r="586" spans="1:23" x14ac:dyDescent="0.3">
      <c r="A586" s="110">
        <v>800004</v>
      </c>
      <c r="B586" s="110" t="s">
        <v>785</v>
      </c>
      <c r="C586" s="110" t="s">
        <v>785</v>
      </c>
      <c r="D586" s="110" t="s">
        <v>785</v>
      </c>
      <c r="E586" s="110" t="s">
        <v>406</v>
      </c>
      <c r="F586" s="110" t="s">
        <v>113</v>
      </c>
      <c r="G586" s="110" t="s">
        <v>114</v>
      </c>
      <c r="H586" s="111">
        <v>142</v>
      </c>
      <c r="I586" s="111">
        <v>126</v>
      </c>
      <c r="J586" s="111">
        <v>111</v>
      </c>
      <c r="K586" s="111">
        <f t="shared" si="82"/>
        <v>126.33333333333333</v>
      </c>
      <c r="L586" s="111">
        <v>150000</v>
      </c>
      <c r="M586" s="111">
        <f t="shared" si="83"/>
        <v>67500</v>
      </c>
      <c r="N586" s="111">
        <f t="shared" si="84"/>
        <v>67500</v>
      </c>
      <c r="O586" s="111">
        <f t="shared" si="85"/>
        <v>13500</v>
      </c>
      <c r="P586" s="111">
        <f t="shared" si="86"/>
        <v>15000</v>
      </c>
      <c r="Q586" s="111">
        <v>30000</v>
      </c>
      <c r="R586" s="111">
        <v>3</v>
      </c>
      <c r="S586" s="111">
        <f t="shared" si="87"/>
        <v>3000</v>
      </c>
      <c r="T586" s="111">
        <f t="shared" si="88"/>
        <v>180000</v>
      </c>
      <c r="U586" s="111">
        <f t="shared" si="89"/>
        <v>1800</v>
      </c>
      <c r="V586" s="111">
        <f t="shared" si="90"/>
        <v>181800</v>
      </c>
      <c r="W586" t="s">
        <v>3045</v>
      </c>
    </row>
    <row r="587" spans="1:23" x14ac:dyDescent="0.3">
      <c r="A587" s="110">
        <v>800007</v>
      </c>
      <c r="B587" s="110" t="s">
        <v>785</v>
      </c>
      <c r="C587" s="110" t="s">
        <v>785</v>
      </c>
      <c r="D587" s="110" t="s">
        <v>785</v>
      </c>
      <c r="E587" s="110" t="s">
        <v>557</v>
      </c>
      <c r="F587" s="110" t="s">
        <v>113</v>
      </c>
      <c r="G587" s="110" t="s">
        <v>114</v>
      </c>
      <c r="H587" s="111">
        <v>203</v>
      </c>
      <c r="I587" s="111">
        <v>179</v>
      </c>
      <c r="J587" s="111">
        <v>156</v>
      </c>
      <c r="K587" s="111">
        <f t="shared" si="82"/>
        <v>179.33333333333334</v>
      </c>
      <c r="L587" s="111">
        <v>150000</v>
      </c>
      <c r="M587" s="111">
        <f t="shared" si="83"/>
        <v>67500</v>
      </c>
      <c r="N587" s="111">
        <f t="shared" si="84"/>
        <v>67500</v>
      </c>
      <c r="O587" s="111">
        <f t="shared" si="85"/>
        <v>13500</v>
      </c>
      <c r="P587" s="111">
        <f t="shared" si="86"/>
        <v>15000</v>
      </c>
      <c r="Q587" s="111">
        <v>30000</v>
      </c>
      <c r="R587" s="111">
        <v>3</v>
      </c>
      <c r="S587" s="111">
        <f t="shared" si="87"/>
        <v>3000</v>
      </c>
      <c r="T587" s="111">
        <f t="shared" si="88"/>
        <v>180000</v>
      </c>
      <c r="U587" s="111">
        <f t="shared" si="89"/>
        <v>1800</v>
      </c>
      <c r="V587" s="111">
        <f t="shared" si="90"/>
        <v>181800</v>
      </c>
      <c r="W587" t="s">
        <v>3046</v>
      </c>
    </row>
    <row r="588" spans="1:23" x14ac:dyDescent="0.3">
      <c r="A588" s="110">
        <v>800008</v>
      </c>
      <c r="B588" s="110" t="s">
        <v>785</v>
      </c>
      <c r="C588" s="110" t="s">
        <v>785</v>
      </c>
      <c r="D588" s="110" t="s">
        <v>785</v>
      </c>
      <c r="E588" s="110" t="s">
        <v>560</v>
      </c>
      <c r="F588" s="110" t="s">
        <v>113</v>
      </c>
      <c r="G588" s="110" t="s">
        <v>114</v>
      </c>
      <c r="H588" s="111">
        <v>163</v>
      </c>
      <c r="I588" s="111">
        <v>189</v>
      </c>
      <c r="J588" s="111">
        <v>186</v>
      </c>
      <c r="K588" s="111">
        <f t="shared" si="82"/>
        <v>179.33333333333334</v>
      </c>
      <c r="L588" s="111">
        <f>150000*0.7</f>
        <v>105000</v>
      </c>
      <c r="M588" s="111">
        <f t="shared" si="83"/>
        <v>47250</v>
      </c>
      <c r="N588" s="111">
        <f t="shared" si="84"/>
        <v>47250</v>
      </c>
      <c r="O588" s="111">
        <f t="shared" si="85"/>
        <v>9450</v>
      </c>
      <c r="P588" s="111">
        <f t="shared" si="86"/>
        <v>10500</v>
      </c>
      <c r="Q588" s="111">
        <v>30000</v>
      </c>
      <c r="R588" s="111">
        <v>3</v>
      </c>
      <c r="S588" s="111">
        <f t="shared" si="87"/>
        <v>3000</v>
      </c>
      <c r="T588" s="111">
        <f t="shared" si="88"/>
        <v>135000</v>
      </c>
      <c r="U588" s="111">
        <f t="shared" si="89"/>
        <v>1350</v>
      </c>
      <c r="V588" s="111">
        <f t="shared" si="90"/>
        <v>136350</v>
      </c>
      <c r="W588" t="s">
        <v>3047</v>
      </c>
    </row>
    <row r="589" spans="1:23" x14ac:dyDescent="0.3">
      <c r="A589" s="110">
        <v>800009</v>
      </c>
      <c r="B589" s="110" t="s">
        <v>785</v>
      </c>
      <c r="C589" s="110" t="s">
        <v>785</v>
      </c>
      <c r="D589" s="110" t="s">
        <v>785</v>
      </c>
      <c r="E589" s="110" t="s">
        <v>787</v>
      </c>
      <c r="F589" s="110" t="s">
        <v>113</v>
      </c>
      <c r="G589" s="110" t="s">
        <v>114</v>
      </c>
      <c r="H589" s="111">
        <v>407</v>
      </c>
      <c r="I589" s="111">
        <v>446</v>
      </c>
      <c r="J589" s="111">
        <v>453</v>
      </c>
      <c r="K589" s="111">
        <f t="shared" si="82"/>
        <v>435.33333333333331</v>
      </c>
      <c r="L589" s="111">
        <f>300000</f>
        <v>300000</v>
      </c>
      <c r="M589" s="111">
        <f t="shared" si="83"/>
        <v>135000</v>
      </c>
      <c r="N589" s="111">
        <f t="shared" si="84"/>
        <v>135000</v>
      </c>
      <c r="O589" s="111">
        <f t="shared" si="85"/>
        <v>27000</v>
      </c>
      <c r="P589" s="111">
        <f t="shared" si="86"/>
        <v>30000</v>
      </c>
      <c r="Q589" s="111">
        <v>60000</v>
      </c>
      <c r="R589" s="111">
        <v>6</v>
      </c>
      <c r="S589" s="111">
        <f t="shared" si="87"/>
        <v>6000</v>
      </c>
      <c r="T589" s="111">
        <f t="shared" si="88"/>
        <v>360000</v>
      </c>
      <c r="U589" s="111">
        <f t="shared" si="89"/>
        <v>3600</v>
      </c>
      <c r="V589" s="111">
        <f t="shared" si="90"/>
        <v>363600</v>
      </c>
      <c r="W589" t="s">
        <v>3048</v>
      </c>
    </row>
    <row r="590" spans="1:23" x14ac:dyDescent="0.3">
      <c r="A590" s="110">
        <v>800010</v>
      </c>
      <c r="B590" s="110" t="s">
        <v>785</v>
      </c>
      <c r="C590" s="110" t="s">
        <v>785</v>
      </c>
      <c r="D590" s="110" t="s">
        <v>785</v>
      </c>
      <c r="E590" s="110" t="s">
        <v>353</v>
      </c>
      <c r="F590" s="110" t="s">
        <v>113</v>
      </c>
      <c r="G590" s="110" t="s">
        <v>114</v>
      </c>
      <c r="H590" s="111">
        <v>207</v>
      </c>
      <c r="I590" s="111">
        <v>178</v>
      </c>
      <c r="J590" s="111">
        <v>171</v>
      </c>
      <c r="K590" s="111">
        <f t="shared" si="82"/>
        <v>185.33333333333334</v>
      </c>
      <c r="L590" s="111">
        <v>150000</v>
      </c>
      <c r="M590" s="111">
        <f t="shared" si="83"/>
        <v>67500</v>
      </c>
      <c r="N590" s="111">
        <f t="shared" si="84"/>
        <v>67500</v>
      </c>
      <c r="O590" s="111">
        <f t="shared" si="85"/>
        <v>13500</v>
      </c>
      <c r="P590" s="111">
        <f t="shared" si="86"/>
        <v>15000</v>
      </c>
      <c r="Q590" s="111">
        <v>30000</v>
      </c>
      <c r="R590" s="111">
        <v>3</v>
      </c>
      <c r="S590" s="111">
        <f t="shared" si="87"/>
        <v>3000</v>
      </c>
      <c r="T590" s="111">
        <f t="shared" si="88"/>
        <v>180000</v>
      </c>
      <c r="U590" s="111">
        <f t="shared" si="89"/>
        <v>1800</v>
      </c>
      <c r="V590" s="111">
        <f t="shared" si="90"/>
        <v>181800</v>
      </c>
      <c r="W590" t="s">
        <v>3049</v>
      </c>
    </row>
    <row r="591" spans="1:23" x14ac:dyDescent="0.3">
      <c r="A591" s="110">
        <v>800011</v>
      </c>
      <c r="B591" s="110" t="s">
        <v>785</v>
      </c>
      <c r="C591" s="110" t="s">
        <v>785</v>
      </c>
      <c r="D591" s="110" t="s">
        <v>785</v>
      </c>
      <c r="E591" s="110" t="s">
        <v>184</v>
      </c>
      <c r="F591" s="110" t="s">
        <v>113</v>
      </c>
      <c r="G591" s="110" t="s">
        <v>114</v>
      </c>
      <c r="H591" s="111">
        <v>445</v>
      </c>
      <c r="I591" s="111">
        <v>478</v>
      </c>
      <c r="J591" s="111">
        <v>475</v>
      </c>
      <c r="K591" s="111">
        <f t="shared" si="82"/>
        <v>466</v>
      </c>
      <c r="L591" s="111">
        <f>300000</f>
        <v>300000</v>
      </c>
      <c r="M591" s="111">
        <f t="shared" si="83"/>
        <v>135000</v>
      </c>
      <c r="N591" s="111">
        <f t="shared" si="84"/>
        <v>135000</v>
      </c>
      <c r="O591" s="111">
        <f t="shared" si="85"/>
        <v>27000</v>
      </c>
      <c r="P591" s="111">
        <f t="shared" si="86"/>
        <v>30000</v>
      </c>
      <c r="Q591" s="111">
        <v>60000</v>
      </c>
      <c r="R591" s="111">
        <v>6</v>
      </c>
      <c r="S591" s="111">
        <f t="shared" si="87"/>
        <v>6000</v>
      </c>
      <c r="T591" s="111">
        <f t="shared" si="88"/>
        <v>360000</v>
      </c>
      <c r="U591" s="111">
        <f t="shared" si="89"/>
        <v>3600</v>
      </c>
      <c r="V591" s="111">
        <f t="shared" si="90"/>
        <v>363600</v>
      </c>
      <c r="W591" t="s">
        <v>3050</v>
      </c>
    </row>
    <row r="592" spans="1:23" x14ac:dyDescent="0.3">
      <c r="A592" s="110">
        <v>800012</v>
      </c>
      <c r="B592" s="110" t="s">
        <v>785</v>
      </c>
      <c r="C592" s="110" t="s">
        <v>785</v>
      </c>
      <c r="D592" s="110" t="s">
        <v>785</v>
      </c>
      <c r="E592" s="110" t="s">
        <v>788</v>
      </c>
      <c r="F592" s="110" t="s">
        <v>296</v>
      </c>
      <c r="G592" s="110" t="s">
        <v>114</v>
      </c>
      <c r="H592" s="111">
        <v>183</v>
      </c>
      <c r="I592" s="111">
        <v>157</v>
      </c>
      <c r="J592" s="111">
        <v>168</v>
      </c>
      <c r="K592" s="111">
        <f t="shared" si="82"/>
        <v>169.33333333333334</v>
      </c>
      <c r="L592" s="111">
        <v>150000</v>
      </c>
      <c r="M592" s="111">
        <f t="shared" si="83"/>
        <v>67500</v>
      </c>
      <c r="N592" s="111">
        <f t="shared" si="84"/>
        <v>67500</v>
      </c>
      <c r="O592" s="111">
        <f t="shared" si="85"/>
        <v>13500</v>
      </c>
      <c r="P592" s="111">
        <f t="shared" si="86"/>
        <v>15000</v>
      </c>
      <c r="Q592" s="111">
        <v>30000</v>
      </c>
      <c r="R592" s="111">
        <v>3</v>
      </c>
      <c r="S592" s="111">
        <f t="shared" si="87"/>
        <v>3000</v>
      </c>
      <c r="T592" s="111">
        <f t="shared" si="88"/>
        <v>180000</v>
      </c>
      <c r="U592" s="111">
        <f t="shared" si="89"/>
        <v>1800</v>
      </c>
      <c r="V592" s="111">
        <f t="shared" si="90"/>
        <v>181800</v>
      </c>
      <c r="W592" t="s">
        <v>3051</v>
      </c>
    </row>
    <row r="593" spans="1:23" x14ac:dyDescent="0.3">
      <c r="A593" s="110">
        <v>800013</v>
      </c>
      <c r="B593" s="110" t="s">
        <v>785</v>
      </c>
      <c r="C593" s="110" t="s">
        <v>785</v>
      </c>
      <c r="D593" s="110" t="s">
        <v>785</v>
      </c>
      <c r="E593" s="110" t="s">
        <v>789</v>
      </c>
      <c r="F593" s="110" t="s">
        <v>119</v>
      </c>
      <c r="G593" s="110" t="s">
        <v>114</v>
      </c>
      <c r="H593" s="111">
        <v>613</v>
      </c>
      <c r="I593" s="111">
        <v>567</v>
      </c>
      <c r="J593" s="111">
        <v>559</v>
      </c>
      <c r="K593" s="111">
        <f t="shared" si="82"/>
        <v>579.66666666666663</v>
      </c>
      <c r="L593" s="111">
        <f>300000</f>
        <v>300000</v>
      </c>
      <c r="M593" s="111">
        <f t="shared" si="83"/>
        <v>135000</v>
      </c>
      <c r="N593" s="111">
        <f t="shared" si="84"/>
        <v>135000</v>
      </c>
      <c r="O593" s="111">
        <f t="shared" si="85"/>
        <v>27000</v>
      </c>
      <c r="P593" s="111">
        <f t="shared" si="86"/>
        <v>30000</v>
      </c>
      <c r="Q593" s="111">
        <v>60000</v>
      </c>
      <c r="R593" s="111">
        <v>6</v>
      </c>
      <c r="S593" s="111">
        <f t="shared" si="87"/>
        <v>6000</v>
      </c>
      <c r="T593" s="111">
        <f t="shared" si="88"/>
        <v>360000</v>
      </c>
      <c r="U593" s="111">
        <f t="shared" si="89"/>
        <v>3600</v>
      </c>
      <c r="V593" s="111">
        <f t="shared" si="90"/>
        <v>363600</v>
      </c>
      <c r="W593" t="s">
        <v>3052</v>
      </c>
    </row>
    <row r="594" spans="1:23" x14ac:dyDescent="0.3">
      <c r="A594" s="110">
        <v>800015</v>
      </c>
      <c r="B594" s="110" t="s">
        <v>785</v>
      </c>
      <c r="C594" s="110" t="s">
        <v>785</v>
      </c>
      <c r="D594" s="110" t="s">
        <v>785</v>
      </c>
      <c r="E594" s="110" t="s">
        <v>274</v>
      </c>
      <c r="F594" s="110" t="s">
        <v>119</v>
      </c>
      <c r="G594" s="110" t="s">
        <v>114</v>
      </c>
      <c r="H594" s="111">
        <v>1057</v>
      </c>
      <c r="I594" s="111">
        <v>994</v>
      </c>
      <c r="J594" s="111">
        <v>989</v>
      </c>
      <c r="K594" s="111">
        <f t="shared" si="82"/>
        <v>1013.3333333333334</v>
      </c>
      <c r="L594" s="111">
        <f>600000*0.7</f>
        <v>420000</v>
      </c>
      <c r="M594" s="111">
        <f t="shared" si="83"/>
        <v>189000</v>
      </c>
      <c r="N594" s="111">
        <f t="shared" si="84"/>
        <v>189000</v>
      </c>
      <c r="O594" s="111">
        <f t="shared" si="85"/>
        <v>37800</v>
      </c>
      <c r="P594" s="111">
        <f t="shared" si="86"/>
        <v>42000</v>
      </c>
      <c r="Q594" s="111">
        <v>80000</v>
      </c>
      <c r="R594" s="111">
        <v>8</v>
      </c>
      <c r="S594" s="111">
        <f t="shared" si="87"/>
        <v>8000</v>
      </c>
      <c r="T594" s="111">
        <f t="shared" si="88"/>
        <v>500000</v>
      </c>
      <c r="U594" s="111">
        <f t="shared" si="89"/>
        <v>5000</v>
      </c>
      <c r="V594" s="111">
        <f t="shared" si="90"/>
        <v>505000</v>
      </c>
      <c r="W594" t="s">
        <v>3053</v>
      </c>
    </row>
    <row r="595" spans="1:23" x14ac:dyDescent="0.3">
      <c r="A595" s="110">
        <v>800016</v>
      </c>
      <c r="B595" s="110" t="s">
        <v>785</v>
      </c>
      <c r="C595" s="110" t="s">
        <v>785</v>
      </c>
      <c r="D595" s="110" t="s">
        <v>785</v>
      </c>
      <c r="E595" s="110" t="s">
        <v>374</v>
      </c>
      <c r="F595" s="110" t="s">
        <v>119</v>
      </c>
      <c r="G595" s="110" t="s">
        <v>114</v>
      </c>
      <c r="H595" s="111">
        <v>481</v>
      </c>
      <c r="I595" s="111">
        <v>445</v>
      </c>
      <c r="J595" s="111">
        <v>436</v>
      </c>
      <c r="K595" s="111">
        <f t="shared" si="82"/>
        <v>454</v>
      </c>
      <c r="L595" s="111">
        <f>300000*0.7</f>
        <v>210000</v>
      </c>
      <c r="M595" s="111">
        <f t="shared" si="83"/>
        <v>94500</v>
      </c>
      <c r="N595" s="111">
        <f t="shared" si="84"/>
        <v>94500</v>
      </c>
      <c r="O595" s="111">
        <f t="shared" si="85"/>
        <v>18900</v>
      </c>
      <c r="P595" s="111">
        <f t="shared" si="86"/>
        <v>21000</v>
      </c>
      <c r="Q595" s="111">
        <v>60000</v>
      </c>
      <c r="R595" s="111">
        <v>6</v>
      </c>
      <c r="S595" s="111">
        <f t="shared" si="87"/>
        <v>6000</v>
      </c>
      <c r="T595" s="111">
        <f t="shared" si="88"/>
        <v>270000</v>
      </c>
      <c r="U595" s="111">
        <f t="shared" si="89"/>
        <v>2700</v>
      </c>
      <c r="V595" s="111">
        <f t="shared" si="90"/>
        <v>272700</v>
      </c>
      <c r="W595" t="s">
        <v>3054</v>
      </c>
    </row>
    <row r="596" spans="1:23" x14ac:dyDescent="0.3">
      <c r="A596" s="110">
        <v>800017</v>
      </c>
      <c r="B596" s="110" t="s">
        <v>785</v>
      </c>
      <c r="C596" s="110" t="s">
        <v>785</v>
      </c>
      <c r="D596" s="110" t="s">
        <v>785</v>
      </c>
      <c r="E596" s="110" t="s">
        <v>691</v>
      </c>
      <c r="F596" s="110" t="s">
        <v>119</v>
      </c>
      <c r="G596" s="110" t="s">
        <v>114</v>
      </c>
      <c r="H596" s="111">
        <v>887</v>
      </c>
      <c r="I596" s="111">
        <v>852</v>
      </c>
      <c r="J596" s="111">
        <v>817</v>
      </c>
      <c r="K596" s="111">
        <f t="shared" si="82"/>
        <v>852</v>
      </c>
      <c r="L596" s="111">
        <f>300000</f>
        <v>300000</v>
      </c>
      <c r="M596" s="111">
        <f t="shared" si="83"/>
        <v>135000</v>
      </c>
      <c r="N596" s="111">
        <f t="shared" si="84"/>
        <v>135000</v>
      </c>
      <c r="O596" s="111">
        <f t="shared" si="85"/>
        <v>27000</v>
      </c>
      <c r="P596" s="111">
        <f t="shared" si="86"/>
        <v>30000</v>
      </c>
      <c r="Q596" s="111">
        <v>60000</v>
      </c>
      <c r="R596" s="111">
        <v>6</v>
      </c>
      <c r="S596" s="111">
        <f t="shared" si="87"/>
        <v>6000</v>
      </c>
      <c r="T596" s="111">
        <f t="shared" si="88"/>
        <v>360000</v>
      </c>
      <c r="U596" s="111">
        <f t="shared" si="89"/>
        <v>3600</v>
      </c>
      <c r="V596" s="111">
        <f t="shared" si="90"/>
        <v>363600</v>
      </c>
      <c r="W596" t="s">
        <v>3055</v>
      </c>
    </row>
    <row r="597" spans="1:23" x14ac:dyDescent="0.3">
      <c r="A597" s="110">
        <v>800018</v>
      </c>
      <c r="B597" s="110" t="s">
        <v>785</v>
      </c>
      <c r="C597" s="110" t="s">
        <v>785</v>
      </c>
      <c r="D597" s="110" t="s">
        <v>785</v>
      </c>
      <c r="E597" s="110" t="s">
        <v>682</v>
      </c>
      <c r="F597" s="110" t="s">
        <v>119</v>
      </c>
      <c r="G597" s="110" t="s">
        <v>114</v>
      </c>
      <c r="H597" s="111">
        <v>789</v>
      </c>
      <c r="I597" s="111">
        <v>728</v>
      </c>
      <c r="J597" s="111">
        <v>656</v>
      </c>
      <c r="K597" s="111">
        <f t="shared" si="82"/>
        <v>724.33333333333337</v>
      </c>
      <c r="L597" s="111">
        <f>300000</f>
        <v>300000</v>
      </c>
      <c r="M597" s="111">
        <f t="shared" si="83"/>
        <v>135000</v>
      </c>
      <c r="N597" s="111">
        <f t="shared" si="84"/>
        <v>135000</v>
      </c>
      <c r="O597" s="111">
        <f t="shared" si="85"/>
        <v>27000</v>
      </c>
      <c r="P597" s="111">
        <f t="shared" si="86"/>
        <v>30000</v>
      </c>
      <c r="Q597" s="111">
        <v>60000</v>
      </c>
      <c r="R597" s="111">
        <v>6</v>
      </c>
      <c r="S597" s="111">
        <f t="shared" si="87"/>
        <v>6000</v>
      </c>
      <c r="T597" s="111">
        <f t="shared" si="88"/>
        <v>360000</v>
      </c>
      <c r="U597" s="111">
        <f t="shared" si="89"/>
        <v>3600</v>
      </c>
      <c r="V597" s="111">
        <f t="shared" si="90"/>
        <v>363600</v>
      </c>
      <c r="W597" t="s">
        <v>3056</v>
      </c>
    </row>
    <row r="598" spans="1:23" x14ac:dyDescent="0.3">
      <c r="A598" s="110">
        <v>800019</v>
      </c>
      <c r="B598" s="110" t="s">
        <v>785</v>
      </c>
      <c r="C598" s="110" t="s">
        <v>785</v>
      </c>
      <c r="D598" s="110" t="s">
        <v>785</v>
      </c>
      <c r="E598" s="110" t="s">
        <v>790</v>
      </c>
      <c r="F598" s="110" t="s">
        <v>122</v>
      </c>
      <c r="G598" s="110" t="s">
        <v>114</v>
      </c>
      <c r="H598" s="111">
        <v>441</v>
      </c>
      <c r="I598" s="111">
        <v>442</v>
      </c>
      <c r="J598" s="111">
        <v>426</v>
      </c>
      <c r="K598" s="111">
        <f t="shared" si="82"/>
        <v>436.33333333333331</v>
      </c>
      <c r="L598" s="111">
        <f>300000</f>
        <v>300000</v>
      </c>
      <c r="M598" s="111">
        <f t="shared" si="83"/>
        <v>135000</v>
      </c>
      <c r="N598" s="111">
        <f t="shared" si="84"/>
        <v>135000</v>
      </c>
      <c r="O598" s="111">
        <f t="shared" si="85"/>
        <v>27000</v>
      </c>
      <c r="P598" s="111">
        <f t="shared" si="86"/>
        <v>30000</v>
      </c>
      <c r="Q598" s="111">
        <v>60000</v>
      </c>
      <c r="R598" s="111">
        <v>6</v>
      </c>
      <c r="S598" s="111">
        <f t="shared" si="87"/>
        <v>6000</v>
      </c>
      <c r="T598" s="111">
        <f t="shared" si="88"/>
        <v>360000</v>
      </c>
      <c r="U598" s="111">
        <f t="shared" si="89"/>
        <v>3600</v>
      </c>
      <c r="V598" s="111">
        <f t="shared" si="90"/>
        <v>363600</v>
      </c>
      <c r="W598" t="s">
        <v>3057</v>
      </c>
    </row>
    <row r="599" spans="1:23" x14ac:dyDescent="0.3">
      <c r="A599" s="110">
        <v>800020</v>
      </c>
      <c r="B599" s="110" t="s">
        <v>785</v>
      </c>
      <c r="C599" s="110" t="s">
        <v>785</v>
      </c>
      <c r="D599" s="110" t="s">
        <v>785</v>
      </c>
      <c r="E599" s="110" t="s">
        <v>791</v>
      </c>
      <c r="F599" s="110" t="s">
        <v>122</v>
      </c>
      <c r="G599" s="110" t="s">
        <v>114</v>
      </c>
      <c r="H599" s="111">
        <v>688</v>
      </c>
      <c r="I599" s="111">
        <v>656</v>
      </c>
      <c r="J599" s="111">
        <v>612</v>
      </c>
      <c r="K599" s="111">
        <f t="shared" si="82"/>
        <v>652</v>
      </c>
      <c r="L599" s="111">
        <f>300000</f>
        <v>300000</v>
      </c>
      <c r="M599" s="111">
        <f t="shared" si="83"/>
        <v>135000</v>
      </c>
      <c r="N599" s="111">
        <f t="shared" si="84"/>
        <v>135000</v>
      </c>
      <c r="O599" s="111">
        <f t="shared" si="85"/>
        <v>27000</v>
      </c>
      <c r="P599" s="111">
        <f t="shared" si="86"/>
        <v>30000</v>
      </c>
      <c r="Q599" s="111">
        <v>60000</v>
      </c>
      <c r="R599" s="111">
        <v>6</v>
      </c>
      <c r="S599" s="111">
        <f t="shared" si="87"/>
        <v>6000</v>
      </c>
      <c r="T599" s="111">
        <f t="shared" si="88"/>
        <v>360000</v>
      </c>
      <c r="U599" s="111">
        <f t="shared" si="89"/>
        <v>3600</v>
      </c>
      <c r="V599" s="111">
        <f t="shared" si="90"/>
        <v>363600</v>
      </c>
      <c r="W599" t="s">
        <v>3058</v>
      </c>
    </row>
    <row r="600" spans="1:23" x14ac:dyDescent="0.3">
      <c r="A600" s="110">
        <v>800021</v>
      </c>
      <c r="B600" s="110" t="s">
        <v>785</v>
      </c>
      <c r="C600" s="110" t="s">
        <v>785</v>
      </c>
      <c r="D600" s="110" t="s">
        <v>785</v>
      </c>
      <c r="E600" s="110" t="s">
        <v>792</v>
      </c>
      <c r="F600" s="110" t="s">
        <v>117</v>
      </c>
      <c r="G600" s="110" t="s">
        <v>125</v>
      </c>
      <c r="H600" s="111">
        <v>158</v>
      </c>
      <c r="I600" s="111">
        <v>199</v>
      </c>
      <c r="J600" s="111">
        <v>184</v>
      </c>
      <c r="K600" s="111">
        <f t="shared" si="82"/>
        <v>180.33333333333334</v>
      </c>
      <c r="L600" s="111">
        <v>150000</v>
      </c>
      <c r="M600" s="111">
        <f t="shared" si="83"/>
        <v>67500</v>
      </c>
      <c r="N600" s="111">
        <f t="shared" si="84"/>
        <v>67500</v>
      </c>
      <c r="O600" s="111">
        <f t="shared" si="85"/>
        <v>13500</v>
      </c>
      <c r="P600" s="111">
        <f t="shared" si="86"/>
        <v>15000</v>
      </c>
      <c r="Q600" s="111">
        <v>30000</v>
      </c>
      <c r="R600" s="111">
        <v>3</v>
      </c>
      <c r="S600" s="111">
        <f t="shared" si="87"/>
        <v>3000</v>
      </c>
      <c r="T600" s="111">
        <f t="shared" si="88"/>
        <v>180000</v>
      </c>
      <c r="U600" s="111">
        <f t="shared" si="89"/>
        <v>1800</v>
      </c>
      <c r="V600" s="111">
        <f t="shared" si="90"/>
        <v>181800</v>
      </c>
      <c r="W600" t="s">
        <v>3059</v>
      </c>
    </row>
    <row r="601" spans="1:23" x14ac:dyDescent="0.3">
      <c r="A601" s="110">
        <v>800022</v>
      </c>
      <c r="B601" s="110" t="s">
        <v>785</v>
      </c>
      <c r="C601" s="110" t="s">
        <v>785</v>
      </c>
      <c r="D601" s="110" t="s">
        <v>785</v>
      </c>
      <c r="E601" s="110" t="s">
        <v>793</v>
      </c>
      <c r="F601" s="110" t="s">
        <v>117</v>
      </c>
      <c r="G601" s="110" t="s">
        <v>114</v>
      </c>
      <c r="H601" s="111">
        <v>161</v>
      </c>
      <c r="I601" s="111">
        <v>207</v>
      </c>
      <c r="J601" s="111">
        <v>208</v>
      </c>
      <c r="K601" s="111">
        <f t="shared" si="82"/>
        <v>192</v>
      </c>
      <c r="L601" s="111">
        <v>150000</v>
      </c>
      <c r="M601" s="111">
        <f t="shared" si="83"/>
        <v>67500</v>
      </c>
      <c r="N601" s="111">
        <f t="shared" si="84"/>
        <v>67500</v>
      </c>
      <c r="O601" s="111">
        <f t="shared" si="85"/>
        <v>13500</v>
      </c>
      <c r="P601" s="111">
        <f t="shared" si="86"/>
        <v>15000</v>
      </c>
      <c r="Q601" s="111">
        <v>30000</v>
      </c>
      <c r="R601" s="111">
        <v>3</v>
      </c>
      <c r="S601" s="111">
        <f t="shared" si="87"/>
        <v>3000</v>
      </c>
      <c r="T601" s="111">
        <f t="shared" si="88"/>
        <v>180000</v>
      </c>
      <c r="U601" s="111">
        <f t="shared" si="89"/>
        <v>1800</v>
      </c>
      <c r="V601" s="111">
        <f t="shared" si="90"/>
        <v>181800</v>
      </c>
      <c r="W601" t="s">
        <v>3060</v>
      </c>
    </row>
    <row r="602" spans="1:23" x14ac:dyDescent="0.3">
      <c r="A602" s="110">
        <v>800023</v>
      </c>
      <c r="B602" s="110" t="s">
        <v>785</v>
      </c>
      <c r="C602" s="110" t="s">
        <v>785</v>
      </c>
      <c r="D602" s="110" t="s">
        <v>785</v>
      </c>
      <c r="E602" s="110" t="s">
        <v>794</v>
      </c>
      <c r="F602" s="110" t="s">
        <v>117</v>
      </c>
      <c r="G602" s="110" t="s">
        <v>125</v>
      </c>
      <c r="H602" s="111">
        <v>434</v>
      </c>
      <c r="I602" s="111">
        <v>433</v>
      </c>
      <c r="J602" s="111">
        <v>440</v>
      </c>
      <c r="K602" s="111">
        <f t="shared" si="82"/>
        <v>435.66666666666669</v>
      </c>
      <c r="L602" s="111">
        <f>300000</f>
        <v>300000</v>
      </c>
      <c r="M602" s="111">
        <f t="shared" si="83"/>
        <v>135000</v>
      </c>
      <c r="N602" s="111">
        <f t="shared" si="84"/>
        <v>135000</v>
      </c>
      <c r="O602" s="111">
        <f t="shared" si="85"/>
        <v>27000</v>
      </c>
      <c r="P602" s="111">
        <f t="shared" si="86"/>
        <v>30000</v>
      </c>
      <c r="Q602" s="111">
        <v>60000</v>
      </c>
      <c r="R602" s="111">
        <v>6</v>
      </c>
      <c r="S602" s="111">
        <f t="shared" si="87"/>
        <v>6000</v>
      </c>
      <c r="T602" s="111">
        <f t="shared" si="88"/>
        <v>360000</v>
      </c>
      <c r="U602" s="111">
        <f t="shared" si="89"/>
        <v>3600</v>
      </c>
      <c r="V602" s="111">
        <f t="shared" si="90"/>
        <v>363600</v>
      </c>
      <c r="W602" t="s">
        <v>3061</v>
      </c>
    </row>
    <row r="603" spans="1:23" x14ac:dyDescent="0.3">
      <c r="A603" s="110">
        <v>800026</v>
      </c>
      <c r="B603" s="110" t="s">
        <v>785</v>
      </c>
      <c r="C603" s="110" t="s">
        <v>785</v>
      </c>
      <c r="D603" s="110" t="s">
        <v>785</v>
      </c>
      <c r="E603" s="110" t="s">
        <v>795</v>
      </c>
      <c r="F603" s="110" t="s">
        <v>117</v>
      </c>
      <c r="G603" s="110" t="s">
        <v>114</v>
      </c>
      <c r="H603" s="111">
        <v>197</v>
      </c>
      <c r="I603" s="111">
        <v>225</v>
      </c>
      <c r="J603" s="111">
        <v>234</v>
      </c>
      <c r="K603" s="111">
        <f t="shared" si="82"/>
        <v>218.66666666666666</v>
      </c>
      <c r="L603" s="111">
        <v>200000</v>
      </c>
      <c r="M603" s="111">
        <f t="shared" si="83"/>
        <v>90000</v>
      </c>
      <c r="N603" s="111">
        <f t="shared" si="84"/>
        <v>90000</v>
      </c>
      <c r="O603" s="111">
        <f t="shared" si="85"/>
        <v>18000</v>
      </c>
      <c r="P603" s="111">
        <f t="shared" si="86"/>
        <v>20000</v>
      </c>
      <c r="Q603" s="111">
        <v>50000</v>
      </c>
      <c r="R603" s="111">
        <v>5</v>
      </c>
      <c r="S603" s="111">
        <f t="shared" si="87"/>
        <v>5000</v>
      </c>
      <c r="T603" s="111">
        <f t="shared" si="88"/>
        <v>250000</v>
      </c>
      <c r="U603" s="111">
        <f t="shared" si="89"/>
        <v>2500</v>
      </c>
      <c r="V603" s="111">
        <f t="shared" si="90"/>
        <v>252500</v>
      </c>
      <c r="W603" t="s">
        <v>3062</v>
      </c>
    </row>
    <row r="604" spans="1:23" x14ac:dyDescent="0.3">
      <c r="A604" s="110">
        <v>800028</v>
      </c>
      <c r="B604" s="110" t="s">
        <v>785</v>
      </c>
      <c r="C604" s="110" t="s">
        <v>785</v>
      </c>
      <c r="D604" s="110" t="s">
        <v>785</v>
      </c>
      <c r="E604" s="110" t="s">
        <v>796</v>
      </c>
      <c r="F604" s="110" t="s">
        <v>117</v>
      </c>
      <c r="G604" s="110" t="s">
        <v>125</v>
      </c>
      <c r="H604" s="111">
        <v>432</v>
      </c>
      <c r="I604" s="111">
        <v>430</v>
      </c>
      <c r="J604" s="111">
        <v>428</v>
      </c>
      <c r="K604" s="111">
        <f t="shared" si="82"/>
        <v>430</v>
      </c>
      <c r="L604" s="111">
        <f>300000</f>
        <v>300000</v>
      </c>
      <c r="M604" s="111">
        <f t="shared" si="83"/>
        <v>135000</v>
      </c>
      <c r="N604" s="111">
        <f t="shared" si="84"/>
        <v>135000</v>
      </c>
      <c r="O604" s="111">
        <f t="shared" si="85"/>
        <v>27000</v>
      </c>
      <c r="P604" s="111">
        <f t="shared" si="86"/>
        <v>30000</v>
      </c>
      <c r="Q604" s="111">
        <v>60000</v>
      </c>
      <c r="R604" s="111">
        <v>6</v>
      </c>
      <c r="S604" s="111">
        <f t="shared" si="87"/>
        <v>6000</v>
      </c>
      <c r="T604" s="111">
        <f t="shared" si="88"/>
        <v>360000</v>
      </c>
      <c r="U604" s="111">
        <f t="shared" si="89"/>
        <v>3600</v>
      </c>
      <c r="V604" s="111">
        <f t="shared" si="90"/>
        <v>363600</v>
      </c>
      <c r="W604" t="s">
        <v>3063</v>
      </c>
    </row>
    <row r="605" spans="1:23" x14ac:dyDescent="0.3">
      <c r="A605" s="110">
        <v>800038</v>
      </c>
      <c r="B605" s="110" t="s">
        <v>785</v>
      </c>
      <c r="C605" s="110" t="s">
        <v>797</v>
      </c>
      <c r="D605" s="110" t="s">
        <v>798</v>
      </c>
      <c r="E605" s="110" t="s">
        <v>319</v>
      </c>
      <c r="F605" s="110" t="s">
        <v>113</v>
      </c>
      <c r="G605" s="110" t="s">
        <v>114</v>
      </c>
      <c r="H605" s="111">
        <v>53</v>
      </c>
      <c r="I605" s="111">
        <v>56</v>
      </c>
      <c r="J605" s="111">
        <v>50</v>
      </c>
      <c r="K605" s="111">
        <f t="shared" si="82"/>
        <v>53</v>
      </c>
      <c r="L605" s="111">
        <v>150000</v>
      </c>
      <c r="M605" s="111">
        <f t="shared" si="83"/>
        <v>67500</v>
      </c>
      <c r="N605" s="111">
        <f t="shared" si="84"/>
        <v>67500</v>
      </c>
      <c r="O605" s="111">
        <f t="shared" si="85"/>
        <v>13500</v>
      </c>
      <c r="P605" s="111">
        <f t="shared" si="86"/>
        <v>15000</v>
      </c>
      <c r="Q605" s="111">
        <v>30000</v>
      </c>
      <c r="R605" s="111">
        <v>3</v>
      </c>
      <c r="S605" s="111">
        <f t="shared" si="87"/>
        <v>3000</v>
      </c>
      <c r="T605" s="111">
        <f t="shared" si="88"/>
        <v>180000</v>
      </c>
      <c r="U605" s="111">
        <f t="shared" si="89"/>
        <v>1800</v>
      </c>
      <c r="V605" s="111">
        <f t="shared" si="90"/>
        <v>181800</v>
      </c>
      <c r="W605" t="s">
        <v>3064</v>
      </c>
    </row>
    <row r="606" spans="1:23" x14ac:dyDescent="0.3">
      <c r="A606" s="110">
        <v>800039</v>
      </c>
      <c r="B606" s="110" t="s">
        <v>785</v>
      </c>
      <c r="C606" s="110" t="s">
        <v>797</v>
      </c>
      <c r="D606" s="110" t="s">
        <v>799</v>
      </c>
      <c r="E606" s="110" t="s">
        <v>319</v>
      </c>
      <c r="F606" s="110" t="s">
        <v>113</v>
      </c>
      <c r="G606" s="110" t="s">
        <v>114</v>
      </c>
      <c r="H606" s="111">
        <v>57</v>
      </c>
      <c r="I606" s="111">
        <v>45</v>
      </c>
      <c r="J606" s="111">
        <v>41</v>
      </c>
      <c r="K606" s="111">
        <f t="shared" si="82"/>
        <v>47.666666666666664</v>
      </c>
      <c r="L606" s="111">
        <v>50000</v>
      </c>
      <c r="M606" s="111">
        <f t="shared" si="83"/>
        <v>22500</v>
      </c>
      <c r="N606" s="111">
        <f t="shared" si="84"/>
        <v>22500</v>
      </c>
      <c r="O606" s="111">
        <f t="shared" si="85"/>
        <v>4500</v>
      </c>
      <c r="P606" s="111">
        <f t="shared" si="86"/>
        <v>5000</v>
      </c>
      <c r="Q606" s="111">
        <v>10000</v>
      </c>
      <c r="R606" s="111">
        <v>1</v>
      </c>
      <c r="S606" s="111">
        <f t="shared" si="87"/>
        <v>1000</v>
      </c>
      <c r="T606" s="111">
        <f t="shared" si="88"/>
        <v>60000</v>
      </c>
      <c r="U606" s="111">
        <f t="shared" si="89"/>
        <v>600</v>
      </c>
      <c r="V606" s="111">
        <f t="shared" si="90"/>
        <v>60600</v>
      </c>
      <c r="W606" t="s">
        <v>3065</v>
      </c>
    </row>
    <row r="607" spans="1:23" x14ac:dyDescent="0.3">
      <c r="A607" s="110">
        <v>800042</v>
      </c>
      <c r="B607" s="110" t="s">
        <v>785</v>
      </c>
      <c r="C607" s="110" t="s">
        <v>797</v>
      </c>
      <c r="D607" s="110" t="s">
        <v>800</v>
      </c>
      <c r="E607" s="110" t="s">
        <v>801</v>
      </c>
      <c r="F607" s="110" t="s">
        <v>168</v>
      </c>
      <c r="G607" s="110" t="s">
        <v>114</v>
      </c>
      <c r="H607" s="111">
        <v>197</v>
      </c>
      <c r="I607" s="111">
        <v>182</v>
      </c>
      <c r="J607" s="111">
        <v>169</v>
      </c>
      <c r="K607" s="111">
        <f t="shared" si="82"/>
        <v>182.66666666666666</v>
      </c>
      <c r="L607" s="111">
        <v>150000</v>
      </c>
      <c r="M607" s="111">
        <f t="shared" si="83"/>
        <v>67500</v>
      </c>
      <c r="N607" s="111">
        <f t="shared" si="84"/>
        <v>67500</v>
      </c>
      <c r="O607" s="111">
        <f t="shared" si="85"/>
        <v>13500</v>
      </c>
      <c r="P607" s="111">
        <f t="shared" si="86"/>
        <v>15000</v>
      </c>
      <c r="Q607" s="111">
        <v>30000</v>
      </c>
      <c r="R607" s="111">
        <v>3</v>
      </c>
      <c r="S607" s="111">
        <f t="shared" si="87"/>
        <v>3000</v>
      </c>
      <c r="T607" s="111">
        <f t="shared" si="88"/>
        <v>180000</v>
      </c>
      <c r="U607" s="111">
        <f t="shared" si="89"/>
        <v>1800</v>
      </c>
      <c r="V607" s="111">
        <f t="shared" si="90"/>
        <v>181800</v>
      </c>
      <c r="W607" t="s">
        <v>3066</v>
      </c>
    </row>
    <row r="608" spans="1:23" x14ac:dyDescent="0.3">
      <c r="A608" s="110">
        <v>800043</v>
      </c>
      <c r="B608" s="110" t="s">
        <v>785</v>
      </c>
      <c r="C608" s="110" t="s">
        <v>797</v>
      </c>
      <c r="D608" s="110" t="s">
        <v>802</v>
      </c>
      <c r="E608" s="110" t="s">
        <v>803</v>
      </c>
      <c r="F608" s="110" t="s">
        <v>119</v>
      </c>
      <c r="G608" s="110" t="s">
        <v>114</v>
      </c>
      <c r="H608" s="111">
        <v>277</v>
      </c>
      <c r="I608" s="111">
        <v>270</v>
      </c>
      <c r="J608" s="111">
        <v>201</v>
      </c>
      <c r="K608" s="111">
        <f t="shared" si="82"/>
        <v>249.33333333333334</v>
      </c>
      <c r="L608" s="111">
        <v>200000</v>
      </c>
      <c r="M608" s="111">
        <f t="shared" si="83"/>
        <v>90000</v>
      </c>
      <c r="N608" s="111">
        <f t="shared" si="84"/>
        <v>90000</v>
      </c>
      <c r="O608" s="111">
        <f t="shared" si="85"/>
        <v>18000</v>
      </c>
      <c r="P608" s="111">
        <f t="shared" si="86"/>
        <v>20000</v>
      </c>
      <c r="Q608" s="111">
        <v>50000</v>
      </c>
      <c r="R608" s="111">
        <v>5</v>
      </c>
      <c r="S608" s="111">
        <f t="shared" si="87"/>
        <v>5000</v>
      </c>
      <c r="T608" s="111">
        <f t="shared" si="88"/>
        <v>250000</v>
      </c>
      <c r="U608" s="111">
        <f t="shared" si="89"/>
        <v>2500</v>
      </c>
      <c r="V608" s="111">
        <f t="shared" si="90"/>
        <v>252500</v>
      </c>
      <c r="W608" t="s">
        <v>3067</v>
      </c>
    </row>
    <row r="609" spans="1:23" x14ac:dyDescent="0.3">
      <c r="A609" s="110">
        <v>800044</v>
      </c>
      <c r="B609" s="110" t="s">
        <v>785</v>
      </c>
      <c r="C609" s="110" t="s">
        <v>797</v>
      </c>
      <c r="D609" s="110" t="s">
        <v>804</v>
      </c>
      <c r="E609" s="110" t="s">
        <v>464</v>
      </c>
      <c r="F609" s="110" t="s">
        <v>113</v>
      </c>
      <c r="G609" s="110" t="s">
        <v>114</v>
      </c>
      <c r="H609" s="111">
        <v>46</v>
      </c>
      <c r="I609" s="111">
        <v>45</v>
      </c>
      <c r="J609" s="111">
        <v>46</v>
      </c>
      <c r="K609" s="111">
        <f t="shared" si="82"/>
        <v>45.666666666666664</v>
      </c>
      <c r="L609" s="111">
        <v>50000</v>
      </c>
      <c r="M609" s="111">
        <f t="shared" si="83"/>
        <v>22500</v>
      </c>
      <c r="N609" s="111">
        <f t="shared" si="84"/>
        <v>22500</v>
      </c>
      <c r="O609" s="111">
        <f t="shared" si="85"/>
        <v>4500</v>
      </c>
      <c r="P609" s="111">
        <f t="shared" si="86"/>
        <v>5000</v>
      </c>
      <c r="Q609" s="111">
        <v>10000</v>
      </c>
      <c r="R609" s="111">
        <v>1</v>
      </c>
      <c r="S609" s="111">
        <f t="shared" si="87"/>
        <v>1000</v>
      </c>
      <c r="T609" s="111">
        <f t="shared" si="88"/>
        <v>60000</v>
      </c>
      <c r="U609" s="111">
        <f t="shared" si="89"/>
        <v>600</v>
      </c>
      <c r="V609" s="111">
        <f t="shared" si="90"/>
        <v>60600</v>
      </c>
      <c r="W609" t="s">
        <v>3068</v>
      </c>
    </row>
    <row r="610" spans="1:23" x14ac:dyDescent="0.3">
      <c r="A610" s="110">
        <v>800045</v>
      </c>
      <c r="B610" s="110" t="s">
        <v>785</v>
      </c>
      <c r="C610" s="110" t="s">
        <v>797</v>
      </c>
      <c r="D610" s="110" t="s">
        <v>805</v>
      </c>
      <c r="E610" s="110" t="s">
        <v>390</v>
      </c>
      <c r="F610" s="110" t="s">
        <v>113</v>
      </c>
      <c r="G610" s="110" t="s">
        <v>114</v>
      </c>
      <c r="H610" s="111">
        <v>103</v>
      </c>
      <c r="I610" s="111">
        <v>98</v>
      </c>
      <c r="J610" s="111">
        <v>104</v>
      </c>
      <c r="K610" s="111">
        <f t="shared" si="82"/>
        <v>101.66666666666667</v>
      </c>
      <c r="L610" s="111">
        <v>150000</v>
      </c>
      <c r="M610" s="111">
        <f t="shared" si="83"/>
        <v>67500</v>
      </c>
      <c r="N610" s="111">
        <f t="shared" si="84"/>
        <v>67500</v>
      </c>
      <c r="O610" s="111">
        <f t="shared" si="85"/>
        <v>13500</v>
      </c>
      <c r="P610" s="111">
        <f t="shared" si="86"/>
        <v>15000</v>
      </c>
      <c r="Q610" s="111">
        <v>30000</v>
      </c>
      <c r="R610" s="111">
        <v>3</v>
      </c>
      <c r="S610" s="111">
        <f t="shared" si="87"/>
        <v>3000</v>
      </c>
      <c r="T610" s="111">
        <f t="shared" si="88"/>
        <v>180000</v>
      </c>
      <c r="U610" s="111">
        <f t="shared" si="89"/>
        <v>1800</v>
      </c>
      <c r="V610" s="111">
        <f t="shared" si="90"/>
        <v>181800</v>
      </c>
      <c r="W610" t="s">
        <v>3069</v>
      </c>
    </row>
    <row r="611" spans="1:23" x14ac:dyDescent="0.3">
      <c r="A611" s="110">
        <v>800046</v>
      </c>
      <c r="B611" s="110" t="s">
        <v>785</v>
      </c>
      <c r="C611" s="110" t="s">
        <v>797</v>
      </c>
      <c r="D611" s="110" t="s">
        <v>806</v>
      </c>
      <c r="E611" s="110" t="s">
        <v>390</v>
      </c>
      <c r="F611" s="110" t="s">
        <v>113</v>
      </c>
      <c r="G611" s="110" t="s">
        <v>114</v>
      </c>
      <c r="H611" s="111">
        <v>43</v>
      </c>
      <c r="I611" s="111">
        <v>43</v>
      </c>
      <c r="J611" s="111">
        <v>38</v>
      </c>
      <c r="K611" s="111">
        <f t="shared" si="82"/>
        <v>41.333333333333336</v>
      </c>
      <c r="L611" s="111">
        <v>50000</v>
      </c>
      <c r="M611" s="111">
        <f t="shared" si="83"/>
        <v>22500</v>
      </c>
      <c r="N611" s="111">
        <f t="shared" si="84"/>
        <v>22500</v>
      </c>
      <c r="O611" s="111">
        <f t="shared" si="85"/>
        <v>4500</v>
      </c>
      <c r="P611" s="111">
        <f t="shared" si="86"/>
        <v>5000</v>
      </c>
      <c r="Q611" s="111">
        <v>10000</v>
      </c>
      <c r="R611" s="111">
        <v>1</v>
      </c>
      <c r="S611" s="111">
        <f t="shared" si="87"/>
        <v>1000</v>
      </c>
      <c r="T611" s="111">
        <f t="shared" si="88"/>
        <v>60000</v>
      </c>
      <c r="U611" s="111">
        <f t="shared" si="89"/>
        <v>600</v>
      </c>
      <c r="V611" s="111">
        <f t="shared" si="90"/>
        <v>60600</v>
      </c>
      <c r="W611" t="s">
        <v>3070</v>
      </c>
    </row>
    <row r="612" spans="1:23" x14ac:dyDescent="0.3">
      <c r="A612" s="110">
        <v>800047</v>
      </c>
      <c r="B612" s="110" t="s">
        <v>785</v>
      </c>
      <c r="C612" s="110" t="s">
        <v>797</v>
      </c>
      <c r="D612" s="110" t="s">
        <v>807</v>
      </c>
      <c r="E612" s="110" t="s">
        <v>808</v>
      </c>
      <c r="F612" s="110" t="s">
        <v>168</v>
      </c>
      <c r="G612" s="110" t="s">
        <v>114</v>
      </c>
      <c r="H612" s="111">
        <v>67</v>
      </c>
      <c r="I612" s="111">
        <v>61</v>
      </c>
      <c r="J612" s="111">
        <v>55</v>
      </c>
      <c r="K612" s="111">
        <f t="shared" si="82"/>
        <v>61</v>
      </c>
      <c r="L612" s="111">
        <v>150000</v>
      </c>
      <c r="M612" s="111">
        <f t="shared" si="83"/>
        <v>67500</v>
      </c>
      <c r="N612" s="111">
        <f t="shared" si="84"/>
        <v>67500</v>
      </c>
      <c r="O612" s="111">
        <f t="shared" si="85"/>
        <v>13500</v>
      </c>
      <c r="P612" s="111">
        <f t="shared" si="86"/>
        <v>15000</v>
      </c>
      <c r="Q612" s="111">
        <v>30000</v>
      </c>
      <c r="R612" s="111">
        <v>3</v>
      </c>
      <c r="S612" s="111">
        <f t="shared" si="87"/>
        <v>3000</v>
      </c>
      <c r="T612" s="111">
        <f t="shared" si="88"/>
        <v>180000</v>
      </c>
      <c r="U612" s="111">
        <f t="shared" si="89"/>
        <v>1800</v>
      </c>
      <c r="V612" s="111">
        <f t="shared" si="90"/>
        <v>181800</v>
      </c>
      <c r="W612" t="s">
        <v>3071</v>
      </c>
    </row>
    <row r="613" spans="1:23" x14ac:dyDescent="0.3">
      <c r="A613" s="110">
        <v>800048</v>
      </c>
      <c r="B613" s="110" t="s">
        <v>785</v>
      </c>
      <c r="C613" s="110" t="s">
        <v>797</v>
      </c>
      <c r="D613" s="110" t="s">
        <v>809</v>
      </c>
      <c r="E613" s="110" t="s">
        <v>611</v>
      </c>
      <c r="F613" s="110" t="s">
        <v>113</v>
      </c>
      <c r="G613" s="110" t="s">
        <v>114</v>
      </c>
      <c r="H613" s="111">
        <v>76</v>
      </c>
      <c r="I613" s="111">
        <v>87</v>
      </c>
      <c r="J613" s="111">
        <v>67</v>
      </c>
      <c r="K613" s="111">
        <f t="shared" si="82"/>
        <v>76.666666666666671</v>
      </c>
      <c r="L613" s="111">
        <v>150000</v>
      </c>
      <c r="M613" s="111">
        <f t="shared" si="83"/>
        <v>67500</v>
      </c>
      <c r="N613" s="111">
        <f t="shared" si="84"/>
        <v>67500</v>
      </c>
      <c r="O613" s="111">
        <f t="shared" si="85"/>
        <v>13500</v>
      </c>
      <c r="P613" s="111">
        <f t="shared" si="86"/>
        <v>15000</v>
      </c>
      <c r="Q613" s="111">
        <v>30000</v>
      </c>
      <c r="R613" s="111">
        <v>3</v>
      </c>
      <c r="S613" s="111">
        <f t="shared" si="87"/>
        <v>3000</v>
      </c>
      <c r="T613" s="111">
        <f t="shared" si="88"/>
        <v>180000</v>
      </c>
      <c r="U613" s="111">
        <f t="shared" si="89"/>
        <v>1800</v>
      </c>
      <c r="V613" s="111">
        <f t="shared" si="90"/>
        <v>181800</v>
      </c>
      <c r="W613" t="s">
        <v>3072</v>
      </c>
    </row>
    <row r="614" spans="1:23" x14ac:dyDescent="0.3">
      <c r="A614" s="110">
        <v>800049</v>
      </c>
      <c r="B614" s="110" t="s">
        <v>785</v>
      </c>
      <c r="C614" s="110" t="s">
        <v>797</v>
      </c>
      <c r="D614" s="110" t="s">
        <v>810</v>
      </c>
      <c r="E614" s="110" t="s">
        <v>588</v>
      </c>
      <c r="F614" s="110" t="s">
        <v>113</v>
      </c>
      <c r="G614" s="110" t="s">
        <v>114</v>
      </c>
      <c r="H614" s="111">
        <v>48</v>
      </c>
      <c r="I614" s="111">
        <v>45</v>
      </c>
      <c r="J614" s="111">
        <v>28</v>
      </c>
      <c r="K614" s="111">
        <f t="shared" si="82"/>
        <v>40.333333333333336</v>
      </c>
      <c r="L614" s="111">
        <v>50000</v>
      </c>
      <c r="M614" s="111">
        <f t="shared" si="83"/>
        <v>22500</v>
      </c>
      <c r="N614" s="111">
        <f t="shared" si="84"/>
        <v>22500</v>
      </c>
      <c r="O614" s="111">
        <f t="shared" si="85"/>
        <v>4500</v>
      </c>
      <c r="P614" s="111">
        <f t="shared" si="86"/>
        <v>5000</v>
      </c>
      <c r="Q614" s="111">
        <v>10000</v>
      </c>
      <c r="R614" s="111">
        <v>1</v>
      </c>
      <c r="S614" s="111">
        <f t="shared" si="87"/>
        <v>1000</v>
      </c>
      <c r="T614" s="111">
        <f t="shared" si="88"/>
        <v>60000</v>
      </c>
      <c r="U614" s="111">
        <f t="shared" si="89"/>
        <v>600</v>
      </c>
      <c r="V614" s="111">
        <f t="shared" si="90"/>
        <v>60600</v>
      </c>
      <c r="W614" t="s">
        <v>3073</v>
      </c>
    </row>
    <row r="615" spans="1:23" x14ac:dyDescent="0.3">
      <c r="A615" s="110">
        <v>800050</v>
      </c>
      <c r="B615" s="110" t="s">
        <v>785</v>
      </c>
      <c r="C615" s="110" t="s">
        <v>797</v>
      </c>
      <c r="D615" s="110" t="s">
        <v>811</v>
      </c>
      <c r="E615" s="110" t="s">
        <v>482</v>
      </c>
      <c r="F615" s="110" t="s">
        <v>113</v>
      </c>
      <c r="G615" s="110" t="s">
        <v>114</v>
      </c>
      <c r="H615" s="111">
        <v>35</v>
      </c>
      <c r="I615" s="111">
        <v>31</v>
      </c>
      <c r="J615" s="111">
        <v>25</v>
      </c>
      <c r="K615" s="111">
        <f t="shared" si="82"/>
        <v>30.333333333333332</v>
      </c>
      <c r="L615" s="111">
        <v>50000</v>
      </c>
      <c r="M615" s="111">
        <f t="shared" si="83"/>
        <v>22500</v>
      </c>
      <c r="N615" s="111">
        <f t="shared" si="84"/>
        <v>22500</v>
      </c>
      <c r="O615" s="111">
        <f t="shared" si="85"/>
        <v>4500</v>
      </c>
      <c r="P615" s="111">
        <f t="shared" si="86"/>
        <v>5000</v>
      </c>
      <c r="Q615" s="111">
        <v>10000</v>
      </c>
      <c r="R615" s="111">
        <v>1</v>
      </c>
      <c r="S615" s="111">
        <f t="shared" si="87"/>
        <v>1000</v>
      </c>
      <c r="T615" s="111">
        <f t="shared" si="88"/>
        <v>60000</v>
      </c>
      <c r="U615" s="111">
        <f t="shared" si="89"/>
        <v>600</v>
      </c>
      <c r="V615" s="111">
        <f t="shared" si="90"/>
        <v>60600</v>
      </c>
      <c r="W615" t="s">
        <v>3074</v>
      </c>
    </row>
    <row r="616" spans="1:23" x14ac:dyDescent="0.3">
      <c r="A616" s="110">
        <v>800052</v>
      </c>
      <c r="B616" s="110" t="s">
        <v>785</v>
      </c>
      <c r="C616" s="110" t="s">
        <v>797</v>
      </c>
      <c r="D616" s="110" t="s">
        <v>642</v>
      </c>
      <c r="E616" s="110" t="s">
        <v>560</v>
      </c>
      <c r="F616" s="110" t="s">
        <v>113</v>
      </c>
      <c r="G616" s="110" t="s">
        <v>114</v>
      </c>
      <c r="H616" s="111">
        <v>80</v>
      </c>
      <c r="I616" s="111">
        <v>71</v>
      </c>
      <c r="J616" s="111">
        <v>58</v>
      </c>
      <c r="K616" s="111">
        <f t="shared" si="82"/>
        <v>69.666666666666671</v>
      </c>
      <c r="L616" s="111">
        <v>150000</v>
      </c>
      <c r="M616" s="111">
        <f t="shared" si="83"/>
        <v>67500</v>
      </c>
      <c r="N616" s="111">
        <f t="shared" si="84"/>
        <v>67500</v>
      </c>
      <c r="O616" s="111">
        <f t="shared" si="85"/>
        <v>13500</v>
      </c>
      <c r="P616" s="111">
        <f t="shared" si="86"/>
        <v>15000</v>
      </c>
      <c r="Q616" s="111">
        <v>30000</v>
      </c>
      <c r="R616" s="111">
        <v>3</v>
      </c>
      <c r="S616" s="111">
        <f t="shared" si="87"/>
        <v>3000</v>
      </c>
      <c r="T616" s="111">
        <f t="shared" si="88"/>
        <v>180000</v>
      </c>
      <c r="U616" s="111">
        <f t="shared" si="89"/>
        <v>1800</v>
      </c>
      <c r="V616" s="111">
        <f t="shared" si="90"/>
        <v>181800</v>
      </c>
      <c r="W616" t="s">
        <v>3075</v>
      </c>
    </row>
    <row r="617" spans="1:23" x14ac:dyDescent="0.3">
      <c r="A617" s="110">
        <v>800054</v>
      </c>
      <c r="B617" s="110" t="s">
        <v>785</v>
      </c>
      <c r="C617" s="110" t="s">
        <v>797</v>
      </c>
      <c r="D617" s="110" t="s">
        <v>812</v>
      </c>
      <c r="E617" s="110" t="s">
        <v>234</v>
      </c>
      <c r="F617" s="110" t="s">
        <v>113</v>
      </c>
      <c r="G617" s="110" t="s">
        <v>114</v>
      </c>
      <c r="H617" s="111">
        <v>108</v>
      </c>
      <c r="I617" s="111">
        <v>99</v>
      </c>
      <c r="J617" s="111">
        <v>111</v>
      </c>
      <c r="K617" s="111">
        <f t="shared" si="82"/>
        <v>106</v>
      </c>
      <c r="L617" s="111">
        <v>150000</v>
      </c>
      <c r="M617" s="111">
        <f t="shared" si="83"/>
        <v>67500</v>
      </c>
      <c r="N617" s="111">
        <f t="shared" si="84"/>
        <v>67500</v>
      </c>
      <c r="O617" s="111">
        <f t="shared" si="85"/>
        <v>13500</v>
      </c>
      <c r="P617" s="111">
        <f t="shared" si="86"/>
        <v>15000</v>
      </c>
      <c r="Q617" s="111">
        <v>30000</v>
      </c>
      <c r="R617" s="111">
        <v>3</v>
      </c>
      <c r="S617" s="111">
        <f t="shared" si="87"/>
        <v>3000</v>
      </c>
      <c r="T617" s="111">
        <f t="shared" si="88"/>
        <v>180000</v>
      </c>
      <c r="U617" s="111">
        <f t="shared" si="89"/>
        <v>1800</v>
      </c>
      <c r="V617" s="111">
        <f t="shared" si="90"/>
        <v>181800</v>
      </c>
      <c r="W617" t="s">
        <v>3076</v>
      </c>
    </row>
    <row r="618" spans="1:23" x14ac:dyDescent="0.3">
      <c r="A618" s="110">
        <v>800056</v>
      </c>
      <c r="B618" s="110" t="s">
        <v>785</v>
      </c>
      <c r="C618" s="110" t="s">
        <v>813</v>
      </c>
      <c r="D618" s="110" t="s">
        <v>814</v>
      </c>
      <c r="E618" s="110" t="s">
        <v>319</v>
      </c>
      <c r="F618" s="110" t="s">
        <v>113</v>
      </c>
      <c r="G618" s="110" t="s">
        <v>114</v>
      </c>
      <c r="H618" s="111">
        <v>61</v>
      </c>
      <c r="I618" s="111">
        <v>54</v>
      </c>
      <c r="J618" s="111">
        <v>54</v>
      </c>
      <c r="K618" s="111">
        <f t="shared" si="82"/>
        <v>56.333333333333336</v>
      </c>
      <c r="L618" s="111">
        <v>150000</v>
      </c>
      <c r="M618" s="111">
        <f t="shared" si="83"/>
        <v>67500</v>
      </c>
      <c r="N618" s="111">
        <f t="shared" si="84"/>
        <v>67500</v>
      </c>
      <c r="O618" s="111">
        <f t="shared" si="85"/>
        <v>13500</v>
      </c>
      <c r="P618" s="111">
        <f t="shared" si="86"/>
        <v>15000</v>
      </c>
      <c r="Q618" s="111">
        <v>30000</v>
      </c>
      <c r="R618" s="111">
        <v>3</v>
      </c>
      <c r="S618" s="111">
        <f t="shared" si="87"/>
        <v>3000</v>
      </c>
      <c r="T618" s="111">
        <f t="shared" si="88"/>
        <v>180000</v>
      </c>
      <c r="U618" s="111">
        <f t="shared" si="89"/>
        <v>1800</v>
      </c>
      <c r="V618" s="111">
        <f t="shared" si="90"/>
        <v>181800</v>
      </c>
      <c r="W618" t="s">
        <v>3077</v>
      </c>
    </row>
    <row r="619" spans="1:23" x14ac:dyDescent="0.3">
      <c r="A619" s="110">
        <v>800057</v>
      </c>
      <c r="B619" s="110" t="s">
        <v>785</v>
      </c>
      <c r="C619" s="110" t="s">
        <v>813</v>
      </c>
      <c r="D619" s="110" t="s">
        <v>815</v>
      </c>
      <c r="E619" s="110" t="s">
        <v>816</v>
      </c>
      <c r="F619" s="110" t="s">
        <v>113</v>
      </c>
      <c r="G619" s="110" t="s">
        <v>114</v>
      </c>
      <c r="H619" s="111">
        <v>87</v>
      </c>
      <c r="I619" s="111">
        <v>93</v>
      </c>
      <c r="J619" s="111">
        <v>80</v>
      </c>
      <c r="K619" s="111">
        <f t="shared" si="82"/>
        <v>86.666666666666671</v>
      </c>
      <c r="L619" s="111">
        <v>150000</v>
      </c>
      <c r="M619" s="111">
        <f t="shared" si="83"/>
        <v>67500</v>
      </c>
      <c r="N619" s="111">
        <f t="shared" si="84"/>
        <v>67500</v>
      </c>
      <c r="O619" s="111">
        <f t="shared" si="85"/>
        <v>13500</v>
      </c>
      <c r="P619" s="111">
        <f t="shared" si="86"/>
        <v>15000</v>
      </c>
      <c r="Q619" s="111">
        <v>30000</v>
      </c>
      <c r="R619" s="111">
        <v>3</v>
      </c>
      <c r="S619" s="111">
        <f t="shared" si="87"/>
        <v>3000</v>
      </c>
      <c r="T619" s="111">
        <f t="shared" si="88"/>
        <v>180000</v>
      </c>
      <c r="U619" s="111">
        <f t="shared" si="89"/>
        <v>1800</v>
      </c>
      <c r="V619" s="111">
        <f t="shared" si="90"/>
        <v>181800</v>
      </c>
      <c r="W619" t="s">
        <v>3078</v>
      </c>
    </row>
    <row r="620" spans="1:23" x14ac:dyDescent="0.3">
      <c r="A620" s="110">
        <v>800059</v>
      </c>
      <c r="B620" s="110" t="s">
        <v>785</v>
      </c>
      <c r="C620" s="110" t="s">
        <v>813</v>
      </c>
      <c r="D620" s="110" t="s">
        <v>813</v>
      </c>
      <c r="E620" s="110" t="s">
        <v>588</v>
      </c>
      <c r="F620" s="110" t="s">
        <v>113</v>
      </c>
      <c r="G620" s="110" t="s">
        <v>114</v>
      </c>
      <c r="H620" s="111">
        <v>130</v>
      </c>
      <c r="I620" s="111">
        <v>129</v>
      </c>
      <c r="J620" s="111">
        <v>143</v>
      </c>
      <c r="K620" s="111">
        <f t="shared" si="82"/>
        <v>134</v>
      </c>
      <c r="L620" s="111">
        <v>150000</v>
      </c>
      <c r="M620" s="111">
        <f t="shared" si="83"/>
        <v>67500</v>
      </c>
      <c r="N620" s="111">
        <f t="shared" si="84"/>
        <v>67500</v>
      </c>
      <c r="O620" s="111">
        <f t="shared" si="85"/>
        <v>13500</v>
      </c>
      <c r="P620" s="111">
        <f t="shared" si="86"/>
        <v>15000</v>
      </c>
      <c r="Q620" s="111">
        <v>30000</v>
      </c>
      <c r="R620" s="111">
        <v>3</v>
      </c>
      <c r="S620" s="111">
        <f t="shared" si="87"/>
        <v>3000</v>
      </c>
      <c r="T620" s="111">
        <f t="shared" si="88"/>
        <v>180000</v>
      </c>
      <c r="U620" s="111">
        <f t="shared" si="89"/>
        <v>1800</v>
      </c>
      <c r="V620" s="111">
        <f t="shared" si="90"/>
        <v>181800</v>
      </c>
      <c r="W620" t="s">
        <v>3079</v>
      </c>
    </row>
    <row r="621" spans="1:23" x14ac:dyDescent="0.3">
      <c r="A621" s="110">
        <v>800060</v>
      </c>
      <c r="B621" s="110" t="s">
        <v>785</v>
      </c>
      <c r="C621" s="110" t="s">
        <v>813</v>
      </c>
      <c r="D621" s="110" t="s">
        <v>813</v>
      </c>
      <c r="E621" s="110" t="s">
        <v>817</v>
      </c>
      <c r="F621" s="110" t="s">
        <v>113</v>
      </c>
      <c r="G621" s="110" t="s">
        <v>114</v>
      </c>
      <c r="H621" s="111">
        <v>341</v>
      </c>
      <c r="I621" s="111">
        <v>334</v>
      </c>
      <c r="J621" s="111">
        <v>322</v>
      </c>
      <c r="K621" s="111">
        <f t="shared" si="82"/>
        <v>332.33333333333331</v>
      </c>
      <c r="L621" s="111">
        <v>200000</v>
      </c>
      <c r="M621" s="111">
        <f t="shared" si="83"/>
        <v>90000</v>
      </c>
      <c r="N621" s="111">
        <f t="shared" si="84"/>
        <v>90000</v>
      </c>
      <c r="O621" s="111">
        <f t="shared" si="85"/>
        <v>18000</v>
      </c>
      <c r="P621" s="111">
        <f t="shared" si="86"/>
        <v>20000</v>
      </c>
      <c r="Q621" s="111">
        <v>50000</v>
      </c>
      <c r="R621" s="111">
        <v>5</v>
      </c>
      <c r="S621" s="111">
        <f t="shared" si="87"/>
        <v>5000</v>
      </c>
      <c r="T621" s="111">
        <f t="shared" si="88"/>
        <v>250000</v>
      </c>
      <c r="U621" s="111">
        <f t="shared" si="89"/>
        <v>2500</v>
      </c>
      <c r="V621" s="111">
        <f t="shared" si="90"/>
        <v>252500</v>
      </c>
      <c r="W621" t="s">
        <v>3080</v>
      </c>
    </row>
    <row r="622" spans="1:23" x14ac:dyDescent="0.3">
      <c r="A622" s="110">
        <v>800061</v>
      </c>
      <c r="B622" s="110" t="s">
        <v>785</v>
      </c>
      <c r="C622" s="110" t="s">
        <v>813</v>
      </c>
      <c r="D622" s="110" t="s">
        <v>813</v>
      </c>
      <c r="E622" s="110" t="s">
        <v>272</v>
      </c>
      <c r="F622" s="110" t="s">
        <v>119</v>
      </c>
      <c r="G622" s="110" t="s">
        <v>114</v>
      </c>
      <c r="H622" s="111">
        <v>406</v>
      </c>
      <c r="I622" s="111">
        <v>427</v>
      </c>
      <c r="J622" s="111">
        <v>425</v>
      </c>
      <c r="K622" s="111">
        <f t="shared" si="82"/>
        <v>419.33333333333331</v>
      </c>
      <c r="L622" s="111">
        <f>300000</f>
        <v>300000</v>
      </c>
      <c r="M622" s="111">
        <f t="shared" si="83"/>
        <v>135000</v>
      </c>
      <c r="N622" s="111">
        <f t="shared" si="84"/>
        <v>135000</v>
      </c>
      <c r="O622" s="111">
        <f t="shared" si="85"/>
        <v>27000</v>
      </c>
      <c r="P622" s="111">
        <f t="shared" si="86"/>
        <v>30000</v>
      </c>
      <c r="Q622" s="111">
        <v>60000</v>
      </c>
      <c r="R622" s="111">
        <v>6</v>
      </c>
      <c r="S622" s="111">
        <f t="shared" si="87"/>
        <v>6000</v>
      </c>
      <c r="T622" s="111">
        <f t="shared" si="88"/>
        <v>360000</v>
      </c>
      <c r="U622" s="111">
        <f t="shared" si="89"/>
        <v>3600</v>
      </c>
      <c r="V622" s="111">
        <f t="shared" si="90"/>
        <v>363600</v>
      </c>
      <c r="W622" t="s">
        <v>3081</v>
      </c>
    </row>
    <row r="623" spans="1:23" x14ac:dyDescent="0.3">
      <c r="A623" s="110">
        <v>800065</v>
      </c>
      <c r="B623" s="110" t="s">
        <v>785</v>
      </c>
      <c r="C623" s="110" t="s">
        <v>813</v>
      </c>
      <c r="D623" s="110" t="s">
        <v>818</v>
      </c>
      <c r="E623" s="110" t="s">
        <v>286</v>
      </c>
      <c r="F623" s="110" t="s">
        <v>119</v>
      </c>
      <c r="G623" s="110" t="s">
        <v>114</v>
      </c>
      <c r="H623" s="111">
        <v>200</v>
      </c>
      <c r="I623" s="111">
        <v>194</v>
      </c>
      <c r="J623" s="111">
        <v>213</v>
      </c>
      <c r="K623" s="111">
        <f t="shared" si="82"/>
        <v>202.33333333333334</v>
      </c>
      <c r="L623" s="111">
        <v>200000</v>
      </c>
      <c r="M623" s="111">
        <f t="shared" si="83"/>
        <v>90000</v>
      </c>
      <c r="N623" s="111">
        <f t="shared" si="84"/>
        <v>90000</v>
      </c>
      <c r="O623" s="111">
        <f t="shared" si="85"/>
        <v>18000</v>
      </c>
      <c r="P623" s="111">
        <f t="shared" si="86"/>
        <v>20000</v>
      </c>
      <c r="Q623" s="111">
        <v>50000</v>
      </c>
      <c r="R623" s="111">
        <v>5</v>
      </c>
      <c r="S623" s="111">
        <f t="shared" si="87"/>
        <v>5000</v>
      </c>
      <c r="T623" s="111">
        <f t="shared" si="88"/>
        <v>250000</v>
      </c>
      <c r="U623" s="111">
        <f t="shared" si="89"/>
        <v>2500</v>
      </c>
      <c r="V623" s="111">
        <f t="shared" si="90"/>
        <v>252500</v>
      </c>
      <c r="W623" t="s">
        <v>3082</v>
      </c>
    </row>
    <row r="624" spans="1:23" x14ac:dyDescent="0.3">
      <c r="A624" s="110">
        <v>800068</v>
      </c>
      <c r="B624" s="110" t="s">
        <v>785</v>
      </c>
      <c r="C624" s="110" t="s">
        <v>819</v>
      </c>
      <c r="D624" s="110" t="s">
        <v>820</v>
      </c>
      <c r="E624" s="110" t="s">
        <v>552</v>
      </c>
      <c r="F624" s="110" t="s">
        <v>113</v>
      </c>
      <c r="G624" s="110" t="s">
        <v>114</v>
      </c>
      <c r="H624" s="111">
        <v>70</v>
      </c>
      <c r="I624" s="111">
        <v>67</v>
      </c>
      <c r="J624" s="111">
        <v>59</v>
      </c>
      <c r="K624" s="111">
        <f t="shared" si="82"/>
        <v>65.333333333333329</v>
      </c>
      <c r="L624" s="111">
        <v>150000</v>
      </c>
      <c r="M624" s="111">
        <f t="shared" si="83"/>
        <v>67500</v>
      </c>
      <c r="N624" s="111">
        <f t="shared" si="84"/>
        <v>67500</v>
      </c>
      <c r="O624" s="111">
        <f t="shared" si="85"/>
        <v>13500</v>
      </c>
      <c r="P624" s="111">
        <f t="shared" si="86"/>
        <v>15000</v>
      </c>
      <c r="Q624" s="111">
        <v>30000</v>
      </c>
      <c r="R624" s="111">
        <v>3</v>
      </c>
      <c r="S624" s="111">
        <f t="shared" si="87"/>
        <v>3000</v>
      </c>
      <c r="T624" s="111">
        <f t="shared" si="88"/>
        <v>180000</v>
      </c>
      <c r="U624" s="111">
        <f t="shared" si="89"/>
        <v>1800</v>
      </c>
      <c r="V624" s="111">
        <f t="shared" si="90"/>
        <v>181800</v>
      </c>
      <c r="W624" t="s">
        <v>3083</v>
      </c>
    </row>
    <row r="625" spans="1:23" x14ac:dyDescent="0.3">
      <c r="A625" s="110">
        <v>800069</v>
      </c>
      <c r="B625" s="110" t="s">
        <v>785</v>
      </c>
      <c r="C625" s="110" t="s">
        <v>819</v>
      </c>
      <c r="D625" s="110" t="s">
        <v>821</v>
      </c>
      <c r="E625" s="110" t="s">
        <v>319</v>
      </c>
      <c r="F625" s="110" t="s">
        <v>113</v>
      </c>
      <c r="G625" s="110" t="s">
        <v>114</v>
      </c>
      <c r="H625" s="111">
        <v>41</v>
      </c>
      <c r="I625" s="111">
        <v>39</v>
      </c>
      <c r="J625" s="111">
        <v>38</v>
      </c>
      <c r="K625" s="111">
        <f t="shared" si="82"/>
        <v>39.333333333333336</v>
      </c>
      <c r="L625" s="111">
        <v>50000</v>
      </c>
      <c r="M625" s="111">
        <f t="shared" si="83"/>
        <v>22500</v>
      </c>
      <c r="N625" s="111">
        <f t="shared" si="84"/>
        <v>22500</v>
      </c>
      <c r="O625" s="111">
        <f t="shared" si="85"/>
        <v>4500</v>
      </c>
      <c r="P625" s="111">
        <f t="shared" si="86"/>
        <v>5000</v>
      </c>
      <c r="Q625" s="111">
        <v>10000</v>
      </c>
      <c r="R625" s="111">
        <v>1</v>
      </c>
      <c r="S625" s="111">
        <f t="shared" si="87"/>
        <v>1000</v>
      </c>
      <c r="T625" s="111">
        <f t="shared" si="88"/>
        <v>60000</v>
      </c>
      <c r="U625" s="111">
        <f t="shared" si="89"/>
        <v>600</v>
      </c>
      <c r="V625" s="111">
        <f t="shared" si="90"/>
        <v>60600</v>
      </c>
      <c r="W625" t="s">
        <v>3084</v>
      </c>
    </row>
    <row r="626" spans="1:23" x14ac:dyDescent="0.3">
      <c r="A626" s="110">
        <v>800071</v>
      </c>
      <c r="B626" s="110" t="s">
        <v>785</v>
      </c>
      <c r="C626" s="110" t="s">
        <v>819</v>
      </c>
      <c r="D626" s="110" t="s">
        <v>822</v>
      </c>
      <c r="E626" s="110" t="s">
        <v>552</v>
      </c>
      <c r="F626" s="110" t="s">
        <v>113</v>
      </c>
      <c r="G626" s="110" t="s">
        <v>114</v>
      </c>
      <c r="H626" s="111">
        <v>38</v>
      </c>
      <c r="I626" s="111">
        <v>35</v>
      </c>
      <c r="J626" s="111">
        <v>27</v>
      </c>
      <c r="K626" s="111">
        <f t="shared" si="82"/>
        <v>33.333333333333336</v>
      </c>
      <c r="L626" s="111">
        <v>50000</v>
      </c>
      <c r="M626" s="111">
        <f t="shared" si="83"/>
        <v>22500</v>
      </c>
      <c r="N626" s="111">
        <f t="shared" si="84"/>
        <v>22500</v>
      </c>
      <c r="O626" s="111">
        <f t="shared" si="85"/>
        <v>4500</v>
      </c>
      <c r="P626" s="111">
        <f t="shared" si="86"/>
        <v>5000</v>
      </c>
      <c r="Q626" s="111">
        <v>10000</v>
      </c>
      <c r="R626" s="111">
        <v>1</v>
      </c>
      <c r="S626" s="111">
        <f t="shared" si="87"/>
        <v>1000</v>
      </c>
      <c r="T626" s="111">
        <f t="shared" si="88"/>
        <v>60000</v>
      </c>
      <c r="U626" s="111">
        <f t="shared" si="89"/>
        <v>600</v>
      </c>
      <c r="V626" s="111">
        <f t="shared" si="90"/>
        <v>60600</v>
      </c>
      <c r="W626" t="s">
        <v>3085</v>
      </c>
    </row>
    <row r="627" spans="1:23" x14ac:dyDescent="0.3">
      <c r="A627" s="110">
        <v>800072</v>
      </c>
      <c r="B627" s="110" t="s">
        <v>785</v>
      </c>
      <c r="C627" s="110" t="s">
        <v>819</v>
      </c>
      <c r="D627" s="110" t="s">
        <v>823</v>
      </c>
      <c r="E627" s="110" t="s">
        <v>184</v>
      </c>
      <c r="F627" s="110" t="s">
        <v>113</v>
      </c>
      <c r="G627" s="110" t="s">
        <v>114</v>
      </c>
      <c r="H627" s="111">
        <v>53</v>
      </c>
      <c r="I627" s="111">
        <v>40</v>
      </c>
      <c r="J627" s="111">
        <v>23</v>
      </c>
      <c r="K627" s="111">
        <f t="shared" si="82"/>
        <v>38.666666666666664</v>
      </c>
      <c r="L627" s="111">
        <v>50000</v>
      </c>
      <c r="M627" s="111">
        <f t="shared" si="83"/>
        <v>22500</v>
      </c>
      <c r="N627" s="111">
        <f t="shared" si="84"/>
        <v>22500</v>
      </c>
      <c r="O627" s="111">
        <f t="shared" si="85"/>
        <v>4500</v>
      </c>
      <c r="P627" s="111">
        <f t="shared" si="86"/>
        <v>5000</v>
      </c>
      <c r="Q627" s="111">
        <v>10000</v>
      </c>
      <c r="R627" s="111">
        <v>1</v>
      </c>
      <c r="S627" s="111">
        <f t="shared" si="87"/>
        <v>1000</v>
      </c>
      <c r="T627" s="111">
        <f t="shared" si="88"/>
        <v>60000</v>
      </c>
      <c r="U627" s="111">
        <f t="shared" si="89"/>
        <v>600</v>
      </c>
      <c r="V627" s="111">
        <f t="shared" si="90"/>
        <v>60600</v>
      </c>
      <c r="W627" t="s">
        <v>3086</v>
      </c>
    </row>
    <row r="628" spans="1:23" x14ac:dyDescent="0.3">
      <c r="A628" s="110">
        <v>800073</v>
      </c>
      <c r="B628" s="110" t="s">
        <v>785</v>
      </c>
      <c r="C628" s="110" t="s">
        <v>819</v>
      </c>
      <c r="D628" s="110" t="s">
        <v>819</v>
      </c>
      <c r="E628" s="110" t="s">
        <v>353</v>
      </c>
      <c r="F628" s="110" t="s">
        <v>113</v>
      </c>
      <c r="G628" s="110" t="s">
        <v>114</v>
      </c>
      <c r="H628" s="111">
        <v>240</v>
      </c>
      <c r="I628" s="111">
        <v>222</v>
      </c>
      <c r="J628" s="111">
        <v>182</v>
      </c>
      <c r="K628" s="111">
        <f t="shared" si="82"/>
        <v>214.66666666666666</v>
      </c>
      <c r="L628" s="111">
        <f>200000*0.7</f>
        <v>140000</v>
      </c>
      <c r="M628" s="111">
        <f t="shared" si="83"/>
        <v>63000</v>
      </c>
      <c r="N628" s="111">
        <f t="shared" si="84"/>
        <v>63000</v>
      </c>
      <c r="O628" s="111">
        <f t="shared" si="85"/>
        <v>12600</v>
      </c>
      <c r="P628" s="111">
        <f t="shared" si="86"/>
        <v>14000</v>
      </c>
      <c r="Q628" s="111">
        <v>50000</v>
      </c>
      <c r="R628" s="111">
        <v>5</v>
      </c>
      <c r="S628" s="111">
        <f t="shared" si="87"/>
        <v>5000</v>
      </c>
      <c r="T628" s="111">
        <f t="shared" si="88"/>
        <v>190000</v>
      </c>
      <c r="U628" s="111">
        <f t="shared" si="89"/>
        <v>1900</v>
      </c>
      <c r="V628" s="111">
        <f t="shared" si="90"/>
        <v>191900</v>
      </c>
      <c r="W628" t="s">
        <v>3087</v>
      </c>
    </row>
    <row r="629" spans="1:23" x14ac:dyDescent="0.3">
      <c r="A629" s="110">
        <v>800074</v>
      </c>
      <c r="B629" s="110" t="s">
        <v>785</v>
      </c>
      <c r="C629" s="110" t="s">
        <v>819</v>
      </c>
      <c r="D629" s="110" t="s">
        <v>819</v>
      </c>
      <c r="E629" s="110" t="s">
        <v>824</v>
      </c>
      <c r="F629" s="110" t="s">
        <v>119</v>
      </c>
      <c r="G629" s="110" t="s">
        <v>114</v>
      </c>
      <c r="H629" s="111">
        <v>328</v>
      </c>
      <c r="I629" s="111">
        <v>312</v>
      </c>
      <c r="J629" s="111">
        <v>315</v>
      </c>
      <c r="K629" s="111">
        <f t="shared" si="82"/>
        <v>318.33333333333331</v>
      </c>
      <c r="L629" s="111">
        <f>200000*0.7</f>
        <v>140000</v>
      </c>
      <c r="M629" s="111">
        <f t="shared" si="83"/>
        <v>63000</v>
      </c>
      <c r="N629" s="111">
        <f t="shared" si="84"/>
        <v>63000</v>
      </c>
      <c r="O629" s="111">
        <f t="shared" si="85"/>
        <v>12600</v>
      </c>
      <c r="P629" s="111">
        <f t="shared" si="86"/>
        <v>14000</v>
      </c>
      <c r="Q629" s="111">
        <v>50000</v>
      </c>
      <c r="R629" s="111">
        <v>5</v>
      </c>
      <c r="S629" s="111">
        <f t="shared" si="87"/>
        <v>5000</v>
      </c>
      <c r="T629" s="111">
        <f t="shared" si="88"/>
        <v>190000</v>
      </c>
      <c r="U629" s="111">
        <f t="shared" si="89"/>
        <v>1900</v>
      </c>
      <c r="V629" s="111">
        <f t="shared" si="90"/>
        <v>191900</v>
      </c>
      <c r="W629" t="s">
        <v>3088</v>
      </c>
    </row>
    <row r="630" spans="1:23" x14ac:dyDescent="0.3">
      <c r="A630" s="110">
        <v>800076</v>
      </c>
      <c r="B630" s="110" t="s">
        <v>785</v>
      </c>
      <c r="C630" s="110" t="s">
        <v>819</v>
      </c>
      <c r="D630" s="110" t="s">
        <v>819</v>
      </c>
      <c r="E630" s="110" t="s">
        <v>825</v>
      </c>
      <c r="F630" s="110" t="s">
        <v>117</v>
      </c>
      <c r="G630" s="110" t="s">
        <v>125</v>
      </c>
      <c r="H630" s="111">
        <v>275</v>
      </c>
      <c r="I630" s="111">
        <v>273</v>
      </c>
      <c r="J630" s="111">
        <v>285</v>
      </c>
      <c r="K630" s="111">
        <f t="shared" si="82"/>
        <v>277.66666666666669</v>
      </c>
      <c r="L630" s="111">
        <v>200000</v>
      </c>
      <c r="M630" s="111">
        <f t="shared" si="83"/>
        <v>90000</v>
      </c>
      <c r="N630" s="111">
        <f t="shared" si="84"/>
        <v>90000</v>
      </c>
      <c r="O630" s="111">
        <f t="shared" si="85"/>
        <v>18000</v>
      </c>
      <c r="P630" s="111">
        <f t="shared" si="86"/>
        <v>20000</v>
      </c>
      <c r="Q630" s="111">
        <v>50000</v>
      </c>
      <c r="R630" s="111">
        <v>5</v>
      </c>
      <c r="S630" s="111">
        <f t="shared" si="87"/>
        <v>5000</v>
      </c>
      <c r="T630" s="111">
        <f t="shared" si="88"/>
        <v>250000</v>
      </c>
      <c r="U630" s="111">
        <f t="shared" si="89"/>
        <v>2500</v>
      </c>
      <c r="V630" s="111">
        <f t="shared" si="90"/>
        <v>252500</v>
      </c>
      <c r="W630" t="s">
        <v>3089</v>
      </c>
    </row>
    <row r="631" spans="1:23" x14ac:dyDescent="0.3">
      <c r="A631" s="110">
        <v>800080</v>
      </c>
      <c r="B631" s="110" t="s">
        <v>785</v>
      </c>
      <c r="C631" s="110" t="s">
        <v>826</v>
      </c>
      <c r="D631" s="110" t="s">
        <v>826</v>
      </c>
      <c r="E631" s="110" t="s">
        <v>827</v>
      </c>
      <c r="F631" s="110" t="s">
        <v>113</v>
      </c>
      <c r="G631" s="110" t="s">
        <v>114</v>
      </c>
      <c r="H631" s="111">
        <v>308</v>
      </c>
      <c r="I631" s="111">
        <v>299</v>
      </c>
      <c r="J631" s="111">
        <v>309</v>
      </c>
      <c r="K631" s="111">
        <f t="shared" si="82"/>
        <v>305.33333333333331</v>
      </c>
      <c r="L631" s="111">
        <v>200000</v>
      </c>
      <c r="M631" s="111">
        <f t="shared" si="83"/>
        <v>90000</v>
      </c>
      <c r="N631" s="111">
        <f t="shared" si="84"/>
        <v>90000</v>
      </c>
      <c r="O631" s="111">
        <f t="shared" si="85"/>
        <v>18000</v>
      </c>
      <c r="P631" s="111">
        <f t="shared" si="86"/>
        <v>20000</v>
      </c>
      <c r="Q631" s="111">
        <v>50000</v>
      </c>
      <c r="R631" s="111">
        <v>5</v>
      </c>
      <c r="S631" s="111">
        <f t="shared" si="87"/>
        <v>5000</v>
      </c>
      <c r="T631" s="111">
        <f t="shared" si="88"/>
        <v>250000</v>
      </c>
      <c r="U631" s="111">
        <f t="shared" si="89"/>
        <v>2500</v>
      </c>
      <c r="V631" s="111">
        <f t="shared" si="90"/>
        <v>252500</v>
      </c>
      <c r="W631" t="s">
        <v>3090</v>
      </c>
    </row>
    <row r="632" spans="1:23" x14ac:dyDescent="0.3">
      <c r="A632" s="110">
        <v>800081</v>
      </c>
      <c r="B632" s="110" t="s">
        <v>785</v>
      </c>
      <c r="C632" s="110" t="s">
        <v>826</v>
      </c>
      <c r="D632" s="110" t="s">
        <v>826</v>
      </c>
      <c r="E632" s="110" t="s">
        <v>828</v>
      </c>
      <c r="F632" s="110" t="s">
        <v>135</v>
      </c>
      <c r="G632" s="110" t="s">
        <v>125</v>
      </c>
      <c r="H632" s="111">
        <v>21</v>
      </c>
      <c r="I632" s="111">
        <v>17</v>
      </c>
      <c r="J632" s="111">
        <v>16</v>
      </c>
      <c r="K632" s="111">
        <f t="shared" si="82"/>
        <v>18</v>
      </c>
      <c r="L632" s="111">
        <v>50000</v>
      </c>
      <c r="M632" s="111">
        <f t="shared" si="83"/>
        <v>22500</v>
      </c>
      <c r="N632" s="111">
        <f t="shared" si="84"/>
        <v>22500</v>
      </c>
      <c r="O632" s="111">
        <f t="shared" si="85"/>
        <v>4500</v>
      </c>
      <c r="P632" s="111">
        <f t="shared" si="86"/>
        <v>5000</v>
      </c>
      <c r="Q632" s="111">
        <v>10000</v>
      </c>
      <c r="R632" s="111">
        <v>1</v>
      </c>
      <c r="S632" s="111">
        <f t="shared" si="87"/>
        <v>1000</v>
      </c>
      <c r="T632" s="111">
        <f t="shared" si="88"/>
        <v>60000</v>
      </c>
      <c r="U632" s="111">
        <f t="shared" si="89"/>
        <v>600</v>
      </c>
      <c r="V632" s="111">
        <f t="shared" si="90"/>
        <v>60600</v>
      </c>
      <c r="W632" t="s">
        <v>3091</v>
      </c>
    </row>
    <row r="633" spans="1:23" x14ac:dyDescent="0.3">
      <c r="A633" s="110">
        <v>800082</v>
      </c>
      <c r="B633" s="110" t="s">
        <v>785</v>
      </c>
      <c r="C633" s="110" t="s">
        <v>826</v>
      </c>
      <c r="D633" s="110" t="s">
        <v>826</v>
      </c>
      <c r="E633" s="110" t="s">
        <v>829</v>
      </c>
      <c r="F633" s="110" t="s">
        <v>119</v>
      </c>
      <c r="G633" s="110" t="s">
        <v>114</v>
      </c>
      <c r="H633" s="111">
        <v>551</v>
      </c>
      <c r="I633" s="111">
        <v>548</v>
      </c>
      <c r="J633" s="111">
        <v>540</v>
      </c>
      <c r="K633" s="111">
        <f t="shared" si="82"/>
        <v>546.33333333333337</v>
      </c>
      <c r="L633" s="111">
        <f>300000</f>
        <v>300000</v>
      </c>
      <c r="M633" s="111">
        <f t="shared" si="83"/>
        <v>135000</v>
      </c>
      <c r="N633" s="111">
        <f t="shared" si="84"/>
        <v>135000</v>
      </c>
      <c r="O633" s="111">
        <f t="shared" si="85"/>
        <v>27000</v>
      </c>
      <c r="P633" s="111">
        <f t="shared" si="86"/>
        <v>30000</v>
      </c>
      <c r="Q633" s="111">
        <v>60000</v>
      </c>
      <c r="R633" s="111">
        <v>6</v>
      </c>
      <c r="S633" s="111">
        <f t="shared" si="87"/>
        <v>6000</v>
      </c>
      <c r="T633" s="111">
        <f t="shared" si="88"/>
        <v>360000</v>
      </c>
      <c r="U633" s="111">
        <f t="shared" si="89"/>
        <v>3600</v>
      </c>
      <c r="V633" s="111">
        <f t="shared" si="90"/>
        <v>363600</v>
      </c>
      <c r="W633" t="s">
        <v>3092</v>
      </c>
    </row>
    <row r="634" spans="1:23" x14ac:dyDescent="0.3">
      <c r="A634" s="110">
        <v>800085</v>
      </c>
      <c r="B634" s="110" t="s">
        <v>785</v>
      </c>
      <c r="C634" s="110" t="s">
        <v>826</v>
      </c>
      <c r="D634" s="110" t="s">
        <v>830</v>
      </c>
      <c r="E634" s="110" t="s">
        <v>588</v>
      </c>
      <c r="F634" s="110" t="s">
        <v>113</v>
      </c>
      <c r="G634" s="110" t="s">
        <v>114</v>
      </c>
      <c r="H634" s="111">
        <v>56</v>
      </c>
      <c r="I634" s="111">
        <v>54</v>
      </c>
      <c r="J634" s="111">
        <v>53</v>
      </c>
      <c r="K634" s="111">
        <f t="shared" si="82"/>
        <v>54.333333333333336</v>
      </c>
      <c r="L634" s="111">
        <v>150000</v>
      </c>
      <c r="M634" s="111">
        <f t="shared" si="83"/>
        <v>67500</v>
      </c>
      <c r="N634" s="111">
        <f t="shared" si="84"/>
        <v>67500</v>
      </c>
      <c r="O634" s="111">
        <f t="shared" si="85"/>
        <v>13500</v>
      </c>
      <c r="P634" s="111">
        <f t="shared" si="86"/>
        <v>15000</v>
      </c>
      <c r="Q634" s="111">
        <v>30000</v>
      </c>
      <c r="R634" s="111">
        <v>3</v>
      </c>
      <c r="S634" s="111">
        <f t="shared" si="87"/>
        <v>3000</v>
      </c>
      <c r="T634" s="111">
        <f t="shared" si="88"/>
        <v>180000</v>
      </c>
      <c r="U634" s="111">
        <f t="shared" si="89"/>
        <v>1800</v>
      </c>
      <c r="V634" s="111">
        <f t="shared" si="90"/>
        <v>181800</v>
      </c>
      <c r="W634" t="s">
        <v>3093</v>
      </c>
    </row>
    <row r="635" spans="1:23" x14ac:dyDescent="0.3">
      <c r="A635" s="110">
        <v>800086</v>
      </c>
      <c r="B635" s="110" t="s">
        <v>785</v>
      </c>
      <c r="C635" s="110" t="s">
        <v>826</v>
      </c>
      <c r="D635" s="110" t="s">
        <v>826</v>
      </c>
      <c r="E635" s="110" t="s">
        <v>831</v>
      </c>
      <c r="F635" s="110" t="s">
        <v>117</v>
      </c>
      <c r="G635" s="110" t="s">
        <v>114</v>
      </c>
      <c r="H635" s="111">
        <v>170</v>
      </c>
      <c r="I635" s="111">
        <v>176</v>
      </c>
      <c r="J635" s="111">
        <v>185</v>
      </c>
      <c r="K635" s="111">
        <f t="shared" si="82"/>
        <v>177</v>
      </c>
      <c r="L635" s="111">
        <v>150000</v>
      </c>
      <c r="M635" s="111">
        <f t="shared" si="83"/>
        <v>67500</v>
      </c>
      <c r="N635" s="111">
        <f t="shared" si="84"/>
        <v>67500</v>
      </c>
      <c r="O635" s="111">
        <f t="shared" si="85"/>
        <v>13500</v>
      </c>
      <c r="P635" s="111">
        <f t="shared" si="86"/>
        <v>15000</v>
      </c>
      <c r="Q635" s="111">
        <v>30000</v>
      </c>
      <c r="R635" s="111">
        <v>3</v>
      </c>
      <c r="S635" s="111">
        <f t="shared" si="87"/>
        <v>3000</v>
      </c>
      <c r="T635" s="111">
        <f t="shared" si="88"/>
        <v>180000</v>
      </c>
      <c r="U635" s="111">
        <f t="shared" si="89"/>
        <v>1800</v>
      </c>
      <c r="V635" s="111">
        <f t="shared" si="90"/>
        <v>181800</v>
      </c>
      <c r="W635" t="s">
        <v>3094</v>
      </c>
    </row>
    <row r="636" spans="1:23" x14ac:dyDescent="0.3">
      <c r="A636" s="110">
        <v>800090</v>
      </c>
      <c r="B636" s="110" t="s">
        <v>785</v>
      </c>
      <c r="C636" s="110" t="s">
        <v>832</v>
      </c>
      <c r="D636" s="110" t="s">
        <v>833</v>
      </c>
      <c r="E636" s="110" t="s">
        <v>319</v>
      </c>
      <c r="F636" s="110" t="s">
        <v>113</v>
      </c>
      <c r="G636" s="110" t="s">
        <v>114</v>
      </c>
      <c r="H636" s="111">
        <v>28</v>
      </c>
      <c r="I636" s="111">
        <v>26</v>
      </c>
      <c r="J636" s="111">
        <v>32</v>
      </c>
      <c r="K636" s="111">
        <f t="shared" si="82"/>
        <v>28.666666666666668</v>
      </c>
      <c r="L636" s="111">
        <v>50000</v>
      </c>
      <c r="M636" s="111">
        <f t="shared" si="83"/>
        <v>22500</v>
      </c>
      <c r="N636" s="111">
        <f t="shared" si="84"/>
        <v>22500</v>
      </c>
      <c r="O636" s="111">
        <f t="shared" si="85"/>
        <v>4500</v>
      </c>
      <c r="P636" s="111">
        <f t="shared" si="86"/>
        <v>5000</v>
      </c>
      <c r="Q636" s="111">
        <v>10000</v>
      </c>
      <c r="R636" s="111">
        <v>1</v>
      </c>
      <c r="S636" s="111">
        <f t="shared" si="87"/>
        <v>1000</v>
      </c>
      <c r="T636" s="111">
        <f t="shared" si="88"/>
        <v>60000</v>
      </c>
      <c r="U636" s="111">
        <f t="shared" si="89"/>
        <v>600</v>
      </c>
      <c r="V636" s="111">
        <f t="shared" si="90"/>
        <v>60600</v>
      </c>
      <c r="W636" t="s">
        <v>3095</v>
      </c>
    </row>
    <row r="637" spans="1:23" x14ac:dyDescent="0.3">
      <c r="A637" s="110">
        <v>800092</v>
      </c>
      <c r="B637" s="110" t="s">
        <v>785</v>
      </c>
      <c r="C637" s="110" t="s">
        <v>832</v>
      </c>
      <c r="D637" s="110" t="s">
        <v>834</v>
      </c>
      <c r="E637" s="110" t="s">
        <v>835</v>
      </c>
      <c r="F637" s="110" t="s">
        <v>113</v>
      </c>
      <c r="G637" s="110" t="s">
        <v>114</v>
      </c>
      <c r="H637" s="111">
        <v>44</v>
      </c>
      <c r="I637" s="111">
        <v>39</v>
      </c>
      <c r="J637" s="111">
        <v>40</v>
      </c>
      <c r="K637" s="111">
        <f t="shared" si="82"/>
        <v>41</v>
      </c>
      <c r="L637" s="111">
        <v>50000</v>
      </c>
      <c r="M637" s="111">
        <f t="shared" si="83"/>
        <v>22500</v>
      </c>
      <c r="N637" s="111">
        <f t="shared" si="84"/>
        <v>22500</v>
      </c>
      <c r="O637" s="111">
        <f t="shared" si="85"/>
        <v>4500</v>
      </c>
      <c r="P637" s="111">
        <f t="shared" si="86"/>
        <v>5000</v>
      </c>
      <c r="Q637" s="111">
        <v>10000</v>
      </c>
      <c r="R637" s="111">
        <v>1</v>
      </c>
      <c r="S637" s="111">
        <f t="shared" si="87"/>
        <v>1000</v>
      </c>
      <c r="T637" s="111">
        <f t="shared" si="88"/>
        <v>60000</v>
      </c>
      <c r="U637" s="111">
        <f t="shared" si="89"/>
        <v>600</v>
      </c>
      <c r="V637" s="111">
        <f t="shared" si="90"/>
        <v>60600</v>
      </c>
      <c r="W637" t="s">
        <v>3096</v>
      </c>
    </row>
    <row r="638" spans="1:23" x14ac:dyDescent="0.3">
      <c r="A638" s="110">
        <v>800093</v>
      </c>
      <c r="B638" s="110" t="s">
        <v>785</v>
      </c>
      <c r="C638" s="110" t="s">
        <v>832</v>
      </c>
      <c r="D638" s="110" t="s">
        <v>832</v>
      </c>
      <c r="E638" s="110" t="s">
        <v>286</v>
      </c>
      <c r="F638" s="110" t="s">
        <v>119</v>
      </c>
      <c r="G638" s="110" t="s">
        <v>114</v>
      </c>
      <c r="H638" s="111">
        <v>222</v>
      </c>
      <c r="I638" s="111">
        <v>209</v>
      </c>
      <c r="J638" s="111">
        <v>188</v>
      </c>
      <c r="K638" s="111">
        <f t="shared" si="82"/>
        <v>206.33333333333334</v>
      </c>
      <c r="L638" s="111">
        <v>200000</v>
      </c>
      <c r="M638" s="111">
        <f t="shared" si="83"/>
        <v>90000</v>
      </c>
      <c r="N638" s="111">
        <f t="shared" si="84"/>
        <v>90000</v>
      </c>
      <c r="O638" s="111">
        <f t="shared" si="85"/>
        <v>18000</v>
      </c>
      <c r="P638" s="111">
        <f t="shared" si="86"/>
        <v>20000</v>
      </c>
      <c r="Q638" s="111">
        <v>50000</v>
      </c>
      <c r="R638" s="111">
        <v>5</v>
      </c>
      <c r="S638" s="111">
        <f t="shared" si="87"/>
        <v>5000</v>
      </c>
      <c r="T638" s="111">
        <f t="shared" si="88"/>
        <v>250000</v>
      </c>
      <c r="U638" s="111">
        <f t="shared" si="89"/>
        <v>2500</v>
      </c>
      <c r="V638" s="111">
        <f t="shared" si="90"/>
        <v>252500</v>
      </c>
      <c r="W638" t="s">
        <v>3097</v>
      </c>
    </row>
    <row r="639" spans="1:23" x14ac:dyDescent="0.3">
      <c r="A639" s="110">
        <v>800094</v>
      </c>
      <c r="B639" s="110" t="s">
        <v>785</v>
      </c>
      <c r="C639" s="110" t="s">
        <v>836</v>
      </c>
      <c r="D639" s="110" t="s">
        <v>836</v>
      </c>
      <c r="E639" s="110" t="s">
        <v>837</v>
      </c>
      <c r="F639" s="110" t="s">
        <v>119</v>
      </c>
      <c r="G639" s="110" t="s">
        <v>114</v>
      </c>
      <c r="H639" s="111">
        <v>519</v>
      </c>
      <c r="I639" s="111">
        <v>525</v>
      </c>
      <c r="J639" s="111">
        <v>500</v>
      </c>
      <c r="K639" s="111">
        <f t="shared" si="82"/>
        <v>514.66666666666663</v>
      </c>
      <c r="L639" s="111">
        <f>300000</f>
        <v>300000</v>
      </c>
      <c r="M639" s="111">
        <f t="shared" si="83"/>
        <v>135000</v>
      </c>
      <c r="N639" s="111">
        <f t="shared" si="84"/>
        <v>135000</v>
      </c>
      <c r="O639" s="111">
        <f t="shared" si="85"/>
        <v>27000</v>
      </c>
      <c r="P639" s="111">
        <f t="shared" si="86"/>
        <v>30000</v>
      </c>
      <c r="Q639" s="111">
        <v>60000</v>
      </c>
      <c r="R639" s="111">
        <v>6</v>
      </c>
      <c r="S639" s="111">
        <f t="shared" si="87"/>
        <v>6000</v>
      </c>
      <c r="T639" s="111">
        <f t="shared" si="88"/>
        <v>360000</v>
      </c>
      <c r="U639" s="111">
        <f t="shared" si="89"/>
        <v>3600</v>
      </c>
      <c r="V639" s="111">
        <f t="shared" si="90"/>
        <v>363600</v>
      </c>
      <c r="W639" t="s">
        <v>3098</v>
      </c>
    </row>
    <row r="640" spans="1:23" x14ac:dyDescent="0.3">
      <c r="A640" s="110">
        <v>800096</v>
      </c>
      <c r="B640" s="110" t="s">
        <v>785</v>
      </c>
      <c r="C640" s="110" t="s">
        <v>836</v>
      </c>
      <c r="D640" s="110" t="s">
        <v>379</v>
      </c>
      <c r="E640" s="110" t="s">
        <v>646</v>
      </c>
      <c r="F640" s="110" t="s">
        <v>209</v>
      </c>
      <c r="G640" s="110" t="s">
        <v>114</v>
      </c>
      <c r="H640" s="111">
        <v>32</v>
      </c>
      <c r="I640" s="111">
        <v>33</v>
      </c>
      <c r="J640" s="111">
        <v>32</v>
      </c>
      <c r="K640" s="111">
        <f t="shared" si="82"/>
        <v>32.333333333333336</v>
      </c>
      <c r="L640" s="111">
        <v>50000</v>
      </c>
      <c r="M640" s="111">
        <f t="shared" si="83"/>
        <v>22500</v>
      </c>
      <c r="N640" s="111">
        <f t="shared" si="84"/>
        <v>22500</v>
      </c>
      <c r="O640" s="111">
        <f t="shared" si="85"/>
        <v>4500</v>
      </c>
      <c r="P640" s="111">
        <f t="shared" si="86"/>
        <v>5000</v>
      </c>
      <c r="Q640" s="111">
        <v>10000</v>
      </c>
      <c r="R640" s="111">
        <v>1</v>
      </c>
      <c r="S640" s="111">
        <f t="shared" si="87"/>
        <v>1000</v>
      </c>
      <c r="T640" s="111">
        <f t="shared" si="88"/>
        <v>60000</v>
      </c>
      <c r="U640" s="111">
        <f t="shared" si="89"/>
        <v>600</v>
      </c>
      <c r="V640" s="111">
        <f t="shared" si="90"/>
        <v>60600</v>
      </c>
      <c r="W640" t="s">
        <v>3099</v>
      </c>
    </row>
    <row r="641" spans="1:23" x14ac:dyDescent="0.3">
      <c r="A641" s="110">
        <v>800099</v>
      </c>
      <c r="B641" s="110" t="s">
        <v>785</v>
      </c>
      <c r="C641" s="110" t="s">
        <v>836</v>
      </c>
      <c r="D641" s="110" t="s">
        <v>838</v>
      </c>
      <c r="E641" s="110" t="s">
        <v>839</v>
      </c>
      <c r="F641" s="110" t="s">
        <v>168</v>
      </c>
      <c r="G641" s="110" t="s">
        <v>114</v>
      </c>
      <c r="H641" s="111">
        <v>83</v>
      </c>
      <c r="I641" s="111">
        <v>75</v>
      </c>
      <c r="J641" s="111">
        <v>58</v>
      </c>
      <c r="K641" s="111">
        <f t="shared" si="82"/>
        <v>72</v>
      </c>
      <c r="L641" s="111">
        <v>150000</v>
      </c>
      <c r="M641" s="111">
        <f t="shared" si="83"/>
        <v>67500</v>
      </c>
      <c r="N641" s="111">
        <f t="shared" si="84"/>
        <v>67500</v>
      </c>
      <c r="O641" s="111">
        <f t="shared" si="85"/>
        <v>13500</v>
      </c>
      <c r="P641" s="111">
        <f t="shared" si="86"/>
        <v>15000</v>
      </c>
      <c r="Q641" s="111">
        <v>30000</v>
      </c>
      <c r="R641" s="111">
        <v>3</v>
      </c>
      <c r="S641" s="111">
        <f t="shared" si="87"/>
        <v>3000</v>
      </c>
      <c r="T641" s="111">
        <f t="shared" si="88"/>
        <v>180000</v>
      </c>
      <c r="U641" s="111">
        <f t="shared" si="89"/>
        <v>1800</v>
      </c>
      <c r="V641" s="111">
        <f t="shared" si="90"/>
        <v>181800</v>
      </c>
      <c r="W641" t="s">
        <v>3100</v>
      </c>
    </row>
    <row r="642" spans="1:23" x14ac:dyDescent="0.3">
      <c r="A642" s="110">
        <v>800100</v>
      </c>
      <c r="B642" s="110" t="s">
        <v>785</v>
      </c>
      <c r="C642" s="110" t="s">
        <v>836</v>
      </c>
      <c r="D642" s="110" t="s">
        <v>840</v>
      </c>
      <c r="E642" s="110" t="s">
        <v>390</v>
      </c>
      <c r="F642" s="110" t="s">
        <v>113</v>
      </c>
      <c r="G642" s="110" t="s">
        <v>114</v>
      </c>
      <c r="H642" s="111">
        <v>57</v>
      </c>
      <c r="I642" s="111">
        <v>52</v>
      </c>
      <c r="J642" s="111">
        <v>52</v>
      </c>
      <c r="K642" s="111">
        <f t="shared" ref="K642:K705" si="91">+(H642+I642+J642)/3</f>
        <v>53.666666666666664</v>
      </c>
      <c r="L642" s="111">
        <v>150000</v>
      </c>
      <c r="M642" s="111">
        <f t="shared" ref="M642:M705" si="92">+L642*0.45</f>
        <v>67500</v>
      </c>
      <c r="N642" s="111">
        <f t="shared" ref="N642:N705" si="93">+L642*0.45</f>
        <v>67500</v>
      </c>
      <c r="O642" s="111">
        <f t="shared" ref="O642:O705" si="94">+N642*0.2</f>
        <v>13500</v>
      </c>
      <c r="P642" s="111">
        <f t="shared" ref="P642:P705" si="95">++L642*0.1</f>
        <v>15000</v>
      </c>
      <c r="Q642" s="111">
        <v>30000</v>
      </c>
      <c r="R642" s="111">
        <v>3</v>
      </c>
      <c r="S642" s="111">
        <f t="shared" ref="S642:S705" si="96">+Q642*0.1</f>
        <v>3000</v>
      </c>
      <c r="T642" s="111">
        <f t="shared" ref="T642:T705" si="97">+L642+Q642</f>
        <v>180000</v>
      </c>
      <c r="U642" s="111">
        <f t="shared" ref="U642:U705" si="98">+T642*0.01</f>
        <v>1800</v>
      </c>
      <c r="V642" s="111">
        <f t="shared" ref="V642:V705" si="99">+T642+U642</f>
        <v>181800</v>
      </c>
      <c r="W642" t="s">
        <v>3101</v>
      </c>
    </row>
    <row r="643" spans="1:23" x14ac:dyDescent="0.3">
      <c r="A643" s="110">
        <v>800101</v>
      </c>
      <c r="B643" s="110" t="s">
        <v>785</v>
      </c>
      <c r="C643" s="110" t="s">
        <v>836</v>
      </c>
      <c r="D643" s="110" t="s">
        <v>841</v>
      </c>
      <c r="E643" s="110" t="s">
        <v>622</v>
      </c>
      <c r="F643" s="110" t="s">
        <v>113</v>
      </c>
      <c r="G643" s="110" t="s">
        <v>114</v>
      </c>
      <c r="H643" s="111">
        <v>95</v>
      </c>
      <c r="I643" s="111">
        <v>90</v>
      </c>
      <c r="J643" s="111">
        <v>70</v>
      </c>
      <c r="K643" s="111">
        <f t="shared" si="91"/>
        <v>85</v>
      </c>
      <c r="L643" s="111">
        <v>150000</v>
      </c>
      <c r="M643" s="111">
        <f t="shared" si="92"/>
        <v>67500</v>
      </c>
      <c r="N643" s="111">
        <f t="shared" si="93"/>
        <v>67500</v>
      </c>
      <c r="O643" s="111">
        <f t="shared" si="94"/>
        <v>13500</v>
      </c>
      <c r="P643" s="111">
        <f t="shared" si="95"/>
        <v>15000</v>
      </c>
      <c r="Q643" s="111">
        <v>30000</v>
      </c>
      <c r="R643" s="111">
        <v>3</v>
      </c>
      <c r="S643" s="111">
        <f t="shared" si="96"/>
        <v>3000</v>
      </c>
      <c r="T643" s="111">
        <f t="shared" si="97"/>
        <v>180000</v>
      </c>
      <c r="U643" s="111">
        <f t="shared" si="98"/>
        <v>1800</v>
      </c>
      <c r="V643" s="111">
        <f t="shared" si="99"/>
        <v>181800</v>
      </c>
      <c r="W643" t="s">
        <v>3102</v>
      </c>
    </row>
    <row r="644" spans="1:23" x14ac:dyDescent="0.3">
      <c r="A644" s="110">
        <v>800103</v>
      </c>
      <c r="B644" s="110" t="s">
        <v>785</v>
      </c>
      <c r="C644" s="110" t="s">
        <v>836</v>
      </c>
      <c r="D644" s="110" t="s">
        <v>842</v>
      </c>
      <c r="E644" s="110" t="s">
        <v>184</v>
      </c>
      <c r="F644" s="110" t="s">
        <v>113</v>
      </c>
      <c r="G644" s="110" t="s">
        <v>114</v>
      </c>
      <c r="H644" s="111">
        <v>69</v>
      </c>
      <c r="I644" s="111">
        <v>65</v>
      </c>
      <c r="J644" s="111">
        <v>63</v>
      </c>
      <c r="K644" s="111">
        <f t="shared" si="91"/>
        <v>65.666666666666671</v>
      </c>
      <c r="L644" s="111">
        <v>150000</v>
      </c>
      <c r="M644" s="111">
        <f t="shared" si="92"/>
        <v>67500</v>
      </c>
      <c r="N644" s="111">
        <f t="shared" si="93"/>
        <v>67500</v>
      </c>
      <c r="O644" s="111">
        <f t="shared" si="94"/>
        <v>13500</v>
      </c>
      <c r="P644" s="111">
        <f t="shared" si="95"/>
        <v>15000</v>
      </c>
      <c r="Q644" s="111">
        <v>30000</v>
      </c>
      <c r="R644" s="111">
        <v>3</v>
      </c>
      <c r="S644" s="111">
        <f t="shared" si="96"/>
        <v>3000</v>
      </c>
      <c r="T644" s="111">
        <f t="shared" si="97"/>
        <v>180000</v>
      </c>
      <c r="U644" s="111">
        <f t="shared" si="98"/>
        <v>1800</v>
      </c>
      <c r="V644" s="111">
        <f t="shared" si="99"/>
        <v>181800</v>
      </c>
      <c r="W644" t="s">
        <v>3103</v>
      </c>
    </row>
    <row r="645" spans="1:23" x14ac:dyDescent="0.3">
      <c r="A645" s="110">
        <v>800104</v>
      </c>
      <c r="B645" s="110" t="s">
        <v>785</v>
      </c>
      <c r="C645" s="110" t="s">
        <v>836</v>
      </c>
      <c r="D645" s="110" t="s">
        <v>843</v>
      </c>
      <c r="E645" s="110" t="s">
        <v>844</v>
      </c>
      <c r="F645" s="110" t="s">
        <v>168</v>
      </c>
      <c r="G645" s="110" t="s">
        <v>114</v>
      </c>
      <c r="H645" s="111">
        <v>118</v>
      </c>
      <c r="I645" s="111">
        <v>131</v>
      </c>
      <c r="J645" s="111">
        <v>83</v>
      </c>
      <c r="K645" s="111">
        <f t="shared" si="91"/>
        <v>110.66666666666667</v>
      </c>
      <c r="L645" s="111">
        <v>150000</v>
      </c>
      <c r="M645" s="111">
        <f t="shared" si="92"/>
        <v>67500</v>
      </c>
      <c r="N645" s="111">
        <f t="shared" si="93"/>
        <v>67500</v>
      </c>
      <c r="O645" s="111">
        <f t="shared" si="94"/>
        <v>13500</v>
      </c>
      <c r="P645" s="111">
        <f t="shared" si="95"/>
        <v>15000</v>
      </c>
      <c r="Q645" s="111">
        <v>30000</v>
      </c>
      <c r="R645" s="111">
        <v>3</v>
      </c>
      <c r="S645" s="111">
        <f t="shared" si="96"/>
        <v>3000</v>
      </c>
      <c r="T645" s="111">
        <f t="shared" si="97"/>
        <v>180000</v>
      </c>
      <c r="U645" s="111">
        <f t="shared" si="98"/>
        <v>1800</v>
      </c>
      <c r="V645" s="111">
        <f t="shared" si="99"/>
        <v>181800</v>
      </c>
      <c r="W645" t="s">
        <v>3104</v>
      </c>
    </row>
    <row r="646" spans="1:23" x14ac:dyDescent="0.3">
      <c r="A646" s="110">
        <v>800105</v>
      </c>
      <c r="B646" s="110" t="s">
        <v>785</v>
      </c>
      <c r="C646" s="110" t="s">
        <v>836</v>
      </c>
      <c r="D646" s="110" t="s">
        <v>836</v>
      </c>
      <c r="E646" s="110" t="s">
        <v>845</v>
      </c>
      <c r="F646" s="110" t="s">
        <v>117</v>
      </c>
      <c r="G646" s="110" t="s">
        <v>125</v>
      </c>
      <c r="H646" s="111">
        <v>240</v>
      </c>
      <c r="I646" s="111">
        <v>223</v>
      </c>
      <c r="J646" s="111">
        <v>245</v>
      </c>
      <c r="K646" s="111">
        <f t="shared" si="91"/>
        <v>236</v>
      </c>
      <c r="L646" s="111">
        <f>200000*0.7</f>
        <v>140000</v>
      </c>
      <c r="M646" s="111">
        <f t="shared" si="92"/>
        <v>63000</v>
      </c>
      <c r="N646" s="111">
        <f t="shared" si="93"/>
        <v>63000</v>
      </c>
      <c r="O646" s="111">
        <f t="shared" si="94"/>
        <v>12600</v>
      </c>
      <c r="P646" s="111">
        <f t="shared" si="95"/>
        <v>14000</v>
      </c>
      <c r="Q646" s="111">
        <v>50000</v>
      </c>
      <c r="R646" s="111">
        <v>5</v>
      </c>
      <c r="S646" s="111">
        <f t="shared" si="96"/>
        <v>5000</v>
      </c>
      <c r="T646" s="111">
        <f t="shared" si="97"/>
        <v>190000</v>
      </c>
      <c r="U646" s="111">
        <f t="shared" si="98"/>
        <v>1900</v>
      </c>
      <c r="V646" s="111">
        <f t="shared" si="99"/>
        <v>191900</v>
      </c>
      <c r="W646" t="s">
        <v>3105</v>
      </c>
    </row>
    <row r="647" spans="1:23" x14ac:dyDescent="0.3">
      <c r="A647" s="110">
        <v>800108</v>
      </c>
      <c r="B647" s="110" t="s">
        <v>785</v>
      </c>
      <c r="C647" s="110" t="s">
        <v>846</v>
      </c>
      <c r="D647" s="110" t="s">
        <v>847</v>
      </c>
      <c r="E647" s="110" t="s">
        <v>247</v>
      </c>
      <c r="F647" s="110" t="s">
        <v>113</v>
      </c>
      <c r="G647" s="110" t="s">
        <v>114</v>
      </c>
      <c r="H647" s="111">
        <v>42</v>
      </c>
      <c r="I647" s="111">
        <v>38</v>
      </c>
      <c r="J647" s="111">
        <v>41</v>
      </c>
      <c r="K647" s="111">
        <f t="shared" si="91"/>
        <v>40.333333333333336</v>
      </c>
      <c r="L647" s="111">
        <v>50000</v>
      </c>
      <c r="M647" s="111">
        <f t="shared" si="92"/>
        <v>22500</v>
      </c>
      <c r="N647" s="111">
        <f t="shared" si="93"/>
        <v>22500</v>
      </c>
      <c r="O647" s="111">
        <f t="shared" si="94"/>
        <v>4500</v>
      </c>
      <c r="P647" s="111">
        <f t="shared" si="95"/>
        <v>5000</v>
      </c>
      <c r="Q647" s="111">
        <v>10000</v>
      </c>
      <c r="R647" s="111">
        <v>1</v>
      </c>
      <c r="S647" s="111">
        <f t="shared" si="96"/>
        <v>1000</v>
      </c>
      <c r="T647" s="111">
        <f t="shared" si="97"/>
        <v>60000</v>
      </c>
      <c r="U647" s="111">
        <f t="shared" si="98"/>
        <v>600</v>
      </c>
      <c r="V647" s="111">
        <f t="shared" si="99"/>
        <v>60600</v>
      </c>
      <c r="W647" t="s">
        <v>3106</v>
      </c>
    </row>
    <row r="648" spans="1:23" x14ac:dyDescent="0.3">
      <c r="A648" s="110">
        <v>800109</v>
      </c>
      <c r="B648" s="110" t="s">
        <v>785</v>
      </c>
      <c r="C648" s="110" t="s">
        <v>846</v>
      </c>
      <c r="D648" s="110" t="s">
        <v>846</v>
      </c>
      <c r="E648" s="110" t="s">
        <v>848</v>
      </c>
      <c r="F648" s="110" t="s">
        <v>119</v>
      </c>
      <c r="G648" s="110" t="s">
        <v>114</v>
      </c>
      <c r="H648" s="111">
        <v>246</v>
      </c>
      <c r="I648" s="111">
        <v>239</v>
      </c>
      <c r="J648" s="111">
        <v>223</v>
      </c>
      <c r="K648" s="111">
        <f t="shared" si="91"/>
        <v>236</v>
      </c>
      <c r="L648" s="111">
        <f>200000*0.7</f>
        <v>140000</v>
      </c>
      <c r="M648" s="111">
        <f t="shared" si="92"/>
        <v>63000</v>
      </c>
      <c r="N648" s="111">
        <f t="shared" si="93"/>
        <v>63000</v>
      </c>
      <c r="O648" s="111">
        <f t="shared" si="94"/>
        <v>12600</v>
      </c>
      <c r="P648" s="111">
        <f t="shared" si="95"/>
        <v>14000</v>
      </c>
      <c r="Q648" s="111">
        <v>50000</v>
      </c>
      <c r="R648" s="111">
        <v>5</v>
      </c>
      <c r="S648" s="111">
        <f t="shared" si="96"/>
        <v>5000</v>
      </c>
      <c r="T648" s="111">
        <f t="shared" si="97"/>
        <v>190000</v>
      </c>
      <c r="U648" s="111">
        <f t="shared" si="98"/>
        <v>1900</v>
      </c>
      <c r="V648" s="111">
        <f t="shared" si="99"/>
        <v>191900</v>
      </c>
      <c r="W648" t="s">
        <v>3107</v>
      </c>
    </row>
    <row r="649" spans="1:23" x14ac:dyDescent="0.3">
      <c r="A649" s="110">
        <v>800111</v>
      </c>
      <c r="B649" s="110" t="s">
        <v>785</v>
      </c>
      <c r="C649" s="110" t="s">
        <v>813</v>
      </c>
      <c r="D649" s="110" t="s">
        <v>849</v>
      </c>
      <c r="E649" s="110" t="s">
        <v>850</v>
      </c>
      <c r="F649" s="110" t="s">
        <v>135</v>
      </c>
      <c r="G649" s="110" t="s">
        <v>114</v>
      </c>
      <c r="H649" s="111">
        <v>62</v>
      </c>
      <c r="I649" s="111">
        <v>55</v>
      </c>
      <c r="J649" s="111">
        <v>49</v>
      </c>
      <c r="K649" s="111">
        <f t="shared" si="91"/>
        <v>55.333333333333336</v>
      </c>
      <c r="L649" s="111">
        <v>150000</v>
      </c>
      <c r="M649" s="111">
        <f t="shared" si="92"/>
        <v>67500</v>
      </c>
      <c r="N649" s="111">
        <f t="shared" si="93"/>
        <v>67500</v>
      </c>
      <c r="O649" s="111">
        <f t="shared" si="94"/>
        <v>13500</v>
      </c>
      <c r="P649" s="111">
        <f t="shared" si="95"/>
        <v>15000</v>
      </c>
      <c r="Q649" s="111">
        <v>30000</v>
      </c>
      <c r="R649" s="111">
        <v>3</v>
      </c>
      <c r="S649" s="111">
        <f t="shared" si="96"/>
        <v>3000</v>
      </c>
      <c r="T649" s="111">
        <f t="shared" si="97"/>
        <v>180000</v>
      </c>
      <c r="U649" s="111">
        <f t="shared" si="98"/>
        <v>1800</v>
      </c>
      <c r="V649" s="111">
        <f t="shared" si="99"/>
        <v>181800</v>
      </c>
      <c r="W649" t="s">
        <v>3108</v>
      </c>
    </row>
    <row r="650" spans="1:23" x14ac:dyDescent="0.3">
      <c r="A650" s="110">
        <v>800328</v>
      </c>
      <c r="B650" s="110" t="s">
        <v>785</v>
      </c>
      <c r="C650" s="110" t="s">
        <v>785</v>
      </c>
      <c r="D650" s="110" t="s">
        <v>785</v>
      </c>
      <c r="E650" s="110" t="s">
        <v>851</v>
      </c>
      <c r="F650" s="110" t="s">
        <v>117</v>
      </c>
      <c r="G650" s="110" t="s">
        <v>125</v>
      </c>
      <c r="H650" s="111">
        <v>354</v>
      </c>
      <c r="I650" s="111">
        <v>344</v>
      </c>
      <c r="J650" s="111">
        <v>329</v>
      </c>
      <c r="K650" s="111">
        <f t="shared" si="91"/>
        <v>342.33333333333331</v>
      </c>
      <c r="L650" s="111">
        <v>200000</v>
      </c>
      <c r="M650" s="111">
        <f t="shared" si="92"/>
        <v>90000</v>
      </c>
      <c r="N650" s="111">
        <f t="shared" si="93"/>
        <v>90000</v>
      </c>
      <c r="O650" s="111">
        <f t="shared" si="94"/>
        <v>18000</v>
      </c>
      <c r="P650" s="111">
        <f t="shared" si="95"/>
        <v>20000</v>
      </c>
      <c r="Q650" s="111">
        <v>50000</v>
      </c>
      <c r="R650" s="111">
        <v>5</v>
      </c>
      <c r="S650" s="111">
        <f t="shared" si="96"/>
        <v>5000</v>
      </c>
      <c r="T650" s="111">
        <f t="shared" si="97"/>
        <v>250000</v>
      </c>
      <c r="U650" s="111">
        <f t="shared" si="98"/>
        <v>2500</v>
      </c>
      <c r="V650" s="111">
        <f t="shared" si="99"/>
        <v>252500</v>
      </c>
      <c r="W650" t="s">
        <v>3109</v>
      </c>
    </row>
    <row r="651" spans="1:23" x14ac:dyDescent="0.3">
      <c r="A651" s="110">
        <v>909101</v>
      </c>
      <c r="B651" s="110" t="s">
        <v>852</v>
      </c>
      <c r="C651" s="110" t="s">
        <v>852</v>
      </c>
      <c r="D651" s="110" t="s">
        <v>852</v>
      </c>
      <c r="E651" s="110" t="s">
        <v>853</v>
      </c>
      <c r="F651" s="110" t="s">
        <v>119</v>
      </c>
      <c r="G651" s="110" t="s">
        <v>114</v>
      </c>
      <c r="H651" s="111">
        <v>290</v>
      </c>
      <c r="I651" s="111">
        <v>325</v>
      </c>
      <c r="J651" s="111">
        <v>330</v>
      </c>
      <c r="K651" s="111">
        <f t="shared" si="91"/>
        <v>315</v>
      </c>
      <c r="L651" s="111">
        <f>200000*0.7</f>
        <v>140000</v>
      </c>
      <c r="M651" s="111">
        <f t="shared" si="92"/>
        <v>63000</v>
      </c>
      <c r="N651" s="111">
        <f t="shared" si="93"/>
        <v>63000</v>
      </c>
      <c r="O651" s="111">
        <f t="shared" si="94"/>
        <v>12600</v>
      </c>
      <c r="P651" s="111">
        <f t="shared" si="95"/>
        <v>14000</v>
      </c>
      <c r="Q651" s="111">
        <v>50000</v>
      </c>
      <c r="R651" s="111">
        <v>5</v>
      </c>
      <c r="S651" s="111">
        <f t="shared" si="96"/>
        <v>5000</v>
      </c>
      <c r="T651" s="111">
        <f t="shared" si="97"/>
        <v>190000</v>
      </c>
      <c r="U651" s="111">
        <f t="shared" si="98"/>
        <v>1900</v>
      </c>
      <c r="V651" s="111">
        <f t="shared" si="99"/>
        <v>191900</v>
      </c>
      <c r="W651" t="s">
        <v>3110</v>
      </c>
    </row>
    <row r="652" spans="1:23" x14ac:dyDescent="0.3">
      <c r="A652" s="110">
        <v>909103</v>
      </c>
      <c r="B652" s="110" t="s">
        <v>852</v>
      </c>
      <c r="C652" s="110" t="s">
        <v>852</v>
      </c>
      <c r="D652" s="110" t="s">
        <v>852</v>
      </c>
      <c r="E652" s="110" t="s">
        <v>163</v>
      </c>
      <c r="F652" s="110" t="s">
        <v>119</v>
      </c>
      <c r="G652" s="110" t="s">
        <v>114</v>
      </c>
      <c r="H652" s="111">
        <v>911</v>
      </c>
      <c r="I652" s="111">
        <v>964</v>
      </c>
      <c r="J652" s="111">
        <v>961</v>
      </c>
      <c r="K652" s="111">
        <f t="shared" si="91"/>
        <v>945.33333333333337</v>
      </c>
      <c r="L652" s="111">
        <f>300000*0.7</f>
        <v>210000</v>
      </c>
      <c r="M652" s="111">
        <f t="shared" si="92"/>
        <v>94500</v>
      </c>
      <c r="N652" s="111">
        <f t="shared" si="93"/>
        <v>94500</v>
      </c>
      <c r="O652" s="111">
        <f t="shared" si="94"/>
        <v>18900</v>
      </c>
      <c r="P652" s="111">
        <f t="shared" si="95"/>
        <v>21000</v>
      </c>
      <c r="Q652" s="111">
        <v>60000</v>
      </c>
      <c r="R652" s="111">
        <v>6</v>
      </c>
      <c r="S652" s="111">
        <f t="shared" si="96"/>
        <v>6000</v>
      </c>
      <c r="T652" s="111">
        <f t="shared" si="97"/>
        <v>270000</v>
      </c>
      <c r="U652" s="111">
        <f t="shared" si="98"/>
        <v>2700</v>
      </c>
      <c r="V652" s="111">
        <f t="shared" si="99"/>
        <v>272700</v>
      </c>
      <c r="W652" t="s">
        <v>3111</v>
      </c>
    </row>
    <row r="653" spans="1:23" x14ac:dyDescent="0.3">
      <c r="A653" s="110">
        <v>909104</v>
      </c>
      <c r="B653" s="110" t="s">
        <v>852</v>
      </c>
      <c r="C653" s="110" t="s">
        <v>852</v>
      </c>
      <c r="D653" s="110" t="s">
        <v>852</v>
      </c>
      <c r="E653" s="110" t="s">
        <v>247</v>
      </c>
      <c r="F653" s="110" t="s">
        <v>113</v>
      </c>
      <c r="G653" s="110" t="s">
        <v>114</v>
      </c>
      <c r="H653" s="111">
        <v>135</v>
      </c>
      <c r="I653" s="111">
        <v>136</v>
      </c>
      <c r="J653" s="111">
        <v>133</v>
      </c>
      <c r="K653" s="111">
        <f t="shared" si="91"/>
        <v>134.66666666666666</v>
      </c>
      <c r="L653" s="111">
        <f>150000*0.7</f>
        <v>105000</v>
      </c>
      <c r="M653" s="111">
        <f t="shared" si="92"/>
        <v>47250</v>
      </c>
      <c r="N653" s="111">
        <f t="shared" si="93"/>
        <v>47250</v>
      </c>
      <c r="O653" s="111">
        <f t="shared" si="94"/>
        <v>9450</v>
      </c>
      <c r="P653" s="111">
        <f t="shared" si="95"/>
        <v>10500</v>
      </c>
      <c r="Q653" s="111">
        <v>30000</v>
      </c>
      <c r="R653" s="111">
        <v>3</v>
      </c>
      <c r="S653" s="111">
        <f t="shared" si="96"/>
        <v>3000</v>
      </c>
      <c r="T653" s="111">
        <f t="shared" si="97"/>
        <v>135000</v>
      </c>
      <c r="U653" s="111">
        <f t="shared" si="98"/>
        <v>1350</v>
      </c>
      <c r="V653" s="111">
        <f t="shared" si="99"/>
        <v>136350</v>
      </c>
      <c r="W653" t="s">
        <v>3112</v>
      </c>
    </row>
    <row r="654" spans="1:23" x14ac:dyDescent="0.3">
      <c r="A654" s="110">
        <v>909105</v>
      </c>
      <c r="B654" s="110" t="s">
        <v>852</v>
      </c>
      <c r="C654" s="110" t="s">
        <v>852</v>
      </c>
      <c r="D654" s="110" t="s">
        <v>852</v>
      </c>
      <c r="E654" s="110" t="s">
        <v>854</v>
      </c>
      <c r="F654" s="110" t="s">
        <v>119</v>
      </c>
      <c r="G654" s="110" t="s">
        <v>114</v>
      </c>
      <c r="H654" s="111">
        <v>1243</v>
      </c>
      <c r="I654" s="111">
        <v>1259</v>
      </c>
      <c r="J654" s="111">
        <v>1272</v>
      </c>
      <c r="K654" s="111">
        <f t="shared" si="91"/>
        <v>1258</v>
      </c>
      <c r="L654" s="111">
        <f>600000</f>
        <v>600000</v>
      </c>
      <c r="M654" s="111">
        <f t="shared" si="92"/>
        <v>270000</v>
      </c>
      <c r="N654" s="111">
        <f t="shared" si="93"/>
        <v>270000</v>
      </c>
      <c r="O654" s="111">
        <f t="shared" si="94"/>
        <v>54000</v>
      </c>
      <c r="P654" s="111">
        <f t="shared" si="95"/>
        <v>60000</v>
      </c>
      <c r="Q654" s="111">
        <v>80000</v>
      </c>
      <c r="R654" s="111">
        <v>8</v>
      </c>
      <c r="S654" s="111">
        <f t="shared" si="96"/>
        <v>8000</v>
      </c>
      <c r="T654" s="111">
        <f t="shared" si="97"/>
        <v>680000</v>
      </c>
      <c r="U654" s="111">
        <f t="shared" si="98"/>
        <v>6800</v>
      </c>
      <c r="V654" s="111">
        <f t="shared" si="99"/>
        <v>686800</v>
      </c>
      <c r="W654" t="s">
        <v>3113</v>
      </c>
    </row>
    <row r="655" spans="1:23" x14ac:dyDescent="0.3">
      <c r="A655" s="110">
        <v>909106</v>
      </c>
      <c r="B655" s="110" t="s">
        <v>852</v>
      </c>
      <c r="C655" s="110" t="s">
        <v>852</v>
      </c>
      <c r="D655" s="110" t="s">
        <v>852</v>
      </c>
      <c r="E655" s="110" t="s">
        <v>855</v>
      </c>
      <c r="F655" s="110" t="s">
        <v>119</v>
      </c>
      <c r="G655" s="110" t="s">
        <v>114</v>
      </c>
      <c r="H655" s="111">
        <v>1613</v>
      </c>
      <c r="I655" s="111">
        <v>1618</v>
      </c>
      <c r="J655" s="111">
        <v>1618</v>
      </c>
      <c r="K655" s="111">
        <f t="shared" si="91"/>
        <v>1616.3333333333333</v>
      </c>
      <c r="L655" s="111">
        <f>600000*0.7</f>
        <v>420000</v>
      </c>
      <c r="M655" s="111">
        <f t="shared" si="92"/>
        <v>189000</v>
      </c>
      <c r="N655" s="111">
        <f t="shared" si="93"/>
        <v>189000</v>
      </c>
      <c r="O655" s="111">
        <f t="shared" si="94"/>
        <v>37800</v>
      </c>
      <c r="P655" s="111">
        <f t="shared" si="95"/>
        <v>42000</v>
      </c>
      <c r="Q655" s="111">
        <v>80000</v>
      </c>
      <c r="R655" s="111">
        <v>8</v>
      </c>
      <c r="S655" s="111">
        <f t="shared" si="96"/>
        <v>8000</v>
      </c>
      <c r="T655" s="111">
        <f t="shared" si="97"/>
        <v>500000</v>
      </c>
      <c r="U655" s="111">
        <f t="shared" si="98"/>
        <v>5000</v>
      </c>
      <c r="V655" s="111">
        <f t="shared" si="99"/>
        <v>505000</v>
      </c>
      <c r="W655" t="s">
        <v>3114</v>
      </c>
    </row>
    <row r="656" spans="1:23" x14ac:dyDescent="0.3">
      <c r="A656" s="110">
        <v>909107</v>
      </c>
      <c r="B656" s="110" t="s">
        <v>852</v>
      </c>
      <c r="C656" s="110" t="s">
        <v>852</v>
      </c>
      <c r="D656" s="110" t="s">
        <v>852</v>
      </c>
      <c r="E656" s="110" t="s">
        <v>856</v>
      </c>
      <c r="F656" s="110" t="s">
        <v>122</v>
      </c>
      <c r="G656" s="110" t="s">
        <v>114</v>
      </c>
      <c r="H656" s="111">
        <v>844</v>
      </c>
      <c r="I656" s="111">
        <v>823</v>
      </c>
      <c r="J656" s="111">
        <v>799</v>
      </c>
      <c r="K656" s="111">
        <f t="shared" si="91"/>
        <v>822</v>
      </c>
      <c r="L656" s="111">
        <f>300000</f>
        <v>300000</v>
      </c>
      <c r="M656" s="111">
        <f t="shared" si="92"/>
        <v>135000</v>
      </c>
      <c r="N656" s="111">
        <f t="shared" si="93"/>
        <v>135000</v>
      </c>
      <c r="O656" s="111">
        <f t="shared" si="94"/>
        <v>27000</v>
      </c>
      <c r="P656" s="111">
        <f t="shared" si="95"/>
        <v>30000</v>
      </c>
      <c r="Q656" s="111">
        <v>60000</v>
      </c>
      <c r="R656" s="111">
        <v>6</v>
      </c>
      <c r="S656" s="111">
        <f t="shared" si="96"/>
        <v>6000</v>
      </c>
      <c r="T656" s="111">
        <f t="shared" si="97"/>
        <v>360000</v>
      </c>
      <c r="U656" s="111">
        <f t="shared" si="98"/>
        <v>3600</v>
      </c>
      <c r="V656" s="111">
        <f t="shared" si="99"/>
        <v>363600</v>
      </c>
      <c r="W656" t="s">
        <v>3115</v>
      </c>
    </row>
    <row r="657" spans="1:23" x14ac:dyDescent="0.3">
      <c r="A657" s="110">
        <v>909108</v>
      </c>
      <c r="B657" s="110" t="s">
        <v>852</v>
      </c>
      <c r="C657" s="110" t="s">
        <v>852</v>
      </c>
      <c r="D657" s="110" t="s">
        <v>852</v>
      </c>
      <c r="E657" s="110" t="s">
        <v>857</v>
      </c>
      <c r="F657" s="110" t="s">
        <v>117</v>
      </c>
      <c r="G657" s="110" t="s">
        <v>125</v>
      </c>
      <c r="H657" s="111">
        <v>458</v>
      </c>
      <c r="I657" s="111">
        <v>411</v>
      </c>
      <c r="J657" s="111">
        <v>418</v>
      </c>
      <c r="K657" s="111">
        <f t="shared" si="91"/>
        <v>429</v>
      </c>
      <c r="L657" s="111">
        <f>300000</f>
        <v>300000</v>
      </c>
      <c r="M657" s="111">
        <f t="shared" si="92"/>
        <v>135000</v>
      </c>
      <c r="N657" s="111">
        <f t="shared" si="93"/>
        <v>135000</v>
      </c>
      <c r="O657" s="111">
        <f t="shared" si="94"/>
        <v>27000</v>
      </c>
      <c r="P657" s="111">
        <f t="shared" si="95"/>
        <v>30000</v>
      </c>
      <c r="Q657" s="111">
        <v>60000</v>
      </c>
      <c r="R657" s="111">
        <v>6</v>
      </c>
      <c r="S657" s="111">
        <f t="shared" si="96"/>
        <v>6000</v>
      </c>
      <c r="T657" s="111">
        <f t="shared" si="97"/>
        <v>360000</v>
      </c>
      <c r="U657" s="111">
        <f t="shared" si="98"/>
        <v>3600</v>
      </c>
      <c r="V657" s="111">
        <f t="shared" si="99"/>
        <v>363600</v>
      </c>
      <c r="W657" t="s">
        <v>3116</v>
      </c>
    </row>
    <row r="658" spans="1:23" x14ac:dyDescent="0.3">
      <c r="A658" s="110">
        <v>909109</v>
      </c>
      <c r="B658" s="110" t="s">
        <v>852</v>
      </c>
      <c r="C658" s="110" t="s">
        <v>852</v>
      </c>
      <c r="D658" s="110" t="s">
        <v>852</v>
      </c>
      <c r="E658" s="110" t="s">
        <v>337</v>
      </c>
      <c r="F658" s="110" t="s">
        <v>117</v>
      </c>
      <c r="G658" s="110" t="s">
        <v>125</v>
      </c>
      <c r="H658" s="111">
        <v>242</v>
      </c>
      <c r="I658" s="111">
        <v>244</v>
      </c>
      <c r="J658" s="111">
        <v>228</v>
      </c>
      <c r="K658" s="111">
        <f t="shared" si="91"/>
        <v>238</v>
      </c>
      <c r="L658" s="111">
        <v>200000</v>
      </c>
      <c r="M658" s="111">
        <f t="shared" si="92"/>
        <v>90000</v>
      </c>
      <c r="N658" s="111">
        <f t="shared" si="93"/>
        <v>90000</v>
      </c>
      <c r="O658" s="111">
        <f t="shared" si="94"/>
        <v>18000</v>
      </c>
      <c r="P658" s="111">
        <f t="shared" si="95"/>
        <v>20000</v>
      </c>
      <c r="Q658" s="111">
        <v>50000</v>
      </c>
      <c r="R658" s="111">
        <v>5</v>
      </c>
      <c r="S658" s="111">
        <f t="shared" si="96"/>
        <v>5000</v>
      </c>
      <c r="T658" s="111">
        <f t="shared" si="97"/>
        <v>250000</v>
      </c>
      <c r="U658" s="111">
        <f t="shared" si="98"/>
        <v>2500</v>
      </c>
      <c r="V658" s="111">
        <f t="shared" si="99"/>
        <v>252500</v>
      </c>
      <c r="W658" t="s">
        <v>3117</v>
      </c>
    </row>
    <row r="659" spans="1:23" x14ac:dyDescent="0.3">
      <c r="A659" s="110">
        <v>909110</v>
      </c>
      <c r="B659" s="110" t="s">
        <v>852</v>
      </c>
      <c r="C659" s="110" t="s">
        <v>852</v>
      </c>
      <c r="D659" s="110" t="s">
        <v>852</v>
      </c>
      <c r="E659" s="110" t="s">
        <v>755</v>
      </c>
      <c r="F659" s="110" t="s">
        <v>117</v>
      </c>
      <c r="G659" s="110" t="s">
        <v>125</v>
      </c>
      <c r="H659" s="111">
        <v>93</v>
      </c>
      <c r="I659" s="111">
        <v>102</v>
      </c>
      <c r="J659" s="111">
        <v>92</v>
      </c>
      <c r="K659" s="111">
        <f t="shared" si="91"/>
        <v>95.666666666666671</v>
      </c>
      <c r="L659" s="111">
        <v>150000</v>
      </c>
      <c r="M659" s="111">
        <f t="shared" si="92"/>
        <v>67500</v>
      </c>
      <c r="N659" s="111">
        <f t="shared" si="93"/>
        <v>67500</v>
      </c>
      <c r="O659" s="111">
        <f t="shared" si="94"/>
        <v>13500</v>
      </c>
      <c r="P659" s="111">
        <f t="shared" si="95"/>
        <v>15000</v>
      </c>
      <c r="Q659" s="111">
        <v>30000</v>
      </c>
      <c r="R659" s="111">
        <v>3</v>
      </c>
      <c r="S659" s="111">
        <f t="shared" si="96"/>
        <v>3000</v>
      </c>
      <c r="T659" s="111">
        <f t="shared" si="97"/>
        <v>180000</v>
      </c>
      <c r="U659" s="111">
        <f t="shared" si="98"/>
        <v>1800</v>
      </c>
      <c r="V659" s="111">
        <f t="shared" si="99"/>
        <v>181800</v>
      </c>
      <c r="W659" t="s">
        <v>3118</v>
      </c>
    </row>
    <row r="660" spans="1:23" x14ac:dyDescent="0.3">
      <c r="A660" s="110">
        <v>909111</v>
      </c>
      <c r="B660" s="110" t="s">
        <v>852</v>
      </c>
      <c r="C660" s="110" t="s">
        <v>852</v>
      </c>
      <c r="D660" s="110" t="s">
        <v>852</v>
      </c>
      <c r="E660" s="110" t="s">
        <v>858</v>
      </c>
      <c r="F660" s="110" t="s">
        <v>117</v>
      </c>
      <c r="G660" s="110" t="s">
        <v>125</v>
      </c>
      <c r="H660" s="111">
        <v>146</v>
      </c>
      <c r="I660" s="111">
        <v>133</v>
      </c>
      <c r="J660" s="111">
        <v>158</v>
      </c>
      <c r="K660" s="111">
        <f t="shared" si="91"/>
        <v>145.66666666666666</v>
      </c>
      <c r="L660" s="111">
        <v>150000</v>
      </c>
      <c r="M660" s="111">
        <f t="shared" si="92"/>
        <v>67500</v>
      </c>
      <c r="N660" s="111">
        <f t="shared" si="93"/>
        <v>67500</v>
      </c>
      <c r="O660" s="111">
        <f t="shared" si="94"/>
        <v>13500</v>
      </c>
      <c r="P660" s="111">
        <f t="shared" si="95"/>
        <v>15000</v>
      </c>
      <c r="Q660" s="111">
        <v>30000</v>
      </c>
      <c r="R660" s="111">
        <v>3</v>
      </c>
      <c r="S660" s="111">
        <f t="shared" si="96"/>
        <v>3000</v>
      </c>
      <c r="T660" s="111">
        <f t="shared" si="97"/>
        <v>180000</v>
      </c>
      <c r="U660" s="111">
        <f t="shared" si="98"/>
        <v>1800</v>
      </c>
      <c r="V660" s="111">
        <f t="shared" si="99"/>
        <v>181800</v>
      </c>
      <c r="W660" t="s">
        <v>3119</v>
      </c>
    </row>
    <row r="661" spans="1:23" x14ac:dyDescent="0.3">
      <c r="A661" s="110">
        <v>909112</v>
      </c>
      <c r="B661" s="110" t="s">
        <v>852</v>
      </c>
      <c r="C661" s="110" t="s">
        <v>852</v>
      </c>
      <c r="D661" s="110" t="s">
        <v>852</v>
      </c>
      <c r="E661" s="110" t="s">
        <v>859</v>
      </c>
      <c r="F661" s="110" t="s">
        <v>117</v>
      </c>
      <c r="G661" s="110" t="s">
        <v>125</v>
      </c>
      <c r="H661" s="111">
        <v>247</v>
      </c>
      <c r="I661" s="111">
        <v>303</v>
      </c>
      <c r="J661" s="111">
        <v>339</v>
      </c>
      <c r="K661" s="111">
        <f t="shared" si="91"/>
        <v>296.33333333333331</v>
      </c>
      <c r="L661" s="111">
        <f>200000*0.7</f>
        <v>140000</v>
      </c>
      <c r="M661" s="111">
        <f t="shared" si="92"/>
        <v>63000</v>
      </c>
      <c r="N661" s="111">
        <f t="shared" si="93"/>
        <v>63000</v>
      </c>
      <c r="O661" s="111">
        <f t="shared" si="94"/>
        <v>12600</v>
      </c>
      <c r="P661" s="111">
        <f t="shared" si="95"/>
        <v>14000</v>
      </c>
      <c r="Q661" s="111">
        <v>50000</v>
      </c>
      <c r="R661" s="111">
        <v>5</v>
      </c>
      <c r="S661" s="111">
        <f t="shared" si="96"/>
        <v>5000</v>
      </c>
      <c r="T661" s="111">
        <f t="shared" si="97"/>
        <v>190000</v>
      </c>
      <c r="U661" s="111">
        <f t="shared" si="98"/>
        <v>1900</v>
      </c>
      <c r="V661" s="111">
        <f t="shared" si="99"/>
        <v>191900</v>
      </c>
      <c r="W661" t="s">
        <v>3120</v>
      </c>
    </row>
    <row r="662" spans="1:23" x14ac:dyDescent="0.3">
      <c r="A662" s="110">
        <v>909113</v>
      </c>
      <c r="B662" s="110" t="s">
        <v>852</v>
      </c>
      <c r="C662" s="110" t="s">
        <v>852</v>
      </c>
      <c r="D662" s="110" t="s">
        <v>852</v>
      </c>
      <c r="E662" s="110" t="s">
        <v>860</v>
      </c>
      <c r="F662" s="110" t="s">
        <v>117</v>
      </c>
      <c r="G662" s="110" t="s">
        <v>114</v>
      </c>
      <c r="H662" s="111">
        <v>98</v>
      </c>
      <c r="I662" s="111">
        <v>87</v>
      </c>
      <c r="J662" s="111">
        <v>95</v>
      </c>
      <c r="K662" s="111">
        <f t="shared" si="91"/>
        <v>93.333333333333329</v>
      </c>
      <c r="L662" s="111">
        <v>150000</v>
      </c>
      <c r="M662" s="111">
        <f t="shared" si="92"/>
        <v>67500</v>
      </c>
      <c r="N662" s="111">
        <f t="shared" si="93"/>
        <v>67500</v>
      </c>
      <c r="O662" s="111">
        <f t="shared" si="94"/>
        <v>13500</v>
      </c>
      <c r="P662" s="111">
        <f t="shared" si="95"/>
        <v>15000</v>
      </c>
      <c r="Q662" s="111">
        <v>30000</v>
      </c>
      <c r="R662" s="111">
        <v>3</v>
      </c>
      <c r="S662" s="111">
        <f t="shared" si="96"/>
        <v>3000</v>
      </c>
      <c r="T662" s="111">
        <f t="shared" si="97"/>
        <v>180000</v>
      </c>
      <c r="U662" s="111">
        <f t="shared" si="98"/>
        <v>1800</v>
      </c>
      <c r="V662" s="111">
        <f t="shared" si="99"/>
        <v>181800</v>
      </c>
      <c r="W662" t="s">
        <v>3121</v>
      </c>
    </row>
    <row r="663" spans="1:23" x14ac:dyDescent="0.3">
      <c r="A663" s="110">
        <v>909114</v>
      </c>
      <c r="B663" s="110" t="s">
        <v>852</v>
      </c>
      <c r="C663" s="110" t="s">
        <v>852</v>
      </c>
      <c r="D663" s="110" t="s">
        <v>852</v>
      </c>
      <c r="E663" s="110" t="s">
        <v>861</v>
      </c>
      <c r="F663" s="110" t="s">
        <v>117</v>
      </c>
      <c r="G663" s="110" t="s">
        <v>125</v>
      </c>
      <c r="H663" s="111">
        <v>135</v>
      </c>
      <c r="I663" s="111">
        <v>106</v>
      </c>
      <c r="J663" s="111">
        <v>119</v>
      </c>
      <c r="K663" s="111">
        <f t="shared" si="91"/>
        <v>120</v>
      </c>
      <c r="L663" s="111">
        <v>150000</v>
      </c>
      <c r="M663" s="111">
        <f t="shared" si="92"/>
        <v>67500</v>
      </c>
      <c r="N663" s="111">
        <f t="shared" si="93"/>
        <v>67500</v>
      </c>
      <c r="O663" s="111">
        <f t="shared" si="94"/>
        <v>13500</v>
      </c>
      <c r="P663" s="111">
        <f t="shared" si="95"/>
        <v>15000</v>
      </c>
      <c r="Q663" s="111">
        <v>30000</v>
      </c>
      <c r="R663" s="111">
        <v>3</v>
      </c>
      <c r="S663" s="111">
        <f t="shared" si="96"/>
        <v>3000</v>
      </c>
      <c r="T663" s="111">
        <f t="shared" si="97"/>
        <v>180000</v>
      </c>
      <c r="U663" s="111">
        <f t="shared" si="98"/>
        <v>1800</v>
      </c>
      <c r="V663" s="111">
        <f t="shared" si="99"/>
        <v>181800</v>
      </c>
      <c r="W663" t="s">
        <v>3122</v>
      </c>
    </row>
    <row r="664" spans="1:23" x14ac:dyDescent="0.3">
      <c r="A664" s="110">
        <v>909115</v>
      </c>
      <c r="B664" s="110" t="s">
        <v>852</v>
      </c>
      <c r="C664" s="110" t="s">
        <v>852</v>
      </c>
      <c r="D664" s="110" t="s">
        <v>852</v>
      </c>
      <c r="E664" s="110" t="s">
        <v>319</v>
      </c>
      <c r="F664" s="110" t="s">
        <v>113</v>
      </c>
      <c r="G664" s="110" t="s">
        <v>114</v>
      </c>
      <c r="H664" s="111">
        <v>126</v>
      </c>
      <c r="I664" s="111">
        <v>115</v>
      </c>
      <c r="J664" s="111">
        <v>118</v>
      </c>
      <c r="K664" s="111">
        <f t="shared" si="91"/>
        <v>119.66666666666667</v>
      </c>
      <c r="L664" s="111">
        <v>150000</v>
      </c>
      <c r="M664" s="111">
        <f t="shared" si="92"/>
        <v>67500</v>
      </c>
      <c r="N664" s="111">
        <f t="shared" si="93"/>
        <v>67500</v>
      </c>
      <c r="O664" s="111">
        <f t="shared" si="94"/>
        <v>13500</v>
      </c>
      <c r="P664" s="111">
        <f t="shared" si="95"/>
        <v>15000</v>
      </c>
      <c r="Q664" s="111">
        <v>30000</v>
      </c>
      <c r="R664" s="111">
        <v>3</v>
      </c>
      <c r="S664" s="111">
        <f t="shared" si="96"/>
        <v>3000</v>
      </c>
      <c r="T664" s="111">
        <f t="shared" si="97"/>
        <v>180000</v>
      </c>
      <c r="U664" s="111">
        <f t="shared" si="98"/>
        <v>1800</v>
      </c>
      <c r="V664" s="111">
        <f t="shared" si="99"/>
        <v>181800</v>
      </c>
      <c r="W664" t="s">
        <v>3123</v>
      </c>
    </row>
    <row r="665" spans="1:23" x14ac:dyDescent="0.3">
      <c r="A665" s="110">
        <v>909116</v>
      </c>
      <c r="B665" s="110" t="s">
        <v>852</v>
      </c>
      <c r="C665" s="110" t="s">
        <v>852</v>
      </c>
      <c r="D665" s="110" t="s">
        <v>852</v>
      </c>
      <c r="E665" s="110" t="s">
        <v>588</v>
      </c>
      <c r="F665" s="110" t="s">
        <v>113</v>
      </c>
      <c r="G665" s="110" t="s">
        <v>114</v>
      </c>
      <c r="H665" s="111">
        <v>427</v>
      </c>
      <c r="I665" s="111">
        <v>417</v>
      </c>
      <c r="J665" s="111">
        <v>421</v>
      </c>
      <c r="K665" s="111">
        <f t="shared" si="91"/>
        <v>421.66666666666669</v>
      </c>
      <c r="L665" s="111">
        <f>300000</f>
        <v>300000</v>
      </c>
      <c r="M665" s="111">
        <f t="shared" si="92"/>
        <v>135000</v>
      </c>
      <c r="N665" s="111">
        <f t="shared" si="93"/>
        <v>135000</v>
      </c>
      <c r="O665" s="111">
        <f t="shared" si="94"/>
        <v>27000</v>
      </c>
      <c r="P665" s="111">
        <f t="shared" si="95"/>
        <v>30000</v>
      </c>
      <c r="Q665" s="111">
        <v>60000</v>
      </c>
      <c r="R665" s="111">
        <v>6</v>
      </c>
      <c r="S665" s="111">
        <f t="shared" si="96"/>
        <v>6000</v>
      </c>
      <c r="T665" s="111">
        <f t="shared" si="97"/>
        <v>360000</v>
      </c>
      <c r="U665" s="111">
        <f t="shared" si="98"/>
        <v>3600</v>
      </c>
      <c r="V665" s="111">
        <f t="shared" si="99"/>
        <v>363600</v>
      </c>
      <c r="W665" t="s">
        <v>3124</v>
      </c>
    </row>
    <row r="666" spans="1:23" x14ac:dyDescent="0.3">
      <c r="A666" s="110">
        <v>909117</v>
      </c>
      <c r="B666" s="110" t="s">
        <v>852</v>
      </c>
      <c r="C666" s="110" t="s">
        <v>852</v>
      </c>
      <c r="D666" s="110" t="s">
        <v>852</v>
      </c>
      <c r="E666" s="110" t="s">
        <v>165</v>
      </c>
      <c r="F666" s="110" t="s">
        <v>113</v>
      </c>
      <c r="G666" s="110" t="s">
        <v>114</v>
      </c>
      <c r="H666" s="111">
        <v>323</v>
      </c>
      <c r="I666" s="111">
        <v>294</v>
      </c>
      <c r="J666" s="111">
        <v>260</v>
      </c>
      <c r="K666" s="111">
        <f t="shared" si="91"/>
        <v>292.33333333333331</v>
      </c>
      <c r="L666" s="111">
        <v>200000</v>
      </c>
      <c r="M666" s="111">
        <f t="shared" si="92"/>
        <v>90000</v>
      </c>
      <c r="N666" s="111">
        <f t="shared" si="93"/>
        <v>90000</v>
      </c>
      <c r="O666" s="111">
        <f t="shared" si="94"/>
        <v>18000</v>
      </c>
      <c r="P666" s="111">
        <f t="shared" si="95"/>
        <v>20000</v>
      </c>
      <c r="Q666" s="111">
        <v>50000</v>
      </c>
      <c r="R666" s="111">
        <v>5</v>
      </c>
      <c r="S666" s="111">
        <f t="shared" si="96"/>
        <v>5000</v>
      </c>
      <c r="T666" s="111">
        <f t="shared" si="97"/>
        <v>250000</v>
      </c>
      <c r="U666" s="111">
        <f t="shared" si="98"/>
        <v>2500</v>
      </c>
      <c r="V666" s="111">
        <f t="shared" si="99"/>
        <v>252500</v>
      </c>
      <c r="W666" t="s">
        <v>3125</v>
      </c>
    </row>
    <row r="667" spans="1:23" x14ac:dyDescent="0.3">
      <c r="A667" s="110">
        <v>909119</v>
      </c>
      <c r="B667" s="110" t="s">
        <v>852</v>
      </c>
      <c r="C667" s="110" t="s">
        <v>852</v>
      </c>
      <c r="D667" s="110" t="s">
        <v>862</v>
      </c>
      <c r="E667" s="110" t="s">
        <v>184</v>
      </c>
      <c r="F667" s="110" t="s">
        <v>113</v>
      </c>
      <c r="G667" s="110" t="s">
        <v>114</v>
      </c>
      <c r="H667" s="111">
        <v>24</v>
      </c>
      <c r="I667" s="111">
        <v>17</v>
      </c>
      <c r="J667" s="111">
        <v>16</v>
      </c>
      <c r="K667" s="111">
        <f t="shared" si="91"/>
        <v>19</v>
      </c>
      <c r="L667" s="111">
        <v>50000</v>
      </c>
      <c r="M667" s="111">
        <f t="shared" si="92"/>
        <v>22500</v>
      </c>
      <c r="N667" s="111">
        <f t="shared" si="93"/>
        <v>22500</v>
      </c>
      <c r="O667" s="111">
        <f t="shared" si="94"/>
        <v>4500</v>
      </c>
      <c r="P667" s="111">
        <f t="shared" si="95"/>
        <v>5000</v>
      </c>
      <c r="Q667" s="111">
        <v>10000</v>
      </c>
      <c r="R667" s="111">
        <v>1</v>
      </c>
      <c r="S667" s="111">
        <f t="shared" si="96"/>
        <v>1000</v>
      </c>
      <c r="T667" s="111">
        <f t="shared" si="97"/>
        <v>60000</v>
      </c>
      <c r="U667" s="111">
        <f t="shared" si="98"/>
        <v>600</v>
      </c>
      <c r="V667" s="111">
        <f t="shared" si="99"/>
        <v>60600</v>
      </c>
      <c r="W667" t="s">
        <v>3126</v>
      </c>
    </row>
    <row r="668" spans="1:23" x14ac:dyDescent="0.3">
      <c r="A668" s="110">
        <v>909120</v>
      </c>
      <c r="B668" s="110" t="s">
        <v>852</v>
      </c>
      <c r="C668" s="110" t="s">
        <v>852</v>
      </c>
      <c r="D668" s="110" t="s">
        <v>863</v>
      </c>
      <c r="E668" s="110" t="s">
        <v>588</v>
      </c>
      <c r="F668" s="110" t="s">
        <v>113</v>
      </c>
      <c r="G668" s="110" t="s">
        <v>114</v>
      </c>
      <c r="H668" s="111">
        <v>50</v>
      </c>
      <c r="I668" s="111">
        <v>51</v>
      </c>
      <c r="J668" s="111">
        <v>48</v>
      </c>
      <c r="K668" s="111">
        <f t="shared" si="91"/>
        <v>49.666666666666664</v>
      </c>
      <c r="L668" s="111">
        <v>50000</v>
      </c>
      <c r="M668" s="111">
        <f t="shared" si="92"/>
        <v>22500</v>
      </c>
      <c r="N668" s="111">
        <f t="shared" si="93"/>
        <v>22500</v>
      </c>
      <c r="O668" s="111">
        <f t="shared" si="94"/>
        <v>4500</v>
      </c>
      <c r="P668" s="111">
        <f t="shared" si="95"/>
        <v>5000</v>
      </c>
      <c r="Q668" s="111">
        <v>10000</v>
      </c>
      <c r="R668" s="111">
        <v>1</v>
      </c>
      <c r="S668" s="111">
        <f t="shared" si="96"/>
        <v>1000</v>
      </c>
      <c r="T668" s="111">
        <f t="shared" si="97"/>
        <v>60000</v>
      </c>
      <c r="U668" s="111">
        <f t="shared" si="98"/>
        <v>600</v>
      </c>
      <c r="V668" s="111">
        <f t="shared" si="99"/>
        <v>60600</v>
      </c>
      <c r="W668" t="s">
        <v>3127</v>
      </c>
    </row>
    <row r="669" spans="1:23" x14ac:dyDescent="0.3">
      <c r="A669" s="110">
        <v>909121</v>
      </c>
      <c r="B669" s="110" t="s">
        <v>852</v>
      </c>
      <c r="C669" s="110" t="s">
        <v>852</v>
      </c>
      <c r="D669" s="110" t="s">
        <v>864</v>
      </c>
      <c r="E669" s="110" t="s">
        <v>482</v>
      </c>
      <c r="F669" s="110" t="s">
        <v>113</v>
      </c>
      <c r="G669" s="110" t="s">
        <v>114</v>
      </c>
      <c r="H669" s="111">
        <v>35</v>
      </c>
      <c r="I669" s="111">
        <v>28</v>
      </c>
      <c r="J669" s="111">
        <v>29</v>
      </c>
      <c r="K669" s="111">
        <f t="shared" si="91"/>
        <v>30.666666666666668</v>
      </c>
      <c r="L669" s="111">
        <v>50000</v>
      </c>
      <c r="M669" s="111">
        <f t="shared" si="92"/>
        <v>22500</v>
      </c>
      <c r="N669" s="111">
        <f t="shared" si="93"/>
        <v>22500</v>
      </c>
      <c r="O669" s="111">
        <f t="shared" si="94"/>
        <v>4500</v>
      </c>
      <c r="P669" s="111">
        <f t="shared" si="95"/>
        <v>5000</v>
      </c>
      <c r="Q669" s="111">
        <v>10000</v>
      </c>
      <c r="R669" s="111">
        <v>1</v>
      </c>
      <c r="S669" s="111">
        <f t="shared" si="96"/>
        <v>1000</v>
      </c>
      <c r="T669" s="111">
        <f t="shared" si="97"/>
        <v>60000</v>
      </c>
      <c r="U669" s="111">
        <f t="shared" si="98"/>
        <v>600</v>
      </c>
      <c r="V669" s="111">
        <f t="shared" si="99"/>
        <v>60600</v>
      </c>
      <c r="W669" t="s">
        <v>3128</v>
      </c>
    </row>
    <row r="670" spans="1:23" x14ac:dyDescent="0.3">
      <c r="A670" s="110">
        <v>909124</v>
      </c>
      <c r="B670" s="110" t="s">
        <v>852</v>
      </c>
      <c r="C670" s="110" t="s">
        <v>852</v>
      </c>
      <c r="D670" s="110" t="s">
        <v>852</v>
      </c>
      <c r="E670" s="110" t="s">
        <v>693</v>
      </c>
      <c r="F670" s="110" t="s">
        <v>135</v>
      </c>
      <c r="G670" s="110" t="s">
        <v>125</v>
      </c>
      <c r="H670" s="111">
        <v>51</v>
      </c>
      <c r="I670" s="111">
        <v>45</v>
      </c>
      <c r="J670" s="111">
        <v>47</v>
      </c>
      <c r="K670" s="111">
        <f t="shared" si="91"/>
        <v>47.666666666666664</v>
      </c>
      <c r="L670" s="111">
        <v>50000</v>
      </c>
      <c r="M670" s="111">
        <f t="shared" si="92"/>
        <v>22500</v>
      </c>
      <c r="N670" s="111">
        <f t="shared" si="93"/>
        <v>22500</v>
      </c>
      <c r="O670" s="111">
        <f t="shared" si="94"/>
        <v>4500</v>
      </c>
      <c r="P670" s="111">
        <f t="shared" si="95"/>
        <v>5000</v>
      </c>
      <c r="Q670" s="111">
        <v>10000</v>
      </c>
      <c r="R670" s="111">
        <v>1</v>
      </c>
      <c r="S670" s="111">
        <f t="shared" si="96"/>
        <v>1000</v>
      </c>
      <c r="T670" s="111">
        <f t="shared" si="97"/>
        <v>60000</v>
      </c>
      <c r="U670" s="111">
        <f t="shared" si="98"/>
        <v>600</v>
      </c>
      <c r="V670" s="111">
        <f t="shared" si="99"/>
        <v>60600</v>
      </c>
      <c r="W670" t="s">
        <v>3129</v>
      </c>
    </row>
    <row r="671" spans="1:23" x14ac:dyDescent="0.3">
      <c r="A671" s="110">
        <v>909125</v>
      </c>
      <c r="B671" s="110" t="s">
        <v>852</v>
      </c>
      <c r="C671" s="110" t="s">
        <v>852</v>
      </c>
      <c r="D671" s="110" t="s">
        <v>865</v>
      </c>
      <c r="E671" s="110" t="s">
        <v>320</v>
      </c>
      <c r="F671" s="110" t="s">
        <v>113</v>
      </c>
      <c r="G671" s="110" t="s">
        <v>114</v>
      </c>
      <c r="H671" s="111">
        <v>27</v>
      </c>
      <c r="I671" s="111">
        <v>21</v>
      </c>
      <c r="J671" s="111">
        <v>23</v>
      </c>
      <c r="K671" s="111">
        <f t="shared" si="91"/>
        <v>23.666666666666668</v>
      </c>
      <c r="L671" s="111">
        <v>50000</v>
      </c>
      <c r="M671" s="111">
        <f t="shared" si="92"/>
        <v>22500</v>
      </c>
      <c r="N671" s="111">
        <f t="shared" si="93"/>
        <v>22500</v>
      </c>
      <c r="O671" s="111">
        <f t="shared" si="94"/>
        <v>4500</v>
      </c>
      <c r="P671" s="111">
        <f t="shared" si="95"/>
        <v>5000</v>
      </c>
      <c r="Q671" s="111">
        <v>10000</v>
      </c>
      <c r="R671" s="111">
        <v>1</v>
      </c>
      <c r="S671" s="111">
        <f t="shared" si="96"/>
        <v>1000</v>
      </c>
      <c r="T671" s="111">
        <f t="shared" si="97"/>
        <v>60000</v>
      </c>
      <c r="U671" s="111">
        <f t="shared" si="98"/>
        <v>600</v>
      </c>
      <c r="V671" s="111">
        <f t="shared" si="99"/>
        <v>60600</v>
      </c>
      <c r="W671" t="s">
        <v>3130</v>
      </c>
    </row>
    <row r="672" spans="1:23" x14ac:dyDescent="0.3">
      <c r="A672" s="110">
        <v>909126</v>
      </c>
      <c r="B672" s="110" t="s">
        <v>852</v>
      </c>
      <c r="C672" s="110" t="s">
        <v>852</v>
      </c>
      <c r="D672" s="110" t="s">
        <v>866</v>
      </c>
      <c r="E672" s="110" t="s">
        <v>867</v>
      </c>
      <c r="F672" s="110" t="s">
        <v>113</v>
      </c>
      <c r="G672" s="110" t="s">
        <v>114</v>
      </c>
      <c r="H672" s="111">
        <v>16</v>
      </c>
      <c r="I672" s="111">
        <v>10</v>
      </c>
      <c r="J672" s="111">
        <v>10</v>
      </c>
      <c r="K672" s="111">
        <f t="shared" si="91"/>
        <v>12</v>
      </c>
      <c r="L672" s="111">
        <v>50000</v>
      </c>
      <c r="M672" s="111">
        <f t="shared" si="92"/>
        <v>22500</v>
      </c>
      <c r="N672" s="111">
        <f t="shared" si="93"/>
        <v>22500</v>
      </c>
      <c r="O672" s="111">
        <f t="shared" si="94"/>
        <v>4500</v>
      </c>
      <c r="P672" s="111">
        <f t="shared" si="95"/>
        <v>5000</v>
      </c>
      <c r="Q672" s="111">
        <v>10000</v>
      </c>
      <c r="R672" s="111">
        <v>1</v>
      </c>
      <c r="S672" s="111">
        <f t="shared" si="96"/>
        <v>1000</v>
      </c>
      <c r="T672" s="111">
        <f t="shared" si="97"/>
        <v>60000</v>
      </c>
      <c r="U672" s="111">
        <f t="shared" si="98"/>
        <v>600</v>
      </c>
      <c r="V672" s="111">
        <f t="shared" si="99"/>
        <v>60600</v>
      </c>
      <c r="W672" t="s">
        <v>3131</v>
      </c>
    </row>
    <row r="673" spans="1:23" x14ac:dyDescent="0.3">
      <c r="A673" s="110">
        <v>909128</v>
      </c>
      <c r="B673" s="110" t="s">
        <v>852</v>
      </c>
      <c r="C673" s="110" t="s">
        <v>852</v>
      </c>
      <c r="D673" s="110" t="s">
        <v>868</v>
      </c>
      <c r="E673" s="110" t="s">
        <v>184</v>
      </c>
      <c r="F673" s="110" t="s">
        <v>113</v>
      </c>
      <c r="G673" s="110" t="s">
        <v>114</v>
      </c>
      <c r="H673" s="111">
        <v>36</v>
      </c>
      <c r="I673" s="111">
        <v>27</v>
      </c>
      <c r="J673" s="111">
        <v>31</v>
      </c>
      <c r="K673" s="111">
        <f t="shared" si="91"/>
        <v>31.333333333333332</v>
      </c>
      <c r="L673" s="111">
        <v>50000</v>
      </c>
      <c r="M673" s="111">
        <f t="shared" si="92"/>
        <v>22500</v>
      </c>
      <c r="N673" s="111">
        <f t="shared" si="93"/>
        <v>22500</v>
      </c>
      <c r="O673" s="111">
        <f t="shared" si="94"/>
        <v>4500</v>
      </c>
      <c r="P673" s="111">
        <f t="shared" si="95"/>
        <v>5000</v>
      </c>
      <c r="Q673" s="111">
        <v>10000</v>
      </c>
      <c r="R673" s="111">
        <v>1</v>
      </c>
      <c r="S673" s="111">
        <f t="shared" si="96"/>
        <v>1000</v>
      </c>
      <c r="T673" s="111">
        <f t="shared" si="97"/>
        <v>60000</v>
      </c>
      <c r="U673" s="111">
        <f t="shared" si="98"/>
        <v>600</v>
      </c>
      <c r="V673" s="111">
        <f t="shared" si="99"/>
        <v>60600</v>
      </c>
      <c r="W673" t="s">
        <v>3132</v>
      </c>
    </row>
    <row r="674" spans="1:23" x14ac:dyDescent="0.3">
      <c r="A674" s="110">
        <v>909129</v>
      </c>
      <c r="B674" s="110" t="s">
        <v>852</v>
      </c>
      <c r="C674" s="110" t="s">
        <v>852</v>
      </c>
      <c r="D674" s="110" t="s">
        <v>869</v>
      </c>
      <c r="E674" s="110" t="s">
        <v>353</v>
      </c>
      <c r="F674" s="110" t="s">
        <v>113</v>
      </c>
      <c r="G674" s="110" t="s">
        <v>114</v>
      </c>
      <c r="H674" s="111">
        <v>76</v>
      </c>
      <c r="I674" s="111">
        <v>70</v>
      </c>
      <c r="J674" s="111">
        <v>70</v>
      </c>
      <c r="K674" s="111">
        <f t="shared" si="91"/>
        <v>72</v>
      </c>
      <c r="L674" s="111">
        <f>150000*0.7</f>
        <v>105000</v>
      </c>
      <c r="M674" s="111">
        <f t="shared" si="92"/>
        <v>47250</v>
      </c>
      <c r="N674" s="111">
        <f t="shared" si="93"/>
        <v>47250</v>
      </c>
      <c r="O674" s="111">
        <f t="shared" si="94"/>
        <v>9450</v>
      </c>
      <c r="P674" s="111">
        <f t="shared" si="95"/>
        <v>10500</v>
      </c>
      <c r="Q674" s="111">
        <v>30000</v>
      </c>
      <c r="R674" s="111">
        <v>3</v>
      </c>
      <c r="S674" s="111">
        <f t="shared" si="96"/>
        <v>3000</v>
      </c>
      <c r="T674" s="111">
        <f t="shared" si="97"/>
        <v>135000</v>
      </c>
      <c r="U674" s="111">
        <f t="shared" si="98"/>
        <v>1350</v>
      </c>
      <c r="V674" s="111">
        <f t="shared" si="99"/>
        <v>136350</v>
      </c>
      <c r="W674" t="s">
        <v>3133</v>
      </c>
    </row>
    <row r="675" spans="1:23" x14ac:dyDescent="0.3">
      <c r="A675" s="110">
        <v>909135</v>
      </c>
      <c r="B675" s="110" t="s">
        <v>852</v>
      </c>
      <c r="C675" s="110" t="s">
        <v>852</v>
      </c>
      <c r="D675" s="110" t="s">
        <v>870</v>
      </c>
      <c r="E675" s="110" t="s">
        <v>871</v>
      </c>
      <c r="F675" s="110" t="s">
        <v>113</v>
      </c>
      <c r="G675" s="110" t="s">
        <v>114</v>
      </c>
      <c r="H675" s="111">
        <v>74</v>
      </c>
      <c r="I675" s="111">
        <v>61</v>
      </c>
      <c r="J675" s="111">
        <v>75</v>
      </c>
      <c r="K675" s="111">
        <f t="shared" si="91"/>
        <v>70</v>
      </c>
      <c r="L675" s="111">
        <v>150000</v>
      </c>
      <c r="M675" s="111">
        <f t="shared" si="92"/>
        <v>67500</v>
      </c>
      <c r="N675" s="111">
        <f t="shared" si="93"/>
        <v>67500</v>
      </c>
      <c r="O675" s="111">
        <f t="shared" si="94"/>
        <v>13500</v>
      </c>
      <c r="P675" s="111">
        <f t="shared" si="95"/>
        <v>15000</v>
      </c>
      <c r="Q675" s="111">
        <v>30000</v>
      </c>
      <c r="R675" s="111">
        <v>3</v>
      </c>
      <c r="S675" s="111">
        <f t="shared" si="96"/>
        <v>3000</v>
      </c>
      <c r="T675" s="111">
        <f t="shared" si="97"/>
        <v>180000</v>
      </c>
      <c r="U675" s="111">
        <f t="shared" si="98"/>
        <v>1800</v>
      </c>
      <c r="V675" s="111">
        <f t="shared" si="99"/>
        <v>181800</v>
      </c>
      <c r="W675" t="s">
        <v>3134</v>
      </c>
    </row>
    <row r="676" spans="1:23" x14ac:dyDescent="0.3">
      <c r="A676" s="110">
        <v>909136</v>
      </c>
      <c r="B676" s="110" t="s">
        <v>852</v>
      </c>
      <c r="C676" s="110" t="s">
        <v>852</v>
      </c>
      <c r="D676" s="110" t="s">
        <v>872</v>
      </c>
      <c r="E676" s="110" t="s">
        <v>406</v>
      </c>
      <c r="F676" s="110" t="s">
        <v>113</v>
      </c>
      <c r="G676" s="110" t="s">
        <v>114</v>
      </c>
      <c r="H676" s="111">
        <v>66</v>
      </c>
      <c r="I676" s="111">
        <v>60</v>
      </c>
      <c r="J676" s="111">
        <v>46</v>
      </c>
      <c r="K676" s="111">
        <f t="shared" si="91"/>
        <v>57.333333333333336</v>
      </c>
      <c r="L676" s="111">
        <v>150000</v>
      </c>
      <c r="M676" s="111">
        <f t="shared" si="92"/>
        <v>67500</v>
      </c>
      <c r="N676" s="111">
        <f t="shared" si="93"/>
        <v>67500</v>
      </c>
      <c r="O676" s="111">
        <f t="shared" si="94"/>
        <v>13500</v>
      </c>
      <c r="P676" s="111">
        <f t="shared" si="95"/>
        <v>15000</v>
      </c>
      <c r="Q676" s="111">
        <v>30000</v>
      </c>
      <c r="R676" s="111">
        <v>3</v>
      </c>
      <c r="S676" s="111">
        <f t="shared" si="96"/>
        <v>3000</v>
      </c>
      <c r="T676" s="111">
        <f t="shared" si="97"/>
        <v>180000</v>
      </c>
      <c r="U676" s="111">
        <f t="shared" si="98"/>
        <v>1800</v>
      </c>
      <c r="V676" s="111">
        <f t="shared" si="99"/>
        <v>181800</v>
      </c>
      <c r="W676" t="s">
        <v>3135</v>
      </c>
    </row>
    <row r="677" spans="1:23" x14ac:dyDescent="0.3">
      <c r="A677" s="110">
        <v>909138</v>
      </c>
      <c r="B677" s="110" t="s">
        <v>852</v>
      </c>
      <c r="C677" s="110" t="s">
        <v>852</v>
      </c>
      <c r="D677" s="110" t="s">
        <v>873</v>
      </c>
      <c r="E677" s="110" t="s">
        <v>721</v>
      </c>
      <c r="F677" s="110" t="s">
        <v>168</v>
      </c>
      <c r="G677" s="110" t="s">
        <v>114</v>
      </c>
      <c r="H677" s="111">
        <v>109</v>
      </c>
      <c r="I677" s="111">
        <v>77</v>
      </c>
      <c r="J677" s="111">
        <v>69</v>
      </c>
      <c r="K677" s="111">
        <f t="shared" si="91"/>
        <v>85</v>
      </c>
      <c r="L677" s="111">
        <v>150000</v>
      </c>
      <c r="M677" s="111">
        <f t="shared" si="92"/>
        <v>67500</v>
      </c>
      <c r="N677" s="111">
        <f t="shared" si="93"/>
        <v>67500</v>
      </c>
      <c r="O677" s="111">
        <f t="shared" si="94"/>
        <v>13500</v>
      </c>
      <c r="P677" s="111">
        <f t="shared" si="95"/>
        <v>15000</v>
      </c>
      <c r="Q677" s="111">
        <v>30000</v>
      </c>
      <c r="R677" s="111">
        <v>3</v>
      </c>
      <c r="S677" s="111">
        <f t="shared" si="96"/>
        <v>3000</v>
      </c>
      <c r="T677" s="111">
        <f t="shared" si="97"/>
        <v>180000</v>
      </c>
      <c r="U677" s="111">
        <f t="shared" si="98"/>
        <v>1800</v>
      </c>
      <c r="V677" s="111">
        <f t="shared" si="99"/>
        <v>181800</v>
      </c>
      <c r="W677" t="s">
        <v>3136</v>
      </c>
    </row>
    <row r="678" spans="1:23" x14ac:dyDescent="0.3">
      <c r="A678" s="110">
        <v>909139</v>
      </c>
      <c r="B678" s="110" t="s">
        <v>852</v>
      </c>
      <c r="C678" s="110" t="s">
        <v>852</v>
      </c>
      <c r="D678" s="110" t="s">
        <v>874</v>
      </c>
      <c r="E678" s="110" t="s">
        <v>875</v>
      </c>
      <c r="F678" s="110" t="s">
        <v>113</v>
      </c>
      <c r="G678" s="110" t="s">
        <v>114</v>
      </c>
      <c r="H678" s="111">
        <v>42</v>
      </c>
      <c r="I678" s="111">
        <v>40</v>
      </c>
      <c r="J678" s="111">
        <v>33</v>
      </c>
      <c r="K678" s="111">
        <f t="shared" si="91"/>
        <v>38.333333333333336</v>
      </c>
      <c r="L678" s="111">
        <v>50000</v>
      </c>
      <c r="M678" s="111">
        <f t="shared" si="92"/>
        <v>22500</v>
      </c>
      <c r="N678" s="111">
        <f t="shared" si="93"/>
        <v>22500</v>
      </c>
      <c r="O678" s="111">
        <f t="shared" si="94"/>
        <v>4500</v>
      </c>
      <c r="P678" s="111">
        <f t="shared" si="95"/>
        <v>5000</v>
      </c>
      <c r="Q678" s="111">
        <v>10000</v>
      </c>
      <c r="R678" s="111">
        <v>1</v>
      </c>
      <c r="S678" s="111">
        <f t="shared" si="96"/>
        <v>1000</v>
      </c>
      <c r="T678" s="111">
        <f t="shared" si="97"/>
        <v>60000</v>
      </c>
      <c r="U678" s="111">
        <f t="shared" si="98"/>
        <v>600</v>
      </c>
      <c r="V678" s="111">
        <f t="shared" si="99"/>
        <v>60600</v>
      </c>
      <c r="W678" t="s">
        <v>3137</v>
      </c>
    </row>
    <row r="679" spans="1:23" x14ac:dyDescent="0.3">
      <c r="A679" s="110">
        <v>909140</v>
      </c>
      <c r="B679" s="110" t="s">
        <v>852</v>
      </c>
      <c r="C679" s="110" t="s">
        <v>852</v>
      </c>
      <c r="D679" s="110" t="s">
        <v>876</v>
      </c>
      <c r="E679" s="110" t="s">
        <v>320</v>
      </c>
      <c r="F679" s="110" t="s">
        <v>113</v>
      </c>
      <c r="G679" s="110" t="s">
        <v>114</v>
      </c>
      <c r="H679" s="111">
        <v>26</v>
      </c>
      <c r="I679" s="111">
        <v>26</v>
      </c>
      <c r="J679" s="111">
        <v>20</v>
      </c>
      <c r="K679" s="111">
        <f t="shared" si="91"/>
        <v>24</v>
      </c>
      <c r="L679" s="111">
        <v>50000</v>
      </c>
      <c r="M679" s="111">
        <f t="shared" si="92"/>
        <v>22500</v>
      </c>
      <c r="N679" s="111">
        <f t="shared" si="93"/>
        <v>22500</v>
      </c>
      <c r="O679" s="111">
        <f t="shared" si="94"/>
        <v>4500</v>
      </c>
      <c r="P679" s="111">
        <f t="shared" si="95"/>
        <v>5000</v>
      </c>
      <c r="Q679" s="111">
        <v>10000</v>
      </c>
      <c r="R679" s="111">
        <v>1</v>
      </c>
      <c r="S679" s="111">
        <f t="shared" si="96"/>
        <v>1000</v>
      </c>
      <c r="T679" s="111">
        <f t="shared" si="97"/>
        <v>60000</v>
      </c>
      <c r="U679" s="111">
        <f t="shared" si="98"/>
        <v>600</v>
      </c>
      <c r="V679" s="111">
        <f t="shared" si="99"/>
        <v>60600</v>
      </c>
      <c r="W679" t="s">
        <v>3138</v>
      </c>
    </row>
    <row r="680" spans="1:23" x14ac:dyDescent="0.3">
      <c r="A680" s="110">
        <v>909201</v>
      </c>
      <c r="B680" s="110" t="s">
        <v>852</v>
      </c>
      <c r="C680" s="110" t="s">
        <v>877</v>
      </c>
      <c r="D680" s="110" t="s">
        <v>877</v>
      </c>
      <c r="E680" s="110" t="s">
        <v>214</v>
      </c>
      <c r="F680" s="110" t="s">
        <v>119</v>
      </c>
      <c r="G680" s="110" t="s">
        <v>114</v>
      </c>
      <c r="H680" s="111">
        <v>449</v>
      </c>
      <c r="I680" s="111">
        <v>443</v>
      </c>
      <c r="J680" s="111">
        <v>433</v>
      </c>
      <c r="K680" s="111">
        <f t="shared" si="91"/>
        <v>441.66666666666669</v>
      </c>
      <c r="L680" s="111">
        <f>300000</f>
        <v>300000</v>
      </c>
      <c r="M680" s="111">
        <f t="shared" si="92"/>
        <v>135000</v>
      </c>
      <c r="N680" s="111">
        <f t="shared" si="93"/>
        <v>135000</v>
      </c>
      <c r="O680" s="111">
        <f t="shared" si="94"/>
        <v>27000</v>
      </c>
      <c r="P680" s="111">
        <f t="shared" si="95"/>
        <v>30000</v>
      </c>
      <c r="Q680" s="111">
        <v>60000</v>
      </c>
      <c r="R680" s="111">
        <v>6</v>
      </c>
      <c r="S680" s="111">
        <f t="shared" si="96"/>
        <v>6000</v>
      </c>
      <c r="T680" s="111">
        <f t="shared" si="97"/>
        <v>360000</v>
      </c>
      <c r="U680" s="111">
        <f t="shared" si="98"/>
        <v>3600</v>
      </c>
      <c r="V680" s="111">
        <f t="shared" si="99"/>
        <v>363600</v>
      </c>
      <c r="W680" t="s">
        <v>3139</v>
      </c>
    </row>
    <row r="681" spans="1:23" x14ac:dyDescent="0.3">
      <c r="A681" s="110">
        <v>909202</v>
      </c>
      <c r="B681" s="110" t="s">
        <v>852</v>
      </c>
      <c r="C681" s="110" t="s">
        <v>877</v>
      </c>
      <c r="D681" s="110" t="s">
        <v>878</v>
      </c>
      <c r="E681" s="110" t="s">
        <v>353</v>
      </c>
      <c r="F681" s="110" t="s">
        <v>113</v>
      </c>
      <c r="G681" s="110" t="s">
        <v>114</v>
      </c>
      <c r="H681" s="111">
        <v>21</v>
      </c>
      <c r="I681" s="111">
        <v>22</v>
      </c>
      <c r="J681" s="111">
        <v>19</v>
      </c>
      <c r="K681" s="111">
        <f t="shared" si="91"/>
        <v>20.666666666666668</v>
      </c>
      <c r="L681" s="111">
        <v>50000</v>
      </c>
      <c r="M681" s="111">
        <f t="shared" si="92"/>
        <v>22500</v>
      </c>
      <c r="N681" s="111">
        <f t="shared" si="93"/>
        <v>22500</v>
      </c>
      <c r="O681" s="111">
        <f t="shared" si="94"/>
        <v>4500</v>
      </c>
      <c r="P681" s="111">
        <f t="shared" si="95"/>
        <v>5000</v>
      </c>
      <c r="Q681" s="111">
        <v>10000</v>
      </c>
      <c r="R681" s="111">
        <v>1</v>
      </c>
      <c r="S681" s="111">
        <f t="shared" si="96"/>
        <v>1000</v>
      </c>
      <c r="T681" s="111">
        <f t="shared" si="97"/>
        <v>60000</v>
      </c>
      <c r="U681" s="111">
        <f t="shared" si="98"/>
        <v>600</v>
      </c>
      <c r="V681" s="111">
        <f t="shared" si="99"/>
        <v>60600</v>
      </c>
      <c r="W681" t="s">
        <v>3140</v>
      </c>
    </row>
    <row r="682" spans="1:23" x14ac:dyDescent="0.3">
      <c r="A682" s="110">
        <v>909205</v>
      </c>
      <c r="B682" s="110" t="s">
        <v>852</v>
      </c>
      <c r="C682" s="110" t="s">
        <v>877</v>
      </c>
      <c r="D682" s="110" t="s">
        <v>879</v>
      </c>
      <c r="E682" s="110" t="s">
        <v>880</v>
      </c>
      <c r="F682" s="110" t="s">
        <v>113</v>
      </c>
      <c r="G682" s="110" t="s">
        <v>114</v>
      </c>
      <c r="H682" s="111">
        <v>9</v>
      </c>
      <c r="I682" s="111">
        <v>9</v>
      </c>
      <c r="J682" s="111">
        <v>10</v>
      </c>
      <c r="K682" s="111">
        <f t="shared" si="91"/>
        <v>9.3333333333333339</v>
      </c>
      <c r="L682" s="111">
        <v>50000</v>
      </c>
      <c r="M682" s="111">
        <f t="shared" si="92"/>
        <v>22500</v>
      </c>
      <c r="N682" s="111">
        <f t="shared" si="93"/>
        <v>22500</v>
      </c>
      <c r="O682" s="111">
        <f t="shared" si="94"/>
        <v>4500</v>
      </c>
      <c r="P682" s="111">
        <f t="shared" si="95"/>
        <v>5000</v>
      </c>
      <c r="Q682" s="111">
        <v>10000</v>
      </c>
      <c r="R682" s="111">
        <v>1</v>
      </c>
      <c r="S682" s="111">
        <f t="shared" si="96"/>
        <v>1000</v>
      </c>
      <c r="T682" s="111">
        <f t="shared" si="97"/>
        <v>60000</v>
      </c>
      <c r="U682" s="111">
        <f t="shared" si="98"/>
        <v>600</v>
      </c>
      <c r="V682" s="111">
        <f t="shared" si="99"/>
        <v>60600</v>
      </c>
      <c r="W682" t="s">
        <v>3141</v>
      </c>
    </row>
    <row r="683" spans="1:23" x14ac:dyDescent="0.3">
      <c r="A683" s="110">
        <v>909206</v>
      </c>
      <c r="B683" s="110" t="s">
        <v>852</v>
      </c>
      <c r="C683" s="110" t="s">
        <v>877</v>
      </c>
      <c r="D683" s="110" t="s">
        <v>881</v>
      </c>
      <c r="E683" s="110" t="s">
        <v>201</v>
      </c>
      <c r="F683" s="110" t="s">
        <v>113</v>
      </c>
      <c r="G683" s="110" t="s">
        <v>114</v>
      </c>
      <c r="H683" s="111">
        <v>16</v>
      </c>
      <c r="I683" s="111">
        <v>11</v>
      </c>
      <c r="J683" s="111">
        <v>6</v>
      </c>
      <c r="K683" s="111">
        <f t="shared" si="91"/>
        <v>11</v>
      </c>
      <c r="L683" s="111">
        <v>50000</v>
      </c>
      <c r="M683" s="111">
        <f t="shared" si="92"/>
        <v>22500</v>
      </c>
      <c r="N683" s="111">
        <f t="shared" si="93"/>
        <v>22500</v>
      </c>
      <c r="O683" s="111">
        <f t="shared" si="94"/>
        <v>4500</v>
      </c>
      <c r="P683" s="111">
        <f t="shared" si="95"/>
        <v>5000</v>
      </c>
      <c r="Q683" s="111">
        <v>10000</v>
      </c>
      <c r="R683" s="111">
        <v>1</v>
      </c>
      <c r="S683" s="111">
        <f t="shared" si="96"/>
        <v>1000</v>
      </c>
      <c r="T683" s="111">
        <f t="shared" si="97"/>
        <v>60000</v>
      </c>
      <c r="U683" s="111">
        <f t="shared" si="98"/>
        <v>600</v>
      </c>
      <c r="V683" s="111">
        <f t="shared" si="99"/>
        <v>60600</v>
      </c>
      <c r="W683" t="s">
        <v>3142</v>
      </c>
    </row>
    <row r="684" spans="1:23" x14ac:dyDescent="0.3">
      <c r="A684" s="110">
        <v>909209</v>
      </c>
      <c r="B684" s="110" t="s">
        <v>852</v>
      </c>
      <c r="C684" s="110" t="s">
        <v>877</v>
      </c>
      <c r="D684" s="110" t="s">
        <v>882</v>
      </c>
      <c r="E684" s="110" t="s">
        <v>390</v>
      </c>
      <c r="F684" s="110" t="s">
        <v>113</v>
      </c>
      <c r="G684" s="110" t="s">
        <v>114</v>
      </c>
      <c r="H684" s="111">
        <v>17</v>
      </c>
      <c r="I684" s="111">
        <v>13</v>
      </c>
      <c r="J684" s="111">
        <v>12</v>
      </c>
      <c r="K684" s="111">
        <f t="shared" si="91"/>
        <v>14</v>
      </c>
      <c r="L684" s="111">
        <v>50000</v>
      </c>
      <c r="M684" s="111">
        <f t="shared" si="92"/>
        <v>22500</v>
      </c>
      <c r="N684" s="111">
        <f t="shared" si="93"/>
        <v>22500</v>
      </c>
      <c r="O684" s="111">
        <f t="shared" si="94"/>
        <v>4500</v>
      </c>
      <c r="P684" s="111">
        <f t="shared" si="95"/>
        <v>5000</v>
      </c>
      <c r="Q684" s="111">
        <v>10000</v>
      </c>
      <c r="R684" s="111">
        <v>1</v>
      </c>
      <c r="S684" s="111">
        <f t="shared" si="96"/>
        <v>1000</v>
      </c>
      <c r="T684" s="111">
        <f t="shared" si="97"/>
        <v>60000</v>
      </c>
      <c r="U684" s="111">
        <f t="shared" si="98"/>
        <v>600</v>
      </c>
      <c r="V684" s="111">
        <f t="shared" si="99"/>
        <v>60600</v>
      </c>
      <c r="W684" t="s">
        <v>3143</v>
      </c>
    </row>
    <row r="685" spans="1:23" x14ac:dyDescent="0.3">
      <c r="A685" s="110">
        <v>909211</v>
      </c>
      <c r="B685" s="110" t="s">
        <v>852</v>
      </c>
      <c r="C685" s="110" t="s">
        <v>877</v>
      </c>
      <c r="D685" s="110" t="s">
        <v>883</v>
      </c>
      <c r="E685" s="110" t="s">
        <v>450</v>
      </c>
      <c r="F685" s="110" t="s">
        <v>113</v>
      </c>
      <c r="G685" s="110" t="s">
        <v>114</v>
      </c>
      <c r="H685" s="111">
        <v>22</v>
      </c>
      <c r="I685" s="111">
        <v>18</v>
      </c>
      <c r="J685" s="111">
        <v>13</v>
      </c>
      <c r="K685" s="111">
        <f t="shared" si="91"/>
        <v>17.666666666666668</v>
      </c>
      <c r="L685" s="111">
        <v>50000</v>
      </c>
      <c r="M685" s="111">
        <f t="shared" si="92"/>
        <v>22500</v>
      </c>
      <c r="N685" s="111">
        <f t="shared" si="93"/>
        <v>22500</v>
      </c>
      <c r="O685" s="111">
        <f t="shared" si="94"/>
        <v>4500</v>
      </c>
      <c r="P685" s="111">
        <f t="shared" si="95"/>
        <v>5000</v>
      </c>
      <c r="Q685" s="111">
        <v>10000</v>
      </c>
      <c r="R685" s="111">
        <v>1</v>
      </c>
      <c r="S685" s="111">
        <f t="shared" si="96"/>
        <v>1000</v>
      </c>
      <c r="T685" s="111">
        <f t="shared" si="97"/>
        <v>60000</v>
      </c>
      <c r="U685" s="111">
        <f t="shared" si="98"/>
        <v>600</v>
      </c>
      <c r="V685" s="111">
        <f t="shared" si="99"/>
        <v>60600</v>
      </c>
      <c r="W685" t="s">
        <v>3144</v>
      </c>
    </row>
    <row r="686" spans="1:23" x14ac:dyDescent="0.3">
      <c r="A686" s="110">
        <v>909301</v>
      </c>
      <c r="B686" s="110" t="s">
        <v>852</v>
      </c>
      <c r="C686" s="110" t="s">
        <v>884</v>
      </c>
      <c r="D686" s="110" t="s">
        <v>884</v>
      </c>
      <c r="E686" s="110" t="s">
        <v>272</v>
      </c>
      <c r="F686" s="110" t="s">
        <v>119</v>
      </c>
      <c r="G686" s="110" t="s">
        <v>114</v>
      </c>
      <c r="H686" s="111">
        <v>436</v>
      </c>
      <c r="I686" s="111">
        <v>420</v>
      </c>
      <c r="J686" s="111">
        <v>415</v>
      </c>
      <c r="K686" s="111">
        <f t="shared" si="91"/>
        <v>423.66666666666669</v>
      </c>
      <c r="L686" s="111">
        <f>300000*0.7</f>
        <v>210000</v>
      </c>
      <c r="M686" s="111">
        <f t="shared" si="92"/>
        <v>94500</v>
      </c>
      <c r="N686" s="111">
        <f t="shared" si="93"/>
        <v>94500</v>
      </c>
      <c r="O686" s="111">
        <f t="shared" si="94"/>
        <v>18900</v>
      </c>
      <c r="P686" s="111">
        <f t="shared" si="95"/>
        <v>21000</v>
      </c>
      <c r="Q686" s="111">
        <v>60000</v>
      </c>
      <c r="R686" s="111">
        <v>6</v>
      </c>
      <c r="S686" s="111">
        <f t="shared" si="96"/>
        <v>6000</v>
      </c>
      <c r="T686" s="111">
        <f t="shared" si="97"/>
        <v>270000</v>
      </c>
      <c r="U686" s="111">
        <f t="shared" si="98"/>
        <v>2700</v>
      </c>
      <c r="V686" s="111">
        <f t="shared" si="99"/>
        <v>272700</v>
      </c>
      <c r="W686" t="s">
        <v>3145</v>
      </c>
    </row>
    <row r="687" spans="1:23" x14ac:dyDescent="0.3">
      <c r="A687" s="110">
        <v>909309</v>
      </c>
      <c r="B687" s="110" t="s">
        <v>852</v>
      </c>
      <c r="C687" s="110" t="s">
        <v>884</v>
      </c>
      <c r="D687" s="110" t="s">
        <v>885</v>
      </c>
      <c r="E687" s="110" t="s">
        <v>353</v>
      </c>
      <c r="F687" s="110" t="s">
        <v>113</v>
      </c>
      <c r="G687" s="110" t="s">
        <v>114</v>
      </c>
      <c r="H687" s="111">
        <v>18</v>
      </c>
      <c r="I687" s="111">
        <v>15</v>
      </c>
      <c r="J687" s="111">
        <v>16</v>
      </c>
      <c r="K687" s="111">
        <f t="shared" si="91"/>
        <v>16.333333333333332</v>
      </c>
      <c r="L687" s="111">
        <v>50000</v>
      </c>
      <c r="M687" s="111">
        <f t="shared" si="92"/>
        <v>22500</v>
      </c>
      <c r="N687" s="111">
        <f t="shared" si="93"/>
        <v>22500</v>
      </c>
      <c r="O687" s="111">
        <f t="shared" si="94"/>
        <v>4500</v>
      </c>
      <c r="P687" s="111">
        <f t="shared" si="95"/>
        <v>5000</v>
      </c>
      <c r="Q687" s="111">
        <v>10000</v>
      </c>
      <c r="R687" s="111">
        <v>1</v>
      </c>
      <c r="S687" s="111">
        <f t="shared" si="96"/>
        <v>1000</v>
      </c>
      <c r="T687" s="111">
        <f t="shared" si="97"/>
        <v>60000</v>
      </c>
      <c r="U687" s="111">
        <f t="shared" si="98"/>
        <v>600</v>
      </c>
      <c r="V687" s="111">
        <f t="shared" si="99"/>
        <v>60600</v>
      </c>
      <c r="W687" t="s">
        <v>3146</v>
      </c>
    </row>
    <row r="688" spans="1:23" x14ac:dyDescent="0.3">
      <c r="A688" s="110">
        <v>909310</v>
      </c>
      <c r="B688" s="110" t="s">
        <v>852</v>
      </c>
      <c r="C688" s="110" t="s">
        <v>884</v>
      </c>
      <c r="D688" s="110" t="s">
        <v>886</v>
      </c>
      <c r="E688" s="110" t="s">
        <v>319</v>
      </c>
      <c r="F688" s="110" t="s">
        <v>113</v>
      </c>
      <c r="G688" s="110" t="s">
        <v>114</v>
      </c>
      <c r="H688" s="111">
        <v>16</v>
      </c>
      <c r="I688" s="111">
        <v>17</v>
      </c>
      <c r="J688" s="111">
        <v>15</v>
      </c>
      <c r="K688" s="111">
        <f t="shared" si="91"/>
        <v>16</v>
      </c>
      <c r="L688" s="111">
        <v>50000</v>
      </c>
      <c r="M688" s="111">
        <f t="shared" si="92"/>
        <v>22500</v>
      </c>
      <c r="N688" s="111">
        <f t="shared" si="93"/>
        <v>22500</v>
      </c>
      <c r="O688" s="111">
        <f t="shared" si="94"/>
        <v>4500</v>
      </c>
      <c r="P688" s="111">
        <f t="shared" si="95"/>
        <v>5000</v>
      </c>
      <c r="Q688" s="111">
        <v>10000</v>
      </c>
      <c r="R688" s="111">
        <v>1</v>
      </c>
      <c r="S688" s="111">
        <f t="shared" si="96"/>
        <v>1000</v>
      </c>
      <c r="T688" s="111">
        <f t="shared" si="97"/>
        <v>60000</v>
      </c>
      <c r="U688" s="111">
        <f t="shared" si="98"/>
        <v>600</v>
      </c>
      <c r="V688" s="111">
        <f t="shared" si="99"/>
        <v>60600</v>
      </c>
      <c r="W688" t="s">
        <v>3147</v>
      </c>
    </row>
    <row r="689" spans="1:23" x14ac:dyDescent="0.3">
      <c r="A689" s="110">
        <v>909314</v>
      </c>
      <c r="B689" s="110" t="s">
        <v>852</v>
      </c>
      <c r="C689" s="110" t="s">
        <v>884</v>
      </c>
      <c r="D689" s="110" t="s">
        <v>884</v>
      </c>
      <c r="E689" s="110" t="s">
        <v>887</v>
      </c>
      <c r="F689" s="110" t="s">
        <v>117</v>
      </c>
      <c r="G689" s="110" t="s">
        <v>114</v>
      </c>
      <c r="H689" s="111">
        <v>127</v>
      </c>
      <c r="I689" s="111">
        <v>106</v>
      </c>
      <c r="J689" s="111">
        <v>113</v>
      </c>
      <c r="K689" s="111">
        <f t="shared" si="91"/>
        <v>115.33333333333333</v>
      </c>
      <c r="L689" s="111">
        <v>150000</v>
      </c>
      <c r="M689" s="111">
        <f t="shared" si="92"/>
        <v>67500</v>
      </c>
      <c r="N689" s="111">
        <f t="shared" si="93"/>
        <v>67500</v>
      </c>
      <c r="O689" s="111">
        <f t="shared" si="94"/>
        <v>13500</v>
      </c>
      <c r="P689" s="111">
        <f t="shared" si="95"/>
        <v>15000</v>
      </c>
      <c r="Q689" s="111">
        <v>30000</v>
      </c>
      <c r="R689" s="111">
        <v>3</v>
      </c>
      <c r="S689" s="111">
        <f t="shared" si="96"/>
        <v>3000</v>
      </c>
      <c r="T689" s="111">
        <f t="shared" si="97"/>
        <v>180000</v>
      </c>
      <c r="U689" s="111">
        <f t="shared" si="98"/>
        <v>1800</v>
      </c>
      <c r="V689" s="111">
        <f t="shared" si="99"/>
        <v>181800</v>
      </c>
      <c r="W689" t="s">
        <v>3148</v>
      </c>
    </row>
    <row r="690" spans="1:23" x14ac:dyDescent="0.3">
      <c r="A690" s="110">
        <v>909315</v>
      </c>
      <c r="B690" s="110" t="s">
        <v>852</v>
      </c>
      <c r="C690" s="110" t="s">
        <v>884</v>
      </c>
      <c r="D690" s="110" t="s">
        <v>888</v>
      </c>
      <c r="E690" s="110" t="s">
        <v>889</v>
      </c>
      <c r="F690" s="110" t="s">
        <v>119</v>
      </c>
      <c r="G690" s="110" t="s">
        <v>125</v>
      </c>
      <c r="H690" s="111">
        <v>91</v>
      </c>
      <c r="I690" s="111">
        <v>77</v>
      </c>
      <c r="J690" s="111">
        <v>57</v>
      </c>
      <c r="K690" s="111">
        <f t="shared" si="91"/>
        <v>75</v>
      </c>
      <c r="L690" s="111">
        <v>150000</v>
      </c>
      <c r="M690" s="111">
        <f t="shared" si="92"/>
        <v>67500</v>
      </c>
      <c r="N690" s="111">
        <f t="shared" si="93"/>
        <v>67500</v>
      </c>
      <c r="O690" s="111">
        <f t="shared" si="94"/>
        <v>13500</v>
      </c>
      <c r="P690" s="111">
        <f t="shared" si="95"/>
        <v>15000</v>
      </c>
      <c r="Q690" s="111">
        <v>30000</v>
      </c>
      <c r="R690" s="111">
        <v>3</v>
      </c>
      <c r="S690" s="111">
        <f t="shared" si="96"/>
        <v>3000</v>
      </c>
      <c r="T690" s="111">
        <f t="shared" si="97"/>
        <v>180000</v>
      </c>
      <c r="U690" s="111">
        <f t="shared" si="98"/>
        <v>1800</v>
      </c>
      <c r="V690" s="111">
        <f t="shared" si="99"/>
        <v>181800</v>
      </c>
      <c r="W690" t="s">
        <v>3149</v>
      </c>
    </row>
    <row r="691" spans="1:23" x14ac:dyDescent="0.3">
      <c r="A691" s="110">
        <v>909401</v>
      </c>
      <c r="B691" s="110" t="s">
        <v>852</v>
      </c>
      <c r="C691" s="110" t="s">
        <v>890</v>
      </c>
      <c r="D691" s="110" t="s">
        <v>890</v>
      </c>
      <c r="E691" s="110" t="s">
        <v>746</v>
      </c>
      <c r="F691" s="110" t="s">
        <v>119</v>
      </c>
      <c r="G691" s="110" t="s">
        <v>114</v>
      </c>
      <c r="H691" s="111">
        <v>325</v>
      </c>
      <c r="I691" s="111">
        <v>319</v>
      </c>
      <c r="J691" s="111">
        <v>335</v>
      </c>
      <c r="K691" s="111">
        <f t="shared" si="91"/>
        <v>326.33333333333331</v>
      </c>
      <c r="L691" s="111">
        <v>200000</v>
      </c>
      <c r="M691" s="111">
        <f t="shared" si="92"/>
        <v>90000</v>
      </c>
      <c r="N691" s="111">
        <f t="shared" si="93"/>
        <v>90000</v>
      </c>
      <c r="O691" s="111">
        <f t="shared" si="94"/>
        <v>18000</v>
      </c>
      <c r="P691" s="111">
        <f t="shared" si="95"/>
        <v>20000</v>
      </c>
      <c r="Q691" s="111">
        <v>50000</v>
      </c>
      <c r="R691" s="111">
        <v>5</v>
      </c>
      <c r="S691" s="111">
        <f t="shared" si="96"/>
        <v>5000</v>
      </c>
      <c r="T691" s="111">
        <f t="shared" si="97"/>
        <v>250000</v>
      </c>
      <c r="U691" s="111">
        <f t="shared" si="98"/>
        <v>2500</v>
      </c>
      <c r="V691" s="111">
        <f t="shared" si="99"/>
        <v>252500</v>
      </c>
      <c r="W691" t="s">
        <v>3150</v>
      </c>
    </row>
    <row r="692" spans="1:23" x14ac:dyDescent="0.3">
      <c r="A692" s="110">
        <v>909402</v>
      </c>
      <c r="B692" s="110" t="s">
        <v>852</v>
      </c>
      <c r="C692" s="110" t="s">
        <v>890</v>
      </c>
      <c r="D692" s="110" t="s">
        <v>891</v>
      </c>
      <c r="E692" s="110" t="s">
        <v>892</v>
      </c>
      <c r="F692" s="110" t="s">
        <v>119</v>
      </c>
      <c r="G692" s="110" t="s">
        <v>114</v>
      </c>
      <c r="H692" s="111">
        <v>513</v>
      </c>
      <c r="I692" s="111">
        <v>493</v>
      </c>
      <c r="J692" s="111">
        <v>489</v>
      </c>
      <c r="K692" s="111">
        <f t="shared" si="91"/>
        <v>498.33333333333331</v>
      </c>
      <c r="L692" s="111">
        <f>300000</f>
        <v>300000</v>
      </c>
      <c r="M692" s="111">
        <f t="shared" si="92"/>
        <v>135000</v>
      </c>
      <c r="N692" s="111">
        <f t="shared" si="93"/>
        <v>135000</v>
      </c>
      <c r="O692" s="111">
        <f t="shared" si="94"/>
        <v>27000</v>
      </c>
      <c r="P692" s="111">
        <f t="shared" si="95"/>
        <v>30000</v>
      </c>
      <c r="Q692" s="111">
        <v>60000</v>
      </c>
      <c r="R692" s="111">
        <v>6</v>
      </c>
      <c r="S692" s="111">
        <f t="shared" si="96"/>
        <v>6000</v>
      </c>
      <c r="T692" s="111">
        <f t="shared" si="97"/>
        <v>360000</v>
      </c>
      <c r="U692" s="111">
        <f t="shared" si="98"/>
        <v>3600</v>
      </c>
      <c r="V692" s="111">
        <f t="shared" si="99"/>
        <v>363600</v>
      </c>
      <c r="W692" t="s">
        <v>3151</v>
      </c>
    </row>
    <row r="693" spans="1:23" x14ac:dyDescent="0.3">
      <c r="A693" s="110">
        <v>909403</v>
      </c>
      <c r="B693" s="110" t="s">
        <v>852</v>
      </c>
      <c r="C693" s="110" t="s">
        <v>890</v>
      </c>
      <c r="D693" s="110" t="s">
        <v>893</v>
      </c>
      <c r="E693" s="110" t="s">
        <v>894</v>
      </c>
      <c r="F693" s="110" t="s">
        <v>119</v>
      </c>
      <c r="G693" s="110" t="s">
        <v>114</v>
      </c>
      <c r="H693" s="111">
        <v>291</v>
      </c>
      <c r="I693" s="111">
        <v>293</v>
      </c>
      <c r="J693" s="111">
        <v>297</v>
      </c>
      <c r="K693" s="111">
        <f t="shared" si="91"/>
        <v>293.66666666666669</v>
      </c>
      <c r="L693" s="111">
        <v>200000</v>
      </c>
      <c r="M693" s="111">
        <f t="shared" si="92"/>
        <v>90000</v>
      </c>
      <c r="N693" s="111">
        <f t="shared" si="93"/>
        <v>90000</v>
      </c>
      <c r="O693" s="111">
        <f t="shared" si="94"/>
        <v>18000</v>
      </c>
      <c r="P693" s="111">
        <f t="shared" si="95"/>
        <v>20000</v>
      </c>
      <c r="Q693" s="111">
        <v>50000</v>
      </c>
      <c r="R693" s="111">
        <v>5</v>
      </c>
      <c r="S693" s="111">
        <f t="shared" si="96"/>
        <v>5000</v>
      </c>
      <c r="T693" s="111">
        <f t="shared" si="97"/>
        <v>250000</v>
      </c>
      <c r="U693" s="111">
        <f t="shared" si="98"/>
        <v>2500</v>
      </c>
      <c r="V693" s="111">
        <f t="shared" si="99"/>
        <v>252500</v>
      </c>
      <c r="W693" t="s">
        <v>3152</v>
      </c>
    </row>
    <row r="694" spans="1:23" x14ac:dyDescent="0.3">
      <c r="A694" s="110">
        <v>909410</v>
      </c>
      <c r="B694" s="110" t="s">
        <v>852</v>
      </c>
      <c r="C694" s="110" t="s">
        <v>890</v>
      </c>
      <c r="D694" s="110" t="s">
        <v>895</v>
      </c>
      <c r="E694" s="110" t="s">
        <v>896</v>
      </c>
      <c r="F694" s="110" t="s">
        <v>113</v>
      </c>
      <c r="G694" s="110" t="s">
        <v>114</v>
      </c>
      <c r="H694" s="111">
        <v>27</v>
      </c>
      <c r="I694" s="111">
        <v>31</v>
      </c>
      <c r="J694" s="111">
        <v>29</v>
      </c>
      <c r="K694" s="111">
        <f t="shared" si="91"/>
        <v>29</v>
      </c>
      <c r="L694" s="111">
        <v>50000</v>
      </c>
      <c r="M694" s="111">
        <f t="shared" si="92"/>
        <v>22500</v>
      </c>
      <c r="N694" s="111">
        <f t="shared" si="93"/>
        <v>22500</v>
      </c>
      <c r="O694" s="111">
        <f t="shared" si="94"/>
        <v>4500</v>
      </c>
      <c r="P694" s="111">
        <f t="shared" si="95"/>
        <v>5000</v>
      </c>
      <c r="Q694" s="111">
        <v>10000</v>
      </c>
      <c r="R694" s="111">
        <v>1</v>
      </c>
      <c r="S694" s="111">
        <f t="shared" si="96"/>
        <v>1000</v>
      </c>
      <c r="T694" s="111">
        <f t="shared" si="97"/>
        <v>60000</v>
      </c>
      <c r="U694" s="111">
        <f t="shared" si="98"/>
        <v>600</v>
      </c>
      <c r="V694" s="111">
        <f t="shared" si="99"/>
        <v>60600</v>
      </c>
      <c r="W694" t="s">
        <v>3153</v>
      </c>
    </row>
    <row r="695" spans="1:23" x14ac:dyDescent="0.3">
      <c r="A695" s="110">
        <v>909414</v>
      </c>
      <c r="B695" s="110" t="s">
        <v>852</v>
      </c>
      <c r="C695" s="110" t="s">
        <v>890</v>
      </c>
      <c r="D695" s="110" t="s">
        <v>897</v>
      </c>
      <c r="E695" s="110" t="s">
        <v>898</v>
      </c>
      <c r="F695" s="110" t="s">
        <v>113</v>
      </c>
      <c r="G695" s="110" t="s">
        <v>114</v>
      </c>
      <c r="H695" s="111">
        <v>32</v>
      </c>
      <c r="I695" s="111">
        <v>20</v>
      </c>
      <c r="J695" s="111">
        <v>12</v>
      </c>
      <c r="K695" s="111">
        <f t="shared" si="91"/>
        <v>21.333333333333332</v>
      </c>
      <c r="L695" s="111">
        <v>50000</v>
      </c>
      <c r="M695" s="111">
        <f t="shared" si="92"/>
        <v>22500</v>
      </c>
      <c r="N695" s="111">
        <f t="shared" si="93"/>
        <v>22500</v>
      </c>
      <c r="O695" s="111">
        <f t="shared" si="94"/>
        <v>4500</v>
      </c>
      <c r="P695" s="111">
        <f t="shared" si="95"/>
        <v>5000</v>
      </c>
      <c r="Q695" s="111">
        <v>10000</v>
      </c>
      <c r="R695" s="111">
        <v>1</v>
      </c>
      <c r="S695" s="111">
        <f t="shared" si="96"/>
        <v>1000</v>
      </c>
      <c r="T695" s="111">
        <f t="shared" si="97"/>
        <v>60000</v>
      </c>
      <c r="U695" s="111">
        <f t="shared" si="98"/>
        <v>600</v>
      </c>
      <c r="V695" s="111">
        <f t="shared" si="99"/>
        <v>60600</v>
      </c>
      <c r="W695" t="s">
        <v>3154</v>
      </c>
    </row>
    <row r="696" spans="1:23" x14ac:dyDescent="0.3">
      <c r="A696" s="110">
        <v>909415</v>
      </c>
      <c r="B696" s="110" t="s">
        <v>852</v>
      </c>
      <c r="C696" s="110" t="s">
        <v>890</v>
      </c>
      <c r="D696" s="110" t="s">
        <v>899</v>
      </c>
      <c r="E696" s="110" t="s">
        <v>319</v>
      </c>
      <c r="F696" s="110" t="s">
        <v>113</v>
      </c>
      <c r="G696" s="110" t="s">
        <v>114</v>
      </c>
      <c r="H696" s="111">
        <v>73</v>
      </c>
      <c r="I696" s="111">
        <v>69</v>
      </c>
      <c r="J696" s="111">
        <v>64</v>
      </c>
      <c r="K696" s="111">
        <f t="shared" si="91"/>
        <v>68.666666666666671</v>
      </c>
      <c r="L696" s="111">
        <v>150000</v>
      </c>
      <c r="M696" s="111">
        <f t="shared" si="92"/>
        <v>67500</v>
      </c>
      <c r="N696" s="111">
        <f t="shared" si="93"/>
        <v>67500</v>
      </c>
      <c r="O696" s="111">
        <f t="shared" si="94"/>
        <v>13500</v>
      </c>
      <c r="P696" s="111">
        <f t="shared" si="95"/>
        <v>15000</v>
      </c>
      <c r="Q696" s="111">
        <v>30000</v>
      </c>
      <c r="R696" s="111">
        <v>3</v>
      </c>
      <c r="S696" s="111">
        <f t="shared" si="96"/>
        <v>3000</v>
      </c>
      <c r="T696" s="111">
        <f t="shared" si="97"/>
        <v>180000</v>
      </c>
      <c r="U696" s="111">
        <f t="shared" si="98"/>
        <v>1800</v>
      </c>
      <c r="V696" s="111">
        <f t="shared" si="99"/>
        <v>181800</v>
      </c>
      <c r="W696" t="s">
        <v>3155</v>
      </c>
    </row>
    <row r="697" spans="1:23" x14ac:dyDescent="0.3">
      <c r="A697" s="110">
        <v>909416</v>
      </c>
      <c r="B697" s="110" t="s">
        <v>852</v>
      </c>
      <c r="C697" s="110" t="s">
        <v>890</v>
      </c>
      <c r="D697" s="110" t="s">
        <v>900</v>
      </c>
      <c r="E697" s="110" t="s">
        <v>320</v>
      </c>
      <c r="F697" s="110" t="s">
        <v>113</v>
      </c>
      <c r="G697" s="110" t="s">
        <v>114</v>
      </c>
      <c r="H697" s="111">
        <v>72</v>
      </c>
      <c r="I697" s="111">
        <v>63</v>
      </c>
      <c r="J697" s="111">
        <v>63</v>
      </c>
      <c r="K697" s="111">
        <f t="shared" si="91"/>
        <v>66</v>
      </c>
      <c r="L697" s="111">
        <v>150000</v>
      </c>
      <c r="M697" s="111">
        <f t="shared" si="92"/>
        <v>67500</v>
      </c>
      <c r="N697" s="111">
        <f t="shared" si="93"/>
        <v>67500</v>
      </c>
      <c r="O697" s="111">
        <f t="shared" si="94"/>
        <v>13500</v>
      </c>
      <c r="P697" s="111">
        <f t="shared" si="95"/>
        <v>15000</v>
      </c>
      <c r="Q697" s="111">
        <v>30000</v>
      </c>
      <c r="R697" s="111">
        <v>3</v>
      </c>
      <c r="S697" s="111">
        <f t="shared" si="96"/>
        <v>3000</v>
      </c>
      <c r="T697" s="111">
        <f t="shared" si="97"/>
        <v>180000</v>
      </c>
      <c r="U697" s="111">
        <f t="shared" si="98"/>
        <v>1800</v>
      </c>
      <c r="V697" s="111">
        <f t="shared" si="99"/>
        <v>181800</v>
      </c>
      <c r="W697" t="s">
        <v>3156</v>
      </c>
    </row>
    <row r="698" spans="1:23" x14ac:dyDescent="0.3">
      <c r="A698" s="110">
        <v>909417</v>
      </c>
      <c r="B698" s="110" t="s">
        <v>852</v>
      </c>
      <c r="C698" s="110" t="s">
        <v>890</v>
      </c>
      <c r="D698" s="110" t="s">
        <v>901</v>
      </c>
      <c r="E698" s="110" t="s">
        <v>353</v>
      </c>
      <c r="F698" s="110" t="s">
        <v>113</v>
      </c>
      <c r="G698" s="110" t="s">
        <v>114</v>
      </c>
      <c r="H698" s="111">
        <v>81</v>
      </c>
      <c r="I698" s="111">
        <v>80</v>
      </c>
      <c r="J698" s="111">
        <v>81</v>
      </c>
      <c r="K698" s="111">
        <f t="shared" si="91"/>
        <v>80.666666666666671</v>
      </c>
      <c r="L698" s="111">
        <v>150000</v>
      </c>
      <c r="M698" s="111">
        <f t="shared" si="92"/>
        <v>67500</v>
      </c>
      <c r="N698" s="111">
        <f t="shared" si="93"/>
        <v>67500</v>
      </c>
      <c r="O698" s="111">
        <f t="shared" si="94"/>
        <v>13500</v>
      </c>
      <c r="P698" s="111">
        <f t="shared" si="95"/>
        <v>15000</v>
      </c>
      <c r="Q698" s="111">
        <v>30000</v>
      </c>
      <c r="R698" s="111">
        <v>3</v>
      </c>
      <c r="S698" s="111">
        <f t="shared" si="96"/>
        <v>3000</v>
      </c>
      <c r="T698" s="111">
        <f t="shared" si="97"/>
        <v>180000</v>
      </c>
      <c r="U698" s="111">
        <f t="shared" si="98"/>
        <v>1800</v>
      </c>
      <c r="V698" s="111">
        <f t="shared" si="99"/>
        <v>181800</v>
      </c>
      <c r="W698" t="s">
        <v>3157</v>
      </c>
    </row>
    <row r="699" spans="1:23" x14ac:dyDescent="0.3">
      <c r="A699" s="110">
        <v>909501</v>
      </c>
      <c r="B699" s="110" t="s">
        <v>852</v>
      </c>
      <c r="C699" s="110" t="s">
        <v>902</v>
      </c>
      <c r="D699" s="110" t="s">
        <v>902</v>
      </c>
      <c r="E699" s="110" t="s">
        <v>214</v>
      </c>
      <c r="F699" s="110" t="s">
        <v>119</v>
      </c>
      <c r="G699" s="110" t="s">
        <v>114</v>
      </c>
      <c r="H699" s="111">
        <v>970</v>
      </c>
      <c r="I699" s="111">
        <v>968</v>
      </c>
      <c r="J699" s="111">
        <v>943</v>
      </c>
      <c r="K699" s="111">
        <f t="shared" si="91"/>
        <v>960.33333333333337</v>
      </c>
      <c r="L699" s="111">
        <f>300000</f>
        <v>300000</v>
      </c>
      <c r="M699" s="111">
        <f t="shared" si="92"/>
        <v>135000</v>
      </c>
      <c r="N699" s="111">
        <f t="shared" si="93"/>
        <v>135000</v>
      </c>
      <c r="O699" s="111">
        <f t="shared" si="94"/>
        <v>27000</v>
      </c>
      <c r="P699" s="111">
        <f t="shared" si="95"/>
        <v>30000</v>
      </c>
      <c r="Q699" s="111">
        <v>60000</v>
      </c>
      <c r="R699" s="111">
        <v>6</v>
      </c>
      <c r="S699" s="111">
        <f t="shared" si="96"/>
        <v>6000</v>
      </c>
      <c r="T699" s="111">
        <f t="shared" si="97"/>
        <v>360000</v>
      </c>
      <c r="U699" s="111">
        <f t="shared" si="98"/>
        <v>3600</v>
      </c>
      <c r="V699" s="111">
        <f t="shared" si="99"/>
        <v>363600</v>
      </c>
      <c r="W699" t="s">
        <v>3158</v>
      </c>
    </row>
    <row r="700" spans="1:23" x14ac:dyDescent="0.3">
      <c r="A700" s="110">
        <v>909502</v>
      </c>
      <c r="B700" s="110" t="s">
        <v>852</v>
      </c>
      <c r="C700" s="110" t="s">
        <v>902</v>
      </c>
      <c r="D700" s="110" t="s">
        <v>583</v>
      </c>
      <c r="E700" s="110" t="s">
        <v>903</v>
      </c>
      <c r="F700" s="110" t="s">
        <v>113</v>
      </c>
      <c r="G700" s="110" t="s">
        <v>114</v>
      </c>
      <c r="H700" s="111">
        <v>21</v>
      </c>
      <c r="I700" s="111">
        <v>17</v>
      </c>
      <c r="J700" s="111">
        <v>12</v>
      </c>
      <c r="K700" s="111">
        <f t="shared" si="91"/>
        <v>16.666666666666668</v>
      </c>
      <c r="L700" s="111">
        <v>50000</v>
      </c>
      <c r="M700" s="111">
        <f t="shared" si="92"/>
        <v>22500</v>
      </c>
      <c r="N700" s="111">
        <f t="shared" si="93"/>
        <v>22500</v>
      </c>
      <c r="O700" s="111">
        <f t="shared" si="94"/>
        <v>4500</v>
      </c>
      <c r="P700" s="111">
        <f t="shared" si="95"/>
        <v>5000</v>
      </c>
      <c r="Q700" s="111">
        <v>10000</v>
      </c>
      <c r="R700" s="111">
        <v>1</v>
      </c>
      <c r="S700" s="111">
        <f t="shared" si="96"/>
        <v>1000</v>
      </c>
      <c r="T700" s="111">
        <f t="shared" si="97"/>
        <v>60000</v>
      </c>
      <c r="U700" s="111">
        <f t="shared" si="98"/>
        <v>600</v>
      </c>
      <c r="V700" s="111">
        <f t="shared" si="99"/>
        <v>60600</v>
      </c>
      <c r="W700" t="s">
        <v>3159</v>
      </c>
    </row>
    <row r="701" spans="1:23" x14ac:dyDescent="0.3">
      <c r="A701" s="110">
        <v>909503</v>
      </c>
      <c r="B701" s="110" t="s">
        <v>852</v>
      </c>
      <c r="C701" s="110" t="s">
        <v>902</v>
      </c>
      <c r="D701" s="110" t="s">
        <v>902</v>
      </c>
      <c r="E701" s="110" t="s">
        <v>904</v>
      </c>
      <c r="F701" s="110" t="s">
        <v>117</v>
      </c>
      <c r="G701" s="110" t="s">
        <v>125</v>
      </c>
      <c r="H701" s="111">
        <v>260</v>
      </c>
      <c r="I701" s="111">
        <v>252</v>
      </c>
      <c r="J701" s="111">
        <v>238</v>
      </c>
      <c r="K701" s="111">
        <f t="shared" si="91"/>
        <v>250</v>
      </c>
      <c r="L701" s="111">
        <v>200000</v>
      </c>
      <c r="M701" s="111">
        <f t="shared" si="92"/>
        <v>90000</v>
      </c>
      <c r="N701" s="111">
        <f t="shared" si="93"/>
        <v>90000</v>
      </c>
      <c r="O701" s="111">
        <f t="shared" si="94"/>
        <v>18000</v>
      </c>
      <c r="P701" s="111">
        <f t="shared" si="95"/>
        <v>20000</v>
      </c>
      <c r="Q701" s="111">
        <v>50000</v>
      </c>
      <c r="R701" s="111">
        <v>5</v>
      </c>
      <c r="S701" s="111">
        <f t="shared" si="96"/>
        <v>5000</v>
      </c>
      <c r="T701" s="111">
        <f t="shared" si="97"/>
        <v>250000</v>
      </c>
      <c r="U701" s="111">
        <f t="shared" si="98"/>
        <v>2500</v>
      </c>
      <c r="V701" s="111">
        <f t="shared" si="99"/>
        <v>252500</v>
      </c>
      <c r="W701" t="s">
        <v>3160</v>
      </c>
    </row>
    <row r="702" spans="1:23" x14ac:dyDescent="0.3">
      <c r="A702" s="110">
        <v>909504</v>
      </c>
      <c r="B702" s="110" t="s">
        <v>852</v>
      </c>
      <c r="C702" s="110" t="s">
        <v>902</v>
      </c>
      <c r="D702" s="110" t="s">
        <v>905</v>
      </c>
      <c r="E702" s="110" t="s">
        <v>906</v>
      </c>
      <c r="F702" s="110" t="s">
        <v>113</v>
      </c>
      <c r="G702" s="110" t="s">
        <v>125</v>
      </c>
      <c r="H702" s="111">
        <v>10</v>
      </c>
      <c r="I702" s="111">
        <v>14</v>
      </c>
      <c r="J702" s="111">
        <v>13</v>
      </c>
      <c r="K702" s="111">
        <f t="shared" si="91"/>
        <v>12.333333333333334</v>
      </c>
      <c r="L702" s="111">
        <v>50000</v>
      </c>
      <c r="M702" s="111">
        <f t="shared" si="92"/>
        <v>22500</v>
      </c>
      <c r="N702" s="111">
        <f t="shared" si="93"/>
        <v>22500</v>
      </c>
      <c r="O702" s="111">
        <f t="shared" si="94"/>
        <v>4500</v>
      </c>
      <c r="P702" s="111">
        <f t="shared" si="95"/>
        <v>5000</v>
      </c>
      <c r="Q702" s="111">
        <v>10000</v>
      </c>
      <c r="R702" s="111">
        <v>1</v>
      </c>
      <c r="S702" s="111">
        <f t="shared" si="96"/>
        <v>1000</v>
      </c>
      <c r="T702" s="111">
        <f t="shared" si="97"/>
        <v>60000</v>
      </c>
      <c r="U702" s="111">
        <f t="shared" si="98"/>
        <v>600</v>
      </c>
      <c r="V702" s="111">
        <f t="shared" si="99"/>
        <v>60600</v>
      </c>
      <c r="W702" t="s">
        <v>3161</v>
      </c>
    </row>
    <row r="703" spans="1:23" x14ac:dyDescent="0.3">
      <c r="A703" s="110">
        <v>909506</v>
      </c>
      <c r="B703" s="110" t="s">
        <v>852</v>
      </c>
      <c r="C703" s="110" t="s">
        <v>902</v>
      </c>
      <c r="D703" s="110" t="s">
        <v>907</v>
      </c>
      <c r="E703" s="110" t="s">
        <v>406</v>
      </c>
      <c r="F703" s="110" t="s">
        <v>113</v>
      </c>
      <c r="G703" s="110" t="s">
        <v>114</v>
      </c>
      <c r="H703" s="111">
        <v>40</v>
      </c>
      <c r="I703" s="111">
        <v>34</v>
      </c>
      <c r="J703" s="111">
        <v>30</v>
      </c>
      <c r="K703" s="111">
        <f t="shared" si="91"/>
        <v>34.666666666666664</v>
      </c>
      <c r="L703" s="111">
        <v>50000</v>
      </c>
      <c r="M703" s="111">
        <f t="shared" si="92"/>
        <v>22500</v>
      </c>
      <c r="N703" s="111">
        <f t="shared" si="93"/>
        <v>22500</v>
      </c>
      <c r="O703" s="111">
        <f t="shared" si="94"/>
        <v>4500</v>
      </c>
      <c r="P703" s="111">
        <f t="shared" si="95"/>
        <v>5000</v>
      </c>
      <c r="Q703" s="111">
        <v>10000</v>
      </c>
      <c r="R703" s="111">
        <v>1</v>
      </c>
      <c r="S703" s="111">
        <f t="shared" si="96"/>
        <v>1000</v>
      </c>
      <c r="T703" s="111">
        <f t="shared" si="97"/>
        <v>60000</v>
      </c>
      <c r="U703" s="111">
        <f t="shared" si="98"/>
        <v>600</v>
      </c>
      <c r="V703" s="111">
        <f t="shared" si="99"/>
        <v>60600</v>
      </c>
      <c r="W703" t="s">
        <v>3162</v>
      </c>
    </row>
    <row r="704" spans="1:23" x14ac:dyDescent="0.3">
      <c r="A704" s="110">
        <v>909507</v>
      </c>
      <c r="B704" s="110" t="s">
        <v>852</v>
      </c>
      <c r="C704" s="110" t="s">
        <v>902</v>
      </c>
      <c r="D704" s="110" t="s">
        <v>908</v>
      </c>
      <c r="E704" s="110" t="s">
        <v>184</v>
      </c>
      <c r="F704" s="110" t="s">
        <v>113</v>
      </c>
      <c r="G704" s="110" t="s">
        <v>114</v>
      </c>
      <c r="H704" s="111">
        <v>95</v>
      </c>
      <c r="I704" s="111">
        <v>88</v>
      </c>
      <c r="J704" s="111">
        <v>86</v>
      </c>
      <c r="K704" s="111">
        <f t="shared" si="91"/>
        <v>89.666666666666671</v>
      </c>
      <c r="L704" s="111">
        <v>150000</v>
      </c>
      <c r="M704" s="111">
        <f t="shared" si="92"/>
        <v>67500</v>
      </c>
      <c r="N704" s="111">
        <f t="shared" si="93"/>
        <v>67500</v>
      </c>
      <c r="O704" s="111">
        <f t="shared" si="94"/>
        <v>13500</v>
      </c>
      <c r="P704" s="111">
        <f t="shared" si="95"/>
        <v>15000</v>
      </c>
      <c r="Q704" s="111">
        <v>30000</v>
      </c>
      <c r="R704" s="111">
        <v>3</v>
      </c>
      <c r="S704" s="111">
        <f t="shared" si="96"/>
        <v>3000</v>
      </c>
      <c r="T704" s="111">
        <f t="shared" si="97"/>
        <v>180000</v>
      </c>
      <c r="U704" s="111">
        <f t="shared" si="98"/>
        <v>1800</v>
      </c>
      <c r="V704" s="111">
        <f t="shared" si="99"/>
        <v>181800</v>
      </c>
      <c r="W704" t="s">
        <v>3163</v>
      </c>
    </row>
    <row r="705" spans="1:23" x14ac:dyDescent="0.3">
      <c r="A705" s="110">
        <v>909509</v>
      </c>
      <c r="B705" s="110" t="s">
        <v>852</v>
      </c>
      <c r="C705" s="110" t="s">
        <v>902</v>
      </c>
      <c r="D705" s="110" t="s">
        <v>909</v>
      </c>
      <c r="E705" s="110" t="s">
        <v>808</v>
      </c>
      <c r="F705" s="110" t="s">
        <v>168</v>
      </c>
      <c r="G705" s="110" t="s">
        <v>114</v>
      </c>
      <c r="H705" s="111">
        <v>111</v>
      </c>
      <c r="I705" s="111">
        <v>105</v>
      </c>
      <c r="J705" s="111">
        <v>104</v>
      </c>
      <c r="K705" s="111">
        <f t="shared" si="91"/>
        <v>106.66666666666667</v>
      </c>
      <c r="L705" s="111">
        <v>150000</v>
      </c>
      <c r="M705" s="111">
        <f t="shared" si="92"/>
        <v>67500</v>
      </c>
      <c r="N705" s="111">
        <f t="shared" si="93"/>
        <v>67500</v>
      </c>
      <c r="O705" s="111">
        <f t="shared" si="94"/>
        <v>13500</v>
      </c>
      <c r="P705" s="111">
        <f t="shared" si="95"/>
        <v>15000</v>
      </c>
      <c r="Q705" s="111">
        <v>30000</v>
      </c>
      <c r="R705" s="111">
        <v>3</v>
      </c>
      <c r="S705" s="111">
        <f t="shared" si="96"/>
        <v>3000</v>
      </c>
      <c r="T705" s="111">
        <f t="shared" si="97"/>
        <v>180000</v>
      </c>
      <c r="U705" s="111">
        <f t="shared" si="98"/>
        <v>1800</v>
      </c>
      <c r="V705" s="111">
        <f t="shared" si="99"/>
        <v>181800</v>
      </c>
      <c r="W705" t="s">
        <v>3164</v>
      </c>
    </row>
    <row r="706" spans="1:23" x14ac:dyDescent="0.3">
      <c r="A706" s="110">
        <v>909510</v>
      </c>
      <c r="B706" s="110" t="s">
        <v>852</v>
      </c>
      <c r="C706" s="110" t="s">
        <v>902</v>
      </c>
      <c r="D706" s="110" t="s">
        <v>910</v>
      </c>
      <c r="E706" s="110" t="s">
        <v>319</v>
      </c>
      <c r="F706" s="110" t="s">
        <v>113</v>
      </c>
      <c r="G706" s="110" t="s">
        <v>114</v>
      </c>
      <c r="H706" s="111">
        <v>70</v>
      </c>
      <c r="I706" s="111">
        <v>69</v>
      </c>
      <c r="J706" s="111">
        <v>59</v>
      </c>
      <c r="K706" s="111">
        <f t="shared" ref="K706:K769" si="100">+(H706+I706+J706)/3</f>
        <v>66</v>
      </c>
      <c r="L706" s="111">
        <v>150000</v>
      </c>
      <c r="M706" s="111">
        <f t="shared" ref="M706:M769" si="101">+L706*0.45</f>
        <v>67500</v>
      </c>
      <c r="N706" s="111">
        <f t="shared" ref="N706:N769" si="102">+L706*0.45</f>
        <v>67500</v>
      </c>
      <c r="O706" s="111">
        <f t="shared" ref="O706:O769" si="103">+N706*0.2</f>
        <v>13500</v>
      </c>
      <c r="P706" s="111">
        <f t="shared" ref="P706:P769" si="104">++L706*0.1</f>
        <v>15000</v>
      </c>
      <c r="Q706" s="111">
        <v>30000</v>
      </c>
      <c r="R706" s="111">
        <v>3</v>
      </c>
      <c r="S706" s="111">
        <f t="shared" ref="S706:S769" si="105">+Q706*0.1</f>
        <v>3000</v>
      </c>
      <c r="T706" s="111">
        <f t="shared" ref="T706:T769" si="106">+L706+Q706</f>
        <v>180000</v>
      </c>
      <c r="U706" s="111">
        <f t="shared" ref="U706:U769" si="107">+T706*0.01</f>
        <v>1800</v>
      </c>
      <c r="V706" s="111">
        <f t="shared" ref="V706:V769" si="108">+T706+U706</f>
        <v>181800</v>
      </c>
      <c r="W706" t="s">
        <v>3165</v>
      </c>
    </row>
    <row r="707" spans="1:23" x14ac:dyDescent="0.3">
      <c r="A707" s="110">
        <v>909512</v>
      </c>
      <c r="B707" s="110" t="s">
        <v>852</v>
      </c>
      <c r="C707" s="110" t="s">
        <v>902</v>
      </c>
      <c r="D707" s="110" t="s">
        <v>911</v>
      </c>
      <c r="E707" s="110" t="s">
        <v>406</v>
      </c>
      <c r="F707" s="110" t="s">
        <v>113</v>
      </c>
      <c r="G707" s="110" t="s">
        <v>114</v>
      </c>
      <c r="H707" s="111">
        <v>58</v>
      </c>
      <c r="I707" s="111">
        <v>60</v>
      </c>
      <c r="J707" s="111">
        <v>67</v>
      </c>
      <c r="K707" s="111">
        <f t="shared" si="100"/>
        <v>61.666666666666664</v>
      </c>
      <c r="L707" s="111">
        <v>150000</v>
      </c>
      <c r="M707" s="111">
        <f t="shared" si="101"/>
        <v>67500</v>
      </c>
      <c r="N707" s="111">
        <f t="shared" si="102"/>
        <v>67500</v>
      </c>
      <c r="O707" s="111">
        <f t="shared" si="103"/>
        <v>13500</v>
      </c>
      <c r="P707" s="111">
        <f t="shared" si="104"/>
        <v>15000</v>
      </c>
      <c r="Q707" s="111">
        <v>30000</v>
      </c>
      <c r="R707" s="111">
        <v>3</v>
      </c>
      <c r="S707" s="111">
        <f t="shared" si="105"/>
        <v>3000</v>
      </c>
      <c r="T707" s="111">
        <f t="shared" si="106"/>
        <v>180000</v>
      </c>
      <c r="U707" s="111">
        <f t="shared" si="107"/>
        <v>1800</v>
      </c>
      <c r="V707" s="111">
        <f t="shared" si="108"/>
        <v>181800</v>
      </c>
      <c r="W707" t="s">
        <v>3166</v>
      </c>
    </row>
    <row r="708" spans="1:23" x14ac:dyDescent="0.3">
      <c r="A708" s="110">
        <v>909513</v>
      </c>
      <c r="B708" s="110" t="s">
        <v>852</v>
      </c>
      <c r="C708" s="110" t="s">
        <v>902</v>
      </c>
      <c r="D708" s="110" t="s">
        <v>912</v>
      </c>
      <c r="E708" s="110" t="s">
        <v>320</v>
      </c>
      <c r="F708" s="110" t="s">
        <v>113</v>
      </c>
      <c r="G708" s="110" t="s">
        <v>114</v>
      </c>
      <c r="H708" s="111">
        <v>30</v>
      </c>
      <c r="I708" s="111">
        <v>28</v>
      </c>
      <c r="J708" s="111">
        <v>29</v>
      </c>
      <c r="K708" s="111">
        <f t="shared" si="100"/>
        <v>29</v>
      </c>
      <c r="L708" s="111">
        <v>50000</v>
      </c>
      <c r="M708" s="111">
        <f t="shared" si="101"/>
        <v>22500</v>
      </c>
      <c r="N708" s="111">
        <f t="shared" si="102"/>
        <v>22500</v>
      </c>
      <c r="O708" s="111">
        <f t="shared" si="103"/>
        <v>4500</v>
      </c>
      <c r="P708" s="111">
        <f t="shared" si="104"/>
        <v>5000</v>
      </c>
      <c r="Q708" s="111">
        <v>10000</v>
      </c>
      <c r="R708" s="111">
        <v>1</v>
      </c>
      <c r="S708" s="111">
        <f t="shared" si="105"/>
        <v>1000</v>
      </c>
      <c r="T708" s="111">
        <f t="shared" si="106"/>
        <v>60000</v>
      </c>
      <c r="U708" s="111">
        <f t="shared" si="107"/>
        <v>600</v>
      </c>
      <c r="V708" s="111">
        <f t="shared" si="108"/>
        <v>60600</v>
      </c>
      <c r="W708" t="s">
        <v>3167</v>
      </c>
    </row>
    <row r="709" spans="1:23" x14ac:dyDescent="0.3">
      <c r="A709" s="110">
        <v>909514</v>
      </c>
      <c r="B709" s="110" t="s">
        <v>852</v>
      </c>
      <c r="C709" s="110" t="s">
        <v>902</v>
      </c>
      <c r="D709" s="110" t="s">
        <v>913</v>
      </c>
      <c r="E709" s="110" t="s">
        <v>301</v>
      </c>
      <c r="F709" s="110" t="s">
        <v>113</v>
      </c>
      <c r="G709" s="110" t="s">
        <v>114</v>
      </c>
      <c r="H709" s="111">
        <v>59</v>
      </c>
      <c r="I709" s="111">
        <v>57</v>
      </c>
      <c r="J709" s="111">
        <v>56</v>
      </c>
      <c r="K709" s="111">
        <f t="shared" si="100"/>
        <v>57.333333333333336</v>
      </c>
      <c r="L709" s="111">
        <v>150000</v>
      </c>
      <c r="M709" s="111">
        <f t="shared" si="101"/>
        <v>67500</v>
      </c>
      <c r="N709" s="111">
        <f t="shared" si="102"/>
        <v>67500</v>
      </c>
      <c r="O709" s="111">
        <f t="shared" si="103"/>
        <v>13500</v>
      </c>
      <c r="P709" s="111">
        <f t="shared" si="104"/>
        <v>15000</v>
      </c>
      <c r="Q709" s="111">
        <v>30000</v>
      </c>
      <c r="R709" s="111">
        <v>3</v>
      </c>
      <c r="S709" s="111">
        <f t="shared" si="105"/>
        <v>3000</v>
      </c>
      <c r="T709" s="111">
        <f t="shared" si="106"/>
        <v>180000</v>
      </c>
      <c r="U709" s="111">
        <f t="shared" si="107"/>
        <v>1800</v>
      </c>
      <c r="V709" s="111">
        <f t="shared" si="108"/>
        <v>181800</v>
      </c>
      <c r="W709" t="s">
        <v>3168</v>
      </c>
    </row>
    <row r="710" spans="1:23" x14ac:dyDescent="0.3">
      <c r="A710" s="110">
        <v>909515</v>
      </c>
      <c r="B710" s="110" t="s">
        <v>852</v>
      </c>
      <c r="C710" s="110" t="s">
        <v>902</v>
      </c>
      <c r="D710" s="110" t="s">
        <v>914</v>
      </c>
      <c r="E710" s="110" t="s">
        <v>282</v>
      </c>
      <c r="F710" s="110" t="s">
        <v>209</v>
      </c>
      <c r="G710" s="110" t="s">
        <v>114</v>
      </c>
      <c r="H710" s="111">
        <v>22</v>
      </c>
      <c r="I710" s="111">
        <v>17</v>
      </c>
      <c r="J710" s="111">
        <v>15</v>
      </c>
      <c r="K710" s="111">
        <f t="shared" si="100"/>
        <v>18</v>
      </c>
      <c r="L710" s="111">
        <v>50000</v>
      </c>
      <c r="M710" s="111">
        <f t="shared" si="101"/>
        <v>22500</v>
      </c>
      <c r="N710" s="111">
        <f t="shared" si="102"/>
        <v>22500</v>
      </c>
      <c r="O710" s="111">
        <f t="shared" si="103"/>
        <v>4500</v>
      </c>
      <c r="P710" s="111">
        <f t="shared" si="104"/>
        <v>5000</v>
      </c>
      <c r="Q710" s="111">
        <v>10000</v>
      </c>
      <c r="R710" s="111">
        <v>1</v>
      </c>
      <c r="S710" s="111">
        <f t="shared" si="105"/>
        <v>1000</v>
      </c>
      <c r="T710" s="111">
        <f t="shared" si="106"/>
        <v>60000</v>
      </c>
      <c r="U710" s="111">
        <f t="shared" si="107"/>
        <v>600</v>
      </c>
      <c r="V710" s="111">
        <f t="shared" si="108"/>
        <v>60600</v>
      </c>
      <c r="W710" t="s">
        <v>3169</v>
      </c>
    </row>
    <row r="711" spans="1:23" x14ac:dyDescent="0.3">
      <c r="A711" s="110">
        <v>909601</v>
      </c>
      <c r="B711" s="110" t="s">
        <v>852</v>
      </c>
      <c r="C711" s="110" t="s">
        <v>915</v>
      </c>
      <c r="D711" s="110" t="s">
        <v>915</v>
      </c>
      <c r="E711" s="110" t="s">
        <v>178</v>
      </c>
      <c r="F711" s="110" t="s">
        <v>119</v>
      </c>
      <c r="G711" s="110" t="s">
        <v>114</v>
      </c>
      <c r="H711" s="111">
        <v>504</v>
      </c>
      <c r="I711" s="111">
        <v>507</v>
      </c>
      <c r="J711" s="111">
        <v>499</v>
      </c>
      <c r="K711" s="111">
        <f t="shared" si="100"/>
        <v>503.33333333333331</v>
      </c>
      <c r="L711" s="111">
        <f>300000</f>
        <v>300000</v>
      </c>
      <c r="M711" s="111">
        <f t="shared" si="101"/>
        <v>135000</v>
      </c>
      <c r="N711" s="111">
        <f t="shared" si="102"/>
        <v>135000</v>
      </c>
      <c r="O711" s="111">
        <f t="shared" si="103"/>
        <v>27000</v>
      </c>
      <c r="P711" s="111">
        <f t="shared" si="104"/>
        <v>30000</v>
      </c>
      <c r="Q711" s="111">
        <v>60000</v>
      </c>
      <c r="R711" s="111">
        <v>6</v>
      </c>
      <c r="S711" s="111">
        <f t="shared" si="105"/>
        <v>6000</v>
      </c>
      <c r="T711" s="111">
        <f t="shared" si="106"/>
        <v>360000</v>
      </c>
      <c r="U711" s="111">
        <f t="shared" si="107"/>
        <v>3600</v>
      </c>
      <c r="V711" s="111">
        <f t="shared" si="108"/>
        <v>363600</v>
      </c>
      <c r="W711" t="s">
        <v>3170</v>
      </c>
    </row>
    <row r="712" spans="1:23" x14ac:dyDescent="0.3">
      <c r="A712" s="110">
        <v>909603</v>
      </c>
      <c r="B712" s="110" t="s">
        <v>852</v>
      </c>
      <c r="C712" s="110" t="s">
        <v>915</v>
      </c>
      <c r="D712" s="110" t="s">
        <v>915</v>
      </c>
      <c r="E712" s="110" t="s">
        <v>916</v>
      </c>
      <c r="F712" s="110" t="s">
        <v>117</v>
      </c>
      <c r="G712" s="110" t="s">
        <v>125</v>
      </c>
      <c r="H712" s="111">
        <v>127</v>
      </c>
      <c r="I712" s="111">
        <v>134</v>
      </c>
      <c r="J712" s="111">
        <v>125</v>
      </c>
      <c r="K712" s="111">
        <f t="shared" si="100"/>
        <v>128.66666666666666</v>
      </c>
      <c r="L712" s="111">
        <v>150000</v>
      </c>
      <c r="M712" s="111">
        <f t="shared" si="101"/>
        <v>67500</v>
      </c>
      <c r="N712" s="111">
        <f t="shared" si="102"/>
        <v>67500</v>
      </c>
      <c r="O712" s="111">
        <f t="shared" si="103"/>
        <v>13500</v>
      </c>
      <c r="P712" s="111">
        <f t="shared" si="104"/>
        <v>15000</v>
      </c>
      <c r="Q712" s="111">
        <v>30000</v>
      </c>
      <c r="R712" s="111">
        <v>3</v>
      </c>
      <c r="S712" s="111">
        <f t="shared" si="105"/>
        <v>3000</v>
      </c>
      <c r="T712" s="111">
        <f t="shared" si="106"/>
        <v>180000</v>
      </c>
      <c r="U712" s="111">
        <f t="shared" si="107"/>
        <v>1800</v>
      </c>
      <c r="V712" s="111">
        <f t="shared" si="108"/>
        <v>181800</v>
      </c>
      <c r="W712" t="s">
        <v>3171</v>
      </c>
    </row>
    <row r="713" spans="1:23" x14ac:dyDescent="0.3">
      <c r="A713" s="110">
        <v>909604</v>
      </c>
      <c r="B713" s="110" t="s">
        <v>852</v>
      </c>
      <c r="C713" s="110" t="s">
        <v>915</v>
      </c>
      <c r="D713" s="110" t="s">
        <v>917</v>
      </c>
      <c r="E713" s="110" t="s">
        <v>406</v>
      </c>
      <c r="F713" s="110" t="s">
        <v>113</v>
      </c>
      <c r="G713" s="110" t="s">
        <v>114</v>
      </c>
      <c r="H713" s="111">
        <v>38</v>
      </c>
      <c r="I713" s="111">
        <v>39</v>
      </c>
      <c r="J713" s="111">
        <v>33</v>
      </c>
      <c r="K713" s="111">
        <f t="shared" si="100"/>
        <v>36.666666666666664</v>
      </c>
      <c r="L713" s="111">
        <v>50000</v>
      </c>
      <c r="M713" s="111">
        <f t="shared" si="101"/>
        <v>22500</v>
      </c>
      <c r="N713" s="111">
        <f t="shared" si="102"/>
        <v>22500</v>
      </c>
      <c r="O713" s="111">
        <f t="shared" si="103"/>
        <v>4500</v>
      </c>
      <c r="P713" s="111">
        <f t="shared" si="104"/>
        <v>5000</v>
      </c>
      <c r="Q713" s="111">
        <v>10000</v>
      </c>
      <c r="R713" s="111">
        <v>1</v>
      </c>
      <c r="S713" s="111">
        <f t="shared" si="105"/>
        <v>1000</v>
      </c>
      <c r="T713" s="111">
        <f t="shared" si="106"/>
        <v>60000</v>
      </c>
      <c r="U713" s="111">
        <f t="shared" si="107"/>
        <v>600</v>
      </c>
      <c r="V713" s="111">
        <f t="shared" si="108"/>
        <v>60600</v>
      </c>
      <c r="W713" t="s">
        <v>3172</v>
      </c>
    </row>
    <row r="714" spans="1:23" x14ac:dyDescent="0.3">
      <c r="A714" s="110">
        <v>909605</v>
      </c>
      <c r="B714" s="110" t="s">
        <v>852</v>
      </c>
      <c r="C714" s="110" t="s">
        <v>915</v>
      </c>
      <c r="D714" s="110" t="s">
        <v>918</v>
      </c>
      <c r="E714" s="110" t="s">
        <v>406</v>
      </c>
      <c r="F714" s="110" t="s">
        <v>113</v>
      </c>
      <c r="G714" s="110" t="s">
        <v>114</v>
      </c>
      <c r="H714" s="111">
        <v>28</v>
      </c>
      <c r="I714" s="111">
        <v>30</v>
      </c>
      <c r="J714" s="111">
        <v>28</v>
      </c>
      <c r="K714" s="111">
        <f t="shared" si="100"/>
        <v>28.666666666666668</v>
      </c>
      <c r="L714" s="111">
        <v>50000</v>
      </c>
      <c r="M714" s="111">
        <f t="shared" si="101"/>
        <v>22500</v>
      </c>
      <c r="N714" s="111">
        <f t="shared" si="102"/>
        <v>22500</v>
      </c>
      <c r="O714" s="111">
        <f t="shared" si="103"/>
        <v>4500</v>
      </c>
      <c r="P714" s="111">
        <f t="shared" si="104"/>
        <v>5000</v>
      </c>
      <c r="Q714" s="111">
        <v>10000</v>
      </c>
      <c r="R714" s="111">
        <v>1</v>
      </c>
      <c r="S714" s="111">
        <f t="shared" si="105"/>
        <v>1000</v>
      </c>
      <c r="T714" s="111">
        <f t="shared" si="106"/>
        <v>60000</v>
      </c>
      <c r="U714" s="111">
        <f t="shared" si="107"/>
        <v>600</v>
      </c>
      <c r="V714" s="111">
        <f t="shared" si="108"/>
        <v>60600</v>
      </c>
      <c r="W714" t="s">
        <v>3173</v>
      </c>
    </row>
    <row r="715" spans="1:23" x14ac:dyDescent="0.3">
      <c r="A715" s="110">
        <v>909608</v>
      </c>
      <c r="B715" s="110" t="s">
        <v>852</v>
      </c>
      <c r="C715" s="110" t="s">
        <v>915</v>
      </c>
      <c r="D715" s="110" t="s">
        <v>915</v>
      </c>
      <c r="E715" s="110" t="s">
        <v>399</v>
      </c>
      <c r="F715" s="110" t="s">
        <v>113</v>
      </c>
      <c r="G715" s="110" t="s">
        <v>114</v>
      </c>
      <c r="H715" s="111">
        <v>321</v>
      </c>
      <c r="I715" s="111">
        <v>286</v>
      </c>
      <c r="J715" s="111">
        <v>273</v>
      </c>
      <c r="K715" s="111">
        <f t="shared" si="100"/>
        <v>293.33333333333331</v>
      </c>
      <c r="L715" s="111">
        <v>200000</v>
      </c>
      <c r="M715" s="111">
        <f t="shared" si="101"/>
        <v>90000</v>
      </c>
      <c r="N715" s="111">
        <f t="shared" si="102"/>
        <v>90000</v>
      </c>
      <c r="O715" s="111">
        <f t="shared" si="103"/>
        <v>18000</v>
      </c>
      <c r="P715" s="111">
        <f t="shared" si="104"/>
        <v>20000</v>
      </c>
      <c r="Q715" s="111">
        <v>50000</v>
      </c>
      <c r="R715" s="111">
        <v>5</v>
      </c>
      <c r="S715" s="111">
        <f t="shared" si="105"/>
        <v>5000</v>
      </c>
      <c r="T715" s="111">
        <f t="shared" si="106"/>
        <v>250000</v>
      </c>
      <c r="U715" s="111">
        <f t="shared" si="107"/>
        <v>2500</v>
      </c>
      <c r="V715" s="111">
        <f t="shared" si="108"/>
        <v>252500</v>
      </c>
      <c r="W715" t="s">
        <v>3174</v>
      </c>
    </row>
    <row r="716" spans="1:23" x14ac:dyDescent="0.3">
      <c r="A716" s="110">
        <v>909609</v>
      </c>
      <c r="B716" s="110" t="s">
        <v>852</v>
      </c>
      <c r="C716" s="110" t="s">
        <v>915</v>
      </c>
      <c r="D716" s="110" t="s">
        <v>919</v>
      </c>
      <c r="E716" s="110" t="s">
        <v>201</v>
      </c>
      <c r="F716" s="110" t="s">
        <v>113</v>
      </c>
      <c r="G716" s="110" t="s">
        <v>114</v>
      </c>
      <c r="H716" s="111">
        <v>40</v>
      </c>
      <c r="I716" s="111">
        <v>37</v>
      </c>
      <c r="J716" s="111">
        <v>31</v>
      </c>
      <c r="K716" s="111">
        <f t="shared" si="100"/>
        <v>36</v>
      </c>
      <c r="L716" s="111">
        <v>50000</v>
      </c>
      <c r="M716" s="111">
        <f t="shared" si="101"/>
        <v>22500</v>
      </c>
      <c r="N716" s="111">
        <f t="shared" si="102"/>
        <v>22500</v>
      </c>
      <c r="O716" s="111">
        <f t="shared" si="103"/>
        <v>4500</v>
      </c>
      <c r="P716" s="111">
        <f t="shared" si="104"/>
        <v>5000</v>
      </c>
      <c r="Q716" s="111">
        <v>10000</v>
      </c>
      <c r="R716" s="111">
        <v>1</v>
      </c>
      <c r="S716" s="111">
        <f t="shared" si="105"/>
        <v>1000</v>
      </c>
      <c r="T716" s="111">
        <f t="shared" si="106"/>
        <v>60000</v>
      </c>
      <c r="U716" s="111">
        <f t="shared" si="107"/>
        <v>600</v>
      </c>
      <c r="V716" s="111">
        <f t="shared" si="108"/>
        <v>60600</v>
      </c>
      <c r="W716" t="s">
        <v>3175</v>
      </c>
    </row>
    <row r="717" spans="1:23" x14ac:dyDescent="0.3">
      <c r="A717" s="110">
        <v>909612</v>
      </c>
      <c r="B717" s="110" t="s">
        <v>852</v>
      </c>
      <c r="C717" s="110" t="s">
        <v>915</v>
      </c>
      <c r="D717" s="110" t="s">
        <v>920</v>
      </c>
      <c r="E717" s="110" t="s">
        <v>319</v>
      </c>
      <c r="F717" s="110" t="s">
        <v>113</v>
      </c>
      <c r="G717" s="110" t="s">
        <v>114</v>
      </c>
      <c r="H717" s="111">
        <v>38</v>
      </c>
      <c r="I717" s="111">
        <v>36</v>
      </c>
      <c r="J717" s="111">
        <v>32</v>
      </c>
      <c r="K717" s="111">
        <f t="shared" si="100"/>
        <v>35.333333333333336</v>
      </c>
      <c r="L717" s="111">
        <v>50000</v>
      </c>
      <c r="M717" s="111">
        <f t="shared" si="101"/>
        <v>22500</v>
      </c>
      <c r="N717" s="111">
        <f t="shared" si="102"/>
        <v>22500</v>
      </c>
      <c r="O717" s="111">
        <f t="shared" si="103"/>
        <v>4500</v>
      </c>
      <c r="P717" s="111">
        <f t="shared" si="104"/>
        <v>5000</v>
      </c>
      <c r="Q717" s="111">
        <v>10000</v>
      </c>
      <c r="R717" s="111">
        <v>1</v>
      </c>
      <c r="S717" s="111">
        <f t="shared" si="105"/>
        <v>1000</v>
      </c>
      <c r="T717" s="111">
        <f t="shared" si="106"/>
        <v>60000</v>
      </c>
      <c r="U717" s="111">
        <f t="shared" si="107"/>
        <v>600</v>
      </c>
      <c r="V717" s="111">
        <f t="shared" si="108"/>
        <v>60600</v>
      </c>
      <c r="W717" t="s">
        <v>3176</v>
      </c>
    </row>
    <row r="718" spans="1:23" x14ac:dyDescent="0.3">
      <c r="A718" s="110">
        <v>909701</v>
      </c>
      <c r="B718" s="110" t="s">
        <v>852</v>
      </c>
      <c r="C718" s="110" t="s">
        <v>921</v>
      </c>
      <c r="D718" s="110" t="s">
        <v>921</v>
      </c>
      <c r="E718" s="110" t="s">
        <v>286</v>
      </c>
      <c r="F718" s="110" t="s">
        <v>119</v>
      </c>
      <c r="G718" s="110" t="s">
        <v>114</v>
      </c>
      <c r="H718" s="111">
        <v>486</v>
      </c>
      <c r="I718" s="111">
        <v>493</v>
      </c>
      <c r="J718" s="111">
        <v>478</v>
      </c>
      <c r="K718" s="111">
        <f t="shared" si="100"/>
        <v>485.66666666666669</v>
      </c>
      <c r="L718" s="111">
        <f>300000</f>
        <v>300000</v>
      </c>
      <c r="M718" s="111">
        <f t="shared" si="101"/>
        <v>135000</v>
      </c>
      <c r="N718" s="111">
        <f t="shared" si="102"/>
        <v>135000</v>
      </c>
      <c r="O718" s="111">
        <f t="shared" si="103"/>
        <v>27000</v>
      </c>
      <c r="P718" s="111">
        <f t="shared" si="104"/>
        <v>30000</v>
      </c>
      <c r="Q718" s="111">
        <v>60000</v>
      </c>
      <c r="R718" s="111">
        <v>6</v>
      </c>
      <c r="S718" s="111">
        <f t="shared" si="105"/>
        <v>6000</v>
      </c>
      <c r="T718" s="111">
        <f t="shared" si="106"/>
        <v>360000</v>
      </c>
      <c r="U718" s="111">
        <f t="shared" si="107"/>
        <v>3600</v>
      </c>
      <c r="V718" s="111">
        <f t="shared" si="108"/>
        <v>363600</v>
      </c>
      <c r="W718" t="s">
        <v>3177</v>
      </c>
    </row>
    <row r="719" spans="1:23" x14ac:dyDescent="0.3">
      <c r="A719" s="110">
        <v>909703</v>
      </c>
      <c r="B719" s="110" t="s">
        <v>852</v>
      </c>
      <c r="C719" s="110" t="s">
        <v>921</v>
      </c>
      <c r="D719" s="110" t="s">
        <v>758</v>
      </c>
      <c r="E719" s="110" t="s">
        <v>184</v>
      </c>
      <c r="F719" s="110" t="s">
        <v>113</v>
      </c>
      <c r="G719" s="110" t="s">
        <v>114</v>
      </c>
      <c r="H719" s="111">
        <v>34</v>
      </c>
      <c r="I719" s="111">
        <v>27</v>
      </c>
      <c r="J719" s="111">
        <v>20</v>
      </c>
      <c r="K719" s="111">
        <f t="shared" si="100"/>
        <v>27</v>
      </c>
      <c r="L719" s="111">
        <v>50000</v>
      </c>
      <c r="M719" s="111">
        <f t="shared" si="101"/>
        <v>22500</v>
      </c>
      <c r="N719" s="111">
        <f t="shared" si="102"/>
        <v>22500</v>
      </c>
      <c r="O719" s="111">
        <f t="shared" si="103"/>
        <v>4500</v>
      </c>
      <c r="P719" s="111">
        <f t="shared" si="104"/>
        <v>5000</v>
      </c>
      <c r="Q719" s="111">
        <v>10000</v>
      </c>
      <c r="R719" s="111">
        <v>1</v>
      </c>
      <c r="S719" s="111">
        <f t="shared" si="105"/>
        <v>1000</v>
      </c>
      <c r="T719" s="111">
        <f t="shared" si="106"/>
        <v>60000</v>
      </c>
      <c r="U719" s="111">
        <f t="shared" si="107"/>
        <v>600</v>
      </c>
      <c r="V719" s="111">
        <f t="shared" si="108"/>
        <v>60600</v>
      </c>
      <c r="W719" t="s">
        <v>3178</v>
      </c>
    </row>
    <row r="720" spans="1:23" x14ac:dyDescent="0.3">
      <c r="A720" s="110">
        <v>909705</v>
      </c>
      <c r="B720" s="110" t="s">
        <v>852</v>
      </c>
      <c r="C720" s="110" t="s">
        <v>921</v>
      </c>
      <c r="D720" s="110" t="s">
        <v>922</v>
      </c>
      <c r="E720" s="110" t="s">
        <v>373</v>
      </c>
      <c r="F720" s="110" t="s">
        <v>113</v>
      </c>
      <c r="G720" s="110" t="s">
        <v>114</v>
      </c>
      <c r="H720" s="111">
        <v>56</v>
      </c>
      <c r="I720" s="111">
        <v>53</v>
      </c>
      <c r="J720" s="111">
        <v>49</v>
      </c>
      <c r="K720" s="111">
        <f t="shared" si="100"/>
        <v>52.666666666666664</v>
      </c>
      <c r="L720" s="111">
        <v>150000</v>
      </c>
      <c r="M720" s="111">
        <f t="shared" si="101"/>
        <v>67500</v>
      </c>
      <c r="N720" s="111">
        <f t="shared" si="102"/>
        <v>67500</v>
      </c>
      <c r="O720" s="111">
        <f t="shared" si="103"/>
        <v>13500</v>
      </c>
      <c r="P720" s="111">
        <f t="shared" si="104"/>
        <v>15000</v>
      </c>
      <c r="Q720" s="111">
        <v>30000</v>
      </c>
      <c r="R720" s="111">
        <v>3</v>
      </c>
      <c r="S720" s="111">
        <f t="shared" si="105"/>
        <v>3000</v>
      </c>
      <c r="T720" s="111">
        <f t="shared" si="106"/>
        <v>180000</v>
      </c>
      <c r="U720" s="111">
        <f t="shared" si="107"/>
        <v>1800</v>
      </c>
      <c r="V720" s="111">
        <f t="shared" si="108"/>
        <v>181800</v>
      </c>
      <c r="W720" t="s">
        <v>3179</v>
      </c>
    </row>
    <row r="721" spans="1:23" x14ac:dyDescent="0.3">
      <c r="A721" s="110">
        <v>909706</v>
      </c>
      <c r="B721" s="110" t="s">
        <v>852</v>
      </c>
      <c r="C721" s="110" t="s">
        <v>921</v>
      </c>
      <c r="D721" s="110" t="s">
        <v>923</v>
      </c>
      <c r="E721" s="110" t="s">
        <v>406</v>
      </c>
      <c r="F721" s="110" t="s">
        <v>113</v>
      </c>
      <c r="G721" s="110" t="s">
        <v>114</v>
      </c>
      <c r="H721" s="111">
        <v>24</v>
      </c>
      <c r="I721" s="111">
        <v>25</v>
      </c>
      <c r="J721" s="111">
        <v>24</v>
      </c>
      <c r="K721" s="111">
        <f t="shared" si="100"/>
        <v>24.333333333333332</v>
      </c>
      <c r="L721" s="111">
        <v>50000</v>
      </c>
      <c r="M721" s="111">
        <f t="shared" si="101"/>
        <v>22500</v>
      </c>
      <c r="N721" s="111">
        <f t="shared" si="102"/>
        <v>22500</v>
      </c>
      <c r="O721" s="111">
        <f t="shared" si="103"/>
        <v>4500</v>
      </c>
      <c r="P721" s="111">
        <f t="shared" si="104"/>
        <v>5000</v>
      </c>
      <c r="Q721" s="111">
        <v>10000</v>
      </c>
      <c r="R721" s="111">
        <v>1</v>
      </c>
      <c r="S721" s="111">
        <f t="shared" si="105"/>
        <v>1000</v>
      </c>
      <c r="T721" s="111">
        <f t="shared" si="106"/>
        <v>60000</v>
      </c>
      <c r="U721" s="111">
        <f t="shared" si="107"/>
        <v>600</v>
      </c>
      <c r="V721" s="111">
        <f t="shared" si="108"/>
        <v>60600</v>
      </c>
      <c r="W721" t="s">
        <v>3180</v>
      </c>
    </row>
    <row r="722" spans="1:23" x14ac:dyDescent="0.3">
      <c r="A722" s="110">
        <v>909708</v>
      </c>
      <c r="B722" s="110" t="s">
        <v>852</v>
      </c>
      <c r="C722" s="110" t="s">
        <v>921</v>
      </c>
      <c r="D722" s="110" t="s">
        <v>924</v>
      </c>
      <c r="E722" s="110" t="s">
        <v>406</v>
      </c>
      <c r="F722" s="110" t="s">
        <v>113</v>
      </c>
      <c r="G722" s="110" t="s">
        <v>114</v>
      </c>
      <c r="H722" s="111">
        <v>14</v>
      </c>
      <c r="I722" s="111">
        <v>9</v>
      </c>
      <c r="J722" s="111">
        <v>6</v>
      </c>
      <c r="K722" s="111">
        <f t="shared" si="100"/>
        <v>9.6666666666666661</v>
      </c>
      <c r="L722" s="111">
        <v>50000</v>
      </c>
      <c r="M722" s="111">
        <f t="shared" si="101"/>
        <v>22500</v>
      </c>
      <c r="N722" s="111">
        <f t="shared" si="102"/>
        <v>22500</v>
      </c>
      <c r="O722" s="111">
        <f t="shared" si="103"/>
        <v>4500</v>
      </c>
      <c r="P722" s="111">
        <f t="shared" si="104"/>
        <v>5000</v>
      </c>
      <c r="Q722" s="111">
        <v>10000</v>
      </c>
      <c r="R722" s="111">
        <v>1</v>
      </c>
      <c r="S722" s="111">
        <f t="shared" si="105"/>
        <v>1000</v>
      </c>
      <c r="T722" s="111">
        <f t="shared" si="106"/>
        <v>60000</v>
      </c>
      <c r="U722" s="111">
        <f t="shared" si="107"/>
        <v>600</v>
      </c>
      <c r="V722" s="111">
        <f t="shared" si="108"/>
        <v>60600</v>
      </c>
      <c r="W722" t="s">
        <v>3181</v>
      </c>
    </row>
    <row r="723" spans="1:23" x14ac:dyDescent="0.3">
      <c r="A723" s="110">
        <v>1000002</v>
      </c>
      <c r="B723" s="110" t="s">
        <v>925</v>
      </c>
      <c r="C723" s="110" t="s">
        <v>925</v>
      </c>
      <c r="D723" s="110" t="s">
        <v>925</v>
      </c>
      <c r="E723" s="110" t="s">
        <v>926</v>
      </c>
      <c r="F723" s="110" t="s">
        <v>117</v>
      </c>
      <c r="G723" s="110" t="s">
        <v>114</v>
      </c>
      <c r="H723" s="111">
        <v>89</v>
      </c>
      <c r="I723" s="111">
        <v>96</v>
      </c>
      <c r="J723" s="111">
        <v>115</v>
      </c>
      <c r="K723" s="111">
        <f t="shared" si="100"/>
        <v>100</v>
      </c>
      <c r="L723" s="111">
        <v>150000</v>
      </c>
      <c r="M723" s="111">
        <f t="shared" si="101"/>
        <v>67500</v>
      </c>
      <c r="N723" s="111">
        <f t="shared" si="102"/>
        <v>67500</v>
      </c>
      <c r="O723" s="111">
        <f t="shared" si="103"/>
        <v>13500</v>
      </c>
      <c r="P723" s="111">
        <f t="shared" si="104"/>
        <v>15000</v>
      </c>
      <c r="Q723" s="111">
        <v>30000</v>
      </c>
      <c r="R723" s="111">
        <v>3</v>
      </c>
      <c r="S723" s="111">
        <f t="shared" si="105"/>
        <v>3000</v>
      </c>
      <c r="T723" s="111">
        <f t="shared" si="106"/>
        <v>180000</v>
      </c>
      <c r="U723" s="111">
        <f t="shared" si="107"/>
        <v>1800</v>
      </c>
      <c r="V723" s="111">
        <f t="shared" si="108"/>
        <v>181800</v>
      </c>
      <c r="W723" t="s">
        <v>3182</v>
      </c>
    </row>
    <row r="724" spans="1:23" x14ac:dyDescent="0.3">
      <c r="A724" s="110">
        <v>1000004</v>
      </c>
      <c r="B724" s="110" t="s">
        <v>925</v>
      </c>
      <c r="C724" s="110" t="s">
        <v>927</v>
      </c>
      <c r="D724" s="110" t="s">
        <v>927</v>
      </c>
      <c r="E724" s="110" t="s">
        <v>184</v>
      </c>
      <c r="F724" s="110" t="s">
        <v>113</v>
      </c>
      <c r="G724" s="110" t="s">
        <v>114</v>
      </c>
      <c r="H724" s="111">
        <v>177</v>
      </c>
      <c r="I724" s="111">
        <v>168</v>
      </c>
      <c r="J724" s="111">
        <v>171</v>
      </c>
      <c r="K724" s="111">
        <f t="shared" si="100"/>
        <v>172</v>
      </c>
      <c r="L724" s="111">
        <v>150000</v>
      </c>
      <c r="M724" s="111">
        <f t="shared" si="101"/>
        <v>67500</v>
      </c>
      <c r="N724" s="111">
        <f t="shared" si="102"/>
        <v>67500</v>
      </c>
      <c r="O724" s="111">
        <f t="shared" si="103"/>
        <v>13500</v>
      </c>
      <c r="P724" s="111">
        <f t="shared" si="104"/>
        <v>15000</v>
      </c>
      <c r="Q724" s="111">
        <v>30000</v>
      </c>
      <c r="R724" s="111">
        <v>3</v>
      </c>
      <c r="S724" s="111">
        <f t="shared" si="105"/>
        <v>3000</v>
      </c>
      <c r="T724" s="111">
        <f t="shared" si="106"/>
        <v>180000</v>
      </c>
      <c r="U724" s="111">
        <f t="shared" si="107"/>
        <v>1800</v>
      </c>
      <c r="V724" s="111">
        <f t="shared" si="108"/>
        <v>181800</v>
      </c>
      <c r="W724" t="s">
        <v>3183</v>
      </c>
    </row>
    <row r="725" spans="1:23" x14ac:dyDescent="0.3">
      <c r="A725" s="110">
        <v>1000007</v>
      </c>
      <c r="B725" s="110" t="s">
        <v>925</v>
      </c>
      <c r="C725" s="110" t="s">
        <v>928</v>
      </c>
      <c r="D725" s="110" t="s">
        <v>928</v>
      </c>
      <c r="E725" s="110" t="s">
        <v>186</v>
      </c>
      <c r="F725" s="110" t="s">
        <v>113</v>
      </c>
      <c r="G725" s="110" t="s">
        <v>114</v>
      </c>
      <c r="H725" s="111">
        <v>32</v>
      </c>
      <c r="I725" s="111">
        <v>34</v>
      </c>
      <c r="J725" s="111">
        <v>32</v>
      </c>
      <c r="K725" s="111">
        <f t="shared" si="100"/>
        <v>32.666666666666664</v>
      </c>
      <c r="L725" s="111">
        <v>50000</v>
      </c>
      <c r="M725" s="111">
        <f t="shared" si="101"/>
        <v>22500</v>
      </c>
      <c r="N725" s="111">
        <f t="shared" si="102"/>
        <v>22500</v>
      </c>
      <c r="O725" s="111">
        <f t="shared" si="103"/>
        <v>4500</v>
      </c>
      <c r="P725" s="111">
        <f t="shared" si="104"/>
        <v>5000</v>
      </c>
      <c r="Q725" s="111">
        <v>10000</v>
      </c>
      <c r="R725" s="111">
        <v>1</v>
      </c>
      <c r="S725" s="111">
        <f t="shared" si="105"/>
        <v>1000</v>
      </c>
      <c r="T725" s="111">
        <f t="shared" si="106"/>
        <v>60000</v>
      </c>
      <c r="U725" s="111">
        <f t="shared" si="107"/>
        <v>600</v>
      </c>
      <c r="V725" s="111">
        <f t="shared" si="108"/>
        <v>60600</v>
      </c>
      <c r="W725" t="s">
        <v>3184</v>
      </c>
    </row>
    <row r="726" spans="1:23" x14ac:dyDescent="0.3">
      <c r="A726" s="110">
        <v>1000009</v>
      </c>
      <c r="B726" s="110" t="s">
        <v>925</v>
      </c>
      <c r="C726" s="110" t="s">
        <v>929</v>
      </c>
      <c r="D726" s="110" t="s">
        <v>929</v>
      </c>
      <c r="E726" s="110" t="s">
        <v>272</v>
      </c>
      <c r="F726" s="110" t="s">
        <v>119</v>
      </c>
      <c r="G726" s="110" t="s">
        <v>114</v>
      </c>
      <c r="H726" s="111">
        <v>469</v>
      </c>
      <c r="I726" s="111">
        <v>471</v>
      </c>
      <c r="J726" s="111">
        <v>461</v>
      </c>
      <c r="K726" s="111">
        <f t="shared" si="100"/>
        <v>467</v>
      </c>
      <c r="L726" s="111">
        <f>300000</f>
        <v>300000</v>
      </c>
      <c r="M726" s="111">
        <f t="shared" si="101"/>
        <v>135000</v>
      </c>
      <c r="N726" s="111">
        <f t="shared" si="102"/>
        <v>135000</v>
      </c>
      <c r="O726" s="111">
        <f t="shared" si="103"/>
        <v>27000</v>
      </c>
      <c r="P726" s="111">
        <f t="shared" si="104"/>
        <v>30000</v>
      </c>
      <c r="Q726" s="111">
        <v>60000</v>
      </c>
      <c r="R726" s="111">
        <v>6</v>
      </c>
      <c r="S726" s="111">
        <f t="shared" si="105"/>
        <v>6000</v>
      </c>
      <c r="T726" s="111">
        <f t="shared" si="106"/>
        <v>360000</v>
      </c>
      <c r="U726" s="111">
        <f t="shared" si="107"/>
        <v>3600</v>
      </c>
      <c r="V726" s="111">
        <f t="shared" si="108"/>
        <v>363600</v>
      </c>
      <c r="W726" t="s">
        <v>3185</v>
      </c>
    </row>
    <row r="727" spans="1:23" x14ac:dyDescent="0.3">
      <c r="A727" s="110">
        <v>1000015</v>
      </c>
      <c r="B727" s="110" t="s">
        <v>925</v>
      </c>
      <c r="C727" s="110" t="s">
        <v>930</v>
      </c>
      <c r="D727" s="110" t="s">
        <v>930</v>
      </c>
      <c r="E727" s="110" t="s">
        <v>406</v>
      </c>
      <c r="F727" s="110" t="s">
        <v>113</v>
      </c>
      <c r="G727" s="110" t="s">
        <v>114</v>
      </c>
      <c r="H727" s="111">
        <v>172</v>
      </c>
      <c r="I727" s="111">
        <v>177</v>
      </c>
      <c r="J727" s="111">
        <v>170</v>
      </c>
      <c r="K727" s="111">
        <f t="shared" si="100"/>
        <v>173</v>
      </c>
      <c r="L727" s="111">
        <v>150000</v>
      </c>
      <c r="M727" s="111">
        <f t="shared" si="101"/>
        <v>67500</v>
      </c>
      <c r="N727" s="111">
        <f t="shared" si="102"/>
        <v>67500</v>
      </c>
      <c r="O727" s="111">
        <f t="shared" si="103"/>
        <v>13500</v>
      </c>
      <c r="P727" s="111">
        <f t="shared" si="104"/>
        <v>15000</v>
      </c>
      <c r="Q727" s="111">
        <v>30000</v>
      </c>
      <c r="R727" s="111">
        <v>3</v>
      </c>
      <c r="S727" s="111">
        <f t="shared" si="105"/>
        <v>3000</v>
      </c>
      <c r="T727" s="111">
        <f t="shared" si="106"/>
        <v>180000</v>
      </c>
      <c r="U727" s="111">
        <f t="shared" si="107"/>
        <v>1800</v>
      </c>
      <c r="V727" s="111">
        <f t="shared" si="108"/>
        <v>181800</v>
      </c>
      <c r="W727" t="s">
        <v>3186</v>
      </c>
    </row>
    <row r="728" spans="1:23" x14ac:dyDescent="0.3">
      <c r="A728" s="110">
        <v>1000016</v>
      </c>
      <c r="B728" s="110" t="s">
        <v>925</v>
      </c>
      <c r="C728" s="110" t="s">
        <v>930</v>
      </c>
      <c r="D728" s="110" t="s">
        <v>930</v>
      </c>
      <c r="E728" s="110" t="s">
        <v>272</v>
      </c>
      <c r="F728" s="110" t="s">
        <v>119</v>
      </c>
      <c r="G728" s="110" t="s">
        <v>114</v>
      </c>
      <c r="H728" s="111">
        <v>191</v>
      </c>
      <c r="I728" s="111">
        <v>186</v>
      </c>
      <c r="J728" s="111">
        <v>184</v>
      </c>
      <c r="K728" s="111">
        <f t="shared" si="100"/>
        <v>187</v>
      </c>
      <c r="L728" s="111">
        <f>150000*0.7</f>
        <v>105000</v>
      </c>
      <c r="M728" s="111">
        <f t="shared" si="101"/>
        <v>47250</v>
      </c>
      <c r="N728" s="111">
        <f t="shared" si="102"/>
        <v>47250</v>
      </c>
      <c r="O728" s="111">
        <f t="shared" si="103"/>
        <v>9450</v>
      </c>
      <c r="P728" s="111">
        <f t="shared" si="104"/>
        <v>10500</v>
      </c>
      <c r="Q728" s="111">
        <v>30000</v>
      </c>
      <c r="R728" s="111">
        <v>3</v>
      </c>
      <c r="S728" s="111">
        <f t="shared" si="105"/>
        <v>3000</v>
      </c>
      <c r="T728" s="111">
        <f t="shared" si="106"/>
        <v>135000</v>
      </c>
      <c r="U728" s="111">
        <f t="shared" si="107"/>
        <v>1350</v>
      </c>
      <c r="V728" s="111">
        <f t="shared" si="108"/>
        <v>136350</v>
      </c>
      <c r="W728" t="s">
        <v>3187</v>
      </c>
    </row>
    <row r="729" spans="1:23" x14ac:dyDescent="0.3">
      <c r="A729" s="110">
        <v>1000021</v>
      </c>
      <c r="B729" s="110" t="s">
        <v>925</v>
      </c>
      <c r="C729" s="110" t="s">
        <v>931</v>
      </c>
      <c r="D729" s="110" t="s">
        <v>931</v>
      </c>
      <c r="E729" s="110" t="s">
        <v>482</v>
      </c>
      <c r="F729" s="110" t="s">
        <v>113</v>
      </c>
      <c r="G729" s="110" t="s">
        <v>114</v>
      </c>
      <c r="H729" s="111">
        <v>58</v>
      </c>
      <c r="I729" s="111">
        <v>59</v>
      </c>
      <c r="J729" s="111">
        <v>59</v>
      </c>
      <c r="K729" s="111">
        <f t="shared" si="100"/>
        <v>58.666666666666664</v>
      </c>
      <c r="L729" s="111">
        <v>150000</v>
      </c>
      <c r="M729" s="111">
        <f t="shared" si="101"/>
        <v>67500</v>
      </c>
      <c r="N729" s="111">
        <f t="shared" si="102"/>
        <v>67500</v>
      </c>
      <c r="O729" s="111">
        <f t="shared" si="103"/>
        <v>13500</v>
      </c>
      <c r="P729" s="111">
        <f t="shared" si="104"/>
        <v>15000</v>
      </c>
      <c r="Q729" s="111">
        <v>30000</v>
      </c>
      <c r="R729" s="111">
        <v>3</v>
      </c>
      <c r="S729" s="111">
        <f t="shared" si="105"/>
        <v>3000</v>
      </c>
      <c r="T729" s="111">
        <f t="shared" si="106"/>
        <v>180000</v>
      </c>
      <c r="U729" s="111">
        <f t="shared" si="107"/>
        <v>1800</v>
      </c>
      <c r="V729" s="111">
        <f t="shared" si="108"/>
        <v>181800</v>
      </c>
      <c r="W729" t="s">
        <v>3188</v>
      </c>
    </row>
    <row r="730" spans="1:23" x14ac:dyDescent="0.3">
      <c r="A730" s="110">
        <v>1000025</v>
      </c>
      <c r="B730" s="110" t="s">
        <v>925</v>
      </c>
      <c r="C730" s="110" t="s">
        <v>932</v>
      </c>
      <c r="D730" s="110" t="s">
        <v>932</v>
      </c>
      <c r="E730" s="110" t="s">
        <v>272</v>
      </c>
      <c r="F730" s="110" t="s">
        <v>119</v>
      </c>
      <c r="G730" s="110" t="s">
        <v>114</v>
      </c>
      <c r="H730" s="111">
        <v>261</v>
      </c>
      <c r="I730" s="111">
        <v>264</v>
      </c>
      <c r="J730" s="111">
        <v>281</v>
      </c>
      <c r="K730" s="111">
        <f t="shared" si="100"/>
        <v>268.66666666666669</v>
      </c>
      <c r="L730" s="111">
        <v>200000</v>
      </c>
      <c r="M730" s="111">
        <f t="shared" si="101"/>
        <v>90000</v>
      </c>
      <c r="N730" s="111">
        <f t="shared" si="102"/>
        <v>90000</v>
      </c>
      <c r="O730" s="111">
        <f t="shared" si="103"/>
        <v>18000</v>
      </c>
      <c r="P730" s="111">
        <f t="shared" si="104"/>
        <v>20000</v>
      </c>
      <c r="Q730" s="111">
        <v>50000</v>
      </c>
      <c r="R730" s="111">
        <v>5</v>
      </c>
      <c r="S730" s="111">
        <f t="shared" si="105"/>
        <v>5000</v>
      </c>
      <c r="T730" s="111">
        <f t="shared" si="106"/>
        <v>250000</v>
      </c>
      <c r="U730" s="111">
        <f t="shared" si="107"/>
        <v>2500</v>
      </c>
      <c r="V730" s="111">
        <f t="shared" si="108"/>
        <v>252500</v>
      </c>
      <c r="W730" t="s">
        <v>3189</v>
      </c>
    </row>
    <row r="731" spans="1:23" x14ac:dyDescent="0.3">
      <c r="A731" s="110">
        <v>1000032</v>
      </c>
      <c r="B731" s="110" t="s">
        <v>925</v>
      </c>
      <c r="C731" s="110" t="s">
        <v>933</v>
      </c>
      <c r="D731" s="110" t="s">
        <v>933</v>
      </c>
      <c r="E731" s="110" t="s">
        <v>934</v>
      </c>
      <c r="F731" s="110" t="s">
        <v>113</v>
      </c>
      <c r="G731" s="110" t="s">
        <v>114</v>
      </c>
      <c r="H731" s="111">
        <v>95</v>
      </c>
      <c r="I731" s="111">
        <v>89</v>
      </c>
      <c r="J731" s="111">
        <v>82</v>
      </c>
      <c r="K731" s="111">
        <f t="shared" si="100"/>
        <v>88.666666666666671</v>
      </c>
      <c r="L731" s="111">
        <v>150000</v>
      </c>
      <c r="M731" s="111">
        <f t="shared" si="101"/>
        <v>67500</v>
      </c>
      <c r="N731" s="111">
        <f t="shared" si="102"/>
        <v>67500</v>
      </c>
      <c r="O731" s="111">
        <f t="shared" si="103"/>
        <v>13500</v>
      </c>
      <c r="P731" s="111">
        <f t="shared" si="104"/>
        <v>15000</v>
      </c>
      <c r="Q731" s="111">
        <v>30000</v>
      </c>
      <c r="R731" s="111">
        <v>3</v>
      </c>
      <c r="S731" s="111">
        <f t="shared" si="105"/>
        <v>3000</v>
      </c>
      <c r="T731" s="111">
        <f t="shared" si="106"/>
        <v>180000</v>
      </c>
      <c r="U731" s="111">
        <f t="shared" si="107"/>
        <v>1800</v>
      </c>
      <c r="V731" s="111">
        <f t="shared" si="108"/>
        <v>181800</v>
      </c>
      <c r="W731" t="s">
        <v>3190</v>
      </c>
    </row>
    <row r="732" spans="1:23" x14ac:dyDescent="0.3">
      <c r="A732" s="110">
        <v>1000034</v>
      </c>
      <c r="B732" s="110" t="s">
        <v>925</v>
      </c>
      <c r="C732" s="110" t="s">
        <v>935</v>
      </c>
      <c r="D732" s="110" t="s">
        <v>935</v>
      </c>
      <c r="E732" s="110" t="s">
        <v>143</v>
      </c>
      <c r="F732" s="110" t="s">
        <v>113</v>
      </c>
      <c r="G732" s="110" t="s">
        <v>114</v>
      </c>
      <c r="H732" s="111">
        <v>379</v>
      </c>
      <c r="I732" s="111">
        <v>384</v>
      </c>
      <c r="J732" s="111">
        <v>379</v>
      </c>
      <c r="K732" s="111">
        <f t="shared" si="100"/>
        <v>380.66666666666669</v>
      </c>
      <c r="L732" s="111">
        <v>200000</v>
      </c>
      <c r="M732" s="111">
        <f t="shared" si="101"/>
        <v>90000</v>
      </c>
      <c r="N732" s="111">
        <f t="shared" si="102"/>
        <v>90000</v>
      </c>
      <c r="O732" s="111">
        <f t="shared" si="103"/>
        <v>18000</v>
      </c>
      <c r="P732" s="111">
        <f t="shared" si="104"/>
        <v>20000</v>
      </c>
      <c r="Q732" s="111">
        <v>50000</v>
      </c>
      <c r="R732" s="111">
        <v>5</v>
      </c>
      <c r="S732" s="111">
        <f t="shared" si="105"/>
        <v>5000</v>
      </c>
      <c r="T732" s="111">
        <f t="shared" si="106"/>
        <v>250000</v>
      </c>
      <c r="U732" s="111">
        <f t="shared" si="107"/>
        <v>2500</v>
      </c>
      <c r="V732" s="111">
        <f t="shared" si="108"/>
        <v>252500</v>
      </c>
      <c r="W732" t="s">
        <v>3191</v>
      </c>
    </row>
    <row r="733" spans="1:23" x14ac:dyDescent="0.3">
      <c r="A733" s="110">
        <v>1000035</v>
      </c>
      <c r="B733" s="110" t="s">
        <v>925</v>
      </c>
      <c r="C733" s="110" t="s">
        <v>935</v>
      </c>
      <c r="D733" s="110" t="s">
        <v>935</v>
      </c>
      <c r="E733" s="110" t="s">
        <v>936</v>
      </c>
      <c r="F733" s="110" t="s">
        <v>119</v>
      </c>
      <c r="G733" s="110" t="s">
        <v>114</v>
      </c>
      <c r="H733" s="111">
        <v>994</v>
      </c>
      <c r="I733" s="111">
        <v>973</v>
      </c>
      <c r="J733" s="111">
        <v>943</v>
      </c>
      <c r="K733" s="111">
        <f t="shared" si="100"/>
        <v>970</v>
      </c>
      <c r="L733" s="111">
        <f>300000</f>
        <v>300000</v>
      </c>
      <c r="M733" s="111">
        <f t="shared" si="101"/>
        <v>135000</v>
      </c>
      <c r="N733" s="111">
        <f t="shared" si="102"/>
        <v>135000</v>
      </c>
      <c r="O733" s="111">
        <f t="shared" si="103"/>
        <v>27000</v>
      </c>
      <c r="P733" s="111">
        <f t="shared" si="104"/>
        <v>30000</v>
      </c>
      <c r="Q733" s="111">
        <v>60000</v>
      </c>
      <c r="R733" s="111">
        <v>6</v>
      </c>
      <c r="S733" s="111">
        <f t="shared" si="105"/>
        <v>6000</v>
      </c>
      <c r="T733" s="111">
        <f t="shared" si="106"/>
        <v>360000</v>
      </c>
      <c r="U733" s="111">
        <f t="shared" si="107"/>
        <v>3600</v>
      </c>
      <c r="V733" s="111">
        <f t="shared" si="108"/>
        <v>363600</v>
      </c>
      <c r="W733" t="s">
        <v>3192</v>
      </c>
    </row>
    <row r="734" spans="1:23" x14ac:dyDescent="0.3">
      <c r="A734" s="110">
        <v>1000036</v>
      </c>
      <c r="B734" s="110" t="s">
        <v>925</v>
      </c>
      <c r="C734" s="110" t="s">
        <v>935</v>
      </c>
      <c r="D734" s="110" t="s">
        <v>935</v>
      </c>
      <c r="E734" s="110" t="s">
        <v>203</v>
      </c>
      <c r="F734" s="110" t="s">
        <v>113</v>
      </c>
      <c r="G734" s="110" t="s">
        <v>114</v>
      </c>
      <c r="H734" s="111">
        <v>441</v>
      </c>
      <c r="I734" s="111">
        <v>435</v>
      </c>
      <c r="J734" s="111">
        <v>414</v>
      </c>
      <c r="K734" s="111">
        <f t="shared" si="100"/>
        <v>430</v>
      </c>
      <c r="L734" s="111">
        <f>300000</f>
        <v>300000</v>
      </c>
      <c r="M734" s="111">
        <f t="shared" si="101"/>
        <v>135000</v>
      </c>
      <c r="N734" s="111">
        <f t="shared" si="102"/>
        <v>135000</v>
      </c>
      <c r="O734" s="111">
        <f t="shared" si="103"/>
        <v>27000</v>
      </c>
      <c r="P734" s="111">
        <f t="shared" si="104"/>
        <v>30000</v>
      </c>
      <c r="Q734" s="111">
        <v>60000</v>
      </c>
      <c r="R734" s="111">
        <v>6</v>
      </c>
      <c r="S734" s="111">
        <f t="shared" si="105"/>
        <v>6000</v>
      </c>
      <c r="T734" s="111">
        <f t="shared" si="106"/>
        <v>360000</v>
      </c>
      <c r="U734" s="111">
        <f t="shared" si="107"/>
        <v>3600</v>
      </c>
      <c r="V734" s="111">
        <f t="shared" si="108"/>
        <v>363600</v>
      </c>
      <c r="W734" t="s">
        <v>3193</v>
      </c>
    </row>
    <row r="735" spans="1:23" x14ac:dyDescent="0.3">
      <c r="A735" s="110">
        <v>1000037</v>
      </c>
      <c r="B735" s="110" t="s">
        <v>925</v>
      </c>
      <c r="C735" s="110" t="s">
        <v>935</v>
      </c>
      <c r="D735" s="110" t="s">
        <v>935</v>
      </c>
      <c r="E735" s="110" t="s">
        <v>937</v>
      </c>
      <c r="F735" s="110" t="s">
        <v>113</v>
      </c>
      <c r="G735" s="110" t="s">
        <v>114</v>
      </c>
      <c r="H735" s="111">
        <v>138</v>
      </c>
      <c r="I735" s="111">
        <v>148</v>
      </c>
      <c r="J735" s="111">
        <v>140</v>
      </c>
      <c r="K735" s="111">
        <f t="shared" si="100"/>
        <v>142</v>
      </c>
      <c r="L735" s="111">
        <v>150000</v>
      </c>
      <c r="M735" s="111">
        <f t="shared" si="101"/>
        <v>67500</v>
      </c>
      <c r="N735" s="111">
        <f t="shared" si="102"/>
        <v>67500</v>
      </c>
      <c r="O735" s="111">
        <f t="shared" si="103"/>
        <v>13500</v>
      </c>
      <c r="P735" s="111">
        <f t="shared" si="104"/>
        <v>15000</v>
      </c>
      <c r="Q735" s="111">
        <v>30000</v>
      </c>
      <c r="R735" s="111">
        <v>3</v>
      </c>
      <c r="S735" s="111">
        <f t="shared" si="105"/>
        <v>3000</v>
      </c>
      <c r="T735" s="111">
        <f t="shared" si="106"/>
        <v>180000</v>
      </c>
      <c r="U735" s="111">
        <f t="shared" si="107"/>
        <v>1800</v>
      </c>
      <c r="V735" s="111">
        <f t="shared" si="108"/>
        <v>181800</v>
      </c>
      <c r="W735" t="s">
        <v>3194</v>
      </c>
    </row>
    <row r="736" spans="1:23" x14ac:dyDescent="0.3">
      <c r="A736" s="110">
        <v>1000038</v>
      </c>
      <c r="B736" s="110" t="s">
        <v>925</v>
      </c>
      <c r="C736" s="110" t="s">
        <v>935</v>
      </c>
      <c r="D736" s="110" t="s">
        <v>935</v>
      </c>
      <c r="E736" s="110" t="s">
        <v>938</v>
      </c>
      <c r="F736" s="110" t="s">
        <v>113</v>
      </c>
      <c r="G736" s="110" t="s">
        <v>114</v>
      </c>
      <c r="H736" s="111">
        <v>391</v>
      </c>
      <c r="I736" s="111">
        <v>392</v>
      </c>
      <c r="J736" s="111">
        <v>389</v>
      </c>
      <c r="K736" s="111">
        <f t="shared" si="100"/>
        <v>390.66666666666669</v>
      </c>
      <c r="L736" s="111">
        <v>200000</v>
      </c>
      <c r="M736" s="111">
        <f t="shared" si="101"/>
        <v>90000</v>
      </c>
      <c r="N736" s="111">
        <f t="shared" si="102"/>
        <v>90000</v>
      </c>
      <c r="O736" s="111">
        <f t="shared" si="103"/>
        <v>18000</v>
      </c>
      <c r="P736" s="111">
        <f t="shared" si="104"/>
        <v>20000</v>
      </c>
      <c r="Q736" s="111">
        <v>50000</v>
      </c>
      <c r="R736" s="111">
        <v>5</v>
      </c>
      <c r="S736" s="111">
        <f t="shared" si="105"/>
        <v>5000</v>
      </c>
      <c r="T736" s="111">
        <f t="shared" si="106"/>
        <v>250000</v>
      </c>
      <c r="U736" s="111">
        <f t="shared" si="107"/>
        <v>2500</v>
      </c>
      <c r="V736" s="111">
        <f t="shared" si="108"/>
        <v>252500</v>
      </c>
      <c r="W736" t="s">
        <v>3195</v>
      </c>
    </row>
    <row r="737" spans="1:23" x14ac:dyDescent="0.3">
      <c r="A737" s="110">
        <v>1000039</v>
      </c>
      <c r="B737" s="110" t="s">
        <v>925</v>
      </c>
      <c r="C737" s="110" t="s">
        <v>935</v>
      </c>
      <c r="D737" s="110" t="s">
        <v>935</v>
      </c>
      <c r="E737" s="110" t="s">
        <v>247</v>
      </c>
      <c r="F737" s="110" t="s">
        <v>113</v>
      </c>
      <c r="G737" s="110" t="s">
        <v>114</v>
      </c>
      <c r="H737" s="111">
        <v>217</v>
      </c>
      <c r="I737" s="111">
        <v>202</v>
      </c>
      <c r="J737" s="111">
        <v>172</v>
      </c>
      <c r="K737" s="111">
        <f t="shared" si="100"/>
        <v>197</v>
      </c>
      <c r="L737" s="111">
        <v>150000</v>
      </c>
      <c r="M737" s="111">
        <f t="shared" si="101"/>
        <v>67500</v>
      </c>
      <c r="N737" s="111">
        <f t="shared" si="102"/>
        <v>67500</v>
      </c>
      <c r="O737" s="111">
        <f t="shared" si="103"/>
        <v>13500</v>
      </c>
      <c r="P737" s="111">
        <f t="shared" si="104"/>
        <v>15000</v>
      </c>
      <c r="Q737" s="111">
        <v>30000</v>
      </c>
      <c r="R737" s="111">
        <v>3</v>
      </c>
      <c r="S737" s="111">
        <f t="shared" si="105"/>
        <v>3000</v>
      </c>
      <c r="T737" s="111">
        <f t="shared" si="106"/>
        <v>180000</v>
      </c>
      <c r="U737" s="111">
        <f t="shared" si="107"/>
        <v>1800</v>
      </c>
      <c r="V737" s="111">
        <f t="shared" si="108"/>
        <v>181800</v>
      </c>
      <c r="W737" t="s">
        <v>3196</v>
      </c>
    </row>
    <row r="738" spans="1:23" x14ac:dyDescent="0.3">
      <c r="A738" s="110">
        <v>1000045</v>
      </c>
      <c r="B738" s="110" t="s">
        <v>925</v>
      </c>
      <c r="C738" s="110" t="s">
        <v>935</v>
      </c>
      <c r="D738" s="110" t="s">
        <v>939</v>
      </c>
      <c r="E738" s="110" t="s">
        <v>184</v>
      </c>
      <c r="F738" s="110" t="s">
        <v>113</v>
      </c>
      <c r="G738" s="110" t="s">
        <v>114</v>
      </c>
      <c r="H738" s="111">
        <v>101</v>
      </c>
      <c r="I738" s="111">
        <v>112</v>
      </c>
      <c r="J738" s="111">
        <v>110</v>
      </c>
      <c r="K738" s="111">
        <f t="shared" si="100"/>
        <v>107.66666666666667</v>
      </c>
      <c r="L738" s="111">
        <v>150000</v>
      </c>
      <c r="M738" s="111">
        <f t="shared" si="101"/>
        <v>67500</v>
      </c>
      <c r="N738" s="111">
        <f t="shared" si="102"/>
        <v>67500</v>
      </c>
      <c r="O738" s="111">
        <f t="shared" si="103"/>
        <v>13500</v>
      </c>
      <c r="P738" s="111">
        <f t="shared" si="104"/>
        <v>15000</v>
      </c>
      <c r="Q738" s="111">
        <v>30000</v>
      </c>
      <c r="R738" s="111">
        <v>3</v>
      </c>
      <c r="S738" s="111">
        <f t="shared" si="105"/>
        <v>3000</v>
      </c>
      <c r="T738" s="111">
        <f t="shared" si="106"/>
        <v>180000</v>
      </c>
      <c r="U738" s="111">
        <f t="shared" si="107"/>
        <v>1800</v>
      </c>
      <c r="V738" s="111">
        <f t="shared" si="108"/>
        <v>181800</v>
      </c>
      <c r="W738" t="s">
        <v>3197</v>
      </c>
    </row>
    <row r="739" spans="1:23" x14ac:dyDescent="0.3">
      <c r="A739" s="110">
        <v>1000046</v>
      </c>
      <c r="B739" s="110" t="s">
        <v>925</v>
      </c>
      <c r="C739" s="110" t="s">
        <v>935</v>
      </c>
      <c r="D739" s="110" t="s">
        <v>940</v>
      </c>
      <c r="E739" s="110" t="s">
        <v>184</v>
      </c>
      <c r="F739" s="110" t="s">
        <v>113</v>
      </c>
      <c r="G739" s="110" t="s">
        <v>114</v>
      </c>
      <c r="H739" s="111">
        <v>69</v>
      </c>
      <c r="I739" s="111">
        <v>71</v>
      </c>
      <c r="J739" s="111">
        <v>62</v>
      </c>
      <c r="K739" s="111">
        <f t="shared" si="100"/>
        <v>67.333333333333329</v>
      </c>
      <c r="L739" s="111">
        <v>150000</v>
      </c>
      <c r="M739" s="111">
        <f t="shared" si="101"/>
        <v>67500</v>
      </c>
      <c r="N739" s="111">
        <f t="shared" si="102"/>
        <v>67500</v>
      </c>
      <c r="O739" s="111">
        <f t="shared" si="103"/>
        <v>13500</v>
      </c>
      <c r="P739" s="111">
        <f t="shared" si="104"/>
        <v>15000</v>
      </c>
      <c r="Q739" s="111">
        <v>30000</v>
      </c>
      <c r="R739" s="111">
        <v>3</v>
      </c>
      <c r="S739" s="111">
        <f t="shared" si="105"/>
        <v>3000</v>
      </c>
      <c r="T739" s="111">
        <f t="shared" si="106"/>
        <v>180000</v>
      </c>
      <c r="U739" s="111">
        <f t="shared" si="107"/>
        <v>1800</v>
      </c>
      <c r="V739" s="111">
        <f t="shared" si="108"/>
        <v>181800</v>
      </c>
      <c r="W739" t="s">
        <v>3198</v>
      </c>
    </row>
    <row r="740" spans="1:23" x14ac:dyDescent="0.3">
      <c r="A740" s="110">
        <v>1000048</v>
      </c>
      <c r="B740" s="110" t="s">
        <v>925</v>
      </c>
      <c r="C740" s="110" t="s">
        <v>935</v>
      </c>
      <c r="D740" s="110" t="s">
        <v>941</v>
      </c>
      <c r="E740" s="110" t="s">
        <v>143</v>
      </c>
      <c r="F740" s="110" t="s">
        <v>113</v>
      </c>
      <c r="G740" s="110" t="s">
        <v>114</v>
      </c>
      <c r="H740" s="111">
        <v>74</v>
      </c>
      <c r="I740" s="111">
        <v>77</v>
      </c>
      <c r="J740" s="111">
        <v>85</v>
      </c>
      <c r="K740" s="111">
        <f t="shared" si="100"/>
        <v>78.666666666666671</v>
      </c>
      <c r="L740" s="111">
        <v>150000</v>
      </c>
      <c r="M740" s="111">
        <f t="shared" si="101"/>
        <v>67500</v>
      </c>
      <c r="N740" s="111">
        <f t="shared" si="102"/>
        <v>67500</v>
      </c>
      <c r="O740" s="111">
        <f t="shared" si="103"/>
        <v>13500</v>
      </c>
      <c r="P740" s="111">
        <f t="shared" si="104"/>
        <v>15000</v>
      </c>
      <c r="Q740" s="111">
        <v>30000</v>
      </c>
      <c r="R740" s="111">
        <v>3</v>
      </c>
      <c r="S740" s="111">
        <f t="shared" si="105"/>
        <v>3000</v>
      </c>
      <c r="T740" s="111">
        <f t="shared" si="106"/>
        <v>180000</v>
      </c>
      <c r="U740" s="111">
        <f t="shared" si="107"/>
        <v>1800</v>
      </c>
      <c r="V740" s="111">
        <f t="shared" si="108"/>
        <v>181800</v>
      </c>
      <c r="W740" t="s">
        <v>3199</v>
      </c>
    </row>
    <row r="741" spans="1:23" x14ac:dyDescent="0.3">
      <c r="A741" s="110">
        <v>1000049</v>
      </c>
      <c r="B741" s="110" t="s">
        <v>925</v>
      </c>
      <c r="C741" s="110" t="s">
        <v>935</v>
      </c>
      <c r="D741" s="110" t="s">
        <v>935</v>
      </c>
      <c r="E741" s="110" t="s">
        <v>942</v>
      </c>
      <c r="F741" s="110" t="s">
        <v>117</v>
      </c>
      <c r="G741" s="110" t="s">
        <v>125</v>
      </c>
      <c r="H741" s="111">
        <v>222</v>
      </c>
      <c r="I741" s="111">
        <v>227</v>
      </c>
      <c r="J741" s="111">
        <v>278</v>
      </c>
      <c r="K741" s="111">
        <f t="shared" si="100"/>
        <v>242.33333333333334</v>
      </c>
      <c r="L741" s="111">
        <v>200000</v>
      </c>
      <c r="M741" s="111">
        <f t="shared" si="101"/>
        <v>90000</v>
      </c>
      <c r="N741" s="111">
        <f t="shared" si="102"/>
        <v>90000</v>
      </c>
      <c r="O741" s="111">
        <f t="shared" si="103"/>
        <v>18000</v>
      </c>
      <c r="P741" s="111">
        <f t="shared" si="104"/>
        <v>20000</v>
      </c>
      <c r="Q741" s="111">
        <v>50000</v>
      </c>
      <c r="R741" s="111">
        <v>5</v>
      </c>
      <c r="S741" s="111">
        <f t="shared" si="105"/>
        <v>5000</v>
      </c>
      <c r="T741" s="111">
        <f t="shared" si="106"/>
        <v>250000</v>
      </c>
      <c r="U741" s="111">
        <f t="shared" si="107"/>
        <v>2500</v>
      </c>
      <c r="V741" s="111">
        <f t="shared" si="108"/>
        <v>252500</v>
      </c>
      <c r="W741" t="s">
        <v>3200</v>
      </c>
    </row>
    <row r="742" spans="1:23" x14ac:dyDescent="0.3">
      <c r="A742" s="110">
        <v>1000051</v>
      </c>
      <c r="B742" s="110" t="s">
        <v>925</v>
      </c>
      <c r="C742" s="110" t="s">
        <v>935</v>
      </c>
      <c r="D742" s="110" t="s">
        <v>935</v>
      </c>
      <c r="E742" s="110" t="s">
        <v>160</v>
      </c>
      <c r="F742" s="110" t="s">
        <v>117</v>
      </c>
      <c r="G742" s="110" t="s">
        <v>125</v>
      </c>
      <c r="H742" s="111">
        <v>148</v>
      </c>
      <c r="I742" s="111">
        <v>148</v>
      </c>
      <c r="J742" s="111">
        <v>161</v>
      </c>
      <c r="K742" s="111">
        <f t="shared" si="100"/>
        <v>152.33333333333334</v>
      </c>
      <c r="L742" s="111">
        <f>150000*0.7</f>
        <v>105000</v>
      </c>
      <c r="M742" s="111">
        <f t="shared" si="101"/>
        <v>47250</v>
      </c>
      <c r="N742" s="111">
        <f t="shared" si="102"/>
        <v>47250</v>
      </c>
      <c r="O742" s="111">
        <f t="shared" si="103"/>
        <v>9450</v>
      </c>
      <c r="P742" s="111">
        <f t="shared" si="104"/>
        <v>10500</v>
      </c>
      <c r="Q742" s="111">
        <v>30000</v>
      </c>
      <c r="R742" s="111">
        <v>3</v>
      </c>
      <c r="S742" s="111">
        <f t="shared" si="105"/>
        <v>3000</v>
      </c>
      <c r="T742" s="111">
        <f t="shared" si="106"/>
        <v>135000</v>
      </c>
      <c r="U742" s="111">
        <f t="shared" si="107"/>
        <v>1350</v>
      </c>
      <c r="V742" s="111">
        <f t="shared" si="108"/>
        <v>136350</v>
      </c>
      <c r="W742" t="s">
        <v>3201</v>
      </c>
    </row>
    <row r="743" spans="1:23" x14ac:dyDescent="0.3">
      <c r="A743" s="110">
        <v>1000052</v>
      </c>
      <c r="B743" s="110" t="s">
        <v>925</v>
      </c>
      <c r="C743" s="110" t="s">
        <v>935</v>
      </c>
      <c r="D743" s="110" t="s">
        <v>935</v>
      </c>
      <c r="E743" s="110" t="s">
        <v>943</v>
      </c>
      <c r="F743" s="110" t="s">
        <v>122</v>
      </c>
      <c r="G743" s="110" t="s">
        <v>114</v>
      </c>
      <c r="H743" s="111">
        <v>628</v>
      </c>
      <c r="I743" s="111">
        <v>609</v>
      </c>
      <c r="J743" s="111">
        <v>594</v>
      </c>
      <c r="K743" s="111">
        <f t="shared" si="100"/>
        <v>610.33333333333337</v>
      </c>
      <c r="L743" s="111">
        <f>300000</f>
        <v>300000</v>
      </c>
      <c r="M743" s="111">
        <f t="shared" si="101"/>
        <v>135000</v>
      </c>
      <c r="N743" s="111">
        <f t="shared" si="102"/>
        <v>135000</v>
      </c>
      <c r="O743" s="111">
        <f t="shared" si="103"/>
        <v>27000</v>
      </c>
      <c r="P743" s="111">
        <f t="shared" si="104"/>
        <v>30000</v>
      </c>
      <c r="Q743" s="111">
        <v>60000</v>
      </c>
      <c r="R743" s="111">
        <v>6</v>
      </c>
      <c r="S743" s="111">
        <f t="shared" si="105"/>
        <v>6000</v>
      </c>
      <c r="T743" s="111">
        <f t="shared" si="106"/>
        <v>360000</v>
      </c>
      <c r="U743" s="111">
        <f t="shared" si="107"/>
        <v>3600</v>
      </c>
      <c r="V743" s="111">
        <f t="shared" si="108"/>
        <v>363600</v>
      </c>
      <c r="W743" t="s">
        <v>3202</v>
      </c>
    </row>
    <row r="744" spans="1:23" x14ac:dyDescent="0.3">
      <c r="A744" s="110">
        <v>1000330</v>
      </c>
      <c r="B744" s="110" t="s">
        <v>925</v>
      </c>
      <c r="C744" s="110" t="s">
        <v>925</v>
      </c>
      <c r="D744" s="110" t="s">
        <v>925</v>
      </c>
      <c r="E744" s="110" t="s">
        <v>944</v>
      </c>
      <c r="F744" s="110" t="s">
        <v>113</v>
      </c>
      <c r="G744" s="110" t="s">
        <v>114</v>
      </c>
      <c r="H744" s="111">
        <v>524</v>
      </c>
      <c r="I744" s="111">
        <v>478</v>
      </c>
      <c r="J744" s="111">
        <v>425</v>
      </c>
      <c r="K744" s="111">
        <f t="shared" si="100"/>
        <v>475.66666666666669</v>
      </c>
      <c r="L744" s="111">
        <f>300000</f>
        <v>300000</v>
      </c>
      <c r="M744" s="111">
        <f t="shared" si="101"/>
        <v>135000</v>
      </c>
      <c r="N744" s="111">
        <f t="shared" si="102"/>
        <v>135000</v>
      </c>
      <c r="O744" s="111">
        <f t="shared" si="103"/>
        <v>27000</v>
      </c>
      <c r="P744" s="111">
        <f t="shared" si="104"/>
        <v>30000</v>
      </c>
      <c r="Q744" s="111">
        <v>60000</v>
      </c>
      <c r="R744" s="111">
        <v>6</v>
      </c>
      <c r="S744" s="111">
        <f t="shared" si="105"/>
        <v>6000</v>
      </c>
      <c r="T744" s="111">
        <f t="shared" si="106"/>
        <v>360000</v>
      </c>
      <c r="U744" s="111">
        <f t="shared" si="107"/>
        <v>3600</v>
      </c>
      <c r="V744" s="111">
        <f t="shared" si="108"/>
        <v>363600</v>
      </c>
      <c r="W744" t="s">
        <v>3203</v>
      </c>
    </row>
    <row r="745" spans="1:23" x14ac:dyDescent="0.3">
      <c r="A745" s="110">
        <v>1000380</v>
      </c>
      <c r="B745" s="110" t="s">
        <v>925</v>
      </c>
      <c r="C745" s="110" t="s">
        <v>925</v>
      </c>
      <c r="D745" s="110" t="s">
        <v>925</v>
      </c>
      <c r="E745" s="110" t="s">
        <v>945</v>
      </c>
      <c r="F745" s="110" t="s">
        <v>209</v>
      </c>
      <c r="G745" s="110" t="s">
        <v>114</v>
      </c>
      <c r="H745" s="111">
        <v>288</v>
      </c>
      <c r="I745" s="111">
        <v>278</v>
      </c>
      <c r="J745" s="111">
        <v>285</v>
      </c>
      <c r="K745" s="111">
        <f t="shared" si="100"/>
        <v>283.66666666666669</v>
      </c>
      <c r="L745" s="111">
        <v>200000</v>
      </c>
      <c r="M745" s="111">
        <f t="shared" si="101"/>
        <v>90000</v>
      </c>
      <c r="N745" s="111">
        <f t="shared" si="102"/>
        <v>90000</v>
      </c>
      <c r="O745" s="111">
        <f t="shared" si="103"/>
        <v>18000</v>
      </c>
      <c r="P745" s="111">
        <f t="shared" si="104"/>
        <v>20000</v>
      </c>
      <c r="Q745" s="111">
        <v>50000</v>
      </c>
      <c r="R745" s="111">
        <v>5</v>
      </c>
      <c r="S745" s="111">
        <f t="shared" si="105"/>
        <v>5000</v>
      </c>
      <c r="T745" s="111">
        <f t="shared" si="106"/>
        <v>250000</v>
      </c>
      <c r="U745" s="111">
        <f t="shared" si="107"/>
        <v>2500</v>
      </c>
      <c r="V745" s="111">
        <f t="shared" si="108"/>
        <v>252500</v>
      </c>
      <c r="W745" t="s">
        <v>3204</v>
      </c>
    </row>
    <row r="746" spans="1:23" x14ac:dyDescent="0.3">
      <c r="A746" s="110">
        <v>1000540</v>
      </c>
      <c r="B746" s="110" t="s">
        <v>925</v>
      </c>
      <c r="C746" s="110" t="s">
        <v>925</v>
      </c>
      <c r="D746" s="110" t="s">
        <v>925</v>
      </c>
      <c r="E746" s="110" t="s">
        <v>946</v>
      </c>
      <c r="F746" s="110" t="s">
        <v>122</v>
      </c>
      <c r="G746" s="110" t="s">
        <v>114</v>
      </c>
      <c r="H746" s="111">
        <v>406</v>
      </c>
      <c r="I746" s="111">
        <v>428</v>
      </c>
      <c r="J746" s="111">
        <v>401</v>
      </c>
      <c r="K746" s="111">
        <f t="shared" si="100"/>
        <v>411.66666666666669</v>
      </c>
      <c r="L746" s="111">
        <f>300000</f>
        <v>300000</v>
      </c>
      <c r="M746" s="111">
        <f t="shared" si="101"/>
        <v>135000</v>
      </c>
      <c r="N746" s="111">
        <f t="shared" si="102"/>
        <v>135000</v>
      </c>
      <c r="O746" s="111">
        <f t="shared" si="103"/>
        <v>27000</v>
      </c>
      <c r="P746" s="111">
        <f t="shared" si="104"/>
        <v>30000</v>
      </c>
      <c r="Q746" s="111">
        <v>60000</v>
      </c>
      <c r="R746" s="111">
        <v>6</v>
      </c>
      <c r="S746" s="111">
        <f t="shared" si="105"/>
        <v>6000</v>
      </c>
      <c r="T746" s="111">
        <f t="shared" si="106"/>
        <v>360000</v>
      </c>
      <c r="U746" s="111">
        <f t="shared" si="107"/>
        <v>3600</v>
      </c>
      <c r="V746" s="111">
        <f t="shared" si="108"/>
        <v>363600</v>
      </c>
      <c r="W746" t="s">
        <v>3205</v>
      </c>
    </row>
    <row r="747" spans="1:23" x14ac:dyDescent="0.3">
      <c r="A747" s="110">
        <v>1000550</v>
      </c>
      <c r="B747" s="110" t="s">
        <v>925</v>
      </c>
      <c r="C747" s="110" t="s">
        <v>925</v>
      </c>
      <c r="D747" s="110" t="s">
        <v>925</v>
      </c>
      <c r="E747" s="110" t="s">
        <v>947</v>
      </c>
      <c r="F747" s="110" t="s">
        <v>122</v>
      </c>
      <c r="G747" s="110" t="s">
        <v>114</v>
      </c>
      <c r="H747" s="111">
        <v>630</v>
      </c>
      <c r="I747" s="111">
        <v>635</v>
      </c>
      <c r="J747" s="111">
        <v>645</v>
      </c>
      <c r="K747" s="111">
        <f t="shared" si="100"/>
        <v>636.66666666666663</v>
      </c>
      <c r="L747" s="111">
        <f>300000*0.7</f>
        <v>210000</v>
      </c>
      <c r="M747" s="111">
        <f t="shared" si="101"/>
        <v>94500</v>
      </c>
      <c r="N747" s="111">
        <f t="shared" si="102"/>
        <v>94500</v>
      </c>
      <c r="O747" s="111">
        <f t="shared" si="103"/>
        <v>18900</v>
      </c>
      <c r="P747" s="111">
        <f t="shared" si="104"/>
        <v>21000</v>
      </c>
      <c r="Q747" s="111">
        <v>60000</v>
      </c>
      <c r="R747" s="111">
        <v>6</v>
      </c>
      <c r="S747" s="111">
        <f t="shared" si="105"/>
        <v>6000</v>
      </c>
      <c r="T747" s="111">
        <f t="shared" si="106"/>
        <v>270000</v>
      </c>
      <c r="U747" s="111">
        <f t="shared" si="107"/>
        <v>2700</v>
      </c>
      <c r="V747" s="111">
        <f t="shared" si="108"/>
        <v>272700</v>
      </c>
      <c r="W747" t="s">
        <v>3206</v>
      </c>
    </row>
    <row r="748" spans="1:23" x14ac:dyDescent="0.3">
      <c r="A748" s="110">
        <v>1001360</v>
      </c>
      <c r="B748" s="110" t="s">
        <v>925</v>
      </c>
      <c r="C748" s="110" t="s">
        <v>925</v>
      </c>
      <c r="D748" s="110" t="s">
        <v>925</v>
      </c>
      <c r="E748" s="110" t="s">
        <v>948</v>
      </c>
      <c r="F748" s="110" t="s">
        <v>117</v>
      </c>
      <c r="G748" s="110" t="s">
        <v>125</v>
      </c>
      <c r="H748" s="111">
        <v>107</v>
      </c>
      <c r="I748" s="111">
        <v>107</v>
      </c>
      <c r="J748" s="111">
        <v>116</v>
      </c>
      <c r="K748" s="111">
        <f t="shared" si="100"/>
        <v>110</v>
      </c>
      <c r="L748" s="111">
        <v>150000</v>
      </c>
      <c r="M748" s="111">
        <f t="shared" si="101"/>
        <v>67500</v>
      </c>
      <c r="N748" s="111">
        <f t="shared" si="102"/>
        <v>67500</v>
      </c>
      <c r="O748" s="111">
        <f t="shared" si="103"/>
        <v>13500</v>
      </c>
      <c r="P748" s="111">
        <f t="shared" si="104"/>
        <v>15000</v>
      </c>
      <c r="Q748" s="111">
        <v>30000</v>
      </c>
      <c r="R748" s="111">
        <v>3</v>
      </c>
      <c r="S748" s="111">
        <f t="shared" si="105"/>
        <v>3000</v>
      </c>
      <c r="T748" s="111">
        <f t="shared" si="106"/>
        <v>180000</v>
      </c>
      <c r="U748" s="111">
        <f t="shared" si="107"/>
        <v>1800</v>
      </c>
      <c r="V748" s="111">
        <f t="shared" si="108"/>
        <v>181800</v>
      </c>
      <c r="W748" t="s">
        <v>3207</v>
      </c>
    </row>
    <row r="749" spans="1:23" x14ac:dyDescent="0.3">
      <c r="A749" s="110">
        <v>1001380</v>
      </c>
      <c r="B749" s="110" t="s">
        <v>925</v>
      </c>
      <c r="C749" s="110" t="s">
        <v>925</v>
      </c>
      <c r="D749" s="110" t="s">
        <v>925</v>
      </c>
      <c r="E749" s="110" t="s">
        <v>949</v>
      </c>
      <c r="F749" s="110" t="s">
        <v>117</v>
      </c>
      <c r="G749" s="110" t="s">
        <v>125</v>
      </c>
      <c r="H749" s="111">
        <v>468</v>
      </c>
      <c r="I749" s="111">
        <v>477</v>
      </c>
      <c r="J749" s="111">
        <v>473</v>
      </c>
      <c r="K749" s="111">
        <f t="shared" si="100"/>
        <v>472.66666666666669</v>
      </c>
      <c r="L749" s="111">
        <f>300000</f>
        <v>300000</v>
      </c>
      <c r="M749" s="111">
        <f t="shared" si="101"/>
        <v>135000</v>
      </c>
      <c r="N749" s="111">
        <f t="shared" si="102"/>
        <v>135000</v>
      </c>
      <c r="O749" s="111">
        <f t="shared" si="103"/>
        <v>27000</v>
      </c>
      <c r="P749" s="111">
        <f t="shared" si="104"/>
        <v>30000</v>
      </c>
      <c r="Q749" s="111">
        <v>60000</v>
      </c>
      <c r="R749" s="111">
        <v>6</v>
      </c>
      <c r="S749" s="111">
        <f t="shared" si="105"/>
        <v>6000</v>
      </c>
      <c r="T749" s="111">
        <f t="shared" si="106"/>
        <v>360000</v>
      </c>
      <c r="U749" s="111">
        <f t="shared" si="107"/>
        <v>3600</v>
      </c>
      <c r="V749" s="111">
        <f t="shared" si="108"/>
        <v>363600</v>
      </c>
      <c r="W749" t="s">
        <v>3208</v>
      </c>
    </row>
    <row r="750" spans="1:23" x14ac:dyDescent="0.3">
      <c r="A750" s="110">
        <v>1001390</v>
      </c>
      <c r="B750" s="110" t="s">
        <v>925</v>
      </c>
      <c r="C750" s="110" t="s">
        <v>925</v>
      </c>
      <c r="D750" s="110" t="s">
        <v>925</v>
      </c>
      <c r="E750" s="110" t="s">
        <v>950</v>
      </c>
      <c r="F750" s="110" t="s">
        <v>296</v>
      </c>
      <c r="G750" s="110" t="s">
        <v>114</v>
      </c>
      <c r="H750" s="111">
        <v>132</v>
      </c>
      <c r="I750" s="111">
        <v>139</v>
      </c>
      <c r="J750" s="111">
        <v>147</v>
      </c>
      <c r="K750" s="111">
        <f t="shared" si="100"/>
        <v>139.33333333333334</v>
      </c>
      <c r="L750" s="111">
        <v>150000</v>
      </c>
      <c r="M750" s="111">
        <f t="shared" si="101"/>
        <v>67500</v>
      </c>
      <c r="N750" s="111">
        <f t="shared" si="102"/>
        <v>67500</v>
      </c>
      <c r="O750" s="111">
        <f t="shared" si="103"/>
        <v>13500</v>
      </c>
      <c r="P750" s="111">
        <f t="shared" si="104"/>
        <v>15000</v>
      </c>
      <c r="Q750" s="111">
        <v>30000</v>
      </c>
      <c r="R750" s="111">
        <v>3</v>
      </c>
      <c r="S750" s="111">
        <f t="shared" si="105"/>
        <v>3000</v>
      </c>
      <c r="T750" s="111">
        <f t="shared" si="106"/>
        <v>180000</v>
      </c>
      <c r="U750" s="111">
        <f t="shared" si="107"/>
        <v>1800</v>
      </c>
      <c r="V750" s="111">
        <f t="shared" si="108"/>
        <v>181800</v>
      </c>
      <c r="W750" t="s">
        <v>3209</v>
      </c>
    </row>
    <row r="751" spans="1:23" x14ac:dyDescent="0.3">
      <c r="A751" s="110">
        <v>1001410</v>
      </c>
      <c r="B751" s="110" t="s">
        <v>925</v>
      </c>
      <c r="C751" s="110" t="s">
        <v>925</v>
      </c>
      <c r="D751" s="110" t="s">
        <v>925</v>
      </c>
      <c r="E751" s="110" t="s">
        <v>951</v>
      </c>
      <c r="F751" s="110" t="s">
        <v>113</v>
      </c>
      <c r="G751" s="110" t="s">
        <v>114</v>
      </c>
      <c r="H751" s="111">
        <v>880</v>
      </c>
      <c r="I751" s="111">
        <v>891</v>
      </c>
      <c r="J751" s="111">
        <v>880</v>
      </c>
      <c r="K751" s="111">
        <f t="shared" si="100"/>
        <v>883.66666666666663</v>
      </c>
      <c r="L751" s="111">
        <f>300000*0.7</f>
        <v>210000</v>
      </c>
      <c r="M751" s="111">
        <f t="shared" si="101"/>
        <v>94500</v>
      </c>
      <c r="N751" s="111">
        <f t="shared" si="102"/>
        <v>94500</v>
      </c>
      <c r="O751" s="111">
        <f t="shared" si="103"/>
        <v>18900</v>
      </c>
      <c r="P751" s="111">
        <f t="shared" si="104"/>
        <v>21000</v>
      </c>
      <c r="Q751" s="111">
        <v>60000</v>
      </c>
      <c r="R751" s="111">
        <v>6</v>
      </c>
      <c r="S751" s="111">
        <f t="shared" si="105"/>
        <v>6000</v>
      </c>
      <c r="T751" s="111">
        <f t="shared" si="106"/>
        <v>270000</v>
      </c>
      <c r="U751" s="111">
        <f t="shared" si="107"/>
        <v>2700</v>
      </c>
      <c r="V751" s="111">
        <f t="shared" si="108"/>
        <v>272700</v>
      </c>
      <c r="W751" t="s">
        <v>3210</v>
      </c>
    </row>
    <row r="752" spans="1:23" x14ac:dyDescent="0.3">
      <c r="A752" s="110">
        <v>1001420</v>
      </c>
      <c r="B752" s="110" t="s">
        <v>925</v>
      </c>
      <c r="C752" s="110" t="s">
        <v>925</v>
      </c>
      <c r="D752" s="110" t="s">
        <v>925</v>
      </c>
      <c r="E752" s="110" t="s">
        <v>952</v>
      </c>
      <c r="F752" s="110" t="s">
        <v>117</v>
      </c>
      <c r="G752" s="110" t="s">
        <v>125</v>
      </c>
      <c r="H752" s="111">
        <v>220</v>
      </c>
      <c r="I752" s="111">
        <v>206</v>
      </c>
      <c r="J752" s="111">
        <v>201</v>
      </c>
      <c r="K752" s="111">
        <f t="shared" si="100"/>
        <v>209</v>
      </c>
      <c r="L752" s="111">
        <v>200000</v>
      </c>
      <c r="M752" s="111">
        <f t="shared" si="101"/>
        <v>90000</v>
      </c>
      <c r="N752" s="111">
        <f t="shared" si="102"/>
        <v>90000</v>
      </c>
      <c r="O752" s="111">
        <f t="shared" si="103"/>
        <v>18000</v>
      </c>
      <c r="P752" s="111">
        <f t="shared" si="104"/>
        <v>20000</v>
      </c>
      <c r="Q752" s="111">
        <v>50000</v>
      </c>
      <c r="R752" s="111">
        <v>5</v>
      </c>
      <c r="S752" s="111">
        <f t="shared" si="105"/>
        <v>5000</v>
      </c>
      <c r="T752" s="111">
        <f t="shared" si="106"/>
        <v>250000</v>
      </c>
      <c r="U752" s="111">
        <f t="shared" si="107"/>
        <v>2500</v>
      </c>
      <c r="V752" s="111">
        <f t="shared" si="108"/>
        <v>252500</v>
      </c>
      <c r="W752" t="s">
        <v>3211</v>
      </c>
    </row>
    <row r="753" spans="1:23" x14ac:dyDescent="0.3">
      <c r="A753" s="110">
        <v>1001630</v>
      </c>
      <c r="B753" s="110" t="s">
        <v>925</v>
      </c>
      <c r="C753" s="110" t="s">
        <v>925</v>
      </c>
      <c r="D753" s="110" t="s">
        <v>953</v>
      </c>
      <c r="E753" s="110" t="s">
        <v>954</v>
      </c>
      <c r="F753" s="110" t="s">
        <v>209</v>
      </c>
      <c r="G753" s="110" t="s">
        <v>114</v>
      </c>
      <c r="H753" s="111">
        <v>68</v>
      </c>
      <c r="I753" s="111">
        <v>71</v>
      </c>
      <c r="J753" s="111">
        <v>86</v>
      </c>
      <c r="K753" s="111">
        <f t="shared" si="100"/>
        <v>75</v>
      </c>
      <c r="L753" s="111">
        <v>150000</v>
      </c>
      <c r="M753" s="111">
        <f t="shared" si="101"/>
        <v>67500</v>
      </c>
      <c r="N753" s="111">
        <f t="shared" si="102"/>
        <v>67500</v>
      </c>
      <c r="O753" s="111">
        <f t="shared" si="103"/>
        <v>13500</v>
      </c>
      <c r="P753" s="111">
        <f t="shared" si="104"/>
        <v>15000</v>
      </c>
      <c r="Q753" s="111">
        <v>30000</v>
      </c>
      <c r="R753" s="111">
        <v>3</v>
      </c>
      <c r="S753" s="111">
        <f t="shared" si="105"/>
        <v>3000</v>
      </c>
      <c r="T753" s="111">
        <f t="shared" si="106"/>
        <v>180000</v>
      </c>
      <c r="U753" s="111">
        <f t="shared" si="107"/>
        <v>1800</v>
      </c>
      <c r="V753" s="111">
        <f t="shared" si="108"/>
        <v>181800</v>
      </c>
      <c r="W753" t="s">
        <v>3212</v>
      </c>
    </row>
    <row r="754" spans="1:23" x14ac:dyDescent="0.3">
      <c r="A754" s="110">
        <v>1001670</v>
      </c>
      <c r="B754" s="110" t="s">
        <v>925</v>
      </c>
      <c r="C754" s="110" t="s">
        <v>925</v>
      </c>
      <c r="D754" s="110" t="s">
        <v>925</v>
      </c>
      <c r="E754" s="110" t="s">
        <v>955</v>
      </c>
      <c r="F754" s="110" t="s">
        <v>117</v>
      </c>
      <c r="G754" s="110" t="s">
        <v>125</v>
      </c>
      <c r="H754" s="111">
        <v>200</v>
      </c>
      <c r="I754" s="111">
        <v>192</v>
      </c>
      <c r="J754" s="111">
        <v>165</v>
      </c>
      <c r="K754" s="111">
        <f t="shared" si="100"/>
        <v>185.66666666666666</v>
      </c>
      <c r="L754" s="111">
        <v>150000</v>
      </c>
      <c r="M754" s="111">
        <f t="shared" si="101"/>
        <v>67500</v>
      </c>
      <c r="N754" s="111">
        <f t="shared" si="102"/>
        <v>67500</v>
      </c>
      <c r="O754" s="111">
        <f t="shared" si="103"/>
        <v>13500</v>
      </c>
      <c r="P754" s="111">
        <f t="shared" si="104"/>
        <v>15000</v>
      </c>
      <c r="Q754" s="111">
        <v>30000</v>
      </c>
      <c r="R754" s="111">
        <v>3</v>
      </c>
      <c r="S754" s="111">
        <f t="shared" si="105"/>
        <v>3000</v>
      </c>
      <c r="T754" s="111">
        <f t="shared" si="106"/>
        <v>180000</v>
      </c>
      <c r="U754" s="111">
        <f t="shared" si="107"/>
        <v>1800</v>
      </c>
      <c r="V754" s="111">
        <f t="shared" si="108"/>
        <v>181800</v>
      </c>
      <c r="W754" t="s">
        <v>3213</v>
      </c>
    </row>
    <row r="755" spans="1:23" x14ac:dyDescent="0.3">
      <c r="A755" s="110">
        <v>1001830</v>
      </c>
      <c r="B755" s="110" t="s">
        <v>925</v>
      </c>
      <c r="C755" s="110" t="s">
        <v>925</v>
      </c>
      <c r="D755" s="110" t="s">
        <v>925</v>
      </c>
      <c r="E755" s="110" t="s">
        <v>956</v>
      </c>
      <c r="F755" s="110" t="s">
        <v>113</v>
      </c>
      <c r="G755" s="110" t="s">
        <v>114</v>
      </c>
      <c r="H755" s="111">
        <v>875</v>
      </c>
      <c r="I755" s="111">
        <v>858</v>
      </c>
      <c r="J755" s="111">
        <v>844</v>
      </c>
      <c r="K755" s="111">
        <f t="shared" si="100"/>
        <v>859</v>
      </c>
      <c r="L755" s="111">
        <f>300000</f>
        <v>300000</v>
      </c>
      <c r="M755" s="111">
        <f t="shared" si="101"/>
        <v>135000</v>
      </c>
      <c r="N755" s="111">
        <f t="shared" si="102"/>
        <v>135000</v>
      </c>
      <c r="O755" s="111">
        <f t="shared" si="103"/>
        <v>27000</v>
      </c>
      <c r="P755" s="111">
        <f t="shared" si="104"/>
        <v>30000</v>
      </c>
      <c r="Q755" s="111">
        <v>60000</v>
      </c>
      <c r="R755" s="111">
        <v>6</v>
      </c>
      <c r="S755" s="111">
        <f t="shared" si="105"/>
        <v>6000</v>
      </c>
      <c r="T755" s="111">
        <f t="shared" si="106"/>
        <v>360000</v>
      </c>
      <c r="U755" s="111">
        <f t="shared" si="107"/>
        <v>3600</v>
      </c>
      <c r="V755" s="111">
        <f t="shared" si="108"/>
        <v>363600</v>
      </c>
      <c r="W755" t="s">
        <v>3214</v>
      </c>
    </row>
    <row r="756" spans="1:23" x14ac:dyDescent="0.3">
      <c r="A756" s="110">
        <v>1002136</v>
      </c>
      <c r="B756" s="110" t="s">
        <v>925</v>
      </c>
      <c r="C756" s="110" t="s">
        <v>935</v>
      </c>
      <c r="D756" s="110" t="s">
        <v>935</v>
      </c>
      <c r="E756" s="110" t="s">
        <v>957</v>
      </c>
      <c r="F756" s="110" t="s">
        <v>117</v>
      </c>
      <c r="G756" s="110" t="s">
        <v>125</v>
      </c>
      <c r="H756" s="111">
        <v>308</v>
      </c>
      <c r="I756" s="111">
        <v>318</v>
      </c>
      <c r="J756" s="111">
        <v>341</v>
      </c>
      <c r="K756" s="111">
        <f t="shared" si="100"/>
        <v>322.33333333333331</v>
      </c>
      <c r="L756" s="111">
        <v>200000</v>
      </c>
      <c r="M756" s="111">
        <f t="shared" si="101"/>
        <v>90000</v>
      </c>
      <c r="N756" s="111">
        <f t="shared" si="102"/>
        <v>90000</v>
      </c>
      <c r="O756" s="111">
        <f t="shared" si="103"/>
        <v>18000</v>
      </c>
      <c r="P756" s="111">
        <f t="shared" si="104"/>
        <v>20000</v>
      </c>
      <c r="Q756" s="111">
        <v>50000</v>
      </c>
      <c r="R756" s="111">
        <v>5</v>
      </c>
      <c r="S756" s="111">
        <f t="shared" si="105"/>
        <v>5000</v>
      </c>
      <c r="T756" s="111">
        <f t="shared" si="106"/>
        <v>250000</v>
      </c>
      <c r="U756" s="111">
        <f t="shared" si="107"/>
        <v>2500</v>
      </c>
      <c r="V756" s="111">
        <f t="shared" si="108"/>
        <v>252500</v>
      </c>
      <c r="W756" t="s">
        <v>3215</v>
      </c>
    </row>
    <row r="757" spans="1:23" x14ac:dyDescent="0.3">
      <c r="A757" s="110">
        <v>1002137</v>
      </c>
      <c r="B757" s="110" t="s">
        <v>925</v>
      </c>
      <c r="C757" s="110" t="s">
        <v>935</v>
      </c>
      <c r="D757" s="110" t="s">
        <v>935</v>
      </c>
      <c r="E757" s="110" t="s">
        <v>958</v>
      </c>
      <c r="F757" s="110" t="s">
        <v>117</v>
      </c>
      <c r="G757" s="110" t="s">
        <v>114</v>
      </c>
      <c r="H757" s="111">
        <v>230</v>
      </c>
      <c r="I757" s="111">
        <v>237</v>
      </c>
      <c r="J757" s="111">
        <v>241</v>
      </c>
      <c r="K757" s="111">
        <f t="shared" si="100"/>
        <v>236</v>
      </c>
      <c r="L757" s="111">
        <v>200000</v>
      </c>
      <c r="M757" s="111">
        <f t="shared" si="101"/>
        <v>90000</v>
      </c>
      <c r="N757" s="111">
        <f t="shared" si="102"/>
        <v>90000</v>
      </c>
      <c r="O757" s="111">
        <f t="shared" si="103"/>
        <v>18000</v>
      </c>
      <c r="P757" s="111">
        <f t="shared" si="104"/>
        <v>20000</v>
      </c>
      <c r="Q757" s="111">
        <v>50000</v>
      </c>
      <c r="R757" s="111">
        <v>5</v>
      </c>
      <c r="S757" s="111">
        <f t="shared" si="105"/>
        <v>5000</v>
      </c>
      <c r="T757" s="111">
        <f t="shared" si="106"/>
        <v>250000</v>
      </c>
      <c r="U757" s="111">
        <f t="shared" si="107"/>
        <v>2500</v>
      </c>
      <c r="V757" s="111">
        <f t="shared" si="108"/>
        <v>252500</v>
      </c>
      <c r="W757" t="s">
        <v>3216</v>
      </c>
    </row>
    <row r="758" spans="1:23" x14ac:dyDescent="0.3">
      <c r="A758" s="110">
        <v>1002451</v>
      </c>
      <c r="B758" s="110" t="s">
        <v>925</v>
      </c>
      <c r="C758" s="110" t="s">
        <v>930</v>
      </c>
      <c r="D758" s="110" t="s">
        <v>930</v>
      </c>
      <c r="E758" s="110" t="s">
        <v>959</v>
      </c>
      <c r="F758" s="110" t="s">
        <v>117</v>
      </c>
      <c r="G758" s="110" t="s">
        <v>125</v>
      </c>
      <c r="H758" s="111">
        <v>69</v>
      </c>
      <c r="I758" s="111">
        <v>82</v>
      </c>
      <c r="J758" s="111">
        <v>111</v>
      </c>
      <c r="K758" s="111">
        <f t="shared" si="100"/>
        <v>87.333333333333329</v>
      </c>
      <c r="L758" s="111">
        <f>150000*0.7</f>
        <v>105000</v>
      </c>
      <c r="M758" s="111">
        <f t="shared" si="101"/>
        <v>47250</v>
      </c>
      <c r="N758" s="111">
        <f t="shared" si="102"/>
        <v>47250</v>
      </c>
      <c r="O758" s="111">
        <f t="shared" si="103"/>
        <v>9450</v>
      </c>
      <c r="P758" s="111">
        <f t="shared" si="104"/>
        <v>10500</v>
      </c>
      <c r="Q758" s="111">
        <v>30000</v>
      </c>
      <c r="R758" s="111">
        <v>3</v>
      </c>
      <c r="S758" s="111">
        <f t="shared" si="105"/>
        <v>3000</v>
      </c>
      <c r="T758" s="111">
        <f t="shared" si="106"/>
        <v>135000</v>
      </c>
      <c r="U758" s="111">
        <f t="shared" si="107"/>
        <v>1350</v>
      </c>
      <c r="V758" s="111">
        <f t="shared" si="108"/>
        <v>136350</v>
      </c>
      <c r="W758" t="s">
        <v>3217</v>
      </c>
    </row>
    <row r="759" spans="1:23" x14ac:dyDescent="0.3">
      <c r="A759" s="110">
        <v>1100107</v>
      </c>
      <c r="B759" s="110" t="s">
        <v>960</v>
      </c>
      <c r="C759" s="110" t="s">
        <v>961</v>
      </c>
      <c r="D759" s="110" t="s">
        <v>962</v>
      </c>
      <c r="E759" s="110" t="s">
        <v>320</v>
      </c>
      <c r="F759" s="110" t="s">
        <v>113</v>
      </c>
      <c r="G759" s="110" t="s">
        <v>114</v>
      </c>
      <c r="H759" s="111">
        <v>36</v>
      </c>
      <c r="I759" s="111">
        <v>28</v>
      </c>
      <c r="J759" s="111">
        <v>27</v>
      </c>
      <c r="K759" s="111">
        <f t="shared" si="100"/>
        <v>30.333333333333332</v>
      </c>
      <c r="L759" s="111">
        <v>50000</v>
      </c>
      <c r="M759" s="111">
        <f t="shared" si="101"/>
        <v>22500</v>
      </c>
      <c r="N759" s="111">
        <f t="shared" si="102"/>
        <v>22500</v>
      </c>
      <c r="O759" s="111">
        <f t="shared" si="103"/>
        <v>4500</v>
      </c>
      <c r="P759" s="111">
        <f t="shared" si="104"/>
        <v>5000</v>
      </c>
      <c r="Q759" s="111">
        <v>10000</v>
      </c>
      <c r="R759" s="111">
        <v>1</v>
      </c>
      <c r="S759" s="111">
        <f t="shared" si="105"/>
        <v>1000</v>
      </c>
      <c r="T759" s="111">
        <f t="shared" si="106"/>
        <v>60000</v>
      </c>
      <c r="U759" s="111">
        <f t="shared" si="107"/>
        <v>600</v>
      </c>
      <c r="V759" s="111">
        <f t="shared" si="108"/>
        <v>60600</v>
      </c>
      <c r="W759" t="s">
        <v>3218</v>
      </c>
    </row>
    <row r="760" spans="1:23" x14ac:dyDescent="0.3">
      <c r="A760" s="110">
        <v>1100108</v>
      </c>
      <c r="B760" s="110" t="s">
        <v>960</v>
      </c>
      <c r="C760" s="110" t="s">
        <v>963</v>
      </c>
      <c r="D760" s="110" t="s">
        <v>963</v>
      </c>
      <c r="E760" s="110" t="s">
        <v>214</v>
      </c>
      <c r="F760" s="110" t="s">
        <v>119</v>
      </c>
      <c r="G760" s="110" t="s">
        <v>114</v>
      </c>
      <c r="H760" s="111">
        <v>182</v>
      </c>
      <c r="I760" s="111">
        <v>182</v>
      </c>
      <c r="J760" s="111">
        <v>177</v>
      </c>
      <c r="K760" s="111">
        <f t="shared" si="100"/>
        <v>180.33333333333334</v>
      </c>
      <c r="L760" s="111">
        <v>150000</v>
      </c>
      <c r="M760" s="111">
        <f t="shared" si="101"/>
        <v>67500</v>
      </c>
      <c r="N760" s="111">
        <f t="shared" si="102"/>
        <v>67500</v>
      </c>
      <c r="O760" s="111">
        <f t="shared" si="103"/>
        <v>13500</v>
      </c>
      <c r="P760" s="111">
        <f t="shared" si="104"/>
        <v>15000</v>
      </c>
      <c r="Q760" s="111">
        <v>30000</v>
      </c>
      <c r="R760" s="111">
        <v>3</v>
      </c>
      <c r="S760" s="111">
        <f t="shared" si="105"/>
        <v>3000</v>
      </c>
      <c r="T760" s="111">
        <f t="shared" si="106"/>
        <v>180000</v>
      </c>
      <c r="U760" s="111">
        <f t="shared" si="107"/>
        <v>1800</v>
      </c>
      <c r="V760" s="111">
        <f t="shared" si="108"/>
        <v>181800</v>
      </c>
      <c r="W760" t="s">
        <v>3219</v>
      </c>
    </row>
    <row r="761" spans="1:23" x14ac:dyDescent="0.3">
      <c r="A761" s="110">
        <v>1100201</v>
      </c>
      <c r="B761" s="110" t="s">
        <v>960</v>
      </c>
      <c r="C761" s="110" t="s">
        <v>964</v>
      </c>
      <c r="D761" s="110" t="s">
        <v>964</v>
      </c>
      <c r="E761" s="110" t="s">
        <v>517</v>
      </c>
      <c r="F761" s="110" t="s">
        <v>119</v>
      </c>
      <c r="G761" s="110" t="s">
        <v>114</v>
      </c>
      <c r="H761" s="111">
        <v>346</v>
      </c>
      <c r="I761" s="111">
        <v>355</v>
      </c>
      <c r="J761" s="111">
        <v>318</v>
      </c>
      <c r="K761" s="111">
        <f t="shared" si="100"/>
        <v>339.66666666666669</v>
      </c>
      <c r="L761" s="111">
        <v>200000</v>
      </c>
      <c r="M761" s="111">
        <f t="shared" si="101"/>
        <v>90000</v>
      </c>
      <c r="N761" s="111">
        <f t="shared" si="102"/>
        <v>90000</v>
      </c>
      <c r="O761" s="111">
        <f t="shared" si="103"/>
        <v>18000</v>
      </c>
      <c r="P761" s="111">
        <f t="shared" si="104"/>
        <v>20000</v>
      </c>
      <c r="Q761" s="111">
        <v>50000</v>
      </c>
      <c r="R761" s="111">
        <v>5</v>
      </c>
      <c r="S761" s="111">
        <f t="shared" si="105"/>
        <v>5000</v>
      </c>
      <c r="T761" s="111">
        <f t="shared" si="106"/>
        <v>250000</v>
      </c>
      <c r="U761" s="111">
        <f t="shared" si="107"/>
        <v>2500</v>
      </c>
      <c r="V761" s="111">
        <f t="shared" si="108"/>
        <v>252500</v>
      </c>
      <c r="W761" t="s">
        <v>3220</v>
      </c>
    </row>
    <row r="762" spans="1:23" x14ac:dyDescent="0.3">
      <c r="A762" s="110">
        <v>1100301</v>
      </c>
      <c r="B762" s="110" t="s">
        <v>960</v>
      </c>
      <c r="C762" s="110" t="s">
        <v>960</v>
      </c>
      <c r="D762" s="110" t="s">
        <v>960</v>
      </c>
      <c r="E762" s="110" t="s">
        <v>319</v>
      </c>
      <c r="F762" s="110" t="s">
        <v>113</v>
      </c>
      <c r="G762" s="110" t="s">
        <v>114</v>
      </c>
      <c r="H762" s="111">
        <v>548</v>
      </c>
      <c r="I762" s="111">
        <v>560</v>
      </c>
      <c r="J762" s="111">
        <v>538</v>
      </c>
      <c r="K762" s="111">
        <f t="shared" si="100"/>
        <v>548.66666666666663</v>
      </c>
      <c r="L762" s="111">
        <f>300000</f>
        <v>300000</v>
      </c>
      <c r="M762" s="111">
        <f t="shared" si="101"/>
        <v>135000</v>
      </c>
      <c r="N762" s="111">
        <f t="shared" si="102"/>
        <v>135000</v>
      </c>
      <c r="O762" s="111">
        <f t="shared" si="103"/>
        <v>27000</v>
      </c>
      <c r="P762" s="111">
        <f t="shared" si="104"/>
        <v>30000</v>
      </c>
      <c r="Q762" s="111">
        <v>60000</v>
      </c>
      <c r="R762" s="111">
        <v>6</v>
      </c>
      <c r="S762" s="111">
        <f t="shared" si="105"/>
        <v>6000</v>
      </c>
      <c r="T762" s="111">
        <f t="shared" si="106"/>
        <v>360000</v>
      </c>
      <c r="U762" s="111">
        <f t="shared" si="107"/>
        <v>3600</v>
      </c>
      <c r="V762" s="111">
        <f t="shared" si="108"/>
        <v>363600</v>
      </c>
      <c r="W762" t="s">
        <v>3221</v>
      </c>
    </row>
    <row r="763" spans="1:23" x14ac:dyDescent="0.3">
      <c r="A763" s="110">
        <v>1100304</v>
      </c>
      <c r="B763" s="110" t="s">
        <v>960</v>
      </c>
      <c r="C763" s="110" t="s">
        <v>960</v>
      </c>
      <c r="D763" s="110" t="s">
        <v>960</v>
      </c>
      <c r="E763" s="110" t="s">
        <v>965</v>
      </c>
      <c r="F763" s="110" t="s">
        <v>113</v>
      </c>
      <c r="G763" s="110" t="s">
        <v>114</v>
      </c>
      <c r="H763" s="111">
        <v>468</v>
      </c>
      <c r="I763" s="111">
        <v>466</v>
      </c>
      <c r="J763" s="111">
        <v>459</v>
      </c>
      <c r="K763" s="111">
        <f t="shared" si="100"/>
        <v>464.33333333333331</v>
      </c>
      <c r="L763" s="111">
        <f>300000</f>
        <v>300000</v>
      </c>
      <c r="M763" s="111">
        <f t="shared" si="101"/>
        <v>135000</v>
      </c>
      <c r="N763" s="111">
        <f t="shared" si="102"/>
        <v>135000</v>
      </c>
      <c r="O763" s="111">
        <f t="shared" si="103"/>
        <v>27000</v>
      </c>
      <c r="P763" s="111">
        <f t="shared" si="104"/>
        <v>30000</v>
      </c>
      <c r="Q763" s="111">
        <v>60000</v>
      </c>
      <c r="R763" s="111">
        <v>6</v>
      </c>
      <c r="S763" s="111">
        <f t="shared" si="105"/>
        <v>6000</v>
      </c>
      <c r="T763" s="111">
        <f t="shared" si="106"/>
        <v>360000</v>
      </c>
      <c r="U763" s="111">
        <f t="shared" si="107"/>
        <v>3600</v>
      </c>
      <c r="V763" s="111">
        <f t="shared" si="108"/>
        <v>363600</v>
      </c>
      <c r="W763" t="s">
        <v>3222</v>
      </c>
    </row>
    <row r="764" spans="1:23" x14ac:dyDescent="0.3">
      <c r="A764" s="110">
        <v>1100305</v>
      </c>
      <c r="B764" s="110" t="s">
        <v>960</v>
      </c>
      <c r="C764" s="110" t="s">
        <v>960</v>
      </c>
      <c r="D764" s="110" t="s">
        <v>960</v>
      </c>
      <c r="E764" s="110" t="s">
        <v>588</v>
      </c>
      <c r="F764" s="110" t="s">
        <v>113</v>
      </c>
      <c r="G764" s="110" t="s">
        <v>114</v>
      </c>
      <c r="H764" s="111">
        <v>135</v>
      </c>
      <c r="I764" s="111">
        <v>142</v>
      </c>
      <c r="J764" s="111">
        <v>134</v>
      </c>
      <c r="K764" s="111">
        <f t="shared" si="100"/>
        <v>137</v>
      </c>
      <c r="L764" s="111">
        <v>150000</v>
      </c>
      <c r="M764" s="111">
        <f t="shared" si="101"/>
        <v>67500</v>
      </c>
      <c r="N764" s="111">
        <f t="shared" si="102"/>
        <v>67500</v>
      </c>
      <c r="O764" s="111">
        <f t="shared" si="103"/>
        <v>13500</v>
      </c>
      <c r="P764" s="111">
        <f t="shared" si="104"/>
        <v>15000</v>
      </c>
      <c r="Q764" s="111">
        <v>30000</v>
      </c>
      <c r="R764" s="111">
        <v>3</v>
      </c>
      <c r="S764" s="111">
        <f t="shared" si="105"/>
        <v>3000</v>
      </c>
      <c r="T764" s="111">
        <f t="shared" si="106"/>
        <v>180000</v>
      </c>
      <c r="U764" s="111">
        <f t="shared" si="107"/>
        <v>1800</v>
      </c>
      <c r="V764" s="111">
        <f t="shared" si="108"/>
        <v>181800</v>
      </c>
      <c r="W764" t="s">
        <v>3223</v>
      </c>
    </row>
    <row r="765" spans="1:23" x14ac:dyDescent="0.3">
      <c r="A765" s="110">
        <v>1100311</v>
      </c>
      <c r="B765" s="110" t="s">
        <v>960</v>
      </c>
      <c r="C765" s="110" t="s">
        <v>960</v>
      </c>
      <c r="D765" s="110" t="s">
        <v>966</v>
      </c>
      <c r="E765" s="110" t="s">
        <v>319</v>
      </c>
      <c r="F765" s="110" t="s">
        <v>113</v>
      </c>
      <c r="G765" s="110" t="s">
        <v>114</v>
      </c>
      <c r="H765" s="111">
        <v>20</v>
      </c>
      <c r="I765" s="111">
        <v>27</v>
      </c>
      <c r="J765" s="111">
        <v>29</v>
      </c>
      <c r="K765" s="111">
        <f t="shared" si="100"/>
        <v>25.333333333333332</v>
      </c>
      <c r="L765" s="111">
        <v>50000</v>
      </c>
      <c r="M765" s="111">
        <f t="shared" si="101"/>
        <v>22500</v>
      </c>
      <c r="N765" s="111">
        <f t="shared" si="102"/>
        <v>22500</v>
      </c>
      <c r="O765" s="111">
        <f t="shared" si="103"/>
        <v>4500</v>
      </c>
      <c r="P765" s="111">
        <f t="shared" si="104"/>
        <v>5000</v>
      </c>
      <c r="Q765" s="111">
        <v>10000</v>
      </c>
      <c r="R765" s="111">
        <v>1</v>
      </c>
      <c r="S765" s="111">
        <f t="shared" si="105"/>
        <v>1000</v>
      </c>
      <c r="T765" s="111">
        <f t="shared" si="106"/>
        <v>60000</v>
      </c>
      <c r="U765" s="111">
        <f t="shared" si="107"/>
        <v>600</v>
      </c>
      <c r="V765" s="111">
        <f t="shared" si="108"/>
        <v>60600</v>
      </c>
      <c r="W765" t="s">
        <v>3224</v>
      </c>
    </row>
    <row r="766" spans="1:23" x14ac:dyDescent="0.3">
      <c r="A766" s="110">
        <v>1100316</v>
      </c>
      <c r="B766" s="110" t="s">
        <v>960</v>
      </c>
      <c r="C766" s="110" t="s">
        <v>960</v>
      </c>
      <c r="D766" s="110" t="s">
        <v>960</v>
      </c>
      <c r="E766" s="110" t="s">
        <v>967</v>
      </c>
      <c r="F766" s="110" t="s">
        <v>119</v>
      </c>
      <c r="G766" s="110" t="s">
        <v>114</v>
      </c>
      <c r="H766" s="111">
        <v>227</v>
      </c>
      <c r="I766" s="111">
        <v>216</v>
      </c>
      <c r="J766" s="111">
        <v>214</v>
      </c>
      <c r="K766" s="111">
        <f t="shared" si="100"/>
        <v>219</v>
      </c>
      <c r="L766" s="111">
        <v>200000</v>
      </c>
      <c r="M766" s="111">
        <f t="shared" si="101"/>
        <v>90000</v>
      </c>
      <c r="N766" s="111">
        <f t="shared" si="102"/>
        <v>90000</v>
      </c>
      <c r="O766" s="111">
        <f t="shared" si="103"/>
        <v>18000</v>
      </c>
      <c r="P766" s="111">
        <f t="shared" si="104"/>
        <v>20000</v>
      </c>
      <c r="Q766" s="111">
        <v>50000</v>
      </c>
      <c r="R766" s="111">
        <v>5</v>
      </c>
      <c r="S766" s="111">
        <f t="shared" si="105"/>
        <v>5000</v>
      </c>
      <c r="T766" s="111">
        <f t="shared" si="106"/>
        <v>250000</v>
      </c>
      <c r="U766" s="111">
        <f t="shared" si="107"/>
        <v>2500</v>
      </c>
      <c r="V766" s="111">
        <f t="shared" si="108"/>
        <v>252500</v>
      </c>
      <c r="W766" t="s">
        <v>3225</v>
      </c>
    </row>
    <row r="767" spans="1:23" x14ac:dyDescent="0.3">
      <c r="A767" s="110">
        <v>1100317</v>
      </c>
      <c r="B767" s="110" t="s">
        <v>960</v>
      </c>
      <c r="C767" s="110" t="s">
        <v>960</v>
      </c>
      <c r="D767" s="110" t="s">
        <v>960</v>
      </c>
      <c r="E767" s="110" t="s">
        <v>968</v>
      </c>
      <c r="F767" s="110" t="s">
        <v>113</v>
      </c>
      <c r="G767" s="110" t="s">
        <v>114</v>
      </c>
      <c r="H767" s="111">
        <v>141</v>
      </c>
      <c r="I767" s="111">
        <v>132</v>
      </c>
      <c r="J767" s="111">
        <v>117</v>
      </c>
      <c r="K767" s="111">
        <f t="shared" si="100"/>
        <v>130</v>
      </c>
      <c r="L767" s="111">
        <v>150000</v>
      </c>
      <c r="M767" s="111">
        <f t="shared" si="101"/>
        <v>67500</v>
      </c>
      <c r="N767" s="111">
        <f t="shared" si="102"/>
        <v>67500</v>
      </c>
      <c r="O767" s="111">
        <f t="shared" si="103"/>
        <v>13500</v>
      </c>
      <c r="P767" s="111">
        <f t="shared" si="104"/>
        <v>15000</v>
      </c>
      <c r="Q767" s="111">
        <v>30000</v>
      </c>
      <c r="R767" s="111">
        <v>3</v>
      </c>
      <c r="S767" s="111">
        <f t="shared" si="105"/>
        <v>3000</v>
      </c>
      <c r="T767" s="111">
        <f t="shared" si="106"/>
        <v>180000</v>
      </c>
      <c r="U767" s="111">
        <f t="shared" si="107"/>
        <v>1800</v>
      </c>
      <c r="V767" s="111">
        <f t="shared" si="108"/>
        <v>181800</v>
      </c>
      <c r="W767" t="s">
        <v>3226</v>
      </c>
    </row>
    <row r="768" spans="1:23" x14ac:dyDescent="0.3">
      <c r="A768" s="110">
        <v>1100318</v>
      </c>
      <c r="B768" s="110" t="s">
        <v>960</v>
      </c>
      <c r="C768" s="110" t="s">
        <v>960</v>
      </c>
      <c r="D768" s="110" t="s">
        <v>960</v>
      </c>
      <c r="E768" s="110" t="s">
        <v>274</v>
      </c>
      <c r="F768" s="110" t="s">
        <v>119</v>
      </c>
      <c r="G768" s="110" t="s">
        <v>114</v>
      </c>
      <c r="H768" s="111">
        <v>194</v>
      </c>
      <c r="I768" s="111">
        <v>182</v>
      </c>
      <c r="J768" s="111">
        <v>191</v>
      </c>
      <c r="K768" s="111">
        <f t="shared" si="100"/>
        <v>189</v>
      </c>
      <c r="L768" s="111">
        <v>150000</v>
      </c>
      <c r="M768" s="111">
        <f t="shared" si="101"/>
        <v>67500</v>
      </c>
      <c r="N768" s="111">
        <f t="shared" si="102"/>
        <v>67500</v>
      </c>
      <c r="O768" s="111">
        <f t="shared" si="103"/>
        <v>13500</v>
      </c>
      <c r="P768" s="111">
        <f t="shared" si="104"/>
        <v>15000</v>
      </c>
      <c r="Q768" s="111">
        <v>30000</v>
      </c>
      <c r="R768" s="111">
        <v>3</v>
      </c>
      <c r="S768" s="111">
        <f t="shared" si="105"/>
        <v>3000</v>
      </c>
      <c r="T768" s="111">
        <f t="shared" si="106"/>
        <v>180000</v>
      </c>
      <c r="U768" s="111">
        <f t="shared" si="107"/>
        <v>1800</v>
      </c>
      <c r="V768" s="111">
        <f t="shared" si="108"/>
        <v>181800</v>
      </c>
      <c r="W768" t="s">
        <v>3227</v>
      </c>
    </row>
    <row r="769" spans="1:23" x14ac:dyDescent="0.3">
      <c r="A769" s="110">
        <v>1100320</v>
      </c>
      <c r="B769" s="110" t="s">
        <v>960</v>
      </c>
      <c r="C769" s="110" t="s">
        <v>960</v>
      </c>
      <c r="D769" s="110" t="s">
        <v>960</v>
      </c>
      <c r="E769" s="110" t="s">
        <v>969</v>
      </c>
      <c r="F769" s="110" t="s">
        <v>122</v>
      </c>
      <c r="G769" s="110" t="s">
        <v>114</v>
      </c>
      <c r="H769" s="111">
        <v>562</v>
      </c>
      <c r="I769" s="111">
        <v>566</v>
      </c>
      <c r="J769" s="111">
        <v>574</v>
      </c>
      <c r="K769" s="111">
        <f t="shared" si="100"/>
        <v>567.33333333333337</v>
      </c>
      <c r="L769" s="111">
        <f>300000*0.7</f>
        <v>210000</v>
      </c>
      <c r="M769" s="111">
        <f t="shared" si="101"/>
        <v>94500</v>
      </c>
      <c r="N769" s="111">
        <f t="shared" si="102"/>
        <v>94500</v>
      </c>
      <c r="O769" s="111">
        <f t="shared" si="103"/>
        <v>18900</v>
      </c>
      <c r="P769" s="111">
        <f t="shared" si="104"/>
        <v>21000</v>
      </c>
      <c r="Q769" s="111">
        <v>60000</v>
      </c>
      <c r="R769" s="111">
        <v>6</v>
      </c>
      <c r="S769" s="111">
        <f t="shared" si="105"/>
        <v>6000</v>
      </c>
      <c r="T769" s="111">
        <f t="shared" si="106"/>
        <v>270000</v>
      </c>
      <c r="U769" s="111">
        <f t="shared" si="107"/>
        <v>2700</v>
      </c>
      <c r="V769" s="111">
        <f t="shared" si="108"/>
        <v>272700</v>
      </c>
      <c r="W769" t="s">
        <v>3228</v>
      </c>
    </row>
    <row r="770" spans="1:23" x14ac:dyDescent="0.3">
      <c r="A770" s="110">
        <v>1100321</v>
      </c>
      <c r="B770" s="110" t="s">
        <v>960</v>
      </c>
      <c r="C770" s="110" t="s">
        <v>960</v>
      </c>
      <c r="D770" s="110" t="s">
        <v>970</v>
      </c>
      <c r="E770" s="110" t="s">
        <v>143</v>
      </c>
      <c r="F770" s="110" t="s">
        <v>113</v>
      </c>
      <c r="G770" s="110" t="s">
        <v>114</v>
      </c>
      <c r="H770" s="111">
        <v>84</v>
      </c>
      <c r="I770" s="111">
        <v>74</v>
      </c>
      <c r="J770" s="111">
        <v>82</v>
      </c>
      <c r="K770" s="111">
        <f t="shared" ref="K770:K833" si="109">+(H770+I770+J770)/3</f>
        <v>80</v>
      </c>
      <c r="L770" s="111">
        <v>150000</v>
      </c>
      <c r="M770" s="111">
        <f t="shared" ref="M770:M833" si="110">+L770*0.45</f>
        <v>67500</v>
      </c>
      <c r="N770" s="111">
        <f t="shared" ref="N770:N833" si="111">+L770*0.45</f>
        <v>67500</v>
      </c>
      <c r="O770" s="111">
        <f t="shared" ref="O770:O833" si="112">+N770*0.2</f>
        <v>13500</v>
      </c>
      <c r="P770" s="111">
        <f t="shared" ref="P770:P833" si="113">++L770*0.1</f>
        <v>15000</v>
      </c>
      <c r="Q770" s="111">
        <v>30000</v>
      </c>
      <c r="R770" s="111">
        <v>3</v>
      </c>
      <c r="S770" s="111">
        <f t="shared" ref="S770:S833" si="114">+Q770*0.1</f>
        <v>3000</v>
      </c>
      <c r="T770" s="111">
        <f t="shared" ref="T770:T833" si="115">+L770+Q770</f>
        <v>180000</v>
      </c>
      <c r="U770" s="111">
        <f t="shared" ref="U770:U833" si="116">+T770*0.01</f>
        <v>1800</v>
      </c>
      <c r="V770" s="111">
        <f t="shared" ref="V770:V833" si="117">+T770+U770</f>
        <v>181800</v>
      </c>
      <c r="W770" t="s">
        <v>3229</v>
      </c>
    </row>
    <row r="771" spans="1:23" x14ac:dyDescent="0.3">
      <c r="A771" s="110">
        <v>1100322</v>
      </c>
      <c r="B771" s="110" t="s">
        <v>960</v>
      </c>
      <c r="C771" s="110" t="s">
        <v>960</v>
      </c>
      <c r="D771" s="110" t="s">
        <v>960</v>
      </c>
      <c r="E771" s="110" t="s">
        <v>971</v>
      </c>
      <c r="F771" s="110" t="s">
        <v>117</v>
      </c>
      <c r="G771" s="110" t="s">
        <v>125</v>
      </c>
      <c r="H771" s="111">
        <v>194</v>
      </c>
      <c r="I771" s="111">
        <v>200</v>
      </c>
      <c r="J771" s="111">
        <v>204</v>
      </c>
      <c r="K771" s="111">
        <f t="shared" si="109"/>
        <v>199.33333333333334</v>
      </c>
      <c r="L771" s="111">
        <f>150000*0.7</f>
        <v>105000</v>
      </c>
      <c r="M771" s="111">
        <f t="shared" si="110"/>
        <v>47250</v>
      </c>
      <c r="N771" s="111">
        <f t="shared" si="111"/>
        <v>47250</v>
      </c>
      <c r="O771" s="111">
        <f t="shared" si="112"/>
        <v>9450</v>
      </c>
      <c r="P771" s="111">
        <f t="shared" si="113"/>
        <v>10500</v>
      </c>
      <c r="Q771" s="111">
        <v>30000</v>
      </c>
      <c r="R771" s="111">
        <v>3</v>
      </c>
      <c r="S771" s="111">
        <f t="shared" si="114"/>
        <v>3000</v>
      </c>
      <c r="T771" s="111">
        <f t="shared" si="115"/>
        <v>135000</v>
      </c>
      <c r="U771" s="111">
        <f t="shared" si="116"/>
        <v>1350</v>
      </c>
      <c r="V771" s="111">
        <f t="shared" si="117"/>
        <v>136350</v>
      </c>
      <c r="W771" t="s">
        <v>3230</v>
      </c>
    </row>
    <row r="772" spans="1:23" x14ac:dyDescent="0.3">
      <c r="A772" s="110">
        <v>1100328</v>
      </c>
      <c r="B772" s="110" t="s">
        <v>960</v>
      </c>
      <c r="C772" s="110" t="s">
        <v>960</v>
      </c>
      <c r="D772" s="110" t="s">
        <v>960</v>
      </c>
      <c r="E772" s="110" t="s">
        <v>972</v>
      </c>
      <c r="F772" s="110" t="s">
        <v>122</v>
      </c>
      <c r="G772" s="110" t="s">
        <v>114</v>
      </c>
      <c r="H772" s="111">
        <v>806</v>
      </c>
      <c r="I772" s="111">
        <v>755</v>
      </c>
      <c r="J772" s="111">
        <v>731</v>
      </c>
      <c r="K772" s="111">
        <f t="shared" si="109"/>
        <v>764</v>
      </c>
      <c r="L772" s="111">
        <f>300000</f>
        <v>300000</v>
      </c>
      <c r="M772" s="111">
        <f t="shared" si="110"/>
        <v>135000</v>
      </c>
      <c r="N772" s="111">
        <f t="shared" si="111"/>
        <v>135000</v>
      </c>
      <c r="O772" s="111">
        <f t="shared" si="112"/>
        <v>27000</v>
      </c>
      <c r="P772" s="111">
        <f t="shared" si="113"/>
        <v>30000</v>
      </c>
      <c r="Q772" s="111">
        <v>60000</v>
      </c>
      <c r="R772" s="111">
        <v>6</v>
      </c>
      <c r="S772" s="111">
        <f t="shared" si="114"/>
        <v>6000</v>
      </c>
      <c r="T772" s="111">
        <f t="shared" si="115"/>
        <v>360000</v>
      </c>
      <c r="U772" s="111">
        <f t="shared" si="116"/>
        <v>3600</v>
      </c>
      <c r="V772" s="111">
        <f t="shared" si="117"/>
        <v>363600</v>
      </c>
      <c r="W772" t="s">
        <v>3231</v>
      </c>
    </row>
    <row r="773" spans="1:23" x14ac:dyDescent="0.3">
      <c r="A773" s="110">
        <v>1100329</v>
      </c>
      <c r="B773" s="110" t="s">
        <v>960</v>
      </c>
      <c r="C773" s="110" t="s">
        <v>960</v>
      </c>
      <c r="D773" s="110" t="s">
        <v>960</v>
      </c>
      <c r="E773" s="110" t="s">
        <v>973</v>
      </c>
      <c r="F773" s="110" t="s">
        <v>117</v>
      </c>
      <c r="G773" s="110" t="s">
        <v>125</v>
      </c>
      <c r="H773" s="111">
        <v>261</v>
      </c>
      <c r="I773" s="111">
        <v>259</v>
      </c>
      <c r="J773" s="111">
        <v>262</v>
      </c>
      <c r="K773" s="111">
        <f t="shared" si="109"/>
        <v>260.66666666666669</v>
      </c>
      <c r="L773" s="111">
        <f>200000*0.7</f>
        <v>140000</v>
      </c>
      <c r="M773" s="111">
        <f t="shared" si="110"/>
        <v>63000</v>
      </c>
      <c r="N773" s="111">
        <f t="shared" si="111"/>
        <v>63000</v>
      </c>
      <c r="O773" s="111">
        <f t="shared" si="112"/>
        <v>12600</v>
      </c>
      <c r="P773" s="111">
        <f t="shared" si="113"/>
        <v>14000</v>
      </c>
      <c r="Q773" s="111">
        <v>50000</v>
      </c>
      <c r="R773" s="111">
        <v>5</v>
      </c>
      <c r="S773" s="111">
        <f t="shared" si="114"/>
        <v>5000</v>
      </c>
      <c r="T773" s="111">
        <f t="shared" si="115"/>
        <v>190000</v>
      </c>
      <c r="U773" s="111">
        <f t="shared" si="116"/>
        <v>1900</v>
      </c>
      <c r="V773" s="111">
        <f t="shared" si="117"/>
        <v>191900</v>
      </c>
      <c r="W773" t="s">
        <v>3232</v>
      </c>
    </row>
    <row r="774" spans="1:23" x14ac:dyDescent="0.3">
      <c r="A774" s="110">
        <v>1100331</v>
      </c>
      <c r="B774" s="110" t="s">
        <v>960</v>
      </c>
      <c r="C774" s="110" t="s">
        <v>960</v>
      </c>
      <c r="D774" s="110" t="s">
        <v>960</v>
      </c>
      <c r="E774" s="110" t="s">
        <v>974</v>
      </c>
      <c r="F774" s="110" t="s">
        <v>117</v>
      </c>
      <c r="G774" s="110" t="s">
        <v>125</v>
      </c>
      <c r="H774" s="111">
        <v>218</v>
      </c>
      <c r="I774" s="111">
        <v>215</v>
      </c>
      <c r="J774" s="111">
        <v>218</v>
      </c>
      <c r="K774" s="111">
        <f t="shared" si="109"/>
        <v>217</v>
      </c>
      <c r="L774" s="111">
        <v>200000</v>
      </c>
      <c r="M774" s="111">
        <f t="shared" si="110"/>
        <v>90000</v>
      </c>
      <c r="N774" s="111">
        <f t="shared" si="111"/>
        <v>90000</v>
      </c>
      <c r="O774" s="111">
        <f t="shared" si="112"/>
        <v>18000</v>
      </c>
      <c r="P774" s="111">
        <f t="shared" si="113"/>
        <v>20000</v>
      </c>
      <c r="Q774" s="111">
        <v>50000</v>
      </c>
      <c r="R774" s="111">
        <v>5</v>
      </c>
      <c r="S774" s="111">
        <f t="shared" si="114"/>
        <v>5000</v>
      </c>
      <c r="T774" s="111">
        <f t="shared" si="115"/>
        <v>250000</v>
      </c>
      <c r="U774" s="111">
        <f t="shared" si="116"/>
        <v>2500</v>
      </c>
      <c r="V774" s="111">
        <f t="shared" si="117"/>
        <v>252500</v>
      </c>
      <c r="W774" t="s">
        <v>3233</v>
      </c>
    </row>
    <row r="775" spans="1:23" x14ac:dyDescent="0.3">
      <c r="A775" s="110">
        <v>1100334</v>
      </c>
      <c r="B775" s="110" t="s">
        <v>960</v>
      </c>
      <c r="C775" s="110" t="s">
        <v>960</v>
      </c>
      <c r="D775" s="110" t="s">
        <v>960</v>
      </c>
      <c r="E775" s="110" t="s">
        <v>195</v>
      </c>
      <c r="F775" s="110" t="s">
        <v>135</v>
      </c>
      <c r="G775" s="110" t="s">
        <v>125</v>
      </c>
      <c r="H775" s="111">
        <v>32</v>
      </c>
      <c r="I775" s="111">
        <v>33</v>
      </c>
      <c r="J775" s="111">
        <v>31</v>
      </c>
      <c r="K775" s="111">
        <f t="shared" si="109"/>
        <v>32</v>
      </c>
      <c r="L775" s="111">
        <v>50000</v>
      </c>
      <c r="M775" s="111">
        <f t="shared" si="110"/>
        <v>22500</v>
      </c>
      <c r="N775" s="111">
        <f t="shared" si="111"/>
        <v>22500</v>
      </c>
      <c r="O775" s="111">
        <f t="shared" si="112"/>
        <v>4500</v>
      </c>
      <c r="P775" s="111">
        <f t="shared" si="113"/>
        <v>5000</v>
      </c>
      <c r="Q775" s="111">
        <v>10000</v>
      </c>
      <c r="R775" s="111">
        <v>1</v>
      </c>
      <c r="S775" s="111">
        <f t="shared" si="114"/>
        <v>1000</v>
      </c>
      <c r="T775" s="111">
        <f t="shared" si="115"/>
        <v>60000</v>
      </c>
      <c r="U775" s="111">
        <f t="shared" si="116"/>
        <v>600</v>
      </c>
      <c r="V775" s="111">
        <f t="shared" si="117"/>
        <v>60600</v>
      </c>
      <c r="W775" t="s">
        <v>3234</v>
      </c>
    </row>
    <row r="776" spans="1:23" x14ac:dyDescent="0.3">
      <c r="A776" s="110">
        <v>1100336</v>
      </c>
      <c r="B776" s="110" t="s">
        <v>960</v>
      </c>
      <c r="C776" s="110" t="s">
        <v>960</v>
      </c>
      <c r="D776" s="110" t="s">
        <v>960</v>
      </c>
      <c r="E776" s="110" t="s">
        <v>975</v>
      </c>
      <c r="F776" s="110" t="s">
        <v>113</v>
      </c>
      <c r="G776" s="110" t="s">
        <v>114</v>
      </c>
      <c r="H776" s="111">
        <v>374</v>
      </c>
      <c r="I776" s="111">
        <v>356</v>
      </c>
      <c r="J776" s="111">
        <v>297</v>
      </c>
      <c r="K776" s="111">
        <f t="shared" si="109"/>
        <v>342.33333333333331</v>
      </c>
      <c r="L776" s="111">
        <v>200000</v>
      </c>
      <c r="M776" s="111">
        <f t="shared" si="110"/>
        <v>90000</v>
      </c>
      <c r="N776" s="111">
        <f t="shared" si="111"/>
        <v>90000</v>
      </c>
      <c r="O776" s="111">
        <f t="shared" si="112"/>
        <v>18000</v>
      </c>
      <c r="P776" s="111">
        <f t="shared" si="113"/>
        <v>20000</v>
      </c>
      <c r="Q776" s="111">
        <v>50000</v>
      </c>
      <c r="R776" s="111">
        <v>5</v>
      </c>
      <c r="S776" s="111">
        <f t="shared" si="114"/>
        <v>5000</v>
      </c>
      <c r="T776" s="111">
        <f t="shared" si="115"/>
        <v>250000</v>
      </c>
      <c r="U776" s="111">
        <f t="shared" si="116"/>
        <v>2500</v>
      </c>
      <c r="V776" s="111">
        <f t="shared" si="117"/>
        <v>252500</v>
      </c>
      <c r="W776" t="s">
        <v>3235</v>
      </c>
    </row>
    <row r="777" spans="1:23" x14ac:dyDescent="0.3">
      <c r="A777" s="110">
        <v>1100402</v>
      </c>
      <c r="B777" s="110" t="s">
        <v>960</v>
      </c>
      <c r="C777" s="110" t="s">
        <v>976</v>
      </c>
      <c r="D777" s="110" t="s">
        <v>976</v>
      </c>
      <c r="E777" s="110" t="s">
        <v>977</v>
      </c>
      <c r="F777" s="110" t="s">
        <v>119</v>
      </c>
      <c r="G777" s="110" t="s">
        <v>114</v>
      </c>
      <c r="H777" s="111">
        <v>875</v>
      </c>
      <c r="I777" s="111">
        <v>800</v>
      </c>
      <c r="J777" s="111">
        <v>830</v>
      </c>
      <c r="K777" s="111">
        <f t="shared" si="109"/>
        <v>835</v>
      </c>
      <c r="L777" s="111">
        <f>300000</f>
        <v>300000</v>
      </c>
      <c r="M777" s="111">
        <f t="shared" si="110"/>
        <v>135000</v>
      </c>
      <c r="N777" s="111">
        <f t="shared" si="111"/>
        <v>135000</v>
      </c>
      <c r="O777" s="111">
        <f t="shared" si="112"/>
        <v>27000</v>
      </c>
      <c r="P777" s="111">
        <f t="shared" si="113"/>
        <v>30000</v>
      </c>
      <c r="Q777" s="111">
        <v>60000</v>
      </c>
      <c r="R777" s="111">
        <v>6</v>
      </c>
      <c r="S777" s="111">
        <f t="shared" si="114"/>
        <v>6000</v>
      </c>
      <c r="T777" s="111">
        <f t="shared" si="115"/>
        <v>360000</v>
      </c>
      <c r="U777" s="111">
        <f t="shared" si="116"/>
        <v>3600</v>
      </c>
      <c r="V777" s="111">
        <f t="shared" si="117"/>
        <v>363600</v>
      </c>
      <c r="W777" t="s">
        <v>3236</v>
      </c>
    </row>
    <row r="778" spans="1:23" x14ac:dyDescent="0.3">
      <c r="A778" s="110">
        <v>1100403</v>
      </c>
      <c r="B778" s="110" t="s">
        <v>960</v>
      </c>
      <c r="C778" s="110" t="s">
        <v>976</v>
      </c>
      <c r="D778" s="110" t="s">
        <v>978</v>
      </c>
      <c r="E778" s="110" t="s">
        <v>588</v>
      </c>
      <c r="F778" s="110" t="s">
        <v>113</v>
      </c>
      <c r="G778" s="110" t="s">
        <v>114</v>
      </c>
      <c r="H778" s="111">
        <v>166</v>
      </c>
      <c r="I778" s="111">
        <v>153</v>
      </c>
      <c r="J778" s="111">
        <v>157</v>
      </c>
      <c r="K778" s="111">
        <f t="shared" si="109"/>
        <v>158.66666666666666</v>
      </c>
      <c r="L778" s="111">
        <v>150000</v>
      </c>
      <c r="M778" s="111">
        <f t="shared" si="110"/>
        <v>67500</v>
      </c>
      <c r="N778" s="111">
        <f t="shared" si="111"/>
        <v>67500</v>
      </c>
      <c r="O778" s="111">
        <f t="shared" si="112"/>
        <v>13500</v>
      </c>
      <c r="P778" s="111">
        <f t="shared" si="113"/>
        <v>15000</v>
      </c>
      <c r="Q778" s="111">
        <v>30000</v>
      </c>
      <c r="R778" s="111">
        <v>3</v>
      </c>
      <c r="S778" s="111">
        <f t="shared" si="114"/>
        <v>3000</v>
      </c>
      <c r="T778" s="111">
        <f t="shared" si="115"/>
        <v>180000</v>
      </c>
      <c r="U778" s="111">
        <f t="shared" si="116"/>
        <v>1800</v>
      </c>
      <c r="V778" s="111">
        <f t="shared" si="117"/>
        <v>181800</v>
      </c>
      <c r="W778" t="s">
        <v>3237</v>
      </c>
    </row>
    <row r="779" spans="1:23" x14ac:dyDescent="0.3">
      <c r="A779" s="110">
        <v>1100404</v>
      </c>
      <c r="B779" s="110" t="s">
        <v>960</v>
      </c>
      <c r="C779" s="110" t="s">
        <v>976</v>
      </c>
      <c r="D779" s="110" t="s">
        <v>979</v>
      </c>
      <c r="E779" s="110" t="s">
        <v>980</v>
      </c>
      <c r="F779" s="110" t="s">
        <v>168</v>
      </c>
      <c r="G779" s="110" t="s">
        <v>114</v>
      </c>
      <c r="H779" s="111">
        <v>237</v>
      </c>
      <c r="I779" s="111">
        <v>223</v>
      </c>
      <c r="J779" s="111">
        <v>214</v>
      </c>
      <c r="K779" s="111">
        <f t="shared" si="109"/>
        <v>224.66666666666666</v>
      </c>
      <c r="L779" s="111">
        <v>200000</v>
      </c>
      <c r="M779" s="111">
        <f t="shared" si="110"/>
        <v>90000</v>
      </c>
      <c r="N779" s="111">
        <f t="shared" si="111"/>
        <v>90000</v>
      </c>
      <c r="O779" s="111">
        <f t="shared" si="112"/>
        <v>18000</v>
      </c>
      <c r="P779" s="111">
        <f t="shared" si="113"/>
        <v>20000</v>
      </c>
      <c r="Q779" s="111">
        <v>50000</v>
      </c>
      <c r="R779" s="111">
        <v>5</v>
      </c>
      <c r="S779" s="111">
        <f t="shared" si="114"/>
        <v>5000</v>
      </c>
      <c r="T779" s="111">
        <f t="shared" si="115"/>
        <v>250000</v>
      </c>
      <c r="U779" s="111">
        <f t="shared" si="116"/>
        <v>2500</v>
      </c>
      <c r="V779" s="111">
        <f t="shared" si="117"/>
        <v>252500</v>
      </c>
      <c r="W779" t="s">
        <v>3238</v>
      </c>
    </row>
    <row r="780" spans="1:23" x14ac:dyDescent="0.3">
      <c r="A780" s="110">
        <v>1100406</v>
      </c>
      <c r="B780" s="110" t="s">
        <v>960</v>
      </c>
      <c r="C780" s="110" t="s">
        <v>976</v>
      </c>
      <c r="D780" s="110" t="s">
        <v>981</v>
      </c>
      <c r="E780" s="110" t="s">
        <v>184</v>
      </c>
      <c r="F780" s="110" t="s">
        <v>113</v>
      </c>
      <c r="G780" s="110" t="s">
        <v>114</v>
      </c>
      <c r="H780" s="111">
        <v>178</v>
      </c>
      <c r="I780" s="111">
        <v>181</v>
      </c>
      <c r="J780" s="111">
        <v>155</v>
      </c>
      <c r="K780" s="111">
        <f t="shared" si="109"/>
        <v>171.33333333333334</v>
      </c>
      <c r="L780" s="111">
        <v>150000</v>
      </c>
      <c r="M780" s="111">
        <f t="shared" si="110"/>
        <v>67500</v>
      </c>
      <c r="N780" s="111">
        <f t="shared" si="111"/>
        <v>67500</v>
      </c>
      <c r="O780" s="111">
        <f t="shared" si="112"/>
        <v>13500</v>
      </c>
      <c r="P780" s="111">
        <f t="shared" si="113"/>
        <v>15000</v>
      </c>
      <c r="Q780" s="111">
        <v>30000</v>
      </c>
      <c r="R780" s="111">
        <v>3</v>
      </c>
      <c r="S780" s="111">
        <f t="shared" si="114"/>
        <v>3000</v>
      </c>
      <c r="T780" s="111">
        <f t="shared" si="115"/>
        <v>180000</v>
      </c>
      <c r="U780" s="111">
        <f t="shared" si="116"/>
        <v>1800</v>
      </c>
      <c r="V780" s="111">
        <f t="shared" si="117"/>
        <v>181800</v>
      </c>
      <c r="W780" t="s">
        <v>3239</v>
      </c>
    </row>
    <row r="781" spans="1:23" x14ac:dyDescent="0.3">
      <c r="A781" s="110">
        <v>1100408</v>
      </c>
      <c r="B781" s="110" t="s">
        <v>960</v>
      </c>
      <c r="C781" s="110" t="s">
        <v>976</v>
      </c>
      <c r="D781" s="110" t="s">
        <v>982</v>
      </c>
      <c r="E781" s="110" t="s">
        <v>319</v>
      </c>
      <c r="F781" s="110" t="s">
        <v>113</v>
      </c>
      <c r="G781" s="110" t="s">
        <v>114</v>
      </c>
      <c r="H781" s="111">
        <v>92</v>
      </c>
      <c r="I781" s="111">
        <v>84</v>
      </c>
      <c r="J781" s="111">
        <v>93</v>
      </c>
      <c r="K781" s="111">
        <f t="shared" si="109"/>
        <v>89.666666666666671</v>
      </c>
      <c r="L781" s="111">
        <v>150000</v>
      </c>
      <c r="M781" s="111">
        <f t="shared" si="110"/>
        <v>67500</v>
      </c>
      <c r="N781" s="111">
        <f t="shared" si="111"/>
        <v>67500</v>
      </c>
      <c r="O781" s="111">
        <f t="shared" si="112"/>
        <v>13500</v>
      </c>
      <c r="P781" s="111">
        <f t="shared" si="113"/>
        <v>15000</v>
      </c>
      <c r="Q781" s="111">
        <v>30000</v>
      </c>
      <c r="R781" s="111">
        <v>3</v>
      </c>
      <c r="S781" s="111">
        <f t="shared" si="114"/>
        <v>3000</v>
      </c>
      <c r="T781" s="111">
        <f t="shared" si="115"/>
        <v>180000</v>
      </c>
      <c r="U781" s="111">
        <f t="shared" si="116"/>
        <v>1800</v>
      </c>
      <c r="V781" s="111">
        <f t="shared" si="117"/>
        <v>181800</v>
      </c>
      <c r="W781" t="s">
        <v>3240</v>
      </c>
    </row>
    <row r="782" spans="1:23" x14ac:dyDescent="0.3">
      <c r="A782" s="110">
        <v>1100410</v>
      </c>
      <c r="B782" s="110" t="s">
        <v>960</v>
      </c>
      <c r="C782" s="110" t="s">
        <v>976</v>
      </c>
      <c r="D782" s="110" t="s">
        <v>976</v>
      </c>
      <c r="E782" s="110" t="s">
        <v>983</v>
      </c>
      <c r="F782" s="110" t="s">
        <v>117</v>
      </c>
      <c r="G782" s="110" t="s">
        <v>114</v>
      </c>
      <c r="H782" s="111">
        <v>296</v>
      </c>
      <c r="I782" s="111">
        <v>322</v>
      </c>
      <c r="J782" s="111">
        <v>323</v>
      </c>
      <c r="K782" s="111">
        <f t="shared" si="109"/>
        <v>313.66666666666669</v>
      </c>
      <c r="L782" s="111">
        <v>200000</v>
      </c>
      <c r="M782" s="111">
        <f t="shared" si="110"/>
        <v>90000</v>
      </c>
      <c r="N782" s="111">
        <f t="shared" si="111"/>
        <v>90000</v>
      </c>
      <c r="O782" s="111">
        <f t="shared" si="112"/>
        <v>18000</v>
      </c>
      <c r="P782" s="111">
        <f t="shared" si="113"/>
        <v>20000</v>
      </c>
      <c r="Q782" s="111">
        <v>50000</v>
      </c>
      <c r="R782" s="111">
        <v>5</v>
      </c>
      <c r="S782" s="111">
        <f t="shared" si="114"/>
        <v>5000</v>
      </c>
      <c r="T782" s="111">
        <f t="shared" si="115"/>
        <v>250000</v>
      </c>
      <c r="U782" s="111">
        <f t="shared" si="116"/>
        <v>2500</v>
      </c>
      <c r="V782" s="111">
        <f t="shared" si="117"/>
        <v>252500</v>
      </c>
      <c r="W782" t="s">
        <v>3241</v>
      </c>
    </row>
    <row r="783" spans="1:23" x14ac:dyDescent="0.3">
      <c r="A783" s="110">
        <v>1100411</v>
      </c>
      <c r="B783" s="110" t="s">
        <v>960</v>
      </c>
      <c r="C783" s="110" t="s">
        <v>976</v>
      </c>
      <c r="D783" s="110" t="s">
        <v>976</v>
      </c>
      <c r="E783" s="110" t="s">
        <v>984</v>
      </c>
      <c r="F783" s="110" t="s">
        <v>209</v>
      </c>
      <c r="G783" s="110" t="s">
        <v>114</v>
      </c>
      <c r="H783" s="111">
        <v>216</v>
      </c>
      <c r="I783" s="111">
        <v>235</v>
      </c>
      <c r="J783" s="111">
        <v>214</v>
      </c>
      <c r="K783" s="111">
        <f t="shared" si="109"/>
        <v>221.66666666666666</v>
      </c>
      <c r="L783" s="111">
        <v>200000</v>
      </c>
      <c r="M783" s="111">
        <f t="shared" si="110"/>
        <v>90000</v>
      </c>
      <c r="N783" s="111">
        <f t="shared" si="111"/>
        <v>90000</v>
      </c>
      <c r="O783" s="111">
        <f t="shared" si="112"/>
        <v>18000</v>
      </c>
      <c r="P783" s="111">
        <f t="shared" si="113"/>
        <v>20000</v>
      </c>
      <c r="Q783" s="111">
        <v>50000</v>
      </c>
      <c r="R783" s="111">
        <v>5</v>
      </c>
      <c r="S783" s="111">
        <f t="shared" si="114"/>
        <v>5000</v>
      </c>
      <c r="T783" s="111">
        <f t="shared" si="115"/>
        <v>250000</v>
      </c>
      <c r="U783" s="111">
        <f t="shared" si="116"/>
        <v>2500</v>
      </c>
      <c r="V783" s="111">
        <f t="shared" si="117"/>
        <v>252500</v>
      </c>
      <c r="W783" t="s">
        <v>3242</v>
      </c>
    </row>
    <row r="784" spans="1:23" x14ac:dyDescent="0.3">
      <c r="A784" s="110">
        <v>1100501</v>
      </c>
      <c r="B784" s="110" t="s">
        <v>960</v>
      </c>
      <c r="C784" s="110" t="s">
        <v>985</v>
      </c>
      <c r="D784" s="110" t="s">
        <v>986</v>
      </c>
      <c r="E784" s="110" t="s">
        <v>319</v>
      </c>
      <c r="F784" s="110" t="s">
        <v>113</v>
      </c>
      <c r="G784" s="110" t="s">
        <v>114</v>
      </c>
      <c r="H784" s="111">
        <v>95</v>
      </c>
      <c r="I784" s="111">
        <v>93</v>
      </c>
      <c r="J784" s="111">
        <v>98</v>
      </c>
      <c r="K784" s="111">
        <f t="shared" si="109"/>
        <v>95.333333333333329</v>
      </c>
      <c r="L784" s="111">
        <v>150000</v>
      </c>
      <c r="M784" s="111">
        <f t="shared" si="110"/>
        <v>67500</v>
      </c>
      <c r="N784" s="111">
        <f t="shared" si="111"/>
        <v>67500</v>
      </c>
      <c r="O784" s="111">
        <f t="shared" si="112"/>
        <v>13500</v>
      </c>
      <c r="P784" s="111">
        <f t="shared" si="113"/>
        <v>15000</v>
      </c>
      <c r="Q784" s="111">
        <v>30000</v>
      </c>
      <c r="R784" s="111">
        <v>3</v>
      </c>
      <c r="S784" s="111">
        <f t="shared" si="114"/>
        <v>3000</v>
      </c>
      <c r="T784" s="111">
        <f t="shared" si="115"/>
        <v>180000</v>
      </c>
      <c r="U784" s="111">
        <f t="shared" si="116"/>
        <v>1800</v>
      </c>
      <c r="V784" s="111">
        <f t="shared" si="117"/>
        <v>181800</v>
      </c>
      <c r="W784" t="s">
        <v>3243</v>
      </c>
    </row>
    <row r="785" spans="1:23" x14ac:dyDescent="0.3">
      <c r="A785" s="110">
        <v>1100502</v>
      </c>
      <c r="B785" s="110" t="s">
        <v>960</v>
      </c>
      <c r="C785" s="110" t="s">
        <v>985</v>
      </c>
      <c r="D785" s="110" t="s">
        <v>987</v>
      </c>
      <c r="E785" s="110" t="s">
        <v>313</v>
      </c>
      <c r="F785" s="110" t="s">
        <v>113</v>
      </c>
      <c r="G785" s="110" t="s">
        <v>114</v>
      </c>
      <c r="H785" s="111">
        <v>204</v>
      </c>
      <c r="I785" s="111">
        <v>191</v>
      </c>
      <c r="J785" s="111">
        <v>189</v>
      </c>
      <c r="K785" s="111">
        <f t="shared" si="109"/>
        <v>194.66666666666666</v>
      </c>
      <c r="L785" s="111">
        <v>150000</v>
      </c>
      <c r="M785" s="111">
        <f t="shared" si="110"/>
        <v>67500</v>
      </c>
      <c r="N785" s="111">
        <f t="shared" si="111"/>
        <v>67500</v>
      </c>
      <c r="O785" s="111">
        <f t="shared" si="112"/>
        <v>13500</v>
      </c>
      <c r="P785" s="111">
        <f t="shared" si="113"/>
        <v>15000</v>
      </c>
      <c r="Q785" s="111">
        <v>30000</v>
      </c>
      <c r="R785" s="111">
        <v>3</v>
      </c>
      <c r="S785" s="111">
        <f t="shared" si="114"/>
        <v>3000</v>
      </c>
      <c r="T785" s="111">
        <f t="shared" si="115"/>
        <v>180000</v>
      </c>
      <c r="U785" s="111">
        <f t="shared" si="116"/>
        <v>1800</v>
      </c>
      <c r="V785" s="111">
        <f t="shared" si="117"/>
        <v>181800</v>
      </c>
      <c r="W785" t="s">
        <v>3244</v>
      </c>
    </row>
    <row r="786" spans="1:23" x14ac:dyDescent="0.3">
      <c r="A786" s="110">
        <v>1100503</v>
      </c>
      <c r="B786" s="110" t="s">
        <v>960</v>
      </c>
      <c r="C786" s="110" t="s">
        <v>985</v>
      </c>
      <c r="D786" s="110" t="s">
        <v>988</v>
      </c>
      <c r="E786" s="110" t="s">
        <v>184</v>
      </c>
      <c r="F786" s="110" t="s">
        <v>113</v>
      </c>
      <c r="G786" s="110" t="s">
        <v>114</v>
      </c>
      <c r="H786" s="111">
        <v>128</v>
      </c>
      <c r="I786" s="111">
        <v>113</v>
      </c>
      <c r="J786" s="111">
        <v>96</v>
      </c>
      <c r="K786" s="111">
        <f t="shared" si="109"/>
        <v>112.33333333333333</v>
      </c>
      <c r="L786" s="111">
        <v>150000</v>
      </c>
      <c r="M786" s="111">
        <f t="shared" si="110"/>
        <v>67500</v>
      </c>
      <c r="N786" s="111">
        <f t="shared" si="111"/>
        <v>67500</v>
      </c>
      <c r="O786" s="111">
        <f t="shared" si="112"/>
        <v>13500</v>
      </c>
      <c r="P786" s="111">
        <f t="shared" si="113"/>
        <v>15000</v>
      </c>
      <c r="Q786" s="111">
        <v>30000</v>
      </c>
      <c r="R786" s="111">
        <v>3</v>
      </c>
      <c r="S786" s="111">
        <f t="shared" si="114"/>
        <v>3000</v>
      </c>
      <c r="T786" s="111">
        <f t="shared" si="115"/>
        <v>180000</v>
      </c>
      <c r="U786" s="111">
        <f t="shared" si="116"/>
        <v>1800</v>
      </c>
      <c r="V786" s="111">
        <f t="shared" si="117"/>
        <v>181800</v>
      </c>
      <c r="W786" t="s">
        <v>3245</v>
      </c>
    </row>
    <row r="787" spans="1:23" x14ac:dyDescent="0.3">
      <c r="A787" s="110">
        <v>1100505</v>
      </c>
      <c r="B787" s="110" t="s">
        <v>960</v>
      </c>
      <c r="C787" s="110" t="s">
        <v>985</v>
      </c>
      <c r="D787" s="110" t="s">
        <v>989</v>
      </c>
      <c r="E787" s="110" t="s">
        <v>319</v>
      </c>
      <c r="F787" s="110" t="s">
        <v>113</v>
      </c>
      <c r="G787" s="110" t="s">
        <v>114</v>
      </c>
      <c r="H787" s="111">
        <v>53</v>
      </c>
      <c r="I787" s="111">
        <v>52</v>
      </c>
      <c r="J787" s="111">
        <v>52</v>
      </c>
      <c r="K787" s="111">
        <f t="shared" si="109"/>
        <v>52.333333333333336</v>
      </c>
      <c r="L787" s="111">
        <v>150000</v>
      </c>
      <c r="M787" s="111">
        <f t="shared" si="110"/>
        <v>67500</v>
      </c>
      <c r="N787" s="111">
        <f t="shared" si="111"/>
        <v>67500</v>
      </c>
      <c r="O787" s="111">
        <f t="shared" si="112"/>
        <v>13500</v>
      </c>
      <c r="P787" s="111">
        <f t="shared" si="113"/>
        <v>15000</v>
      </c>
      <c r="Q787" s="111">
        <v>30000</v>
      </c>
      <c r="R787" s="111">
        <v>3</v>
      </c>
      <c r="S787" s="111">
        <f t="shared" si="114"/>
        <v>3000</v>
      </c>
      <c r="T787" s="111">
        <f t="shared" si="115"/>
        <v>180000</v>
      </c>
      <c r="U787" s="111">
        <f t="shared" si="116"/>
        <v>1800</v>
      </c>
      <c r="V787" s="111">
        <f t="shared" si="117"/>
        <v>181800</v>
      </c>
      <c r="W787" t="s">
        <v>3246</v>
      </c>
    </row>
    <row r="788" spans="1:23" x14ac:dyDescent="0.3">
      <c r="A788" s="110">
        <v>1100506</v>
      </c>
      <c r="B788" s="110" t="s">
        <v>960</v>
      </c>
      <c r="C788" s="110" t="s">
        <v>985</v>
      </c>
      <c r="D788" s="110" t="s">
        <v>990</v>
      </c>
      <c r="E788" s="110" t="s">
        <v>314</v>
      </c>
      <c r="F788" s="110" t="s">
        <v>113</v>
      </c>
      <c r="G788" s="110" t="s">
        <v>114</v>
      </c>
      <c r="H788" s="111">
        <v>97</v>
      </c>
      <c r="I788" s="111">
        <v>102</v>
      </c>
      <c r="J788" s="111">
        <v>93</v>
      </c>
      <c r="K788" s="111">
        <f t="shared" si="109"/>
        <v>97.333333333333329</v>
      </c>
      <c r="L788" s="111">
        <v>150000</v>
      </c>
      <c r="M788" s="111">
        <f t="shared" si="110"/>
        <v>67500</v>
      </c>
      <c r="N788" s="111">
        <f t="shared" si="111"/>
        <v>67500</v>
      </c>
      <c r="O788" s="111">
        <f t="shared" si="112"/>
        <v>13500</v>
      </c>
      <c r="P788" s="111">
        <f t="shared" si="113"/>
        <v>15000</v>
      </c>
      <c r="Q788" s="111">
        <v>30000</v>
      </c>
      <c r="R788" s="111">
        <v>3</v>
      </c>
      <c r="S788" s="111">
        <f t="shared" si="114"/>
        <v>3000</v>
      </c>
      <c r="T788" s="111">
        <f t="shared" si="115"/>
        <v>180000</v>
      </c>
      <c r="U788" s="111">
        <f t="shared" si="116"/>
        <v>1800</v>
      </c>
      <c r="V788" s="111">
        <f t="shared" si="117"/>
        <v>181800</v>
      </c>
      <c r="W788" t="s">
        <v>3247</v>
      </c>
    </row>
    <row r="789" spans="1:23" x14ac:dyDescent="0.3">
      <c r="A789" s="110">
        <v>1100507</v>
      </c>
      <c r="B789" s="110" t="s">
        <v>960</v>
      </c>
      <c r="C789" s="110" t="s">
        <v>985</v>
      </c>
      <c r="D789" s="110" t="s">
        <v>991</v>
      </c>
      <c r="E789" s="110" t="s">
        <v>313</v>
      </c>
      <c r="F789" s="110" t="s">
        <v>113</v>
      </c>
      <c r="G789" s="110" t="s">
        <v>114</v>
      </c>
      <c r="H789" s="111">
        <v>25</v>
      </c>
      <c r="I789" s="111">
        <v>25</v>
      </c>
      <c r="J789" s="111">
        <v>20</v>
      </c>
      <c r="K789" s="111">
        <f t="shared" si="109"/>
        <v>23.333333333333332</v>
      </c>
      <c r="L789" s="111">
        <v>50000</v>
      </c>
      <c r="M789" s="111">
        <f t="shared" si="110"/>
        <v>22500</v>
      </c>
      <c r="N789" s="111">
        <f t="shared" si="111"/>
        <v>22500</v>
      </c>
      <c r="O789" s="111">
        <f t="shared" si="112"/>
        <v>4500</v>
      </c>
      <c r="P789" s="111">
        <f t="shared" si="113"/>
        <v>5000</v>
      </c>
      <c r="Q789" s="111">
        <v>10000</v>
      </c>
      <c r="R789" s="111">
        <v>1</v>
      </c>
      <c r="S789" s="111">
        <f t="shared" si="114"/>
        <v>1000</v>
      </c>
      <c r="T789" s="111">
        <f t="shared" si="115"/>
        <v>60000</v>
      </c>
      <c r="U789" s="111">
        <f t="shared" si="116"/>
        <v>600</v>
      </c>
      <c r="V789" s="111">
        <f t="shared" si="117"/>
        <v>60600</v>
      </c>
      <c r="W789" t="s">
        <v>3248</v>
      </c>
    </row>
    <row r="790" spans="1:23" x14ac:dyDescent="0.3">
      <c r="A790" s="110">
        <v>1100508</v>
      </c>
      <c r="B790" s="110" t="s">
        <v>960</v>
      </c>
      <c r="C790" s="110" t="s">
        <v>985</v>
      </c>
      <c r="D790" s="110" t="s">
        <v>992</v>
      </c>
      <c r="E790" s="110" t="s">
        <v>313</v>
      </c>
      <c r="F790" s="110" t="s">
        <v>113</v>
      </c>
      <c r="G790" s="110" t="s">
        <v>114</v>
      </c>
      <c r="H790" s="111">
        <v>65</v>
      </c>
      <c r="I790" s="111">
        <v>75</v>
      </c>
      <c r="J790" s="111">
        <v>77</v>
      </c>
      <c r="K790" s="111">
        <f t="shared" si="109"/>
        <v>72.333333333333329</v>
      </c>
      <c r="L790" s="111">
        <f>150000*0.7</f>
        <v>105000</v>
      </c>
      <c r="M790" s="111">
        <f t="shared" si="110"/>
        <v>47250</v>
      </c>
      <c r="N790" s="111">
        <f t="shared" si="111"/>
        <v>47250</v>
      </c>
      <c r="O790" s="111">
        <f t="shared" si="112"/>
        <v>9450</v>
      </c>
      <c r="P790" s="111">
        <f t="shared" si="113"/>
        <v>10500</v>
      </c>
      <c r="Q790" s="111">
        <v>30000</v>
      </c>
      <c r="R790" s="111">
        <v>3</v>
      </c>
      <c r="S790" s="111">
        <f t="shared" si="114"/>
        <v>3000</v>
      </c>
      <c r="T790" s="111">
        <f t="shared" si="115"/>
        <v>135000</v>
      </c>
      <c r="U790" s="111">
        <f t="shared" si="116"/>
        <v>1350</v>
      </c>
      <c r="V790" s="111">
        <f t="shared" si="117"/>
        <v>136350</v>
      </c>
      <c r="W790" t="s">
        <v>3249</v>
      </c>
    </row>
    <row r="791" spans="1:23" x14ac:dyDescent="0.3">
      <c r="A791" s="110">
        <v>1100509</v>
      </c>
      <c r="B791" s="110" t="s">
        <v>960</v>
      </c>
      <c r="C791" s="110" t="s">
        <v>985</v>
      </c>
      <c r="D791" s="110" t="s">
        <v>985</v>
      </c>
      <c r="E791" s="110" t="s">
        <v>993</v>
      </c>
      <c r="F791" s="110" t="s">
        <v>119</v>
      </c>
      <c r="G791" s="110" t="s">
        <v>114</v>
      </c>
      <c r="H791" s="111">
        <v>415</v>
      </c>
      <c r="I791" s="111">
        <v>420</v>
      </c>
      <c r="J791" s="111">
        <v>429</v>
      </c>
      <c r="K791" s="111">
        <f t="shared" si="109"/>
        <v>421.33333333333331</v>
      </c>
      <c r="L791" s="111">
        <f>300000</f>
        <v>300000</v>
      </c>
      <c r="M791" s="111">
        <f t="shared" si="110"/>
        <v>135000</v>
      </c>
      <c r="N791" s="111">
        <f t="shared" si="111"/>
        <v>135000</v>
      </c>
      <c r="O791" s="111">
        <f t="shared" si="112"/>
        <v>27000</v>
      </c>
      <c r="P791" s="111">
        <f t="shared" si="113"/>
        <v>30000</v>
      </c>
      <c r="Q791" s="111">
        <v>60000</v>
      </c>
      <c r="R791" s="111">
        <v>6</v>
      </c>
      <c r="S791" s="111">
        <f t="shared" si="114"/>
        <v>6000</v>
      </c>
      <c r="T791" s="111">
        <f t="shared" si="115"/>
        <v>360000</v>
      </c>
      <c r="U791" s="111">
        <f t="shared" si="116"/>
        <v>3600</v>
      </c>
      <c r="V791" s="111">
        <f t="shared" si="117"/>
        <v>363600</v>
      </c>
      <c r="W791" t="s">
        <v>3250</v>
      </c>
    </row>
    <row r="792" spans="1:23" x14ac:dyDescent="0.3">
      <c r="A792" s="110">
        <v>1100510</v>
      </c>
      <c r="B792" s="110" t="s">
        <v>960</v>
      </c>
      <c r="C792" s="110" t="s">
        <v>985</v>
      </c>
      <c r="D792" s="110" t="s">
        <v>994</v>
      </c>
      <c r="E792" s="110" t="s">
        <v>995</v>
      </c>
      <c r="F792" s="110" t="s">
        <v>209</v>
      </c>
      <c r="G792" s="110" t="s">
        <v>114</v>
      </c>
      <c r="H792" s="111">
        <v>15</v>
      </c>
      <c r="I792" s="111">
        <v>16</v>
      </c>
      <c r="J792" s="111">
        <v>14</v>
      </c>
      <c r="K792" s="111">
        <f t="shared" si="109"/>
        <v>15</v>
      </c>
      <c r="L792" s="111">
        <v>50000</v>
      </c>
      <c r="M792" s="111">
        <f t="shared" si="110"/>
        <v>22500</v>
      </c>
      <c r="N792" s="111">
        <f t="shared" si="111"/>
        <v>22500</v>
      </c>
      <c r="O792" s="111">
        <f t="shared" si="112"/>
        <v>4500</v>
      </c>
      <c r="P792" s="111">
        <f t="shared" si="113"/>
        <v>5000</v>
      </c>
      <c r="Q792" s="111">
        <v>10000</v>
      </c>
      <c r="R792" s="111">
        <v>1</v>
      </c>
      <c r="S792" s="111">
        <f t="shared" si="114"/>
        <v>1000</v>
      </c>
      <c r="T792" s="111">
        <f t="shared" si="115"/>
        <v>60000</v>
      </c>
      <c r="U792" s="111">
        <f t="shared" si="116"/>
        <v>600</v>
      </c>
      <c r="V792" s="111">
        <f t="shared" si="117"/>
        <v>60600</v>
      </c>
      <c r="W792" t="s">
        <v>3251</v>
      </c>
    </row>
    <row r="793" spans="1:23" x14ac:dyDescent="0.3">
      <c r="A793" s="110">
        <v>1100511</v>
      </c>
      <c r="B793" s="110" t="s">
        <v>960</v>
      </c>
      <c r="C793" s="110" t="s">
        <v>985</v>
      </c>
      <c r="D793" s="110" t="s">
        <v>985</v>
      </c>
      <c r="E793" s="110" t="s">
        <v>996</v>
      </c>
      <c r="F793" s="110" t="s">
        <v>117</v>
      </c>
      <c r="G793" s="110" t="s">
        <v>125</v>
      </c>
      <c r="H793" s="111">
        <v>272</v>
      </c>
      <c r="I793" s="111">
        <v>274</v>
      </c>
      <c r="J793" s="111">
        <v>301</v>
      </c>
      <c r="K793" s="111">
        <f t="shared" si="109"/>
        <v>282.33333333333331</v>
      </c>
      <c r="L793" s="111">
        <f>200000*0.7</f>
        <v>140000</v>
      </c>
      <c r="M793" s="111">
        <f t="shared" si="110"/>
        <v>63000</v>
      </c>
      <c r="N793" s="111">
        <f t="shared" si="111"/>
        <v>63000</v>
      </c>
      <c r="O793" s="111">
        <f t="shared" si="112"/>
        <v>12600</v>
      </c>
      <c r="P793" s="111">
        <f t="shared" si="113"/>
        <v>14000</v>
      </c>
      <c r="Q793" s="111">
        <v>50000</v>
      </c>
      <c r="R793" s="111">
        <v>5</v>
      </c>
      <c r="S793" s="111">
        <f t="shared" si="114"/>
        <v>5000</v>
      </c>
      <c r="T793" s="111">
        <f t="shared" si="115"/>
        <v>190000</v>
      </c>
      <c r="U793" s="111">
        <f t="shared" si="116"/>
        <v>1900</v>
      </c>
      <c r="V793" s="111">
        <f t="shared" si="117"/>
        <v>191900</v>
      </c>
      <c r="W793" t="s">
        <v>3252</v>
      </c>
    </row>
    <row r="794" spans="1:23" x14ac:dyDescent="0.3">
      <c r="A794" s="110">
        <v>1100513</v>
      </c>
      <c r="B794" s="110" t="s">
        <v>960</v>
      </c>
      <c r="C794" s="110" t="s">
        <v>985</v>
      </c>
      <c r="D794" s="110" t="s">
        <v>985</v>
      </c>
      <c r="E794" s="110" t="s">
        <v>997</v>
      </c>
      <c r="F794" s="110" t="s">
        <v>209</v>
      </c>
      <c r="G794" s="110" t="s">
        <v>114</v>
      </c>
      <c r="H794" s="111">
        <v>285</v>
      </c>
      <c r="I794" s="111">
        <v>280</v>
      </c>
      <c r="J794" s="111">
        <v>280</v>
      </c>
      <c r="K794" s="111">
        <f t="shared" si="109"/>
        <v>281.66666666666669</v>
      </c>
      <c r="L794" s="111">
        <v>200000</v>
      </c>
      <c r="M794" s="111">
        <f t="shared" si="110"/>
        <v>90000</v>
      </c>
      <c r="N794" s="111">
        <f t="shared" si="111"/>
        <v>90000</v>
      </c>
      <c r="O794" s="111">
        <f t="shared" si="112"/>
        <v>18000</v>
      </c>
      <c r="P794" s="111">
        <f t="shared" si="113"/>
        <v>20000</v>
      </c>
      <c r="Q794" s="111">
        <v>50000</v>
      </c>
      <c r="R794" s="111">
        <v>5</v>
      </c>
      <c r="S794" s="111">
        <f t="shared" si="114"/>
        <v>5000</v>
      </c>
      <c r="T794" s="111">
        <f t="shared" si="115"/>
        <v>250000</v>
      </c>
      <c r="U794" s="111">
        <f t="shared" si="116"/>
        <v>2500</v>
      </c>
      <c r="V794" s="111">
        <f t="shared" si="117"/>
        <v>252500</v>
      </c>
      <c r="W794" t="s">
        <v>3253</v>
      </c>
    </row>
    <row r="795" spans="1:23" x14ac:dyDescent="0.3">
      <c r="A795" s="110">
        <v>1100514</v>
      </c>
      <c r="B795" s="110" t="s">
        <v>960</v>
      </c>
      <c r="C795" s="110" t="s">
        <v>985</v>
      </c>
      <c r="D795" s="110" t="s">
        <v>985</v>
      </c>
      <c r="E795" s="110" t="s">
        <v>998</v>
      </c>
      <c r="F795" s="110" t="s">
        <v>117</v>
      </c>
      <c r="G795" s="110" t="s">
        <v>114</v>
      </c>
      <c r="H795" s="111">
        <v>203</v>
      </c>
      <c r="I795" s="111">
        <v>209</v>
      </c>
      <c r="J795" s="111">
        <v>193</v>
      </c>
      <c r="K795" s="111">
        <f t="shared" si="109"/>
        <v>201.66666666666666</v>
      </c>
      <c r="L795" s="111">
        <v>200000</v>
      </c>
      <c r="M795" s="111">
        <f t="shared" si="110"/>
        <v>90000</v>
      </c>
      <c r="N795" s="111">
        <f t="shared" si="111"/>
        <v>90000</v>
      </c>
      <c r="O795" s="111">
        <f t="shared" si="112"/>
        <v>18000</v>
      </c>
      <c r="P795" s="111">
        <f t="shared" si="113"/>
        <v>20000</v>
      </c>
      <c r="Q795" s="111">
        <v>50000</v>
      </c>
      <c r="R795" s="111">
        <v>5</v>
      </c>
      <c r="S795" s="111">
        <f t="shared" si="114"/>
        <v>5000</v>
      </c>
      <c r="T795" s="111">
        <f t="shared" si="115"/>
        <v>250000</v>
      </c>
      <c r="U795" s="111">
        <f t="shared" si="116"/>
        <v>2500</v>
      </c>
      <c r="V795" s="111">
        <f t="shared" si="117"/>
        <v>252500</v>
      </c>
      <c r="W795" t="s">
        <v>3254</v>
      </c>
    </row>
    <row r="796" spans="1:23" x14ac:dyDescent="0.3">
      <c r="A796" s="110">
        <v>1100601</v>
      </c>
      <c r="B796" s="110" t="s">
        <v>960</v>
      </c>
      <c r="C796" s="110" t="s">
        <v>961</v>
      </c>
      <c r="D796" s="110" t="s">
        <v>961</v>
      </c>
      <c r="E796" s="110" t="s">
        <v>999</v>
      </c>
      <c r="F796" s="110" t="s">
        <v>113</v>
      </c>
      <c r="G796" s="110" t="s">
        <v>114</v>
      </c>
      <c r="H796" s="111">
        <v>128</v>
      </c>
      <c r="I796" s="111">
        <v>104</v>
      </c>
      <c r="J796" s="111">
        <v>112</v>
      </c>
      <c r="K796" s="111">
        <f t="shared" si="109"/>
        <v>114.66666666666667</v>
      </c>
      <c r="L796" s="111">
        <v>150000</v>
      </c>
      <c r="M796" s="111">
        <f t="shared" si="110"/>
        <v>67500</v>
      </c>
      <c r="N796" s="111">
        <f t="shared" si="111"/>
        <v>67500</v>
      </c>
      <c r="O796" s="111">
        <f t="shared" si="112"/>
        <v>13500</v>
      </c>
      <c r="P796" s="111">
        <f t="shared" si="113"/>
        <v>15000</v>
      </c>
      <c r="Q796" s="111">
        <v>30000</v>
      </c>
      <c r="R796" s="111">
        <v>3</v>
      </c>
      <c r="S796" s="111">
        <f t="shared" si="114"/>
        <v>3000</v>
      </c>
      <c r="T796" s="111">
        <f t="shared" si="115"/>
        <v>180000</v>
      </c>
      <c r="U796" s="111">
        <f t="shared" si="116"/>
        <v>1800</v>
      </c>
      <c r="V796" s="111">
        <f t="shared" si="117"/>
        <v>181800</v>
      </c>
      <c r="W796" t="s">
        <v>3255</v>
      </c>
    </row>
    <row r="797" spans="1:23" x14ac:dyDescent="0.3">
      <c r="A797" s="110">
        <v>1100603</v>
      </c>
      <c r="B797" s="110" t="s">
        <v>960</v>
      </c>
      <c r="C797" s="110" t="s">
        <v>961</v>
      </c>
      <c r="D797" s="110" t="s">
        <v>1000</v>
      </c>
      <c r="E797" s="110" t="s">
        <v>319</v>
      </c>
      <c r="F797" s="110" t="s">
        <v>113</v>
      </c>
      <c r="G797" s="110" t="s">
        <v>114</v>
      </c>
      <c r="H797" s="111">
        <v>45</v>
      </c>
      <c r="I797" s="111">
        <v>47</v>
      </c>
      <c r="J797" s="111">
        <v>51</v>
      </c>
      <c r="K797" s="111">
        <f t="shared" si="109"/>
        <v>47.666666666666664</v>
      </c>
      <c r="L797" s="111">
        <v>50000</v>
      </c>
      <c r="M797" s="111">
        <f t="shared" si="110"/>
        <v>22500</v>
      </c>
      <c r="N797" s="111">
        <f t="shared" si="111"/>
        <v>22500</v>
      </c>
      <c r="O797" s="111">
        <f t="shared" si="112"/>
        <v>4500</v>
      </c>
      <c r="P797" s="111">
        <f t="shared" si="113"/>
        <v>5000</v>
      </c>
      <c r="Q797" s="111">
        <v>10000</v>
      </c>
      <c r="R797" s="111">
        <v>1</v>
      </c>
      <c r="S797" s="111">
        <f t="shared" si="114"/>
        <v>1000</v>
      </c>
      <c r="T797" s="111">
        <f t="shared" si="115"/>
        <v>60000</v>
      </c>
      <c r="U797" s="111">
        <f t="shared" si="116"/>
        <v>600</v>
      </c>
      <c r="V797" s="111">
        <f t="shared" si="117"/>
        <v>60600</v>
      </c>
      <c r="W797" t="s">
        <v>3256</v>
      </c>
    </row>
    <row r="798" spans="1:23" x14ac:dyDescent="0.3">
      <c r="A798" s="110">
        <v>1100609</v>
      </c>
      <c r="B798" s="110" t="s">
        <v>960</v>
      </c>
      <c r="C798" s="110" t="s">
        <v>961</v>
      </c>
      <c r="D798" s="110" t="s">
        <v>1001</v>
      </c>
      <c r="E798" s="110" t="s">
        <v>319</v>
      </c>
      <c r="F798" s="110" t="s">
        <v>113</v>
      </c>
      <c r="G798" s="110" t="s">
        <v>114</v>
      </c>
      <c r="H798" s="111">
        <v>31</v>
      </c>
      <c r="I798" s="111">
        <v>29</v>
      </c>
      <c r="J798" s="111">
        <v>29</v>
      </c>
      <c r="K798" s="111">
        <f t="shared" si="109"/>
        <v>29.666666666666668</v>
      </c>
      <c r="L798" s="111">
        <v>50000</v>
      </c>
      <c r="M798" s="111">
        <f t="shared" si="110"/>
        <v>22500</v>
      </c>
      <c r="N798" s="111">
        <f t="shared" si="111"/>
        <v>22500</v>
      </c>
      <c r="O798" s="111">
        <f t="shared" si="112"/>
        <v>4500</v>
      </c>
      <c r="P798" s="111">
        <f t="shared" si="113"/>
        <v>5000</v>
      </c>
      <c r="Q798" s="111">
        <v>10000</v>
      </c>
      <c r="R798" s="111">
        <v>1</v>
      </c>
      <c r="S798" s="111">
        <f t="shared" si="114"/>
        <v>1000</v>
      </c>
      <c r="T798" s="111">
        <f t="shared" si="115"/>
        <v>60000</v>
      </c>
      <c r="U798" s="111">
        <f t="shared" si="116"/>
        <v>600</v>
      </c>
      <c r="V798" s="111">
        <f t="shared" si="117"/>
        <v>60600</v>
      </c>
      <c r="W798" t="s">
        <v>3257</v>
      </c>
    </row>
    <row r="799" spans="1:23" x14ac:dyDescent="0.3">
      <c r="A799" s="110">
        <v>1100610</v>
      </c>
      <c r="B799" s="110" t="s">
        <v>960</v>
      </c>
      <c r="C799" s="110" t="s">
        <v>961</v>
      </c>
      <c r="D799" s="110" t="s">
        <v>1002</v>
      </c>
      <c r="E799" s="110" t="s">
        <v>214</v>
      </c>
      <c r="F799" s="110" t="s">
        <v>119</v>
      </c>
      <c r="G799" s="110" t="s">
        <v>114</v>
      </c>
      <c r="H799" s="111">
        <v>89</v>
      </c>
      <c r="I799" s="111">
        <v>99</v>
      </c>
      <c r="J799" s="111">
        <v>110</v>
      </c>
      <c r="K799" s="111">
        <f t="shared" si="109"/>
        <v>99.333333333333329</v>
      </c>
      <c r="L799" s="111">
        <v>150000</v>
      </c>
      <c r="M799" s="111">
        <f t="shared" si="110"/>
        <v>67500</v>
      </c>
      <c r="N799" s="111">
        <f t="shared" si="111"/>
        <v>67500</v>
      </c>
      <c r="O799" s="111">
        <f t="shared" si="112"/>
        <v>13500</v>
      </c>
      <c r="P799" s="111">
        <f t="shared" si="113"/>
        <v>15000</v>
      </c>
      <c r="Q799" s="111">
        <v>30000</v>
      </c>
      <c r="R799" s="111">
        <v>3</v>
      </c>
      <c r="S799" s="111">
        <f t="shared" si="114"/>
        <v>3000</v>
      </c>
      <c r="T799" s="111">
        <f t="shared" si="115"/>
        <v>180000</v>
      </c>
      <c r="U799" s="111">
        <f t="shared" si="116"/>
        <v>1800</v>
      </c>
      <c r="V799" s="111">
        <f t="shared" si="117"/>
        <v>181800</v>
      </c>
      <c r="W799" t="s">
        <v>3258</v>
      </c>
    </row>
    <row r="800" spans="1:23" x14ac:dyDescent="0.3">
      <c r="A800" s="110">
        <v>1100612</v>
      </c>
      <c r="B800" s="110" t="s">
        <v>960</v>
      </c>
      <c r="C800" s="110" t="s">
        <v>961</v>
      </c>
      <c r="D800" s="110" t="s">
        <v>961</v>
      </c>
      <c r="E800" s="110" t="s">
        <v>214</v>
      </c>
      <c r="F800" s="110" t="s">
        <v>119</v>
      </c>
      <c r="G800" s="110" t="s">
        <v>114</v>
      </c>
      <c r="H800" s="111">
        <v>786</v>
      </c>
      <c r="I800" s="111">
        <v>767</v>
      </c>
      <c r="J800" s="111">
        <v>781</v>
      </c>
      <c r="K800" s="111">
        <f t="shared" si="109"/>
        <v>778</v>
      </c>
      <c r="L800" s="111">
        <f>300000*0.7</f>
        <v>210000</v>
      </c>
      <c r="M800" s="111">
        <f t="shared" si="110"/>
        <v>94500</v>
      </c>
      <c r="N800" s="111">
        <f t="shared" si="111"/>
        <v>94500</v>
      </c>
      <c r="O800" s="111">
        <f t="shared" si="112"/>
        <v>18900</v>
      </c>
      <c r="P800" s="111">
        <f t="shared" si="113"/>
        <v>21000</v>
      </c>
      <c r="Q800" s="111">
        <v>60000</v>
      </c>
      <c r="R800" s="111">
        <v>6</v>
      </c>
      <c r="S800" s="111">
        <f t="shared" si="114"/>
        <v>6000</v>
      </c>
      <c r="T800" s="111">
        <f t="shared" si="115"/>
        <v>270000</v>
      </c>
      <c r="U800" s="111">
        <f t="shared" si="116"/>
        <v>2700</v>
      </c>
      <c r="V800" s="111">
        <f t="shared" si="117"/>
        <v>272700</v>
      </c>
      <c r="W800" t="s">
        <v>3259</v>
      </c>
    </row>
    <row r="801" spans="1:23" x14ac:dyDescent="0.3">
      <c r="A801" s="110">
        <v>1100613</v>
      </c>
      <c r="B801" s="110" t="s">
        <v>960</v>
      </c>
      <c r="C801" s="110" t="s">
        <v>961</v>
      </c>
      <c r="D801" s="110" t="s">
        <v>961</v>
      </c>
      <c r="E801" s="110" t="s">
        <v>274</v>
      </c>
      <c r="F801" s="110" t="s">
        <v>119</v>
      </c>
      <c r="G801" s="110" t="s">
        <v>114</v>
      </c>
      <c r="H801" s="111">
        <v>603</v>
      </c>
      <c r="I801" s="111">
        <v>591</v>
      </c>
      <c r="J801" s="111">
        <v>576</v>
      </c>
      <c r="K801" s="111">
        <f t="shared" si="109"/>
        <v>590</v>
      </c>
      <c r="L801" s="111">
        <f>300000</f>
        <v>300000</v>
      </c>
      <c r="M801" s="111">
        <f t="shared" si="110"/>
        <v>135000</v>
      </c>
      <c r="N801" s="111">
        <f t="shared" si="111"/>
        <v>135000</v>
      </c>
      <c r="O801" s="111">
        <f t="shared" si="112"/>
        <v>27000</v>
      </c>
      <c r="P801" s="111">
        <f t="shared" si="113"/>
        <v>30000</v>
      </c>
      <c r="Q801" s="111">
        <v>60000</v>
      </c>
      <c r="R801" s="111">
        <v>6</v>
      </c>
      <c r="S801" s="111">
        <f t="shared" si="114"/>
        <v>6000</v>
      </c>
      <c r="T801" s="111">
        <f t="shared" si="115"/>
        <v>360000</v>
      </c>
      <c r="U801" s="111">
        <f t="shared" si="116"/>
        <v>3600</v>
      </c>
      <c r="V801" s="111">
        <f t="shared" si="117"/>
        <v>363600</v>
      </c>
      <c r="W801" t="s">
        <v>3260</v>
      </c>
    </row>
    <row r="802" spans="1:23" x14ac:dyDescent="0.3">
      <c r="A802" s="110">
        <v>1100614</v>
      </c>
      <c r="B802" s="110" t="s">
        <v>960</v>
      </c>
      <c r="C802" s="110" t="s">
        <v>961</v>
      </c>
      <c r="D802" s="110" t="s">
        <v>961</v>
      </c>
      <c r="E802" s="110" t="s">
        <v>954</v>
      </c>
      <c r="F802" s="110" t="s">
        <v>209</v>
      </c>
      <c r="G802" s="110" t="s">
        <v>114</v>
      </c>
      <c r="H802" s="111">
        <v>170</v>
      </c>
      <c r="I802" s="111">
        <v>186</v>
      </c>
      <c r="J802" s="111">
        <v>165</v>
      </c>
      <c r="K802" s="111">
        <f t="shared" si="109"/>
        <v>173.66666666666666</v>
      </c>
      <c r="L802" s="111">
        <v>150000</v>
      </c>
      <c r="M802" s="111">
        <f t="shared" si="110"/>
        <v>67500</v>
      </c>
      <c r="N802" s="111">
        <f t="shared" si="111"/>
        <v>67500</v>
      </c>
      <c r="O802" s="111">
        <f t="shared" si="112"/>
        <v>13500</v>
      </c>
      <c r="P802" s="111">
        <f t="shared" si="113"/>
        <v>15000</v>
      </c>
      <c r="Q802" s="111">
        <v>30000</v>
      </c>
      <c r="R802" s="111">
        <v>3</v>
      </c>
      <c r="S802" s="111">
        <f t="shared" si="114"/>
        <v>3000</v>
      </c>
      <c r="T802" s="111">
        <f t="shared" si="115"/>
        <v>180000</v>
      </c>
      <c r="U802" s="111">
        <f t="shared" si="116"/>
        <v>1800</v>
      </c>
      <c r="V802" s="111">
        <f t="shared" si="117"/>
        <v>181800</v>
      </c>
      <c r="W802" t="s">
        <v>3261</v>
      </c>
    </row>
    <row r="803" spans="1:23" x14ac:dyDescent="0.3">
      <c r="A803" s="110">
        <v>1100615</v>
      </c>
      <c r="B803" s="110" t="s">
        <v>960</v>
      </c>
      <c r="C803" s="110" t="s">
        <v>961</v>
      </c>
      <c r="D803" s="110" t="s">
        <v>961</v>
      </c>
      <c r="E803" s="110" t="s">
        <v>646</v>
      </c>
      <c r="F803" s="110" t="s">
        <v>209</v>
      </c>
      <c r="G803" s="110" t="s">
        <v>114</v>
      </c>
      <c r="H803" s="111">
        <v>143</v>
      </c>
      <c r="I803" s="111">
        <v>131</v>
      </c>
      <c r="J803" s="111">
        <v>141</v>
      </c>
      <c r="K803" s="111">
        <f t="shared" si="109"/>
        <v>138.33333333333334</v>
      </c>
      <c r="L803" s="111">
        <v>150000</v>
      </c>
      <c r="M803" s="111">
        <f t="shared" si="110"/>
        <v>67500</v>
      </c>
      <c r="N803" s="111">
        <f t="shared" si="111"/>
        <v>67500</v>
      </c>
      <c r="O803" s="111">
        <f t="shared" si="112"/>
        <v>13500</v>
      </c>
      <c r="P803" s="111">
        <f t="shared" si="113"/>
        <v>15000</v>
      </c>
      <c r="Q803" s="111">
        <v>30000</v>
      </c>
      <c r="R803" s="111">
        <v>3</v>
      </c>
      <c r="S803" s="111">
        <f t="shared" si="114"/>
        <v>3000</v>
      </c>
      <c r="T803" s="111">
        <f t="shared" si="115"/>
        <v>180000</v>
      </c>
      <c r="U803" s="111">
        <f t="shared" si="116"/>
        <v>1800</v>
      </c>
      <c r="V803" s="111">
        <f t="shared" si="117"/>
        <v>181800</v>
      </c>
      <c r="W803" t="s">
        <v>3262</v>
      </c>
    </row>
    <row r="804" spans="1:23" x14ac:dyDescent="0.3">
      <c r="A804" s="110">
        <v>1100616</v>
      </c>
      <c r="B804" s="110" t="s">
        <v>960</v>
      </c>
      <c r="C804" s="110" t="s">
        <v>961</v>
      </c>
      <c r="D804" s="110" t="s">
        <v>961</v>
      </c>
      <c r="E804" s="110" t="s">
        <v>1003</v>
      </c>
      <c r="F804" s="110" t="s">
        <v>117</v>
      </c>
      <c r="G804" s="110" t="s">
        <v>125</v>
      </c>
      <c r="H804" s="111">
        <v>238</v>
      </c>
      <c r="I804" s="111">
        <v>237</v>
      </c>
      <c r="J804" s="111">
        <v>230</v>
      </c>
      <c r="K804" s="111">
        <f t="shared" si="109"/>
        <v>235</v>
      </c>
      <c r="L804" s="111">
        <v>200000</v>
      </c>
      <c r="M804" s="111">
        <f t="shared" si="110"/>
        <v>90000</v>
      </c>
      <c r="N804" s="111">
        <f t="shared" si="111"/>
        <v>90000</v>
      </c>
      <c r="O804" s="111">
        <f t="shared" si="112"/>
        <v>18000</v>
      </c>
      <c r="P804" s="111">
        <f t="shared" si="113"/>
        <v>20000</v>
      </c>
      <c r="Q804" s="111">
        <v>50000</v>
      </c>
      <c r="R804" s="111">
        <v>5</v>
      </c>
      <c r="S804" s="111">
        <f t="shared" si="114"/>
        <v>5000</v>
      </c>
      <c r="T804" s="111">
        <f t="shared" si="115"/>
        <v>250000</v>
      </c>
      <c r="U804" s="111">
        <f t="shared" si="116"/>
        <v>2500</v>
      </c>
      <c r="V804" s="111">
        <f t="shared" si="117"/>
        <v>252500</v>
      </c>
      <c r="W804" t="s">
        <v>3263</v>
      </c>
    </row>
    <row r="805" spans="1:23" x14ac:dyDescent="0.3">
      <c r="A805" s="110">
        <v>1100702</v>
      </c>
      <c r="B805" s="110" t="s">
        <v>960</v>
      </c>
      <c r="C805" s="110" t="s">
        <v>1004</v>
      </c>
      <c r="D805" s="110" t="s">
        <v>1005</v>
      </c>
      <c r="E805" s="110" t="s">
        <v>1006</v>
      </c>
      <c r="F805" s="110" t="s">
        <v>113</v>
      </c>
      <c r="G805" s="110" t="s">
        <v>114</v>
      </c>
      <c r="H805" s="111">
        <v>95</v>
      </c>
      <c r="I805" s="111">
        <v>92</v>
      </c>
      <c r="J805" s="111">
        <v>92</v>
      </c>
      <c r="K805" s="111">
        <f t="shared" si="109"/>
        <v>93</v>
      </c>
      <c r="L805" s="111">
        <v>150000</v>
      </c>
      <c r="M805" s="111">
        <f t="shared" si="110"/>
        <v>67500</v>
      </c>
      <c r="N805" s="111">
        <f t="shared" si="111"/>
        <v>67500</v>
      </c>
      <c r="O805" s="111">
        <f t="shared" si="112"/>
        <v>13500</v>
      </c>
      <c r="P805" s="111">
        <f t="shared" si="113"/>
        <v>15000</v>
      </c>
      <c r="Q805" s="111">
        <v>30000</v>
      </c>
      <c r="R805" s="111">
        <v>3</v>
      </c>
      <c r="S805" s="111">
        <f t="shared" si="114"/>
        <v>3000</v>
      </c>
      <c r="T805" s="111">
        <f t="shared" si="115"/>
        <v>180000</v>
      </c>
      <c r="U805" s="111">
        <f t="shared" si="116"/>
        <v>1800</v>
      </c>
      <c r="V805" s="111">
        <f t="shared" si="117"/>
        <v>181800</v>
      </c>
      <c r="W805" t="s">
        <v>3264</v>
      </c>
    </row>
    <row r="806" spans="1:23" x14ac:dyDescent="0.3">
      <c r="A806" s="110">
        <v>1100703</v>
      </c>
      <c r="B806" s="110" t="s">
        <v>960</v>
      </c>
      <c r="C806" s="110" t="s">
        <v>1004</v>
      </c>
      <c r="D806" s="110" t="s">
        <v>1007</v>
      </c>
      <c r="E806" s="110" t="s">
        <v>190</v>
      </c>
      <c r="F806" s="110" t="s">
        <v>113</v>
      </c>
      <c r="G806" s="110" t="s">
        <v>114</v>
      </c>
      <c r="H806" s="111">
        <v>45</v>
      </c>
      <c r="I806" s="111">
        <v>33</v>
      </c>
      <c r="J806" s="111">
        <v>28</v>
      </c>
      <c r="K806" s="111">
        <f t="shared" si="109"/>
        <v>35.333333333333336</v>
      </c>
      <c r="L806" s="111">
        <v>50000</v>
      </c>
      <c r="M806" s="111">
        <f t="shared" si="110"/>
        <v>22500</v>
      </c>
      <c r="N806" s="111">
        <f t="shared" si="111"/>
        <v>22500</v>
      </c>
      <c r="O806" s="111">
        <f t="shared" si="112"/>
        <v>4500</v>
      </c>
      <c r="P806" s="111">
        <f t="shared" si="113"/>
        <v>5000</v>
      </c>
      <c r="Q806" s="111">
        <v>10000</v>
      </c>
      <c r="R806" s="111">
        <v>1</v>
      </c>
      <c r="S806" s="111">
        <f t="shared" si="114"/>
        <v>1000</v>
      </c>
      <c r="T806" s="111">
        <f t="shared" si="115"/>
        <v>60000</v>
      </c>
      <c r="U806" s="111">
        <f t="shared" si="116"/>
        <v>600</v>
      </c>
      <c r="V806" s="111">
        <f t="shared" si="117"/>
        <v>60600</v>
      </c>
      <c r="W806" t="s">
        <v>3265</v>
      </c>
    </row>
    <row r="807" spans="1:23" x14ac:dyDescent="0.3">
      <c r="A807" s="110">
        <v>1100705</v>
      </c>
      <c r="B807" s="110" t="s">
        <v>960</v>
      </c>
      <c r="C807" s="110" t="s">
        <v>1004</v>
      </c>
      <c r="D807" s="110" t="s">
        <v>1004</v>
      </c>
      <c r="E807" s="110" t="s">
        <v>177</v>
      </c>
      <c r="F807" s="110" t="s">
        <v>119</v>
      </c>
      <c r="G807" s="110" t="s">
        <v>114</v>
      </c>
      <c r="H807" s="111">
        <v>477</v>
      </c>
      <c r="I807" s="111">
        <v>499</v>
      </c>
      <c r="J807" s="111">
        <v>489</v>
      </c>
      <c r="K807" s="111">
        <f t="shared" si="109"/>
        <v>488.33333333333331</v>
      </c>
      <c r="L807" s="111">
        <f>300000</f>
        <v>300000</v>
      </c>
      <c r="M807" s="111">
        <f t="shared" si="110"/>
        <v>135000</v>
      </c>
      <c r="N807" s="111">
        <f t="shared" si="111"/>
        <v>135000</v>
      </c>
      <c r="O807" s="111">
        <f t="shared" si="112"/>
        <v>27000</v>
      </c>
      <c r="P807" s="111">
        <f t="shared" si="113"/>
        <v>30000</v>
      </c>
      <c r="Q807" s="111">
        <v>60000</v>
      </c>
      <c r="R807" s="111">
        <v>6</v>
      </c>
      <c r="S807" s="111">
        <f t="shared" si="114"/>
        <v>6000</v>
      </c>
      <c r="T807" s="111">
        <f t="shared" si="115"/>
        <v>360000</v>
      </c>
      <c r="U807" s="111">
        <f t="shared" si="116"/>
        <v>3600</v>
      </c>
      <c r="V807" s="111">
        <f t="shared" si="117"/>
        <v>363600</v>
      </c>
      <c r="W807" t="s">
        <v>3266</v>
      </c>
    </row>
    <row r="808" spans="1:23" x14ac:dyDescent="0.3">
      <c r="A808" s="110">
        <v>1100801</v>
      </c>
      <c r="B808" s="110" t="s">
        <v>960</v>
      </c>
      <c r="C808" s="110" t="s">
        <v>1008</v>
      </c>
      <c r="D808" s="110" t="s">
        <v>1009</v>
      </c>
      <c r="E808" s="110" t="s">
        <v>184</v>
      </c>
      <c r="F808" s="110" t="s">
        <v>113</v>
      </c>
      <c r="G808" s="110" t="s">
        <v>114</v>
      </c>
      <c r="H808" s="111">
        <v>137</v>
      </c>
      <c r="I808" s="111">
        <v>141</v>
      </c>
      <c r="J808" s="111">
        <v>134</v>
      </c>
      <c r="K808" s="111">
        <f t="shared" si="109"/>
        <v>137.33333333333334</v>
      </c>
      <c r="L808" s="111">
        <v>150000</v>
      </c>
      <c r="M808" s="111">
        <f t="shared" si="110"/>
        <v>67500</v>
      </c>
      <c r="N808" s="111">
        <f t="shared" si="111"/>
        <v>67500</v>
      </c>
      <c r="O808" s="111">
        <f t="shared" si="112"/>
        <v>13500</v>
      </c>
      <c r="P808" s="111">
        <f t="shared" si="113"/>
        <v>15000</v>
      </c>
      <c r="Q808" s="111">
        <v>30000</v>
      </c>
      <c r="R808" s="111">
        <v>3</v>
      </c>
      <c r="S808" s="111">
        <f t="shared" si="114"/>
        <v>3000</v>
      </c>
      <c r="T808" s="111">
        <f t="shared" si="115"/>
        <v>180000</v>
      </c>
      <c r="U808" s="111">
        <f t="shared" si="116"/>
        <v>1800</v>
      </c>
      <c r="V808" s="111">
        <f t="shared" si="117"/>
        <v>181800</v>
      </c>
      <c r="W808" t="s">
        <v>3267</v>
      </c>
    </row>
    <row r="809" spans="1:23" x14ac:dyDescent="0.3">
      <c r="A809" s="110">
        <v>1100803</v>
      </c>
      <c r="B809" s="110" t="s">
        <v>960</v>
      </c>
      <c r="C809" s="110" t="s">
        <v>1008</v>
      </c>
      <c r="D809" s="110" t="s">
        <v>1010</v>
      </c>
      <c r="E809" s="110" t="s">
        <v>310</v>
      </c>
      <c r="F809" s="110" t="s">
        <v>113</v>
      </c>
      <c r="G809" s="110" t="s">
        <v>114</v>
      </c>
      <c r="H809" s="111">
        <v>89</v>
      </c>
      <c r="I809" s="111">
        <v>84</v>
      </c>
      <c r="J809" s="111">
        <v>86</v>
      </c>
      <c r="K809" s="111">
        <f t="shared" si="109"/>
        <v>86.333333333333329</v>
      </c>
      <c r="L809" s="111">
        <v>150000</v>
      </c>
      <c r="M809" s="111">
        <f t="shared" si="110"/>
        <v>67500</v>
      </c>
      <c r="N809" s="111">
        <f t="shared" si="111"/>
        <v>67500</v>
      </c>
      <c r="O809" s="111">
        <f t="shared" si="112"/>
        <v>13500</v>
      </c>
      <c r="P809" s="111">
        <f t="shared" si="113"/>
        <v>15000</v>
      </c>
      <c r="Q809" s="111">
        <v>30000</v>
      </c>
      <c r="R809" s="111">
        <v>3</v>
      </c>
      <c r="S809" s="111">
        <f t="shared" si="114"/>
        <v>3000</v>
      </c>
      <c r="T809" s="111">
        <f t="shared" si="115"/>
        <v>180000</v>
      </c>
      <c r="U809" s="111">
        <f t="shared" si="116"/>
        <v>1800</v>
      </c>
      <c r="V809" s="111">
        <f t="shared" si="117"/>
        <v>181800</v>
      </c>
      <c r="W809" t="s">
        <v>3268</v>
      </c>
    </row>
    <row r="810" spans="1:23" x14ac:dyDescent="0.3">
      <c r="A810" s="110">
        <v>1100804</v>
      </c>
      <c r="B810" s="110" t="s">
        <v>960</v>
      </c>
      <c r="C810" s="110" t="s">
        <v>1008</v>
      </c>
      <c r="D810" s="110" t="s">
        <v>1011</v>
      </c>
      <c r="E810" s="110" t="s">
        <v>319</v>
      </c>
      <c r="F810" s="110" t="s">
        <v>113</v>
      </c>
      <c r="G810" s="110" t="s">
        <v>114</v>
      </c>
      <c r="H810" s="111">
        <v>133</v>
      </c>
      <c r="I810" s="111">
        <v>129</v>
      </c>
      <c r="J810" s="111">
        <v>143</v>
      </c>
      <c r="K810" s="111">
        <f t="shared" si="109"/>
        <v>135</v>
      </c>
      <c r="L810" s="111">
        <f>150000*0.7</f>
        <v>105000</v>
      </c>
      <c r="M810" s="111">
        <f t="shared" si="110"/>
        <v>47250</v>
      </c>
      <c r="N810" s="111">
        <f t="shared" si="111"/>
        <v>47250</v>
      </c>
      <c r="O810" s="111">
        <f t="shared" si="112"/>
        <v>9450</v>
      </c>
      <c r="P810" s="111">
        <f t="shared" si="113"/>
        <v>10500</v>
      </c>
      <c r="Q810" s="111">
        <v>30000</v>
      </c>
      <c r="R810" s="111">
        <v>3</v>
      </c>
      <c r="S810" s="111">
        <f t="shared" si="114"/>
        <v>3000</v>
      </c>
      <c r="T810" s="111">
        <f t="shared" si="115"/>
        <v>135000</v>
      </c>
      <c r="U810" s="111">
        <f t="shared" si="116"/>
        <v>1350</v>
      </c>
      <c r="V810" s="111">
        <f t="shared" si="117"/>
        <v>136350</v>
      </c>
      <c r="W810" t="s">
        <v>3269</v>
      </c>
    </row>
    <row r="811" spans="1:23" x14ac:dyDescent="0.3">
      <c r="A811" s="110">
        <v>1100805</v>
      </c>
      <c r="B811" s="110" t="s">
        <v>960</v>
      </c>
      <c r="C811" s="110" t="s">
        <v>1008</v>
      </c>
      <c r="D811" s="110" t="s">
        <v>1008</v>
      </c>
      <c r="E811" s="110" t="s">
        <v>214</v>
      </c>
      <c r="F811" s="110" t="s">
        <v>119</v>
      </c>
      <c r="G811" s="110" t="s">
        <v>114</v>
      </c>
      <c r="H811" s="111">
        <v>477</v>
      </c>
      <c r="I811" s="111">
        <v>473</v>
      </c>
      <c r="J811" s="111">
        <v>461</v>
      </c>
      <c r="K811" s="111">
        <f t="shared" si="109"/>
        <v>470.33333333333331</v>
      </c>
      <c r="L811" s="111">
        <f>300000</f>
        <v>300000</v>
      </c>
      <c r="M811" s="111">
        <f t="shared" si="110"/>
        <v>135000</v>
      </c>
      <c r="N811" s="111">
        <f t="shared" si="111"/>
        <v>135000</v>
      </c>
      <c r="O811" s="111">
        <f t="shared" si="112"/>
        <v>27000</v>
      </c>
      <c r="P811" s="111">
        <f t="shared" si="113"/>
        <v>30000</v>
      </c>
      <c r="Q811" s="111">
        <v>60000</v>
      </c>
      <c r="R811" s="111">
        <v>6</v>
      </c>
      <c r="S811" s="111">
        <f t="shared" si="114"/>
        <v>6000</v>
      </c>
      <c r="T811" s="111">
        <f t="shared" si="115"/>
        <v>360000</v>
      </c>
      <c r="U811" s="111">
        <f t="shared" si="116"/>
        <v>3600</v>
      </c>
      <c r="V811" s="111">
        <f t="shared" si="117"/>
        <v>363600</v>
      </c>
      <c r="W811" t="s">
        <v>3270</v>
      </c>
    </row>
    <row r="812" spans="1:23" x14ac:dyDescent="0.3">
      <c r="A812" s="110">
        <v>1201000</v>
      </c>
      <c r="B812" s="110" t="s">
        <v>1012</v>
      </c>
      <c r="C812" s="110" t="s">
        <v>1012</v>
      </c>
      <c r="D812" s="110" t="s">
        <v>1012</v>
      </c>
      <c r="E812" s="110" t="s">
        <v>1013</v>
      </c>
      <c r="F812" s="110" t="s">
        <v>209</v>
      </c>
      <c r="G812" s="110" t="s">
        <v>114</v>
      </c>
      <c r="H812" s="111">
        <v>91</v>
      </c>
      <c r="I812" s="111">
        <v>83</v>
      </c>
      <c r="J812" s="111">
        <v>75</v>
      </c>
      <c r="K812" s="111">
        <f t="shared" si="109"/>
        <v>83</v>
      </c>
      <c r="L812" s="111">
        <v>150000</v>
      </c>
      <c r="M812" s="111">
        <f t="shared" si="110"/>
        <v>67500</v>
      </c>
      <c r="N812" s="111">
        <f t="shared" si="111"/>
        <v>67500</v>
      </c>
      <c r="O812" s="111">
        <f t="shared" si="112"/>
        <v>13500</v>
      </c>
      <c r="P812" s="111">
        <f t="shared" si="113"/>
        <v>15000</v>
      </c>
      <c r="Q812" s="111">
        <v>30000</v>
      </c>
      <c r="R812" s="111">
        <v>3</v>
      </c>
      <c r="S812" s="111">
        <f t="shared" si="114"/>
        <v>3000</v>
      </c>
      <c r="T812" s="111">
        <f t="shared" si="115"/>
        <v>180000</v>
      </c>
      <c r="U812" s="111">
        <f t="shared" si="116"/>
        <v>1800</v>
      </c>
      <c r="V812" s="111">
        <f t="shared" si="117"/>
        <v>181800</v>
      </c>
      <c r="W812" t="s">
        <v>3271</v>
      </c>
    </row>
    <row r="813" spans="1:23" x14ac:dyDescent="0.3">
      <c r="A813" s="110">
        <v>1201001</v>
      </c>
      <c r="B813" s="110" t="s">
        <v>1012</v>
      </c>
      <c r="C813" s="110" t="s">
        <v>1012</v>
      </c>
      <c r="D813" s="110" t="s">
        <v>1012</v>
      </c>
      <c r="E813" s="110" t="s">
        <v>1014</v>
      </c>
      <c r="F813" s="110" t="s">
        <v>122</v>
      </c>
      <c r="G813" s="110" t="s">
        <v>114</v>
      </c>
      <c r="H813" s="111">
        <v>540</v>
      </c>
      <c r="I813" s="111">
        <v>487</v>
      </c>
      <c r="J813" s="111">
        <v>465</v>
      </c>
      <c r="K813" s="111">
        <f t="shared" si="109"/>
        <v>497.33333333333331</v>
      </c>
      <c r="L813" s="111">
        <f t="shared" ref="L813:L818" si="118">300000</f>
        <v>300000</v>
      </c>
      <c r="M813" s="111">
        <f t="shared" si="110"/>
        <v>135000</v>
      </c>
      <c r="N813" s="111">
        <f t="shared" si="111"/>
        <v>135000</v>
      </c>
      <c r="O813" s="111">
        <f t="shared" si="112"/>
        <v>27000</v>
      </c>
      <c r="P813" s="111">
        <f t="shared" si="113"/>
        <v>30000</v>
      </c>
      <c r="Q813" s="111">
        <v>60000</v>
      </c>
      <c r="R813" s="111">
        <v>6</v>
      </c>
      <c r="S813" s="111">
        <f t="shared" si="114"/>
        <v>6000</v>
      </c>
      <c r="T813" s="111">
        <f t="shared" si="115"/>
        <v>360000</v>
      </c>
      <c r="U813" s="111">
        <f t="shared" si="116"/>
        <v>3600</v>
      </c>
      <c r="V813" s="111">
        <f t="shared" si="117"/>
        <v>363600</v>
      </c>
      <c r="W813" t="s">
        <v>3272</v>
      </c>
    </row>
    <row r="814" spans="1:23" x14ac:dyDescent="0.3">
      <c r="A814" s="110">
        <v>1201002</v>
      </c>
      <c r="B814" s="110" t="s">
        <v>1012</v>
      </c>
      <c r="C814" s="110" t="s">
        <v>1012</v>
      </c>
      <c r="D814" s="110" t="s">
        <v>1012</v>
      </c>
      <c r="E814" s="110" t="s">
        <v>1015</v>
      </c>
      <c r="F814" s="110" t="s">
        <v>122</v>
      </c>
      <c r="G814" s="110" t="s">
        <v>114</v>
      </c>
      <c r="H814" s="111">
        <v>433</v>
      </c>
      <c r="I814" s="111">
        <v>431</v>
      </c>
      <c r="J814" s="111">
        <v>412</v>
      </c>
      <c r="K814" s="111">
        <f t="shared" si="109"/>
        <v>425.33333333333331</v>
      </c>
      <c r="L814" s="111">
        <f t="shared" si="118"/>
        <v>300000</v>
      </c>
      <c r="M814" s="111">
        <f t="shared" si="110"/>
        <v>135000</v>
      </c>
      <c r="N814" s="111">
        <f t="shared" si="111"/>
        <v>135000</v>
      </c>
      <c r="O814" s="111">
        <f t="shared" si="112"/>
        <v>27000</v>
      </c>
      <c r="P814" s="111">
        <f t="shared" si="113"/>
        <v>30000</v>
      </c>
      <c r="Q814" s="111">
        <v>60000</v>
      </c>
      <c r="R814" s="111">
        <v>6</v>
      </c>
      <c r="S814" s="111">
        <f t="shared" si="114"/>
        <v>6000</v>
      </c>
      <c r="T814" s="111">
        <f t="shared" si="115"/>
        <v>360000</v>
      </c>
      <c r="U814" s="111">
        <f t="shared" si="116"/>
        <v>3600</v>
      </c>
      <c r="V814" s="111">
        <f t="shared" si="117"/>
        <v>363600</v>
      </c>
      <c r="W814" t="s">
        <v>3273</v>
      </c>
    </row>
    <row r="815" spans="1:23" x14ac:dyDescent="0.3">
      <c r="A815" s="110">
        <v>1201003</v>
      </c>
      <c r="B815" s="110" t="s">
        <v>1012</v>
      </c>
      <c r="C815" s="110" t="s">
        <v>1012</v>
      </c>
      <c r="D815" s="110" t="s">
        <v>1012</v>
      </c>
      <c r="E815" s="110" t="s">
        <v>1016</v>
      </c>
      <c r="F815" s="110" t="s">
        <v>113</v>
      </c>
      <c r="G815" s="110" t="s">
        <v>114</v>
      </c>
      <c r="H815" s="111">
        <v>436</v>
      </c>
      <c r="I815" s="111">
        <v>448</v>
      </c>
      <c r="J815" s="111">
        <v>460</v>
      </c>
      <c r="K815" s="111">
        <f t="shared" si="109"/>
        <v>448</v>
      </c>
      <c r="L815" s="111">
        <f t="shared" si="118"/>
        <v>300000</v>
      </c>
      <c r="M815" s="111">
        <f t="shared" si="110"/>
        <v>135000</v>
      </c>
      <c r="N815" s="111">
        <f t="shared" si="111"/>
        <v>135000</v>
      </c>
      <c r="O815" s="111">
        <f t="shared" si="112"/>
        <v>27000</v>
      </c>
      <c r="P815" s="111">
        <f t="shared" si="113"/>
        <v>30000</v>
      </c>
      <c r="Q815" s="111">
        <v>60000</v>
      </c>
      <c r="R815" s="111">
        <v>6</v>
      </c>
      <c r="S815" s="111">
        <f t="shared" si="114"/>
        <v>6000</v>
      </c>
      <c r="T815" s="111">
        <f t="shared" si="115"/>
        <v>360000</v>
      </c>
      <c r="U815" s="111">
        <f t="shared" si="116"/>
        <v>3600</v>
      </c>
      <c r="V815" s="111">
        <f t="shared" si="117"/>
        <v>363600</v>
      </c>
      <c r="W815" t="s">
        <v>3274</v>
      </c>
    </row>
    <row r="816" spans="1:23" x14ac:dyDescent="0.3">
      <c r="A816" s="110">
        <v>1201004</v>
      </c>
      <c r="B816" s="110" t="s">
        <v>1012</v>
      </c>
      <c r="C816" s="110" t="s">
        <v>1012</v>
      </c>
      <c r="D816" s="110" t="s">
        <v>1012</v>
      </c>
      <c r="E816" s="110" t="s">
        <v>1017</v>
      </c>
      <c r="F816" s="110" t="s">
        <v>119</v>
      </c>
      <c r="G816" s="110" t="s">
        <v>114</v>
      </c>
      <c r="H816" s="111">
        <v>443</v>
      </c>
      <c r="I816" s="111">
        <v>449</v>
      </c>
      <c r="J816" s="111">
        <v>451</v>
      </c>
      <c r="K816" s="111">
        <f t="shared" si="109"/>
        <v>447.66666666666669</v>
      </c>
      <c r="L816" s="111">
        <f t="shared" si="118"/>
        <v>300000</v>
      </c>
      <c r="M816" s="111">
        <f t="shared" si="110"/>
        <v>135000</v>
      </c>
      <c r="N816" s="111">
        <f t="shared" si="111"/>
        <v>135000</v>
      </c>
      <c r="O816" s="111">
        <f t="shared" si="112"/>
        <v>27000</v>
      </c>
      <c r="P816" s="111">
        <f t="shared" si="113"/>
        <v>30000</v>
      </c>
      <c r="Q816" s="111">
        <v>60000</v>
      </c>
      <c r="R816" s="111">
        <v>6</v>
      </c>
      <c r="S816" s="111">
        <f t="shared" si="114"/>
        <v>6000</v>
      </c>
      <c r="T816" s="111">
        <f t="shared" si="115"/>
        <v>360000</v>
      </c>
      <c r="U816" s="111">
        <f t="shared" si="116"/>
        <v>3600</v>
      </c>
      <c r="V816" s="111">
        <f t="shared" si="117"/>
        <v>363600</v>
      </c>
      <c r="W816" t="s">
        <v>3275</v>
      </c>
    </row>
    <row r="817" spans="1:23" x14ac:dyDescent="0.3">
      <c r="A817" s="110">
        <v>1201005</v>
      </c>
      <c r="B817" s="110" t="s">
        <v>1012</v>
      </c>
      <c r="C817" s="110" t="s">
        <v>1012</v>
      </c>
      <c r="D817" s="110" t="s">
        <v>1012</v>
      </c>
      <c r="E817" s="110" t="s">
        <v>1018</v>
      </c>
      <c r="F817" s="110" t="s">
        <v>113</v>
      </c>
      <c r="G817" s="110" t="s">
        <v>114</v>
      </c>
      <c r="H817" s="111">
        <v>547</v>
      </c>
      <c r="I817" s="111">
        <v>530</v>
      </c>
      <c r="J817" s="111">
        <v>491</v>
      </c>
      <c r="K817" s="111">
        <f t="shared" si="109"/>
        <v>522.66666666666663</v>
      </c>
      <c r="L817" s="111">
        <f t="shared" si="118"/>
        <v>300000</v>
      </c>
      <c r="M817" s="111">
        <f t="shared" si="110"/>
        <v>135000</v>
      </c>
      <c r="N817" s="111">
        <f t="shared" si="111"/>
        <v>135000</v>
      </c>
      <c r="O817" s="111">
        <f t="shared" si="112"/>
        <v>27000</v>
      </c>
      <c r="P817" s="111">
        <f t="shared" si="113"/>
        <v>30000</v>
      </c>
      <c r="Q817" s="111">
        <v>60000</v>
      </c>
      <c r="R817" s="111">
        <v>6</v>
      </c>
      <c r="S817" s="111">
        <f t="shared" si="114"/>
        <v>6000</v>
      </c>
      <c r="T817" s="111">
        <f t="shared" si="115"/>
        <v>360000</v>
      </c>
      <c r="U817" s="111">
        <f t="shared" si="116"/>
        <v>3600</v>
      </c>
      <c r="V817" s="111">
        <f t="shared" si="117"/>
        <v>363600</v>
      </c>
      <c r="W817" t="s">
        <v>3276</v>
      </c>
    </row>
    <row r="818" spans="1:23" x14ac:dyDescent="0.3">
      <c r="A818" s="110">
        <v>1201006</v>
      </c>
      <c r="B818" s="110" t="s">
        <v>1012</v>
      </c>
      <c r="C818" s="110" t="s">
        <v>1012</v>
      </c>
      <c r="D818" s="110" t="s">
        <v>1012</v>
      </c>
      <c r="E818" s="110" t="s">
        <v>1019</v>
      </c>
      <c r="F818" s="110" t="s">
        <v>113</v>
      </c>
      <c r="G818" s="110" t="s">
        <v>114</v>
      </c>
      <c r="H818" s="111">
        <v>519</v>
      </c>
      <c r="I818" s="111">
        <v>514</v>
      </c>
      <c r="J818" s="111">
        <v>501</v>
      </c>
      <c r="K818" s="111">
        <f t="shared" si="109"/>
        <v>511.33333333333331</v>
      </c>
      <c r="L818" s="111">
        <f t="shared" si="118"/>
        <v>300000</v>
      </c>
      <c r="M818" s="111">
        <f t="shared" si="110"/>
        <v>135000</v>
      </c>
      <c r="N818" s="111">
        <f t="shared" si="111"/>
        <v>135000</v>
      </c>
      <c r="O818" s="111">
        <f t="shared" si="112"/>
        <v>27000</v>
      </c>
      <c r="P818" s="111">
        <f t="shared" si="113"/>
        <v>30000</v>
      </c>
      <c r="Q818" s="111">
        <v>60000</v>
      </c>
      <c r="R818" s="111">
        <v>6</v>
      </c>
      <c r="S818" s="111">
        <f t="shared" si="114"/>
        <v>6000</v>
      </c>
      <c r="T818" s="111">
        <f t="shared" si="115"/>
        <v>360000</v>
      </c>
      <c r="U818" s="111">
        <f t="shared" si="116"/>
        <v>3600</v>
      </c>
      <c r="V818" s="111">
        <f t="shared" si="117"/>
        <v>363600</v>
      </c>
      <c r="W818" t="s">
        <v>3277</v>
      </c>
    </row>
    <row r="819" spans="1:23" x14ac:dyDescent="0.3">
      <c r="A819" s="110">
        <v>1201007</v>
      </c>
      <c r="B819" s="110" t="s">
        <v>1012</v>
      </c>
      <c r="C819" s="110" t="s">
        <v>1012</v>
      </c>
      <c r="D819" s="110" t="s">
        <v>1012</v>
      </c>
      <c r="E819" s="110" t="s">
        <v>1020</v>
      </c>
      <c r="F819" s="110" t="s">
        <v>113</v>
      </c>
      <c r="G819" s="110" t="s">
        <v>114</v>
      </c>
      <c r="H819" s="111">
        <v>301</v>
      </c>
      <c r="I819" s="111">
        <v>305</v>
      </c>
      <c r="J819" s="111">
        <v>276</v>
      </c>
      <c r="K819" s="111">
        <f t="shared" si="109"/>
        <v>294</v>
      </c>
      <c r="L819" s="111">
        <v>200000</v>
      </c>
      <c r="M819" s="111">
        <f t="shared" si="110"/>
        <v>90000</v>
      </c>
      <c r="N819" s="111">
        <f t="shared" si="111"/>
        <v>90000</v>
      </c>
      <c r="O819" s="111">
        <f t="shared" si="112"/>
        <v>18000</v>
      </c>
      <c r="P819" s="111">
        <f t="shared" si="113"/>
        <v>20000</v>
      </c>
      <c r="Q819" s="111">
        <v>50000</v>
      </c>
      <c r="R819" s="111">
        <v>5</v>
      </c>
      <c r="S819" s="111">
        <f t="shared" si="114"/>
        <v>5000</v>
      </c>
      <c r="T819" s="111">
        <f t="shared" si="115"/>
        <v>250000</v>
      </c>
      <c r="U819" s="111">
        <f t="shared" si="116"/>
        <v>2500</v>
      </c>
      <c r="V819" s="111">
        <f t="shared" si="117"/>
        <v>252500</v>
      </c>
      <c r="W819" t="s">
        <v>3278</v>
      </c>
    </row>
    <row r="820" spans="1:23" x14ac:dyDescent="0.3">
      <c r="A820" s="110">
        <v>1201011</v>
      </c>
      <c r="B820" s="110" t="s">
        <v>1012</v>
      </c>
      <c r="C820" s="110" t="s">
        <v>1012</v>
      </c>
      <c r="D820" s="110" t="s">
        <v>1012</v>
      </c>
      <c r="E820" s="110" t="s">
        <v>1021</v>
      </c>
      <c r="F820" s="110" t="s">
        <v>119</v>
      </c>
      <c r="G820" s="110" t="s">
        <v>114</v>
      </c>
      <c r="H820" s="111">
        <v>272</v>
      </c>
      <c r="I820" s="111">
        <v>266</v>
      </c>
      <c r="J820" s="111">
        <v>286</v>
      </c>
      <c r="K820" s="111">
        <f t="shared" si="109"/>
        <v>274.66666666666669</v>
      </c>
      <c r="L820" s="111">
        <v>200000</v>
      </c>
      <c r="M820" s="111">
        <f t="shared" si="110"/>
        <v>90000</v>
      </c>
      <c r="N820" s="111">
        <f t="shared" si="111"/>
        <v>90000</v>
      </c>
      <c r="O820" s="111">
        <f t="shared" si="112"/>
        <v>18000</v>
      </c>
      <c r="P820" s="111">
        <f t="shared" si="113"/>
        <v>20000</v>
      </c>
      <c r="Q820" s="111">
        <v>50000</v>
      </c>
      <c r="R820" s="111">
        <v>5</v>
      </c>
      <c r="S820" s="111">
        <f t="shared" si="114"/>
        <v>5000</v>
      </c>
      <c r="T820" s="111">
        <f t="shared" si="115"/>
        <v>250000</v>
      </c>
      <c r="U820" s="111">
        <f t="shared" si="116"/>
        <v>2500</v>
      </c>
      <c r="V820" s="111">
        <f t="shared" si="117"/>
        <v>252500</v>
      </c>
      <c r="W820" t="s">
        <v>3279</v>
      </c>
    </row>
    <row r="821" spans="1:23" x14ac:dyDescent="0.3">
      <c r="A821" s="110">
        <v>1201012</v>
      </c>
      <c r="B821" s="110" t="s">
        <v>1012</v>
      </c>
      <c r="C821" s="110" t="s">
        <v>1012</v>
      </c>
      <c r="D821" s="110" t="s">
        <v>1022</v>
      </c>
      <c r="E821" s="110" t="s">
        <v>319</v>
      </c>
      <c r="F821" s="110" t="s">
        <v>113</v>
      </c>
      <c r="G821" s="110" t="s">
        <v>114</v>
      </c>
      <c r="H821" s="111">
        <v>36</v>
      </c>
      <c r="I821" s="111">
        <v>27</v>
      </c>
      <c r="J821" s="111">
        <v>30</v>
      </c>
      <c r="K821" s="111">
        <f t="shared" si="109"/>
        <v>31</v>
      </c>
      <c r="L821" s="111">
        <v>50000</v>
      </c>
      <c r="M821" s="111">
        <f t="shared" si="110"/>
        <v>22500</v>
      </c>
      <c r="N821" s="111">
        <f t="shared" si="111"/>
        <v>22500</v>
      </c>
      <c r="O821" s="111">
        <f t="shared" si="112"/>
        <v>4500</v>
      </c>
      <c r="P821" s="111">
        <f t="shared" si="113"/>
        <v>5000</v>
      </c>
      <c r="Q821" s="111">
        <v>10000</v>
      </c>
      <c r="R821" s="111">
        <v>1</v>
      </c>
      <c r="S821" s="111">
        <f t="shared" si="114"/>
        <v>1000</v>
      </c>
      <c r="T821" s="111">
        <f t="shared" si="115"/>
        <v>60000</v>
      </c>
      <c r="U821" s="111">
        <f t="shared" si="116"/>
        <v>600</v>
      </c>
      <c r="V821" s="111">
        <f t="shared" si="117"/>
        <v>60600</v>
      </c>
      <c r="W821" t="s">
        <v>3280</v>
      </c>
    </row>
    <row r="822" spans="1:23" x14ac:dyDescent="0.3">
      <c r="A822" s="110">
        <v>1201015</v>
      </c>
      <c r="B822" s="110" t="s">
        <v>1012</v>
      </c>
      <c r="C822" s="110" t="s">
        <v>1012</v>
      </c>
      <c r="D822" s="110" t="s">
        <v>1023</v>
      </c>
      <c r="E822" s="110" t="s">
        <v>201</v>
      </c>
      <c r="F822" s="110" t="s">
        <v>113</v>
      </c>
      <c r="G822" s="110" t="s">
        <v>114</v>
      </c>
      <c r="H822" s="111">
        <v>134</v>
      </c>
      <c r="I822" s="111">
        <v>129</v>
      </c>
      <c r="J822" s="111">
        <v>127</v>
      </c>
      <c r="K822" s="111">
        <f t="shared" si="109"/>
        <v>130</v>
      </c>
      <c r="L822" s="111">
        <v>150000</v>
      </c>
      <c r="M822" s="111">
        <f t="shared" si="110"/>
        <v>67500</v>
      </c>
      <c r="N822" s="111">
        <f t="shared" si="111"/>
        <v>67500</v>
      </c>
      <c r="O822" s="111">
        <f t="shared" si="112"/>
        <v>13500</v>
      </c>
      <c r="P822" s="111">
        <f t="shared" si="113"/>
        <v>15000</v>
      </c>
      <c r="Q822" s="111">
        <v>30000</v>
      </c>
      <c r="R822" s="111">
        <v>3</v>
      </c>
      <c r="S822" s="111">
        <f t="shared" si="114"/>
        <v>3000</v>
      </c>
      <c r="T822" s="111">
        <f t="shared" si="115"/>
        <v>180000</v>
      </c>
      <c r="U822" s="111">
        <f t="shared" si="116"/>
        <v>1800</v>
      </c>
      <c r="V822" s="111">
        <f t="shared" si="117"/>
        <v>181800</v>
      </c>
      <c r="W822" t="s">
        <v>3281</v>
      </c>
    </row>
    <row r="823" spans="1:23" x14ac:dyDescent="0.3">
      <c r="A823" s="110">
        <v>1201021</v>
      </c>
      <c r="B823" s="110" t="s">
        <v>1012</v>
      </c>
      <c r="C823" s="110" t="s">
        <v>1012</v>
      </c>
      <c r="D823" s="110" t="s">
        <v>1012</v>
      </c>
      <c r="E823" s="110" t="s">
        <v>1024</v>
      </c>
      <c r="F823" s="110" t="s">
        <v>117</v>
      </c>
      <c r="G823" s="110" t="s">
        <v>125</v>
      </c>
      <c r="H823" s="111">
        <v>399</v>
      </c>
      <c r="I823" s="111">
        <v>377</v>
      </c>
      <c r="J823" s="111">
        <v>354</v>
      </c>
      <c r="K823" s="111">
        <f t="shared" si="109"/>
        <v>376.66666666666669</v>
      </c>
      <c r="L823" s="111">
        <v>200000</v>
      </c>
      <c r="M823" s="111">
        <f t="shared" si="110"/>
        <v>90000</v>
      </c>
      <c r="N823" s="111">
        <f t="shared" si="111"/>
        <v>90000</v>
      </c>
      <c r="O823" s="111">
        <f t="shared" si="112"/>
        <v>18000</v>
      </c>
      <c r="P823" s="111">
        <f t="shared" si="113"/>
        <v>20000</v>
      </c>
      <c r="Q823" s="111">
        <v>50000</v>
      </c>
      <c r="R823" s="111">
        <v>5</v>
      </c>
      <c r="S823" s="111">
        <f t="shared" si="114"/>
        <v>5000</v>
      </c>
      <c r="T823" s="111">
        <f t="shared" si="115"/>
        <v>250000</v>
      </c>
      <c r="U823" s="111">
        <f t="shared" si="116"/>
        <v>2500</v>
      </c>
      <c r="V823" s="111">
        <f t="shared" si="117"/>
        <v>252500</v>
      </c>
      <c r="W823" t="s">
        <v>3282</v>
      </c>
    </row>
    <row r="824" spans="1:23" x14ac:dyDescent="0.3">
      <c r="A824" s="110">
        <v>1201022</v>
      </c>
      <c r="B824" s="110" t="s">
        <v>1012</v>
      </c>
      <c r="C824" s="110" t="s">
        <v>1012</v>
      </c>
      <c r="D824" s="110" t="s">
        <v>1012</v>
      </c>
      <c r="E824" s="110" t="s">
        <v>1025</v>
      </c>
      <c r="F824" s="110" t="s">
        <v>117</v>
      </c>
      <c r="G824" s="110" t="s">
        <v>125</v>
      </c>
      <c r="H824" s="111">
        <v>368</v>
      </c>
      <c r="I824" s="111">
        <v>335</v>
      </c>
      <c r="J824" s="111">
        <v>355</v>
      </c>
      <c r="K824" s="111">
        <f t="shared" si="109"/>
        <v>352.66666666666669</v>
      </c>
      <c r="L824" s="111">
        <v>200000</v>
      </c>
      <c r="M824" s="111">
        <f t="shared" si="110"/>
        <v>90000</v>
      </c>
      <c r="N824" s="111">
        <f t="shared" si="111"/>
        <v>90000</v>
      </c>
      <c r="O824" s="111">
        <f t="shared" si="112"/>
        <v>18000</v>
      </c>
      <c r="P824" s="111">
        <f t="shared" si="113"/>
        <v>20000</v>
      </c>
      <c r="Q824" s="111">
        <v>50000</v>
      </c>
      <c r="R824" s="111">
        <v>5</v>
      </c>
      <c r="S824" s="111">
        <f t="shared" si="114"/>
        <v>5000</v>
      </c>
      <c r="T824" s="111">
        <f t="shared" si="115"/>
        <v>250000</v>
      </c>
      <c r="U824" s="111">
        <f t="shared" si="116"/>
        <v>2500</v>
      </c>
      <c r="V824" s="111">
        <f t="shared" si="117"/>
        <v>252500</v>
      </c>
      <c r="W824" t="s">
        <v>3283</v>
      </c>
    </row>
    <row r="825" spans="1:23" x14ac:dyDescent="0.3">
      <c r="A825" s="110">
        <v>1201023</v>
      </c>
      <c r="B825" s="110" t="s">
        <v>1012</v>
      </c>
      <c r="C825" s="110" t="s">
        <v>1012</v>
      </c>
      <c r="D825" s="110" t="s">
        <v>1012</v>
      </c>
      <c r="E825" s="110" t="s">
        <v>1026</v>
      </c>
      <c r="F825" s="110" t="s">
        <v>117</v>
      </c>
      <c r="G825" s="110" t="s">
        <v>125</v>
      </c>
      <c r="H825" s="111">
        <v>151</v>
      </c>
      <c r="I825" s="111">
        <v>170</v>
      </c>
      <c r="J825" s="111">
        <v>216</v>
      </c>
      <c r="K825" s="111">
        <f t="shared" si="109"/>
        <v>179</v>
      </c>
      <c r="L825" s="111">
        <v>150000</v>
      </c>
      <c r="M825" s="111">
        <f t="shared" si="110"/>
        <v>67500</v>
      </c>
      <c r="N825" s="111">
        <f t="shared" si="111"/>
        <v>67500</v>
      </c>
      <c r="O825" s="111">
        <f t="shared" si="112"/>
        <v>13500</v>
      </c>
      <c r="P825" s="111">
        <f t="shared" si="113"/>
        <v>15000</v>
      </c>
      <c r="Q825" s="111">
        <v>30000</v>
      </c>
      <c r="R825" s="111">
        <v>3</v>
      </c>
      <c r="S825" s="111">
        <f t="shared" si="114"/>
        <v>3000</v>
      </c>
      <c r="T825" s="111">
        <f t="shared" si="115"/>
        <v>180000</v>
      </c>
      <c r="U825" s="111">
        <f t="shared" si="116"/>
        <v>1800</v>
      </c>
      <c r="V825" s="111">
        <f t="shared" si="117"/>
        <v>181800</v>
      </c>
      <c r="W825" t="s">
        <v>3284</v>
      </c>
    </row>
    <row r="826" spans="1:23" x14ac:dyDescent="0.3">
      <c r="A826" s="110">
        <v>1201033</v>
      </c>
      <c r="B826" s="110" t="s">
        <v>1012</v>
      </c>
      <c r="C826" s="110" t="s">
        <v>1012</v>
      </c>
      <c r="D826" s="110" t="s">
        <v>1012</v>
      </c>
      <c r="E826" s="110" t="s">
        <v>1027</v>
      </c>
      <c r="F826" s="110" t="s">
        <v>117</v>
      </c>
      <c r="G826" s="110" t="s">
        <v>125</v>
      </c>
      <c r="H826" s="111">
        <v>275</v>
      </c>
      <c r="I826" s="111">
        <v>297</v>
      </c>
      <c r="J826" s="111">
        <v>321</v>
      </c>
      <c r="K826" s="111">
        <f t="shared" si="109"/>
        <v>297.66666666666669</v>
      </c>
      <c r="L826" s="111">
        <f>200000*0.7</f>
        <v>140000</v>
      </c>
      <c r="M826" s="111">
        <f t="shared" si="110"/>
        <v>63000</v>
      </c>
      <c r="N826" s="111">
        <f t="shared" si="111"/>
        <v>63000</v>
      </c>
      <c r="O826" s="111">
        <f t="shared" si="112"/>
        <v>12600</v>
      </c>
      <c r="P826" s="111">
        <f t="shared" si="113"/>
        <v>14000</v>
      </c>
      <c r="Q826" s="111">
        <v>50000</v>
      </c>
      <c r="R826" s="111">
        <v>5</v>
      </c>
      <c r="S826" s="111">
        <f t="shared" si="114"/>
        <v>5000</v>
      </c>
      <c r="T826" s="111">
        <f t="shared" si="115"/>
        <v>190000</v>
      </c>
      <c r="U826" s="111">
        <f t="shared" si="116"/>
        <v>1900</v>
      </c>
      <c r="V826" s="111">
        <f t="shared" si="117"/>
        <v>191900</v>
      </c>
      <c r="W826" t="s">
        <v>3285</v>
      </c>
    </row>
    <row r="827" spans="1:23" x14ac:dyDescent="0.3">
      <c r="A827" s="110">
        <v>1201034</v>
      </c>
      <c r="B827" s="110" t="s">
        <v>1012</v>
      </c>
      <c r="C827" s="110" t="s">
        <v>1012</v>
      </c>
      <c r="D827" s="110" t="s">
        <v>1012</v>
      </c>
      <c r="E827" s="110" t="s">
        <v>1028</v>
      </c>
      <c r="F827" s="110" t="s">
        <v>119</v>
      </c>
      <c r="G827" s="110" t="s">
        <v>114</v>
      </c>
      <c r="H827" s="111">
        <v>600</v>
      </c>
      <c r="I827" s="111">
        <v>593</v>
      </c>
      <c r="J827" s="111">
        <v>571</v>
      </c>
      <c r="K827" s="111">
        <f t="shared" si="109"/>
        <v>588</v>
      </c>
      <c r="L827" s="111">
        <f>300000</f>
        <v>300000</v>
      </c>
      <c r="M827" s="111">
        <f t="shared" si="110"/>
        <v>135000</v>
      </c>
      <c r="N827" s="111">
        <f t="shared" si="111"/>
        <v>135000</v>
      </c>
      <c r="O827" s="111">
        <f t="shared" si="112"/>
        <v>27000</v>
      </c>
      <c r="P827" s="111">
        <f t="shared" si="113"/>
        <v>30000</v>
      </c>
      <c r="Q827" s="111">
        <v>60000</v>
      </c>
      <c r="R827" s="111">
        <v>6</v>
      </c>
      <c r="S827" s="111">
        <f t="shared" si="114"/>
        <v>6000</v>
      </c>
      <c r="T827" s="111">
        <f t="shared" si="115"/>
        <v>360000</v>
      </c>
      <c r="U827" s="111">
        <f t="shared" si="116"/>
        <v>3600</v>
      </c>
      <c r="V827" s="111">
        <f t="shared" si="117"/>
        <v>363600</v>
      </c>
      <c r="W827" t="s">
        <v>3286</v>
      </c>
    </row>
    <row r="828" spans="1:23" x14ac:dyDescent="0.3">
      <c r="A828" s="110">
        <v>1201101</v>
      </c>
      <c r="B828" s="110" t="s">
        <v>1012</v>
      </c>
      <c r="C828" s="110" t="s">
        <v>1029</v>
      </c>
      <c r="D828" s="110" t="s">
        <v>1029</v>
      </c>
      <c r="E828" s="110" t="s">
        <v>1030</v>
      </c>
      <c r="F828" s="110" t="s">
        <v>113</v>
      </c>
      <c r="G828" s="110" t="s">
        <v>114</v>
      </c>
      <c r="H828" s="111">
        <v>67</v>
      </c>
      <c r="I828" s="111">
        <v>57</v>
      </c>
      <c r="J828" s="111">
        <v>66</v>
      </c>
      <c r="K828" s="111">
        <f t="shared" si="109"/>
        <v>63.333333333333336</v>
      </c>
      <c r="L828" s="111">
        <v>150000</v>
      </c>
      <c r="M828" s="111">
        <f t="shared" si="110"/>
        <v>67500</v>
      </c>
      <c r="N828" s="111">
        <f t="shared" si="111"/>
        <v>67500</v>
      </c>
      <c r="O828" s="111">
        <f t="shared" si="112"/>
        <v>13500</v>
      </c>
      <c r="P828" s="111">
        <f t="shared" si="113"/>
        <v>15000</v>
      </c>
      <c r="Q828" s="111">
        <v>30000</v>
      </c>
      <c r="R828" s="111">
        <v>3</v>
      </c>
      <c r="S828" s="111">
        <f t="shared" si="114"/>
        <v>3000</v>
      </c>
      <c r="T828" s="111">
        <f t="shared" si="115"/>
        <v>180000</v>
      </c>
      <c r="U828" s="111">
        <f t="shared" si="116"/>
        <v>1800</v>
      </c>
      <c r="V828" s="111">
        <f t="shared" si="117"/>
        <v>181800</v>
      </c>
      <c r="W828" t="s">
        <v>3287</v>
      </c>
    </row>
    <row r="829" spans="1:23" x14ac:dyDescent="0.3">
      <c r="A829" s="110">
        <v>1201200</v>
      </c>
      <c r="B829" s="110" t="s">
        <v>1012</v>
      </c>
      <c r="C829" s="110" t="s">
        <v>1031</v>
      </c>
      <c r="D829" s="110" t="s">
        <v>1031</v>
      </c>
      <c r="E829" s="110" t="s">
        <v>1032</v>
      </c>
      <c r="F829" s="110" t="s">
        <v>119</v>
      </c>
      <c r="G829" s="110" t="s">
        <v>114</v>
      </c>
      <c r="H829" s="111">
        <v>248</v>
      </c>
      <c r="I829" s="111">
        <v>235</v>
      </c>
      <c r="J829" s="111">
        <v>220</v>
      </c>
      <c r="K829" s="111">
        <f t="shared" si="109"/>
        <v>234.33333333333334</v>
      </c>
      <c r="L829" s="111">
        <v>200000</v>
      </c>
      <c r="M829" s="111">
        <f t="shared" si="110"/>
        <v>90000</v>
      </c>
      <c r="N829" s="111">
        <f t="shared" si="111"/>
        <v>90000</v>
      </c>
      <c r="O829" s="111">
        <f t="shared" si="112"/>
        <v>18000</v>
      </c>
      <c r="P829" s="111">
        <f t="shared" si="113"/>
        <v>20000</v>
      </c>
      <c r="Q829" s="111">
        <v>50000</v>
      </c>
      <c r="R829" s="111">
        <v>5</v>
      </c>
      <c r="S829" s="111">
        <f t="shared" si="114"/>
        <v>5000</v>
      </c>
      <c r="T829" s="111">
        <f t="shared" si="115"/>
        <v>250000</v>
      </c>
      <c r="U829" s="111">
        <f t="shared" si="116"/>
        <v>2500</v>
      </c>
      <c r="V829" s="111">
        <f t="shared" si="117"/>
        <v>252500</v>
      </c>
      <c r="W829" t="s">
        <v>3288</v>
      </c>
    </row>
    <row r="830" spans="1:23" x14ac:dyDescent="0.3">
      <c r="A830" s="110">
        <v>1202000</v>
      </c>
      <c r="B830" s="110" t="s">
        <v>1012</v>
      </c>
      <c r="C830" s="110" t="s">
        <v>1033</v>
      </c>
      <c r="D830" s="110" t="s">
        <v>1033</v>
      </c>
      <c r="E830" s="110" t="s">
        <v>1034</v>
      </c>
      <c r="F830" s="110" t="s">
        <v>122</v>
      </c>
      <c r="G830" s="110" t="s">
        <v>114</v>
      </c>
      <c r="H830" s="111">
        <v>226</v>
      </c>
      <c r="I830" s="111">
        <v>209</v>
      </c>
      <c r="J830" s="111">
        <v>213</v>
      </c>
      <c r="K830" s="111">
        <f t="shared" si="109"/>
        <v>216</v>
      </c>
      <c r="L830" s="111">
        <v>200000</v>
      </c>
      <c r="M830" s="111">
        <f t="shared" si="110"/>
        <v>90000</v>
      </c>
      <c r="N830" s="111">
        <f t="shared" si="111"/>
        <v>90000</v>
      </c>
      <c r="O830" s="111">
        <f t="shared" si="112"/>
        <v>18000</v>
      </c>
      <c r="P830" s="111">
        <f t="shared" si="113"/>
        <v>20000</v>
      </c>
      <c r="Q830" s="111">
        <v>50000</v>
      </c>
      <c r="R830" s="111">
        <v>5</v>
      </c>
      <c r="S830" s="111">
        <f t="shared" si="114"/>
        <v>5000</v>
      </c>
      <c r="T830" s="111">
        <f t="shared" si="115"/>
        <v>250000</v>
      </c>
      <c r="U830" s="111">
        <f t="shared" si="116"/>
        <v>2500</v>
      </c>
      <c r="V830" s="111">
        <f t="shared" si="117"/>
        <v>252500</v>
      </c>
      <c r="W830" t="s">
        <v>3289</v>
      </c>
    </row>
    <row r="831" spans="1:23" x14ac:dyDescent="0.3">
      <c r="A831" s="110">
        <v>1202001</v>
      </c>
      <c r="B831" s="110" t="s">
        <v>1012</v>
      </c>
      <c r="C831" s="110" t="s">
        <v>1033</v>
      </c>
      <c r="D831" s="110" t="s">
        <v>1033</v>
      </c>
      <c r="E831" s="110" t="s">
        <v>1035</v>
      </c>
      <c r="F831" s="110" t="s">
        <v>113</v>
      </c>
      <c r="G831" s="110" t="s">
        <v>114</v>
      </c>
      <c r="H831" s="111">
        <v>172</v>
      </c>
      <c r="I831" s="111">
        <v>160</v>
      </c>
      <c r="J831" s="111">
        <v>150</v>
      </c>
      <c r="K831" s="111">
        <f t="shared" si="109"/>
        <v>160.66666666666666</v>
      </c>
      <c r="L831" s="111">
        <f>150000*0.7</f>
        <v>105000</v>
      </c>
      <c r="M831" s="111">
        <f t="shared" si="110"/>
        <v>47250</v>
      </c>
      <c r="N831" s="111">
        <f t="shared" si="111"/>
        <v>47250</v>
      </c>
      <c r="O831" s="111">
        <f t="shared" si="112"/>
        <v>9450</v>
      </c>
      <c r="P831" s="111">
        <f t="shared" si="113"/>
        <v>10500</v>
      </c>
      <c r="Q831" s="111">
        <v>30000</v>
      </c>
      <c r="R831" s="111">
        <v>3</v>
      </c>
      <c r="S831" s="111">
        <f t="shared" si="114"/>
        <v>3000</v>
      </c>
      <c r="T831" s="111">
        <f t="shared" si="115"/>
        <v>135000</v>
      </c>
      <c r="U831" s="111">
        <f t="shared" si="116"/>
        <v>1350</v>
      </c>
      <c r="V831" s="111">
        <f t="shared" si="117"/>
        <v>136350</v>
      </c>
      <c r="W831" t="s">
        <v>3290</v>
      </c>
    </row>
    <row r="832" spans="1:23" x14ac:dyDescent="0.3">
      <c r="A832" s="110">
        <v>1202002</v>
      </c>
      <c r="B832" s="110" t="s">
        <v>1012</v>
      </c>
      <c r="C832" s="110" t="s">
        <v>1033</v>
      </c>
      <c r="D832" s="110" t="s">
        <v>1033</v>
      </c>
      <c r="E832" s="110" t="s">
        <v>161</v>
      </c>
      <c r="F832" s="110" t="s">
        <v>113</v>
      </c>
      <c r="G832" s="110" t="s">
        <v>114</v>
      </c>
      <c r="H832" s="111">
        <v>185</v>
      </c>
      <c r="I832" s="111">
        <v>165</v>
      </c>
      <c r="J832" s="111">
        <v>176</v>
      </c>
      <c r="K832" s="111">
        <f t="shared" si="109"/>
        <v>175.33333333333334</v>
      </c>
      <c r="L832" s="111">
        <v>150000</v>
      </c>
      <c r="M832" s="111">
        <f t="shared" si="110"/>
        <v>67500</v>
      </c>
      <c r="N832" s="111">
        <f t="shared" si="111"/>
        <v>67500</v>
      </c>
      <c r="O832" s="111">
        <f t="shared" si="112"/>
        <v>13500</v>
      </c>
      <c r="P832" s="111">
        <f t="shared" si="113"/>
        <v>15000</v>
      </c>
      <c r="Q832" s="111">
        <v>30000</v>
      </c>
      <c r="R832" s="111">
        <v>3</v>
      </c>
      <c r="S832" s="111">
        <f t="shared" si="114"/>
        <v>3000</v>
      </c>
      <c r="T832" s="111">
        <f t="shared" si="115"/>
        <v>180000</v>
      </c>
      <c r="U832" s="111">
        <f t="shared" si="116"/>
        <v>1800</v>
      </c>
      <c r="V832" s="111">
        <f t="shared" si="117"/>
        <v>181800</v>
      </c>
      <c r="W832" t="s">
        <v>3291</v>
      </c>
    </row>
    <row r="833" spans="1:23" x14ac:dyDescent="0.3">
      <c r="A833" s="110">
        <v>1202003</v>
      </c>
      <c r="B833" s="110" t="s">
        <v>1012</v>
      </c>
      <c r="C833" s="110" t="s">
        <v>1033</v>
      </c>
      <c r="D833" s="110" t="s">
        <v>1033</v>
      </c>
      <c r="E833" s="110" t="s">
        <v>1036</v>
      </c>
      <c r="F833" s="110" t="s">
        <v>113</v>
      </c>
      <c r="G833" s="110" t="s">
        <v>114</v>
      </c>
      <c r="H833" s="111">
        <v>184</v>
      </c>
      <c r="I833" s="111">
        <v>194</v>
      </c>
      <c r="J833" s="111">
        <v>201</v>
      </c>
      <c r="K833" s="111">
        <f t="shared" si="109"/>
        <v>193</v>
      </c>
      <c r="L833" s="111">
        <v>150000</v>
      </c>
      <c r="M833" s="111">
        <f t="shared" si="110"/>
        <v>67500</v>
      </c>
      <c r="N833" s="111">
        <f t="shared" si="111"/>
        <v>67500</v>
      </c>
      <c r="O833" s="111">
        <f t="shared" si="112"/>
        <v>13500</v>
      </c>
      <c r="P833" s="111">
        <f t="shared" si="113"/>
        <v>15000</v>
      </c>
      <c r="Q833" s="111">
        <v>30000</v>
      </c>
      <c r="R833" s="111">
        <v>3</v>
      </c>
      <c r="S833" s="111">
        <f t="shared" si="114"/>
        <v>3000</v>
      </c>
      <c r="T833" s="111">
        <f t="shared" si="115"/>
        <v>180000</v>
      </c>
      <c r="U833" s="111">
        <f t="shared" si="116"/>
        <v>1800</v>
      </c>
      <c r="V833" s="111">
        <f t="shared" si="117"/>
        <v>181800</v>
      </c>
      <c r="W833" t="s">
        <v>3292</v>
      </c>
    </row>
    <row r="834" spans="1:23" x14ac:dyDescent="0.3">
      <c r="A834" s="110">
        <v>1202004</v>
      </c>
      <c r="B834" s="110" t="s">
        <v>1012</v>
      </c>
      <c r="C834" s="110" t="s">
        <v>1033</v>
      </c>
      <c r="D834" s="110" t="s">
        <v>1033</v>
      </c>
      <c r="E834" s="110" t="s">
        <v>1037</v>
      </c>
      <c r="F834" s="110" t="s">
        <v>113</v>
      </c>
      <c r="G834" s="110" t="s">
        <v>114</v>
      </c>
      <c r="H834" s="111">
        <v>178</v>
      </c>
      <c r="I834" s="111">
        <v>174</v>
      </c>
      <c r="J834" s="111">
        <v>176</v>
      </c>
      <c r="K834" s="111">
        <f t="shared" ref="K834:K897" si="119">+(H834+I834+J834)/3</f>
        <v>176</v>
      </c>
      <c r="L834" s="111">
        <v>150000</v>
      </c>
      <c r="M834" s="111">
        <f t="shared" ref="M834:M897" si="120">+L834*0.45</f>
        <v>67500</v>
      </c>
      <c r="N834" s="111">
        <f t="shared" ref="N834:N897" si="121">+L834*0.45</f>
        <v>67500</v>
      </c>
      <c r="O834" s="111">
        <f t="shared" ref="O834:O897" si="122">+N834*0.2</f>
        <v>13500</v>
      </c>
      <c r="P834" s="111">
        <f t="shared" ref="P834:P897" si="123">++L834*0.1</f>
        <v>15000</v>
      </c>
      <c r="Q834" s="111">
        <v>30000</v>
      </c>
      <c r="R834" s="111">
        <v>3</v>
      </c>
      <c r="S834" s="111">
        <f t="shared" ref="S834:S897" si="124">+Q834*0.1</f>
        <v>3000</v>
      </c>
      <c r="T834" s="111">
        <f t="shared" ref="T834:T897" si="125">+L834+Q834</f>
        <v>180000</v>
      </c>
      <c r="U834" s="111">
        <f t="shared" ref="U834:U897" si="126">+T834*0.01</f>
        <v>1800</v>
      </c>
      <c r="V834" s="111">
        <f t="shared" ref="V834:V897" si="127">+T834+U834</f>
        <v>181800</v>
      </c>
      <c r="W834" t="s">
        <v>3293</v>
      </c>
    </row>
    <row r="835" spans="1:23" x14ac:dyDescent="0.3">
      <c r="A835" s="110">
        <v>1202007</v>
      </c>
      <c r="B835" s="110" t="s">
        <v>1012</v>
      </c>
      <c r="C835" s="110" t="s">
        <v>1033</v>
      </c>
      <c r="D835" s="110" t="s">
        <v>1038</v>
      </c>
      <c r="E835" s="110" t="s">
        <v>368</v>
      </c>
      <c r="F835" s="110" t="s">
        <v>113</v>
      </c>
      <c r="G835" s="110" t="s">
        <v>114</v>
      </c>
      <c r="H835" s="111">
        <v>36</v>
      </c>
      <c r="I835" s="111">
        <v>33</v>
      </c>
      <c r="J835" s="111">
        <v>22</v>
      </c>
      <c r="K835" s="111">
        <f t="shared" si="119"/>
        <v>30.333333333333332</v>
      </c>
      <c r="L835" s="111">
        <v>50000</v>
      </c>
      <c r="M835" s="111">
        <f t="shared" si="120"/>
        <v>22500</v>
      </c>
      <c r="N835" s="111">
        <f t="shared" si="121"/>
        <v>22500</v>
      </c>
      <c r="O835" s="111">
        <f t="shared" si="122"/>
        <v>4500</v>
      </c>
      <c r="P835" s="111">
        <f t="shared" si="123"/>
        <v>5000</v>
      </c>
      <c r="Q835" s="111">
        <v>10000</v>
      </c>
      <c r="R835" s="111">
        <v>1</v>
      </c>
      <c r="S835" s="111">
        <f t="shared" si="124"/>
        <v>1000</v>
      </c>
      <c r="T835" s="111">
        <f t="shared" si="125"/>
        <v>60000</v>
      </c>
      <c r="U835" s="111">
        <f t="shared" si="126"/>
        <v>600</v>
      </c>
      <c r="V835" s="111">
        <f t="shared" si="127"/>
        <v>60600</v>
      </c>
      <c r="W835" t="s">
        <v>3294</v>
      </c>
    </row>
    <row r="836" spans="1:23" x14ac:dyDescent="0.3">
      <c r="A836" s="110">
        <v>1202009</v>
      </c>
      <c r="B836" s="110" t="s">
        <v>1012</v>
      </c>
      <c r="C836" s="110" t="s">
        <v>1033</v>
      </c>
      <c r="D836" s="110" t="s">
        <v>1039</v>
      </c>
      <c r="E836" s="110" t="s">
        <v>201</v>
      </c>
      <c r="F836" s="110" t="s">
        <v>113</v>
      </c>
      <c r="G836" s="110" t="s">
        <v>114</v>
      </c>
      <c r="H836" s="111">
        <v>37</v>
      </c>
      <c r="I836" s="111">
        <v>41</v>
      </c>
      <c r="J836" s="111">
        <v>52</v>
      </c>
      <c r="K836" s="111">
        <f t="shared" si="119"/>
        <v>43.333333333333336</v>
      </c>
      <c r="L836" s="111">
        <v>50000</v>
      </c>
      <c r="M836" s="111">
        <f t="shared" si="120"/>
        <v>22500</v>
      </c>
      <c r="N836" s="111">
        <f t="shared" si="121"/>
        <v>22500</v>
      </c>
      <c r="O836" s="111">
        <f t="shared" si="122"/>
        <v>4500</v>
      </c>
      <c r="P836" s="111">
        <f t="shared" si="123"/>
        <v>5000</v>
      </c>
      <c r="Q836" s="111">
        <v>10000</v>
      </c>
      <c r="R836" s="111">
        <v>1</v>
      </c>
      <c r="S836" s="111">
        <f t="shared" si="124"/>
        <v>1000</v>
      </c>
      <c r="T836" s="111">
        <f t="shared" si="125"/>
        <v>60000</v>
      </c>
      <c r="U836" s="111">
        <f t="shared" si="126"/>
        <v>600</v>
      </c>
      <c r="V836" s="111">
        <f t="shared" si="127"/>
        <v>60600</v>
      </c>
      <c r="W836" t="s">
        <v>3295</v>
      </c>
    </row>
    <row r="837" spans="1:23" x14ac:dyDescent="0.3">
      <c r="A837" s="110">
        <v>1202010</v>
      </c>
      <c r="B837" s="110" t="s">
        <v>1012</v>
      </c>
      <c r="C837" s="110" t="s">
        <v>1033</v>
      </c>
      <c r="D837" s="110" t="s">
        <v>1033</v>
      </c>
      <c r="E837" s="110" t="s">
        <v>1040</v>
      </c>
      <c r="F837" s="110" t="s">
        <v>135</v>
      </c>
      <c r="G837" s="110" t="s">
        <v>114</v>
      </c>
      <c r="H837" s="111">
        <v>20</v>
      </c>
      <c r="I837" s="111">
        <v>25</v>
      </c>
      <c r="J837" s="111">
        <v>23</v>
      </c>
      <c r="K837" s="111">
        <f t="shared" si="119"/>
        <v>22.666666666666668</v>
      </c>
      <c r="L837" s="111">
        <v>50000</v>
      </c>
      <c r="M837" s="111">
        <f t="shared" si="120"/>
        <v>22500</v>
      </c>
      <c r="N837" s="111">
        <f t="shared" si="121"/>
        <v>22500</v>
      </c>
      <c r="O837" s="111">
        <f t="shared" si="122"/>
        <v>4500</v>
      </c>
      <c r="P837" s="111">
        <f t="shared" si="123"/>
        <v>5000</v>
      </c>
      <c r="Q837" s="111">
        <v>10000</v>
      </c>
      <c r="R837" s="111">
        <v>1</v>
      </c>
      <c r="S837" s="111">
        <f t="shared" si="124"/>
        <v>1000</v>
      </c>
      <c r="T837" s="111">
        <f t="shared" si="125"/>
        <v>60000</v>
      </c>
      <c r="U837" s="111">
        <f t="shared" si="126"/>
        <v>600</v>
      </c>
      <c r="V837" s="111">
        <f t="shared" si="127"/>
        <v>60600</v>
      </c>
      <c r="W837" t="s">
        <v>3296</v>
      </c>
    </row>
    <row r="838" spans="1:23" x14ac:dyDescent="0.3">
      <c r="A838" s="110">
        <v>1202011</v>
      </c>
      <c r="B838" s="110" t="s">
        <v>1012</v>
      </c>
      <c r="C838" s="110" t="s">
        <v>1033</v>
      </c>
      <c r="D838" s="110" t="s">
        <v>1033</v>
      </c>
      <c r="E838" s="110" t="s">
        <v>1041</v>
      </c>
      <c r="F838" s="110" t="s">
        <v>117</v>
      </c>
      <c r="G838" s="110" t="s">
        <v>114</v>
      </c>
      <c r="H838" s="111">
        <v>179</v>
      </c>
      <c r="I838" s="111">
        <v>180</v>
      </c>
      <c r="J838" s="111">
        <v>167</v>
      </c>
      <c r="K838" s="111">
        <f t="shared" si="119"/>
        <v>175.33333333333334</v>
      </c>
      <c r="L838" s="111">
        <v>150000</v>
      </c>
      <c r="M838" s="111">
        <f t="shared" si="120"/>
        <v>67500</v>
      </c>
      <c r="N838" s="111">
        <f t="shared" si="121"/>
        <v>67500</v>
      </c>
      <c r="O838" s="111">
        <f t="shared" si="122"/>
        <v>13500</v>
      </c>
      <c r="P838" s="111">
        <f t="shared" si="123"/>
        <v>15000</v>
      </c>
      <c r="Q838" s="111">
        <v>30000</v>
      </c>
      <c r="R838" s="111">
        <v>3</v>
      </c>
      <c r="S838" s="111">
        <f t="shared" si="124"/>
        <v>3000</v>
      </c>
      <c r="T838" s="111">
        <f t="shared" si="125"/>
        <v>180000</v>
      </c>
      <c r="U838" s="111">
        <f t="shared" si="126"/>
        <v>1800</v>
      </c>
      <c r="V838" s="111">
        <f t="shared" si="127"/>
        <v>181800</v>
      </c>
      <c r="W838" t="s">
        <v>3297</v>
      </c>
    </row>
    <row r="839" spans="1:23" x14ac:dyDescent="0.3">
      <c r="A839" s="110">
        <v>1202036</v>
      </c>
      <c r="B839" s="110" t="s">
        <v>1012</v>
      </c>
      <c r="C839" s="110" t="s">
        <v>1042</v>
      </c>
      <c r="D839" s="110" t="s">
        <v>1042</v>
      </c>
      <c r="E839" s="110" t="s">
        <v>1043</v>
      </c>
      <c r="F839" s="110" t="s">
        <v>117</v>
      </c>
      <c r="G839" s="110" t="s">
        <v>114</v>
      </c>
      <c r="H839" s="111">
        <v>223</v>
      </c>
      <c r="I839" s="111">
        <v>187</v>
      </c>
      <c r="J839" s="111">
        <v>201</v>
      </c>
      <c r="K839" s="111">
        <f t="shared" si="119"/>
        <v>203.66666666666666</v>
      </c>
      <c r="L839" s="111">
        <v>200000</v>
      </c>
      <c r="M839" s="111">
        <f t="shared" si="120"/>
        <v>90000</v>
      </c>
      <c r="N839" s="111">
        <f t="shared" si="121"/>
        <v>90000</v>
      </c>
      <c r="O839" s="111">
        <f t="shared" si="122"/>
        <v>18000</v>
      </c>
      <c r="P839" s="111">
        <f t="shared" si="123"/>
        <v>20000</v>
      </c>
      <c r="Q839" s="111">
        <v>50000</v>
      </c>
      <c r="R839" s="111">
        <v>5</v>
      </c>
      <c r="S839" s="111">
        <f t="shared" si="124"/>
        <v>5000</v>
      </c>
      <c r="T839" s="111">
        <f t="shared" si="125"/>
        <v>250000</v>
      </c>
      <c r="U839" s="111">
        <f t="shared" si="126"/>
        <v>2500</v>
      </c>
      <c r="V839" s="111">
        <f t="shared" si="127"/>
        <v>252500</v>
      </c>
      <c r="W839" t="s">
        <v>3298</v>
      </c>
    </row>
    <row r="840" spans="1:23" x14ac:dyDescent="0.3">
      <c r="A840" s="110">
        <v>1202052</v>
      </c>
      <c r="B840" s="110" t="s">
        <v>1012</v>
      </c>
      <c r="C840" s="110" t="s">
        <v>1044</v>
      </c>
      <c r="D840" s="110" t="s">
        <v>1045</v>
      </c>
      <c r="E840" s="110" t="s">
        <v>1046</v>
      </c>
      <c r="F840" s="110" t="s">
        <v>117</v>
      </c>
      <c r="G840" s="110" t="s">
        <v>125</v>
      </c>
      <c r="H840" s="111">
        <v>265</v>
      </c>
      <c r="I840" s="111">
        <v>281</v>
      </c>
      <c r="J840" s="111">
        <v>266</v>
      </c>
      <c r="K840" s="111">
        <f t="shared" si="119"/>
        <v>270.66666666666669</v>
      </c>
      <c r="L840" s="111">
        <v>200000</v>
      </c>
      <c r="M840" s="111">
        <f t="shared" si="120"/>
        <v>90000</v>
      </c>
      <c r="N840" s="111">
        <f t="shared" si="121"/>
        <v>90000</v>
      </c>
      <c r="O840" s="111">
        <f t="shared" si="122"/>
        <v>18000</v>
      </c>
      <c r="P840" s="111">
        <f t="shared" si="123"/>
        <v>20000</v>
      </c>
      <c r="Q840" s="111">
        <v>50000</v>
      </c>
      <c r="R840" s="111">
        <v>5</v>
      </c>
      <c r="S840" s="111">
        <f t="shared" si="124"/>
        <v>5000</v>
      </c>
      <c r="T840" s="111">
        <f t="shared" si="125"/>
        <v>250000</v>
      </c>
      <c r="U840" s="111">
        <f t="shared" si="126"/>
        <v>2500</v>
      </c>
      <c r="V840" s="111">
        <f t="shared" si="127"/>
        <v>252500</v>
      </c>
      <c r="W840" t="s">
        <v>3299</v>
      </c>
    </row>
    <row r="841" spans="1:23" x14ac:dyDescent="0.3">
      <c r="A841" s="110">
        <v>1203000</v>
      </c>
      <c r="B841" s="110" t="s">
        <v>1012</v>
      </c>
      <c r="C841" s="110" t="s">
        <v>1044</v>
      </c>
      <c r="D841" s="110" t="s">
        <v>1044</v>
      </c>
      <c r="E841" s="110" t="s">
        <v>214</v>
      </c>
      <c r="F841" s="110" t="s">
        <v>119</v>
      </c>
      <c r="G841" s="110" t="s">
        <v>114</v>
      </c>
      <c r="H841" s="111">
        <v>152</v>
      </c>
      <c r="I841" s="111">
        <v>134</v>
      </c>
      <c r="J841" s="111">
        <v>117</v>
      </c>
      <c r="K841" s="111">
        <f t="shared" si="119"/>
        <v>134.33333333333334</v>
      </c>
      <c r="L841" s="111">
        <v>150000</v>
      </c>
      <c r="M841" s="111">
        <f t="shared" si="120"/>
        <v>67500</v>
      </c>
      <c r="N841" s="111">
        <f t="shared" si="121"/>
        <v>67500</v>
      </c>
      <c r="O841" s="111">
        <f t="shared" si="122"/>
        <v>13500</v>
      </c>
      <c r="P841" s="111">
        <f t="shared" si="123"/>
        <v>15000</v>
      </c>
      <c r="Q841" s="111">
        <v>30000</v>
      </c>
      <c r="R841" s="111">
        <v>3</v>
      </c>
      <c r="S841" s="111">
        <f t="shared" si="124"/>
        <v>3000</v>
      </c>
      <c r="T841" s="111">
        <f t="shared" si="125"/>
        <v>180000</v>
      </c>
      <c r="U841" s="111">
        <f t="shared" si="126"/>
        <v>1800</v>
      </c>
      <c r="V841" s="111">
        <f t="shared" si="127"/>
        <v>181800</v>
      </c>
      <c r="W841" t="s">
        <v>3300</v>
      </c>
    </row>
    <row r="842" spans="1:23" x14ac:dyDescent="0.3">
      <c r="A842" s="110">
        <v>1203001</v>
      </c>
      <c r="B842" s="110" t="s">
        <v>1012</v>
      </c>
      <c r="C842" s="110" t="s">
        <v>1044</v>
      </c>
      <c r="D842" s="110" t="s">
        <v>1047</v>
      </c>
      <c r="E842" s="110" t="s">
        <v>177</v>
      </c>
      <c r="F842" s="110" t="s">
        <v>119</v>
      </c>
      <c r="G842" s="110" t="s">
        <v>114</v>
      </c>
      <c r="H842" s="111">
        <v>147</v>
      </c>
      <c r="I842" s="111">
        <v>150</v>
      </c>
      <c r="J842" s="111">
        <v>137</v>
      </c>
      <c r="K842" s="111">
        <f t="shared" si="119"/>
        <v>144.66666666666666</v>
      </c>
      <c r="L842" s="111">
        <v>150000</v>
      </c>
      <c r="M842" s="111">
        <f t="shared" si="120"/>
        <v>67500</v>
      </c>
      <c r="N842" s="111">
        <f t="shared" si="121"/>
        <v>67500</v>
      </c>
      <c r="O842" s="111">
        <f t="shared" si="122"/>
        <v>13500</v>
      </c>
      <c r="P842" s="111">
        <f t="shared" si="123"/>
        <v>15000</v>
      </c>
      <c r="Q842" s="111">
        <v>30000</v>
      </c>
      <c r="R842" s="111">
        <v>3</v>
      </c>
      <c r="S842" s="111">
        <f t="shared" si="124"/>
        <v>3000</v>
      </c>
      <c r="T842" s="111">
        <f t="shared" si="125"/>
        <v>180000</v>
      </c>
      <c r="U842" s="111">
        <f t="shared" si="126"/>
        <v>1800</v>
      </c>
      <c r="V842" s="111">
        <f t="shared" si="127"/>
        <v>181800</v>
      </c>
      <c r="W842" t="s">
        <v>3301</v>
      </c>
    </row>
    <row r="843" spans="1:23" x14ac:dyDescent="0.3">
      <c r="A843" s="110">
        <v>1203004</v>
      </c>
      <c r="B843" s="110" t="s">
        <v>1012</v>
      </c>
      <c r="C843" s="110" t="s">
        <v>1044</v>
      </c>
      <c r="D843" s="110" t="s">
        <v>1045</v>
      </c>
      <c r="E843" s="110" t="s">
        <v>1048</v>
      </c>
      <c r="F843" s="110" t="s">
        <v>113</v>
      </c>
      <c r="G843" s="110" t="s">
        <v>114</v>
      </c>
      <c r="H843" s="111">
        <v>102</v>
      </c>
      <c r="I843" s="111">
        <v>100</v>
      </c>
      <c r="J843" s="111">
        <v>98</v>
      </c>
      <c r="K843" s="111">
        <f t="shared" si="119"/>
        <v>100</v>
      </c>
      <c r="L843" s="111">
        <v>150000</v>
      </c>
      <c r="M843" s="111">
        <f t="shared" si="120"/>
        <v>67500</v>
      </c>
      <c r="N843" s="111">
        <f t="shared" si="121"/>
        <v>67500</v>
      </c>
      <c r="O843" s="111">
        <f t="shared" si="122"/>
        <v>13500</v>
      </c>
      <c r="P843" s="111">
        <f t="shared" si="123"/>
        <v>15000</v>
      </c>
      <c r="Q843" s="111">
        <v>30000</v>
      </c>
      <c r="R843" s="111">
        <v>3</v>
      </c>
      <c r="S843" s="111">
        <f t="shared" si="124"/>
        <v>3000</v>
      </c>
      <c r="T843" s="111">
        <f t="shared" si="125"/>
        <v>180000</v>
      </c>
      <c r="U843" s="111">
        <f t="shared" si="126"/>
        <v>1800</v>
      </c>
      <c r="V843" s="111">
        <f t="shared" si="127"/>
        <v>181800</v>
      </c>
      <c r="W843" t="s">
        <v>3302</v>
      </c>
    </row>
    <row r="844" spans="1:23" x14ac:dyDescent="0.3">
      <c r="A844" s="110">
        <v>1203005</v>
      </c>
      <c r="B844" s="110" t="s">
        <v>1012</v>
      </c>
      <c r="C844" s="110" t="s">
        <v>1044</v>
      </c>
      <c r="D844" s="110" t="s">
        <v>1049</v>
      </c>
      <c r="E844" s="110" t="s">
        <v>1050</v>
      </c>
      <c r="F844" s="110" t="s">
        <v>113</v>
      </c>
      <c r="G844" s="110" t="s">
        <v>114</v>
      </c>
      <c r="H844" s="111">
        <v>42</v>
      </c>
      <c r="I844" s="111">
        <v>40</v>
      </c>
      <c r="J844" s="111">
        <v>40</v>
      </c>
      <c r="K844" s="111">
        <f t="shared" si="119"/>
        <v>40.666666666666664</v>
      </c>
      <c r="L844" s="111">
        <v>50000</v>
      </c>
      <c r="M844" s="111">
        <f t="shared" si="120"/>
        <v>22500</v>
      </c>
      <c r="N844" s="111">
        <f t="shared" si="121"/>
        <v>22500</v>
      </c>
      <c r="O844" s="111">
        <f t="shared" si="122"/>
        <v>4500</v>
      </c>
      <c r="P844" s="111">
        <f t="shared" si="123"/>
        <v>5000</v>
      </c>
      <c r="Q844" s="111">
        <v>10000</v>
      </c>
      <c r="R844" s="111">
        <v>1</v>
      </c>
      <c r="S844" s="111">
        <f t="shared" si="124"/>
        <v>1000</v>
      </c>
      <c r="T844" s="111">
        <f t="shared" si="125"/>
        <v>60000</v>
      </c>
      <c r="U844" s="111">
        <f t="shared" si="126"/>
        <v>600</v>
      </c>
      <c r="V844" s="111">
        <f t="shared" si="127"/>
        <v>60600</v>
      </c>
      <c r="W844" t="s">
        <v>3303</v>
      </c>
    </row>
    <row r="845" spans="1:23" x14ac:dyDescent="0.3">
      <c r="A845" s="110">
        <v>1203006</v>
      </c>
      <c r="B845" s="110" t="s">
        <v>1012</v>
      </c>
      <c r="C845" s="110" t="s">
        <v>1044</v>
      </c>
      <c r="D845" s="110" t="s">
        <v>1051</v>
      </c>
      <c r="E845" s="110" t="s">
        <v>1006</v>
      </c>
      <c r="F845" s="110" t="s">
        <v>113</v>
      </c>
      <c r="G845" s="110" t="s">
        <v>114</v>
      </c>
      <c r="H845" s="111">
        <v>39</v>
      </c>
      <c r="I845" s="111">
        <v>37</v>
      </c>
      <c r="J845" s="111">
        <v>22</v>
      </c>
      <c r="K845" s="111">
        <f t="shared" si="119"/>
        <v>32.666666666666664</v>
      </c>
      <c r="L845" s="111">
        <v>50000</v>
      </c>
      <c r="M845" s="111">
        <f t="shared" si="120"/>
        <v>22500</v>
      </c>
      <c r="N845" s="111">
        <f t="shared" si="121"/>
        <v>22500</v>
      </c>
      <c r="O845" s="111">
        <f t="shared" si="122"/>
        <v>4500</v>
      </c>
      <c r="P845" s="111">
        <f t="shared" si="123"/>
        <v>5000</v>
      </c>
      <c r="Q845" s="111">
        <v>10000</v>
      </c>
      <c r="R845" s="111">
        <v>1</v>
      </c>
      <c r="S845" s="111">
        <f t="shared" si="124"/>
        <v>1000</v>
      </c>
      <c r="T845" s="111">
        <f t="shared" si="125"/>
        <v>60000</v>
      </c>
      <c r="U845" s="111">
        <f t="shared" si="126"/>
        <v>600</v>
      </c>
      <c r="V845" s="111">
        <f t="shared" si="127"/>
        <v>60600</v>
      </c>
      <c r="W845" t="s">
        <v>3304</v>
      </c>
    </row>
    <row r="846" spans="1:23" x14ac:dyDescent="0.3">
      <c r="A846" s="110">
        <v>1203512</v>
      </c>
      <c r="B846" s="110" t="s">
        <v>1012</v>
      </c>
      <c r="C846" s="110" t="s">
        <v>1042</v>
      </c>
      <c r="D846" s="110" t="s">
        <v>1042</v>
      </c>
      <c r="E846" s="110" t="s">
        <v>1052</v>
      </c>
      <c r="F846" s="110" t="s">
        <v>113</v>
      </c>
      <c r="G846" s="110" t="s">
        <v>114</v>
      </c>
      <c r="H846" s="111">
        <v>327</v>
      </c>
      <c r="I846" s="111">
        <v>319</v>
      </c>
      <c r="J846" s="111">
        <v>307</v>
      </c>
      <c r="K846" s="111">
        <f t="shared" si="119"/>
        <v>317.66666666666669</v>
      </c>
      <c r="L846" s="111">
        <v>200000</v>
      </c>
      <c r="M846" s="111">
        <f t="shared" si="120"/>
        <v>90000</v>
      </c>
      <c r="N846" s="111">
        <f t="shared" si="121"/>
        <v>90000</v>
      </c>
      <c r="O846" s="111">
        <f t="shared" si="122"/>
        <v>18000</v>
      </c>
      <c r="P846" s="111">
        <f t="shared" si="123"/>
        <v>20000</v>
      </c>
      <c r="Q846" s="111">
        <v>50000</v>
      </c>
      <c r="R846" s="111">
        <v>5</v>
      </c>
      <c r="S846" s="111">
        <f t="shared" si="124"/>
        <v>5000</v>
      </c>
      <c r="T846" s="111">
        <f t="shared" si="125"/>
        <v>250000</v>
      </c>
      <c r="U846" s="111">
        <f t="shared" si="126"/>
        <v>2500</v>
      </c>
      <c r="V846" s="111">
        <f t="shared" si="127"/>
        <v>252500</v>
      </c>
      <c r="W846" t="s">
        <v>3305</v>
      </c>
    </row>
    <row r="847" spans="1:23" x14ac:dyDescent="0.3">
      <c r="A847" s="110">
        <v>1204000</v>
      </c>
      <c r="B847" s="110" t="s">
        <v>1012</v>
      </c>
      <c r="C847" s="110" t="s">
        <v>1053</v>
      </c>
      <c r="D847" s="110" t="s">
        <v>1053</v>
      </c>
      <c r="E847" s="110" t="s">
        <v>272</v>
      </c>
      <c r="F847" s="110" t="s">
        <v>119</v>
      </c>
      <c r="G847" s="110" t="s">
        <v>114</v>
      </c>
      <c r="H847" s="111">
        <v>196</v>
      </c>
      <c r="I847" s="111">
        <v>201</v>
      </c>
      <c r="J847" s="111">
        <v>197</v>
      </c>
      <c r="K847" s="111">
        <f t="shared" si="119"/>
        <v>198</v>
      </c>
      <c r="L847" s="111">
        <v>150000</v>
      </c>
      <c r="M847" s="111">
        <f t="shared" si="120"/>
        <v>67500</v>
      </c>
      <c r="N847" s="111">
        <f t="shared" si="121"/>
        <v>67500</v>
      </c>
      <c r="O847" s="111">
        <f t="shared" si="122"/>
        <v>13500</v>
      </c>
      <c r="P847" s="111">
        <f t="shared" si="123"/>
        <v>15000</v>
      </c>
      <c r="Q847" s="111">
        <v>30000</v>
      </c>
      <c r="R847" s="111">
        <v>3</v>
      </c>
      <c r="S847" s="111">
        <f t="shared" si="124"/>
        <v>3000</v>
      </c>
      <c r="T847" s="111">
        <f t="shared" si="125"/>
        <v>180000</v>
      </c>
      <c r="U847" s="111">
        <f t="shared" si="126"/>
        <v>1800</v>
      </c>
      <c r="V847" s="111">
        <f t="shared" si="127"/>
        <v>181800</v>
      </c>
      <c r="W847" t="s">
        <v>3306</v>
      </c>
    </row>
    <row r="848" spans="1:23" x14ac:dyDescent="0.3">
      <c r="A848" s="110">
        <v>1204001</v>
      </c>
      <c r="B848" s="110" t="s">
        <v>1012</v>
      </c>
      <c r="C848" s="110" t="s">
        <v>1053</v>
      </c>
      <c r="D848" s="110" t="s">
        <v>1054</v>
      </c>
      <c r="E848" s="110" t="s">
        <v>165</v>
      </c>
      <c r="F848" s="110" t="s">
        <v>113</v>
      </c>
      <c r="G848" s="110" t="s">
        <v>114</v>
      </c>
      <c r="H848" s="111">
        <v>61</v>
      </c>
      <c r="I848" s="111">
        <v>65</v>
      </c>
      <c r="J848" s="111">
        <v>46</v>
      </c>
      <c r="K848" s="111">
        <f t="shared" si="119"/>
        <v>57.333333333333336</v>
      </c>
      <c r="L848" s="111">
        <v>150000</v>
      </c>
      <c r="M848" s="111">
        <f t="shared" si="120"/>
        <v>67500</v>
      </c>
      <c r="N848" s="111">
        <f t="shared" si="121"/>
        <v>67500</v>
      </c>
      <c r="O848" s="111">
        <f t="shared" si="122"/>
        <v>13500</v>
      </c>
      <c r="P848" s="111">
        <f t="shared" si="123"/>
        <v>15000</v>
      </c>
      <c r="Q848" s="111">
        <v>30000</v>
      </c>
      <c r="R848" s="111">
        <v>3</v>
      </c>
      <c r="S848" s="111">
        <f t="shared" si="124"/>
        <v>3000</v>
      </c>
      <c r="T848" s="111">
        <f t="shared" si="125"/>
        <v>180000</v>
      </c>
      <c r="U848" s="111">
        <f t="shared" si="126"/>
        <v>1800</v>
      </c>
      <c r="V848" s="111">
        <f t="shared" si="127"/>
        <v>181800</v>
      </c>
      <c r="W848" t="s">
        <v>3307</v>
      </c>
    </row>
    <row r="849" spans="1:23" x14ac:dyDescent="0.3">
      <c r="A849" s="110">
        <v>1204003</v>
      </c>
      <c r="B849" s="110" t="s">
        <v>1012</v>
      </c>
      <c r="C849" s="110" t="s">
        <v>1053</v>
      </c>
      <c r="D849" s="110" t="s">
        <v>1055</v>
      </c>
      <c r="E849" s="110" t="s">
        <v>559</v>
      </c>
      <c r="F849" s="110" t="s">
        <v>113</v>
      </c>
      <c r="G849" s="110" t="s">
        <v>114</v>
      </c>
      <c r="H849" s="111">
        <v>44</v>
      </c>
      <c r="I849" s="111">
        <v>45</v>
      </c>
      <c r="J849" s="111">
        <v>42</v>
      </c>
      <c r="K849" s="111">
        <f t="shared" si="119"/>
        <v>43.666666666666664</v>
      </c>
      <c r="L849" s="111">
        <v>50000</v>
      </c>
      <c r="M849" s="111">
        <f t="shared" si="120"/>
        <v>22500</v>
      </c>
      <c r="N849" s="111">
        <f t="shared" si="121"/>
        <v>22500</v>
      </c>
      <c r="O849" s="111">
        <f t="shared" si="122"/>
        <v>4500</v>
      </c>
      <c r="P849" s="111">
        <f t="shared" si="123"/>
        <v>5000</v>
      </c>
      <c r="Q849" s="111">
        <v>10000</v>
      </c>
      <c r="R849" s="111">
        <v>1</v>
      </c>
      <c r="S849" s="111">
        <f t="shared" si="124"/>
        <v>1000</v>
      </c>
      <c r="T849" s="111">
        <f t="shared" si="125"/>
        <v>60000</v>
      </c>
      <c r="U849" s="111">
        <f t="shared" si="126"/>
        <v>600</v>
      </c>
      <c r="V849" s="111">
        <f t="shared" si="127"/>
        <v>60600</v>
      </c>
      <c r="W849" t="s">
        <v>3308</v>
      </c>
    </row>
    <row r="850" spans="1:23" x14ac:dyDescent="0.3">
      <c r="A850" s="110">
        <v>1205000</v>
      </c>
      <c r="B850" s="110" t="s">
        <v>1012</v>
      </c>
      <c r="C850" s="110" t="s">
        <v>1056</v>
      </c>
      <c r="D850" s="110" t="s">
        <v>1056</v>
      </c>
      <c r="E850" s="110" t="s">
        <v>746</v>
      </c>
      <c r="F850" s="110" t="s">
        <v>119</v>
      </c>
      <c r="G850" s="110" t="s">
        <v>114</v>
      </c>
      <c r="H850" s="111">
        <v>240</v>
      </c>
      <c r="I850" s="111">
        <v>222</v>
      </c>
      <c r="J850" s="111">
        <v>224</v>
      </c>
      <c r="K850" s="111">
        <f t="shared" si="119"/>
        <v>228.66666666666666</v>
      </c>
      <c r="L850" s="111">
        <v>200000</v>
      </c>
      <c r="M850" s="111">
        <f t="shared" si="120"/>
        <v>90000</v>
      </c>
      <c r="N850" s="111">
        <f t="shared" si="121"/>
        <v>90000</v>
      </c>
      <c r="O850" s="111">
        <f t="shared" si="122"/>
        <v>18000</v>
      </c>
      <c r="P850" s="111">
        <f t="shared" si="123"/>
        <v>20000</v>
      </c>
      <c r="Q850" s="111">
        <v>50000</v>
      </c>
      <c r="R850" s="111">
        <v>5</v>
      </c>
      <c r="S850" s="111">
        <f t="shared" si="124"/>
        <v>5000</v>
      </c>
      <c r="T850" s="111">
        <f t="shared" si="125"/>
        <v>250000</v>
      </c>
      <c r="U850" s="111">
        <f t="shared" si="126"/>
        <v>2500</v>
      </c>
      <c r="V850" s="111">
        <f t="shared" si="127"/>
        <v>252500</v>
      </c>
      <c r="W850" t="s">
        <v>3309</v>
      </c>
    </row>
    <row r="851" spans="1:23" x14ac:dyDescent="0.3">
      <c r="A851" s="110">
        <v>1205001</v>
      </c>
      <c r="B851" s="110" t="s">
        <v>1012</v>
      </c>
      <c r="C851" s="110" t="s">
        <v>1056</v>
      </c>
      <c r="D851" s="110" t="s">
        <v>1057</v>
      </c>
      <c r="E851" s="110" t="s">
        <v>184</v>
      </c>
      <c r="F851" s="110" t="s">
        <v>113</v>
      </c>
      <c r="G851" s="110" t="s">
        <v>114</v>
      </c>
      <c r="H851" s="111">
        <v>74</v>
      </c>
      <c r="I851" s="111">
        <v>67</v>
      </c>
      <c r="J851" s="111">
        <v>69</v>
      </c>
      <c r="K851" s="111">
        <f t="shared" si="119"/>
        <v>70</v>
      </c>
      <c r="L851" s="111">
        <v>150000</v>
      </c>
      <c r="M851" s="111">
        <f t="shared" si="120"/>
        <v>67500</v>
      </c>
      <c r="N851" s="111">
        <f t="shared" si="121"/>
        <v>67500</v>
      </c>
      <c r="O851" s="111">
        <f t="shared" si="122"/>
        <v>13500</v>
      </c>
      <c r="P851" s="111">
        <f t="shared" si="123"/>
        <v>15000</v>
      </c>
      <c r="Q851" s="111">
        <v>30000</v>
      </c>
      <c r="R851" s="111">
        <v>3</v>
      </c>
      <c r="S851" s="111">
        <f t="shared" si="124"/>
        <v>3000</v>
      </c>
      <c r="T851" s="111">
        <f t="shared" si="125"/>
        <v>180000</v>
      </c>
      <c r="U851" s="111">
        <f t="shared" si="126"/>
        <v>1800</v>
      </c>
      <c r="V851" s="111">
        <f t="shared" si="127"/>
        <v>181800</v>
      </c>
      <c r="W851" t="s">
        <v>3310</v>
      </c>
    </row>
    <row r="852" spans="1:23" x14ac:dyDescent="0.3">
      <c r="A852" s="110">
        <v>1206002</v>
      </c>
      <c r="B852" s="110" t="s">
        <v>1012</v>
      </c>
      <c r="C852" s="110" t="s">
        <v>1058</v>
      </c>
      <c r="D852" s="110" t="s">
        <v>1058</v>
      </c>
      <c r="E852" s="110" t="s">
        <v>390</v>
      </c>
      <c r="F852" s="110" t="s">
        <v>113</v>
      </c>
      <c r="G852" s="110" t="s">
        <v>114</v>
      </c>
      <c r="H852" s="111">
        <v>26</v>
      </c>
      <c r="I852" s="111">
        <v>32</v>
      </c>
      <c r="J852" s="111">
        <v>43</v>
      </c>
      <c r="K852" s="111">
        <f t="shared" si="119"/>
        <v>33.666666666666664</v>
      </c>
      <c r="L852" s="111">
        <v>50000</v>
      </c>
      <c r="M852" s="111">
        <f t="shared" si="120"/>
        <v>22500</v>
      </c>
      <c r="N852" s="111">
        <f t="shared" si="121"/>
        <v>22500</v>
      </c>
      <c r="O852" s="111">
        <f t="shared" si="122"/>
        <v>4500</v>
      </c>
      <c r="P852" s="111">
        <f t="shared" si="123"/>
        <v>5000</v>
      </c>
      <c r="Q852" s="111">
        <v>10000</v>
      </c>
      <c r="R852" s="111">
        <v>1</v>
      </c>
      <c r="S852" s="111">
        <f t="shared" si="124"/>
        <v>1000</v>
      </c>
      <c r="T852" s="111">
        <f t="shared" si="125"/>
        <v>60000</v>
      </c>
      <c r="U852" s="111">
        <f t="shared" si="126"/>
        <v>600</v>
      </c>
      <c r="V852" s="111">
        <f t="shared" si="127"/>
        <v>60600</v>
      </c>
      <c r="W852" t="s">
        <v>3311</v>
      </c>
    </row>
    <row r="853" spans="1:23" x14ac:dyDescent="0.3">
      <c r="A853" s="110">
        <v>1206005</v>
      </c>
      <c r="B853" s="110" t="s">
        <v>1012</v>
      </c>
      <c r="C853" s="110" t="s">
        <v>1058</v>
      </c>
      <c r="D853" s="110" t="s">
        <v>1058</v>
      </c>
      <c r="E853" s="110" t="s">
        <v>1059</v>
      </c>
      <c r="F853" s="110" t="s">
        <v>117</v>
      </c>
      <c r="G853" s="110" t="s">
        <v>114</v>
      </c>
      <c r="H853" s="111">
        <v>80</v>
      </c>
      <c r="I853" s="111">
        <v>77</v>
      </c>
      <c r="J853" s="111">
        <v>55</v>
      </c>
      <c r="K853" s="111">
        <f t="shared" si="119"/>
        <v>70.666666666666671</v>
      </c>
      <c r="L853" s="111">
        <f>150000*0.7</f>
        <v>105000</v>
      </c>
      <c r="M853" s="111">
        <f t="shared" si="120"/>
        <v>47250</v>
      </c>
      <c r="N853" s="111">
        <f t="shared" si="121"/>
        <v>47250</v>
      </c>
      <c r="O853" s="111">
        <f t="shared" si="122"/>
        <v>9450</v>
      </c>
      <c r="P853" s="111">
        <f t="shared" si="123"/>
        <v>10500</v>
      </c>
      <c r="Q853" s="111">
        <v>30000</v>
      </c>
      <c r="R853" s="111">
        <v>3</v>
      </c>
      <c r="S853" s="111">
        <f t="shared" si="124"/>
        <v>3000</v>
      </c>
      <c r="T853" s="111">
        <f t="shared" si="125"/>
        <v>135000</v>
      </c>
      <c r="U853" s="111">
        <f t="shared" si="126"/>
        <v>1350</v>
      </c>
      <c r="V853" s="111">
        <f t="shared" si="127"/>
        <v>136350</v>
      </c>
      <c r="W853" t="s">
        <v>3312</v>
      </c>
    </row>
    <row r="854" spans="1:23" x14ac:dyDescent="0.3">
      <c r="A854" s="110">
        <v>1207000</v>
      </c>
      <c r="B854" s="110" t="s">
        <v>1012</v>
      </c>
      <c r="C854" s="110" t="s">
        <v>1060</v>
      </c>
      <c r="D854" s="110" t="s">
        <v>1060</v>
      </c>
      <c r="E854" s="110" t="s">
        <v>1061</v>
      </c>
      <c r="F854" s="110" t="s">
        <v>117</v>
      </c>
      <c r="G854" s="110" t="s">
        <v>114</v>
      </c>
      <c r="H854" s="111">
        <v>101</v>
      </c>
      <c r="I854" s="111">
        <v>104</v>
      </c>
      <c r="J854" s="111">
        <v>94</v>
      </c>
      <c r="K854" s="111">
        <f t="shared" si="119"/>
        <v>99.666666666666671</v>
      </c>
      <c r="L854" s="111">
        <v>150000</v>
      </c>
      <c r="M854" s="111">
        <f t="shared" si="120"/>
        <v>67500</v>
      </c>
      <c r="N854" s="111">
        <f t="shared" si="121"/>
        <v>67500</v>
      </c>
      <c r="O854" s="111">
        <f t="shared" si="122"/>
        <v>13500</v>
      </c>
      <c r="P854" s="111">
        <f t="shared" si="123"/>
        <v>15000</v>
      </c>
      <c r="Q854" s="111">
        <v>30000</v>
      </c>
      <c r="R854" s="111">
        <v>3</v>
      </c>
      <c r="S854" s="111">
        <f t="shared" si="124"/>
        <v>3000</v>
      </c>
      <c r="T854" s="111">
        <f t="shared" si="125"/>
        <v>180000</v>
      </c>
      <c r="U854" s="111">
        <f t="shared" si="126"/>
        <v>1800</v>
      </c>
      <c r="V854" s="111">
        <f t="shared" si="127"/>
        <v>181800</v>
      </c>
      <c r="W854" t="s">
        <v>3313</v>
      </c>
    </row>
    <row r="855" spans="1:23" x14ac:dyDescent="0.3">
      <c r="A855" s="110">
        <v>1207001</v>
      </c>
      <c r="B855" s="110" t="s">
        <v>1012</v>
      </c>
      <c r="C855" s="110" t="s">
        <v>1060</v>
      </c>
      <c r="D855" s="110" t="s">
        <v>1060</v>
      </c>
      <c r="E855" s="110" t="s">
        <v>1062</v>
      </c>
      <c r="F855" s="110" t="s">
        <v>113</v>
      </c>
      <c r="G855" s="110" t="s">
        <v>114</v>
      </c>
      <c r="H855" s="111">
        <v>104</v>
      </c>
      <c r="I855" s="111">
        <v>124</v>
      </c>
      <c r="J855" s="111">
        <v>130</v>
      </c>
      <c r="K855" s="111">
        <f t="shared" si="119"/>
        <v>119.33333333333333</v>
      </c>
      <c r="L855" s="111">
        <v>150000</v>
      </c>
      <c r="M855" s="111">
        <f t="shared" si="120"/>
        <v>67500</v>
      </c>
      <c r="N855" s="111">
        <f t="shared" si="121"/>
        <v>67500</v>
      </c>
      <c r="O855" s="111">
        <f t="shared" si="122"/>
        <v>13500</v>
      </c>
      <c r="P855" s="111">
        <f t="shared" si="123"/>
        <v>15000</v>
      </c>
      <c r="Q855" s="111">
        <v>30000</v>
      </c>
      <c r="R855" s="111">
        <v>3</v>
      </c>
      <c r="S855" s="111">
        <f t="shared" si="124"/>
        <v>3000</v>
      </c>
      <c r="T855" s="111">
        <f t="shared" si="125"/>
        <v>180000</v>
      </c>
      <c r="U855" s="111">
        <f t="shared" si="126"/>
        <v>1800</v>
      </c>
      <c r="V855" s="111">
        <f t="shared" si="127"/>
        <v>181800</v>
      </c>
      <c r="W855" t="s">
        <v>3314</v>
      </c>
    </row>
    <row r="856" spans="1:23" x14ac:dyDescent="0.3">
      <c r="A856" s="110">
        <v>1207002</v>
      </c>
      <c r="B856" s="110" t="s">
        <v>1012</v>
      </c>
      <c r="C856" s="110" t="s">
        <v>1060</v>
      </c>
      <c r="D856" s="110" t="s">
        <v>1060</v>
      </c>
      <c r="E856" s="110" t="s">
        <v>1063</v>
      </c>
      <c r="F856" s="110" t="s">
        <v>113</v>
      </c>
      <c r="G856" s="110" t="s">
        <v>114</v>
      </c>
      <c r="H856" s="111">
        <v>160</v>
      </c>
      <c r="I856" s="111">
        <v>163</v>
      </c>
      <c r="J856" s="111">
        <v>161</v>
      </c>
      <c r="K856" s="111">
        <f t="shared" si="119"/>
        <v>161.33333333333334</v>
      </c>
      <c r="L856" s="111">
        <v>150000</v>
      </c>
      <c r="M856" s="111">
        <f t="shared" si="120"/>
        <v>67500</v>
      </c>
      <c r="N856" s="111">
        <f t="shared" si="121"/>
        <v>67500</v>
      </c>
      <c r="O856" s="111">
        <f t="shared" si="122"/>
        <v>13500</v>
      </c>
      <c r="P856" s="111">
        <f t="shared" si="123"/>
        <v>15000</v>
      </c>
      <c r="Q856" s="111">
        <v>30000</v>
      </c>
      <c r="R856" s="111">
        <v>3</v>
      </c>
      <c r="S856" s="111">
        <f t="shared" si="124"/>
        <v>3000</v>
      </c>
      <c r="T856" s="111">
        <f t="shared" si="125"/>
        <v>180000</v>
      </c>
      <c r="U856" s="111">
        <f t="shared" si="126"/>
        <v>1800</v>
      </c>
      <c r="V856" s="111">
        <f t="shared" si="127"/>
        <v>181800</v>
      </c>
      <c r="W856" t="s">
        <v>3315</v>
      </c>
    </row>
    <row r="857" spans="1:23" x14ac:dyDescent="0.3">
      <c r="A857" s="110">
        <v>1207003</v>
      </c>
      <c r="B857" s="110" t="s">
        <v>1012</v>
      </c>
      <c r="C857" s="110" t="s">
        <v>1060</v>
      </c>
      <c r="D857" s="110" t="s">
        <v>1064</v>
      </c>
      <c r="E857" s="110" t="s">
        <v>272</v>
      </c>
      <c r="F857" s="110" t="s">
        <v>119</v>
      </c>
      <c r="G857" s="110" t="s">
        <v>114</v>
      </c>
      <c r="H857" s="111">
        <v>215</v>
      </c>
      <c r="I857" s="111">
        <v>226</v>
      </c>
      <c r="J857" s="111">
        <v>229</v>
      </c>
      <c r="K857" s="111">
        <f t="shared" si="119"/>
        <v>223.33333333333334</v>
      </c>
      <c r="L857" s="111">
        <v>200000</v>
      </c>
      <c r="M857" s="111">
        <f t="shared" si="120"/>
        <v>90000</v>
      </c>
      <c r="N857" s="111">
        <f t="shared" si="121"/>
        <v>90000</v>
      </c>
      <c r="O857" s="111">
        <f t="shared" si="122"/>
        <v>18000</v>
      </c>
      <c r="P857" s="111">
        <f t="shared" si="123"/>
        <v>20000</v>
      </c>
      <c r="Q857" s="111">
        <v>50000</v>
      </c>
      <c r="R857" s="111">
        <v>5</v>
      </c>
      <c r="S857" s="111">
        <f t="shared" si="124"/>
        <v>5000</v>
      </c>
      <c r="T857" s="111">
        <f t="shared" si="125"/>
        <v>250000</v>
      </c>
      <c r="U857" s="111">
        <f t="shared" si="126"/>
        <v>2500</v>
      </c>
      <c r="V857" s="111">
        <f t="shared" si="127"/>
        <v>252500</v>
      </c>
      <c r="W857" t="s">
        <v>3316</v>
      </c>
    </row>
    <row r="858" spans="1:23" x14ac:dyDescent="0.3">
      <c r="A858" s="110">
        <v>1207007</v>
      </c>
      <c r="B858" s="110" t="s">
        <v>1012</v>
      </c>
      <c r="C858" s="110" t="s">
        <v>1060</v>
      </c>
      <c r="D858" s="110" t="s">
        <v>1065</v>
      </c>
      <c r="E858" s="110" t="s">
        <v>399</v>
      </c>
      <c r="F858" s="110" t="s">
        <v>113</v>
      </c>
      <c r="G858" s="110" t="s">
        <v>114</v>
      </c>
      <c r="H858" s="111">
        <v>75</v>
      </c>
      <c r="I858" s="111">
        <v>83</v>
      </c>
      <c r="J858" s="111">
        <v>76</v>
      </c>
      <c r="K858" s="111">
        <f t="shared" si="119"/>
        <v>78</v>
      </c>
      <c r="L858" s="111">
        <v>150000</v>
      </c>
      <c r="M858" s="111">
        <f t="shared" si="120"/>
        <v>67500</v>
      </c>
      <c r="N858" s="111">
        <f t="shared" si="121"/>
        <v>67500</v>
      </c>
      <c r="O858" s="111">
        <f t="shared" si="122"/>
        <v>13500</v>
      </c>
      <c r="P858" s="111">
        <f t="shared" si="123"/>
        <v>15000</v>
      </c>
      <c r="Q858" s="111">
        <v>30000</v>
      </c>
      <c r="R858" s="111">
        <v>3</v>
      </c>
      <c r="S858" s="111">
        <f t="shared" si="124"/>
        <v>3000</v>
      </c>
      <c r="T858" s="111">
        <f t="shared" si="125"/>
        <v>180000</v>
      </c>
      <c r="U858" s="111">
        <f t="shared" si="126"/>
        <v>1800</v>
      </c>
      <c r="V858" s="111">
        <f t="shared" si="127"/>
        <v>181800</v>
      </c>
      <c r="W858" t="s">
        <v>3317</v>
      </c>
    </row>
    <row r="859" spans="1:23" x14ac:dyDescent="0.3">
      <c r="A859" s="110">
        <v>1208000</v>
      </c>
      <c r="B859" s="110" t="s">
        <v>1012</v>
      </c>
      <c r="C859" s="110" t="s">
        <v>1066</v>
      </c>
      <c r="D859" s="110" t="s">
        <v>1066</v>
      </c>
      <c r="E859" s="110" t="s">
        <v>282</v>
      </c>
      <c r="F859" s="110" t="s">
        <v>209</v>
      </c>
      <c r="G859" s="110" t="s">
        <v>114</v>
      </c>
      <c r="H859" s="111">
        <v>153</v>
      </c>
      <c r="I859" s="111">
        <v>165</v>
      </c>
      <c r="J859" s="111">
        <v>165</v>
      </c>
      <c r="K859" s="111">
        <f t="shared" si="119"/>
        <v>161</v>
      </c>
      <c r="L859" s="111">
        <v>150000</v>
      </c>
      <c r="M859" s="111">
        <f t="shared" si="120"/>
        <v>67500</v>
      </c>
      <c r="N859" s="111">
        <f t="shared" si="121"/>
        <v>67500</v>
      </c>
      <c r="O859" s="111">
        <f t="shared" si="122"/>
        <v>13500</v>
      </c>
      <c r="P859" s="111">
        <f t="shared" si="123"/>
        <v>15000</v>
      </c>
      <c r="Q859" s="111">
        <v>30000</v>
      </c>
      <c r="R859" s="111">
        <v>3</v>
      </c>
      <c r="S859" s="111">
        <f t="shared" si="124"/>
        <v>3000</v>
      </c>
      <c r="T859" s="111">
        <f t="shared" si="125"/>
        <v>180000</v>
      </c>
      <c r="U859" s="111">
        <f t="shared" si="126"/>
        <v>1800</v>
      </c>
      <c r="V859" s="111">
        <f t="shared" si="127"/>
        <v>181800</v>
      </c>
      <c r="W859" t="s">
        <v>3318</v>
      </c>
    </row>
    <row r="860" spans="1:23" x14ac:dyDescent="0.3">
      <c r="A860" s="110">
        <v>1208002</v>
      </c>
      <c r="B860" s="110" t="s">
        <v>1012</v>
      </c>
      <c r="C860" s="110" t="s">
        <v>1066</v>
      </c>
      <c r="D860" s="110" t="s">
        <v>1066</v>
      </c>
      <c r="E860" s="110" t="s">
        <v>1067</v>
      </c>
      <c r="F860" s="110" t="s">
        <v>119</v>
      </c>
      <c r="G860" s="110" t="s">
        <v>114</v>
      </c>
      <c r="H860" s="111">
        <v>531</v>
      </c>
      <c r="I860" s="111">
        <v>541</v>
      </c>
      <c r="J860" s="111">
        <v>543</v>
      </c>
      <c r="K860" s="111">
        <f t="shared" si="119"/>
        <v>538.33333333333337</v>
      </c>
      <c r="L860" s="111">
        <f>300000</f>
        <v>300000</v>
      </c>
      <c r="M860" s="111">
        <f t="shared" si="120"/>
        <v>135000</v>
      </c>
      <c r="N860" s="111">
        <f t="shared" si="121"/>
        <v>135000</v>
      </c>
      <c r="O860" s="111">
        <f t="shared" si="122"/>
        <v>27000</v>
      </c>
      <c r="P860" s="111">
        <f t="shared" si="123"/>
        <v>30000</v>
      </c>
      <c r="Q860" s="111">
        <v>60000</v>
      </c>
      <c r="R860" s="111">
        <v>6</v>
      </c>
      <c r="S860" s="111">
        <f t="shared" si="124"/>
        <v>6000</v>
      </c>
      <c r="T860" s="111">
        <f t="shared" si="125"/>
        <v>360000</v>
      </c>
      <c r="U860" s="111">
        <f t="shared" si="126"/>
        <v>3600</v>
      </c>
      <c r="V860" s="111">
        <f t="shared" si="127"/>
        <v>363600</v>
      </c>
      <c r="W860" t="s">
        <v>3319</v>
      </c>
    </row>
    <row r="861" spans="1:23" x14ac:dyDescent="0.3">
      <c r="A861" s="110">
        <v>1209002</v>
      </c>
      <c r="B861" s="110" t="s">
        <v>1012</v>
      </c>
      <c r="C861" s="110" t="s">
        <v>1042</v>
      </c>
      <c r="D861" s="110" t="s">
        <v>1042</v>
      </c>
      <c r="E861" s="110" t="s">
        <v>1068</v>
      </c>
      <c r="F861" s="110" t="s">
        <v>113</v>
      </c>
      <c r="G861" s="110" t="s">
        <v>114</v>
      </c>
      <c r="H861" s="111">
        <v>431</v>
      </c>
      <c r="I861" s="111">
        <v>426</v>
      </c>
      <c r="J861" s="111">
        <v>429</v>
      </c>
      <c r="K861" s="111">
        <f t="shared" si="119"/>
        <v>428.66666666666669</v>
      </c>
      <c r="L861" s="111">
        <f>300000</f>
        <v>300000</v>
      </c>
      <c r="M861" s="111">
        <f t="shared" si="120"/>
        <v>135000</v>
      </c>
      <c r="N861" s="111">
        <f t="shared" si="121"/>
        <v>135000</v>
      </c>
      <c r="O861" s="111">
        <f t="shared" si="122"/>
        <v>27000</v>
      </c>
      <c r="P861" s="111">
        <f t="shared" si="123"/>
        <v>30000</v>
      </c>
      <c r="Q861" s="111">
        <v>60000</v>
      </c>
      <c r="R861" s="111">
        <v>6</v>
      </c>
      <c r="S861" s="111">
        <f t="shared" si="124"/>
        <v>6000</v>
      </c>
      <c r="T861" s="111">
        <f t="shared" si="125"/>
        <v>360000</v>
      </c>
      <c r="U861" s="111">
        <f t="shared" si="126"/>
        <v>3600</v>
      </c>
      <c r="V861" s="111">
        <f t="shared" si="127"/>
        <v>363600</v>
      </c>
      <c r="W861" t="s">
        <v>3320</v>
      </c>
    </row>
    <row r="862" spans="1:23" x14ac:dyDescent="0.3">
      <c r="A862" s="110">
        <v>1209003</v>
      </c>
      <c r="B862" s="110" t="s">
        <v>1012</v>
      </c>
      <c r="C862" s="110" t="s">
        <v>1042</v>
      </c>
      <c r="D862" s="110" t="s">
        <v>1042</v>
      </c>
      <c r="E862" s="110" t="s">
        <v>746</v>
      </c>
      <c r="F862" s="110" t="s">
        <v>119</v>
      </c>
      <c r="G862" s="110" t="s">
        <v>114</v>
      </c>
      <c r="H862" s="111">
        <v>200</v>
      </c>
      <c r="I862" s="111">
        <v>203</v>
      </c>
      <c r="J862" s="111">
        <v>192</v>
      </c>
      <c r="K862" s="111">
        <f t="shared" si="119"/>
        <v>198.33333333333334</v>
      </c>
      <c r="L862" s="111">
        <v>150000</v>
      </c>
      <c r="M862" s="111">
        <f t="shared" si="120"/>
        <v>67500</v>
      </c>
      <c r="N862" s="111">
        <f t="shared" si="121"/>
        <v>67500</v>
      </c>
      <c r="O862" s="111">
        <f t="shared" si="122"/>
        <v>13500</v>
      </c>
      <c r="P862" s="111">
        <f t="shared" si="123"/>
        <v>15000</v>
      </c>
      <c r="Q862" s="111">
        <v>30000</v>
      </c>
      <c r="R862" s="111">
        <v>3</v>
      </c>
      <c r="S862" s="111">
        <f t="shared" si="124"/>
        <v>3000</v>
      </c>
      <c r="T862" s="111">
        <f t="shared" si="125"/>
        <v>180000</v>
      </c>
      <c r="U862" s="111">
        <f t="shared" si="126"/>
        <v>1800</v>
      </c>
      <c r="V862" s="111">
        <f t="shared" si="127"/>
        <v>181800</v>
      </c>
      <c r="W862" t="s">
        <v>3321</v>
      </c>
    </row>
    <row r="863" spans="1:23" x14ac:dyDescent="0.3">
      <c r="A863" s="110">
        <v>1209004</v>
      </c>
      <c r="B863" s="110" t="s">
        <v>1012</v>
      </c>
      <c r="C863" s="110" t="s">
        <v>1042</v>
      </c>
      <c r="D863" s="110" t="s">
        <v>1042</v>
      </c>
      <c r="E863" s="110" t="s">
        <v>1069</v>
      </c>
      <c r="F863" s="110" t="s">
        <v>113</v>
      </c>
      <c r="G863" s="110" t="s">
        <v>114</v>
      </c>
      <c r="H863" s="111">
        <v>99</v>
      </c>
      <c r="I863" s="111">
        <v>79</v>
      </c>
      <c r="J863" s="111">
        <v>81</v>
      </c>
      <c r="K863" s="111">
        <f t="shared" si="119"/>
        <v>86.333333333333329</v>
      </c>
      <c r="L863" s="111">
        <v>150000</v>
      </c>
      <c r="M863" s="111">
        <f t="shared" si="120"/>
        <v>67500</v>
      </c>
      <c r="N863" s="111">
        <f t="shared" si="121"/>
        <v>67500</v>
      </c>
      <c r="O863" s="111">
        <f t="shared" si="122"/>
        <v>13500</v>
      </c>
      <c r="P863" s="111">
        <f t="shared" si="123"/>
        <v>15000</v>
      </c>
      <c r="Q863" s="111">
        <v>30000</v>
      </c>
      <c r="R863" s="111">
        <v>3</v>
      </c>
      <c r="S863" s="111">
        <f t="shared" si="124"/>
        <v>3000</v>
      </c>
      <c r="T863" s="111">
        <f t="shared" si="125"/>
        <v>180000</v>
      </c>
      <c r="U863" s="111">
        <f t="shared" si="126"/>
        <v>1800</v>
      </c>
      <c r="V863" s="111">
        <f t="shared" si="127"/>
        <v>181800</v>
      </c>
      <c r="W863" t="s">
        <v>3322</v>
      </c>
    </row>
    <row r="864" spans="1:23" x14ac:dyDescent="0.3">
      <c r="A864" s="110">
        <v>1209005</v>
      </c>
      <c r="B864" s="110" t="s">
        <v>1012</v>
      </c>
      <c r="C864" s="110" t="s">
        <v>1042</v>
      </c>
      <c r="D864" s="110" t="s">
        <v>1042</v>
      </c>
      <c r="E864" s="110" t="s">
        <v>1070</v>
      </c>
      <c r="F864" s="110" t="s">
        <v>119</v>
      </c>
      <c r="G864" s="110" t="s">
        <v>114</v>
      </c>
      <c r="H864" s="111">
        <v>342</v>
      </c>
      <c r="I864" s="111">
        <v>316</v>
      </c>
      <c r="J864" s="111">
        <v>319</v>
      </c>
      <c r="K864" s="111">
        <f t="shared" si="119"/>
        <v>325.66666666666669</v>
      </c>
      <c r="L864" s="111">
        <v>200000</v>
      </c>
      <c r="M864" s="111">
        <f t="shared" si="120"/>
        <v>90000</v>
      </c>
      <c r="N864" s="111">
        <f t="shared" si="121"/>
        <v>90000</v>
      </c>
      <c r="O864" s="111">
        <f t="shared" si="122"/>
        <v>18000</v>
      </c>
      <c r="P864" s="111">
        <f t="shared" si="123"/>
        <v>20000</v>
      </c>
      <c r="Q864" s="111">
        <v>50000</v>
      </c>
      <c r="R864" s="111">
        <v>5</v>
      </c>
      <c r="S864" s="111">
        <f t="shared" si="124"/>
        <v>5000</v>
      </c>
      <c r="T864" s="111">
        <f t="shared" si="125"/>
        <v>250000</v>
      </c>
      <c r="U864" s="111">
        <f t="shared" si="126"/>
        <v>2500</v>
      </c>
      <c r="V864" s="111">
        <f t="shared" si="127"/>
        <v>252500</v>
      </c>
      <c r="W864" t="s">
        <v>3323</v>
      </c>
    </row>
    <row r="865" spans="1:23" x14ac:dyDescent="0.3">
      <c r="A865" s="110">
        <v>1209006</v>
      </c>
      <c r="B865" s="110" t="s">
        <v>1012</v>
      </c>
      <c r="C865" s="110" t="s">
        <v>1042</v>
      </c>
      <c r="D865" s="110" t="s">
        <v>1042</v>
      </c>
      <c r="E865" s="110" t="s">
        <v>1071</v>
      </c>
      <c r="F865" s="110" t="s">
        <v>122</v>
      </c>
      <c r="G865" s="110" t="s">
        <v>114</v>
      </c>
      <c r="H865" s="111">
        <v>231</v>
      </c>
      <c r="I865" s="111">
        <v>236</v>
      </c>
      <c r="J865" s="111">
        <v>230</v>
      </c>
      <c r="K865" s="111">
        <f t="shared" si="119"/>
        <v>232.33333333333334</v>
      </c>
      <c r="L865" s="111">
        <v>200000</v>
      </c>
      <c r="M865" s="111">
        <f t="shared" si="120"/>
        <v>90000</v>
      </c>
      <c r="N865" s="111">
        <f t="shared" si="121"/>
        <v>90000</v>
      </c>
      <c r="O865" s="111">
        <f t="shared" si="122"/>
        <v>18000</v>
      </c>
      <c r="P865" s="111">
        <f t="shared" si="123"/>
        <v>20000</v>
      </c>
      <c r="Q865" s="111">
        <v>50000</v>
      </c>
      <c r="R865" s="111">
        <v>5</v>
      </c>
      <c r="S865" s="111">
        <f t="shared" si="124"/>
        <v>5000</v>
      </c>
      <c r="T865" s="111">
        <f t="shared" si="125"/>
        <v>250000</v>
      </c>
      <c r="U865" s="111">
        <f t="shared" si="126"/>
        <v>2500</v>
      </c>
      <c r="V865" s="111">
        <f t="shared" si="127"/>
        <v>252500</v>
      </c>
      <c r="W865" t="s">
        <v>3324</v>
      </c>
    </row>
    <row r="866" spans="1:23" x14ac:dyDescent="0.3">
      <c r="A866" s="110">
        <v>1209007</v>
      </c>
      <c r="B866" s="110" t="s">
        <v>1012</v>
      </c>
      <c r="C866" s="110" t="s">
        <v>1042</v>
      </c>
      <c r="D866" s="110" t="s">
        <v>1072</v>
      </c>
      <c r="E866" s="110" t="s">
        <v>1073</v>
      </c>
      <c r="F866" s="110" t="s">
        <v>113</v>
      </c>
      <c r="G866" s="110" t="s">
        <v>114</v>
      </c>
      <c r="H866" s="111">
        <v>29</v>
      </c>
      <c r="I866" s="111">
        <v>23</v>
      </c>
      <c r="J866" s="111">
        <v>18</v>
      </c>
      <c r="K866" s="111">
        <f t="shared" si="119"/>
        <v>23.333333333333332</v>
      </c>
      <c r="L866" s="111">
        <v>50000</v>
      </c>
      <c r="M866" s="111">
        <f t="shared" si="120"/>
        <v>22500</v>
      </c>
      <c r="N866" s="111">
        <f t="shared" si="121"/>
        <v>22500</v>
      </c>
      <c r="O866" s="111">
        <f t="shared" si="122"/>
        <v>4500</v>
      </c>
      <c r="P866" s="111">
        <f t="shared" si="123"/>
        <v>5000</v>
      </c>
      <c r="Q866" s="111">
        <v>10000</v>
      </c>
      <c r="R866" s="111">
        <v>1</v>
      </c>
      <c r="S866" s="111">
        <f t="shared" si="124"/>
        <v>1000</v>
      </c>
      <c r="T866" s="111">
        <f t="shared" si="125"/>
        <v>60000</v>
      </c>
      <c r="U866" s="111">
        <f t="shared" si="126"/>
        <v>600</v>
      </c>
      <c r="V866" s="111">
        <f t="shared" si="127"/>
        <v>60600</v>
      </c>
      <c r="W866" t="s">
        <v>3325</v>
      </c>
    </row>
    <row r="867" spans="1:23" x14ac:dyDescent="0.3">
      <c r="A867" s="110">
        <v>1209008</v>
      </c>
      <c r="B867" s="110" t="s">
        <v>1012</v>
      </c>
      <c r="C867" s="110" t="s">
        <v>1042</v>
      </c>
      <c r="D867" s="110" t="s">
        <v>1074</v>
      </c>
      <c r="E867" s="110" t="s">
        <v>301</v>
      </c>
      <c r="F867" s="110" t="s">
        <v>113</v>
      </c>
      <c r="G867" s="110" t="s">
        <v>114</v>
      </c>
      <c r="H867" s="111">
        <v>70</v>
      </c>
      <c r="I867" s="111">
        <v>65</v>
      </c>
      <c r="J867" s="111">
        <v>83</v>
      </c>
      <c r="K867" s="111">
        <f t="shared" si="119"/>
        <v>72.666666666666671</v>
      </c>
      <c r="L867" s="111">
        <v>150000</v>
      </c>
      <c r="M867" s="111">
        <f t="shared" si="120"/>
        <v>67500</v>
      </c>
      <c r="N867" s="111">
        <f t="shared" si="121"/>
        <v>67500</v>
      </c>
      <c r="O867" s="111">
        <f t="shared" si="122"/>
        <v>13500</v>
      </c>
      <c r="P867" s="111">
        <f t="shared" si="123"/>
        <v>15000</v>
      </c>
      <c r="Q867" s="111">
        <v>30000</v>
      </c>
      <c r="R867" s="111">
        <v>3</v>
      </c>
      <c r="S867" s="111">
        <f t="shared" si="124"/>
        <v>3000</v>
      </c>
      <c r="T867" s="111">
        <f t="shared" si="125"/>
        <v>180000</v>
      </c>
      <c r="U867" s="111">
        <f t="shared" si="126"/>
        <v>1800</v>
      </c>
      <c r="V867" s="111">
        <f t="shared" si="127"/>
        <v>181800</v>
      </c>
      <c r="W867" t="s">
        <v>3326</v>
      </c>
    </row>
    <row r="868" spans="1:23" x14ac:dyDescent="0.3">
      <c r="A868" s="110">
        <v>1209010</v>
      </c>
      <c r="B868" s="110" t="s">
        <v>1012</v>
      </c>
      <c r="C868" s="110" t="s">
        <v>1042</v>
      </c>
      <c r="D868" s="110" t="s">
        <v>1075</v>
      </c>
      <c r="E868" s="110" t="s">
        <v>1076</v>
      </c>
      <c r="F868" s="110" t="s">
        <v>113</v>
      </c>
      <c r="G868" s="110" t="s">
        <v>114</v>
      </c>
      <c r="H868" s="111">
        <v>58</v>
      </c>
      <c r="I868" s="111">
        <v>56</v>
      </c>
      <c r="J868" s="111">
        <v>41</v>
      </c>
      <c r="K868" s="111">
        <f t="shared" si="119"/>
        <v>51.666666666666664</v>
      </c>
      <c r="L868" s="111">
        <v>150000</v>
      </c>
      <c r="M868" s="111">
        <f t="shared" si="120"/>
        <v>67500</v>
      </c>
      <c r="N868" s="111">
        <f t="shared" si="121"/>
        <v>67500</v>
      </c>
      <c r="O868" s="111">
        <f t="shared" si="122"/>
        <v>13500</v>
      </c>
      <c r="P868" s="111">
        <f t="shared" si="123"/>
        <v>15000</v>
      </c>
      <c r="Q868" s="111">
        <v>30000</v>
      </c>
      <c r="R868" s="111">
        <v>3</v>
      </c>
      <c r="S868" s="111">
        <f t="shared" si="124"/>
        <v>3000</v>
      </c>
      <c r="T868" s="111">
        <f t="shared" si="125"/>
        <v>180000</v>
      </c>
      <c r="U868" s="111">
        <f t="shared" si="126"/>
        <v>1800</v>
      </c>
      <c r="V868" s="111">
        <f t="shared" si="127"/>
        <v>181800</v>
      </c>
      <c r="W868" t="s">
        <v>3327</v>
      </c>
    </row>
    <row r="869" spans="1:23" x14ac:dyDescent="0.3">
      <c r="A869" s="110">
        <v>1209012</v>
      </c>
      <c r="B869" s="110" t="s">
        <v>1012</v>
      </c>
      <c r="C869" s="110" t="s">
        <v>1042</v>
      </c>
      <c r="D869" s="110" t="s">
        <v>1042</v>
      </c>
      <c r="E869" s="110" t="s">
        <v>1077</v>
      </c>
      <c r="F869" s="110" t="s">
        <v>117</v>
      </c>
      <c r="G869" s="110" t="s">
        <v>125</v>
      </c>
      <c r="H869" s="111">
        <v>352</v>
      </c>
      <c r="I869" s="111">
        <v>349</v>
      </c>
      <c r="J869" s="111">
        <v>399</v>
      </c>
      <c r="K869" s="111">
        <f t="shared" si="119"/>
        <v>366.66666666666669</v>
      </c>
      <c r="L869" s="111">
        <v>200000</v>
      </c>
      <c r="M869" s="111">
        <f t="shared" si="120"/>
        <v>90000</v>
      </c>
      <c r="N869" s="111">
        <f t="shared" si="121"/>
        <v>90000</v>
      </c>
      <c r="O869" s="111">
        <f t="shared" si="122"/>
        <v>18000</v>
      </c>
      <c r="P869" s="111">
        <f t="shared" si="123"/>
        <v>20000</v>
      </c>
      <c r="Q869" s="111">
        <v>50000</v>
      </c>
      <c r="R869" s="111">
        <v>5</v>
      </c>
      <c r="S869" s="111">
        <f t="shared" si="124"/>
        <v>5000</v>
      </c>
      <c r="T869" s="111">
        <f t="shared" si="125"/>
        <v>250000</v>
      </c>
      <c r="U869" s="111">
        <f t="shared" si="126"/>
        <v>2500</v>
      </c>
      <c r="V869" s="111">
        <f t="shared" si="127"/>
        <v>252500</v>
      </c>
      <c r="W869" t="s">
        <v>3328</v>
      </c>
    </row>
    <row r="870" spans="1:23" x14ac:dyDescent="0.3">
      <c r="A870" s="110">
        <v>1209013</v>
      </c>
      <c r="B870" s="110" t="s">
        <v>1012</v>
      </c>
      <c r="C870" s="110" t="s">
        <v>1042</v>
      </c>
      <c r="D870" s="110" t="s">
        <v>1074</v>
      </c>
      <c r="E870" s="110" t="s">
        <v>1078</v>
      </c>
      <c r="F870" s="110" t="s">
        <v>117</v>
      </c>
      <c r="G870" s="110" t="s">
        <v>114</v>
      </c>
      <c r="H870" s="111">
        <v>158</v>
      </c>
      <c r="I870" s="111">
        <v>128</v>
      </c>
      <c r="J870" s="111">
        <v>97</v>
      </c>
      <c r="K870" s="111">
        <f t="shared" si="119"/>
        <v>127.66666666666667</v>
      </c>
      <c r="L870" s="111">
        <v>150000</v>
      </c>
      <c r="M870" s="111">
        <f t="shared" si="120"/>
        <v>67500</v>
      </c>
      <c r="N870" s="111">
        <f t="shared" si="121"/>
        <v>67500</v>
      </c>
      <c r="O870" s="111">
        <f t="shared" si="122"/>
        <v>13500</v>
      </c>
      <c r="P870" s="111">
        <f t="shared" si="123"/>
        <v>15000</v>
      </c>
      <c r="Q870" s="111">
        <v>30000</v>
      </c>
      <c r="R870" s="111">
        <v>3</v>
      </c>
      <c r="S870" s="111">
        <f t="shared" si="124"/>
        <v>3000</v>
      </c>
      <c r="T870" s="111">
        <f t="shared" si="125"/>
        <v>180000</v>
      </c>
      <c r="U870" s="111">
        <f t="shared" si="126"/>
        <v>1800</v>
      </c>
      <c r="V870" s="111">
        <f t="shared" si="127"/>
        <v>181800</v>
      </c>
      <c r="W870" t="s">
        <v>3329</v>
      </c>
    </row>
    <row r="871" spans="1:23" x14ac:dyDescent="0.3">
      <c r="A871" s="110">
        <v>1209014</v>
      </c>
      <c r="B871" s="110" t="s">
        <v>1012</v>
      </c>
      <c r="C871" s="110" t="s">
        <v>1042</v>
      </c>
      <c r="D871" s="110" t="s">
        <v>1042</v>
      </c>
      <c r="E871" s="110" t="s">
        <v>693</v>
      </c>
      <c r="F871" s="110" t="s">
        <v>135</v>
      </c>
      <c r="G871" s="110" t="s">
        <v>125</v>
      </c>
      <c r="H871" s="111">
        <v>36</v>
      </c>
      <c r="I871" s="111">
        <v>40</v>
      </c>
      <c r="J871" s="111">
        <v>46</v>
      </c>
      <c r="K871" s="111">
        <f t="shared" si="119"/>
        <v>40.666666666666664</v>
      </c>
      <c r="L871" s="111">
        <v>50000</v>
      </c>
      <c r="M871" s="111">
        <f t="shared" si="120"/>
        <v>22500</v>
      </c>
      <c r="N871" s="111">
        <f t="shared" si="121"/>
        <v>22500</v>
      </c>
      <c r="O871" s="111">
        <f t="shared" si="122"/>
        <v>4500</v>
      </c>
      <c r="P871" s="111">
        <f t="shared" si="123"/>
        <v>5000</v>
      </c>
      <c r="Q871" s="111">
        <v>10000</v>
      </c>
      <c r="R871" s="111">
        <v>1</v>
      </c>
      <c r="S871" s="111">
        <f t="shared" si="124"/>
        <v>1000</v>
      </c>
      <c r="T871" s="111">
        <f t="shared" si="125"/>
        <v>60000</v>
      </c>
      <c r="U871" s="111">
        <f t="shared" si="126"/>
        <v>600</v>
      </c>
      <c r="V871" s="111">
        <f t="shared" si="127"/>
        <v>60600</v>
      </c>
      <c r="W871" t="s">
        <v>3330</v>
      </c>
    </row>
    <row r="872" spans="1:23" x14ac:dyDescent="0.3">
      <c r="A872" s="110">
        <v>1300013</v>
      </c>
      <c r="B872" s="110" t="s">
        <v>1079</v>
      </c>
      <c r="C872" s="110" t="s">
        <v>1079</v>
      </c>
      <c r="D872" s="110" t="s">
        <v>1079</v>
      </c>
      <c r="E872" s="110" t="s">
        <v>1080</v>
      </c>
      <c r="F872" s="110" t="s">
        <v>296</v>
      </c>
      <c r="G872" s="110" t="s">
        <v>114</v>
      </c>
      <c r="H872" s="111">
        <v>339</v>
      </c>
      <c r="I872" s="111">
        <v>386</v>
      </c>
      <c r="J872" s="111">
        <v>450</v>
      </c>
      <c r="K872" s="111">
        <f t="shared" si="119"/>
        <v>391.66666666666669</v>
      </c>
      <c r="L872" s="111">
        <v>200000</v>
      </c>
      <c r="M872" s="111">
        <f t="shared" si="120"/>
        <v>90000</v>
      </c>
      <c r="N872" s="111">
        <f t="shared" si="121"/>
        <v>90000</v>
      </c>
      <c r="O872" s="111">
        <f t="shared" si="122"/>
        <v>18000</v>
      </c>
      <c r="P872" s="111">
        <f t="shared" si="123"/>
        <v>20000</v>
      </c>
      <c r="Q872" s="111">
        <v>50000</v>
      </c>
      <c r="R872" s="111">
        <v>5</v>
      </c>
      <c r="S872" s="111">
        <f t="shared" si="124"/>
        <v>5000</v>
      </c>
      <c r="T872" s="111">
        <f t="shared" si="125"/>
        <v>250000</v>
      </c>
      <c r="U872" s="111">
        <f t="shared" si="126"/>
        <v>2500</v>
      </c>
      <c r="V872" s="111">
        <f t="shared" si="127"/>
        <v>252500</v>
      </c>
      <c r="W872" t="s">
        <v>3331</v>
      </c>
    </row>
    <row r="873" spans="1:23" x14ac:dyDescent="0.3">
      <c r="A873" s="110">
        <v>1300015</v>
      </c>
      <c r="B873" s="110" t="s">
        <v>1079</v>
      </c>
      <c r="C873" s="110" t="s">
        <v>516</v>
      </c>
      <c r="D873" s="110" t="s">
        <v>1081</v>
      </c>
      <c r="E873" s="110" t="s">
        <v>1082</v>
      </c>
      <c r="F873" s="110" t="s">
        <v>119</v>
      </c>
      <c r="G873" s="110" t="s">
        <v>114</v>
      </c>
      <c r="H873" s="111">
        <v>160</v>
      </c>
      <c r="I873" s="111">
        <v>156</v>
      </c>
      <c r="J873" s="111">
        <v>158</v>
      </c>
      <c r="K873" s="111">
        <f t="shared" si="119"/>
        <v>158</v>
      </c>
      <c r="L873" s="111">
        <f>150000*0.7</f>
        <v>105000</v>
      </c>
      <c r="M873" s="111">
        <f t="shared" si="120"/>
        <v>47250</v>
      </c>
      <c r="N873" s="111">
        <f t="shared" si="121"/>
        <v>47250</v>
      </c>
      <c r="O873" s="111">
        <f t="shared" si="122"/>
        <v>9450</v>
      </c>
      <c r="P873" s="111">
        <f t="shared" si="123"/>
        <v>10500</v>
      </c>
      <c r="Q873" s="111">
        <v>30000</v>
      </c>
      <c r="R873" s="111">
        <v>3</v>
      </c>
      <c r="S873" s="111">
        <f t="shared" si="124"/>
        <v>3000</v>
      </c>
      <c r="T873" s="111">
        <f t="shared" si="125"/>
        <v>135000</v>
      </c>
      <c r="U873" s="111">
        <f t="shared" si="126"/>
        <v>1350</v>
      </c>
      <c r="V873" s="111">
        <f t="shared" si="127"/>
        <v>136350</v>
      </c>
      <c r="W873" t="s">
        <v>3332</v>
      </c>
    </row>
    <row r="874" spans="1:23" x14ac:dyDescent="0.3">
      <c r="A874" s="110">
        <v>1300034</v>
      </c>
      <c r="B874" s="110" t="s">
        <v>1079</v>
      </c>
      <c r="C874" s="110" t="s">
        <v>1083</v>
      </c>
      <c r="D874" s="110" t="s">
        <v>1083</v>
      </c>
      <c r="E874" s="110" t="s">
        <v>559</v>
      </c>
      <c r="F874" s="110" t="s">
        <v>113</v>
      </c>
      <c r="G874" s="110" t="s">
        <v>114</v>
      </c>
      <c r="H874" s="111">
        <v>206</v>
      </c>
      <c r="I874" s="111">
        <v>212</v>
      </c>
      <c r="J874" s="111">
        <v>199</v>
      </c>
      <c r="K874" s="111">
        <f t="shared" si="119"/>
        <v>205.66666666666666</v>
      </c>
      <c r="L874" s="111">
        <v>200000</v>
      </c>
      <c r="M874" s="111">
        <f t="shared" si="120"/>
        <v>90000</v>
      </c>
      <c r="N874" s="111">
        <f t="shared" si="121"/>
        <v>90000</v>
      </c>
      <c r="O874" s="111">
        <f t="shared" si="122"/>
        <v>18000</v>
      </c>
      <c r="P874" s="111">
        <f t="shared" si="123"/>
        <v>20000</v>
      </c>
      <c r="Q874" s="111">
        <v>50000</v>
      </c>
      <c r="R874" s="111">
        <v>5</v>
      </c>
      <c r="S874" s="111">
        <f t="shared" si="124"/>
        <v>5000</v>
      </c>
      <c r="T874" s="111">
        <f t="shared" si="125"/>
        <v>250000</v>
      </c>
      <c r="U874" s="111">
        <f t="shared" si="126"/>
        <v>2500</v>
      </c>
      <c r="V874" s="111">
        <f t="shared" si="127"/>
        <v>252500</v>
      </c>
      <c r="W874" t="s">
        <v>3333</v>
      </c>
    </row>
    <row r="875" spans="1:23" x14ac:dyDescent="0.3">
      <c r="A875" s="110">
        <v>1300054</v>
      </c>
      <c r="B875" s="110" t="s">
        <v>1079</v>
      </c>
      <c r="C875" s="110" t="s">
        <v>1084</v>
      </c>
      <c r="D875" s="110" t="s">
        <v>1085</v>
      </c>
      <c r="E875" s="110" t="s">
        <v>203</v>
      </c>
      <c r="F875" s="110" t="s">
        <v>113</v>
      </c>
      <c r="G875" s="110" t="s">
        <v>114</v>
      </c>
      <c r="H875" s="111">
        <v>296</v>
      </c>
      <c r="I875" s="111">
        <v>295</v>
      </c>
      <c r="J875" s="111">
        <v>295</v>
      </c>
      <c r="K875" s="111">
        <f t="shared" si="119"/>
        <v>295.33333333333331</v>
      </c>
      <c r="L875" s="111">
        <v>200000</v>
      </c>
      <c r="M875" s="111">
        <f t="shared" si="120"/>
        <v>90000</v>
      </c>
      <c r="N875" s="111">
        <f t="shared" si="121"/>
        <v>90000</v>
      </c>
      <c r="O875" s="111">
        <f t="shared" si="122"/>
        <v>18000</v>
      </c>
      <c r="P875" s="111">
        <f t="shared" si="123"/>
        <v>20000</v>
      </c>
      <c r="Q875" s="111">
        <v>50000</v>
      </c>
      <c r="R875" s="111">
        <v>5</v>
      </c>
      <c r="S875" s="111">
        <f t="shared" si="124"/>
        <v>5000</v>
      </c>
      <c r="T875" s="111">
        <f t="shared" si="125"/>
        <v>250000</v>
      </c>
      <c r="U875" s="111">
        <f t="shared" si="126"/>
        <v>2500</v>
      </c>
      <c r="V875" s="111">
        <f t="shared" si="127"/>
        <v>252500</v>
      </c>
      <c r="W875" t="s">
        <v>3334</v>
      </c>
    </row>
    <row r="876" spans="1:23" x14ac:dyDescent="0.3">
      <c r="A876" s="110">
        <v>1300706</v>
      </c>
      <c r="B876" s="110" t="s">
        <v>1079</v>
      </c>
      <c r="C876" s="110" t="s">
        <v>1086</v>
      </c>
      <c r="D876" s="110" t="s">
        <v>1086</v>
      </c>
      <c r="E876" s="110" t="s">
        <v>329</v>
      </c>
      <c r="F876" s="110" t="s">
        <v>119</v>
      </c>
      <c r="G876" s="110" t="s">
        <v>114</v>
      </c>
      <c r="H876" s="111">
        <v>382</v>
      </c>
      <c r="I876" s="111">
        <v>386</v>
      </c>
      <c r="J876" s="111">
        <v>396</v>
      </c>
      <c r="K876" s="111">
        <f t="shared" si="119"/>
        <v>388</v>
      </c>
      <c r="L876" s="111">
        <v>200000</v>
      </c>
      <c r="M876" s="111">
        <f t="shared" si="120"/>
        <v>90000</v>
      </c>
      <c r="N876" s="111">
        <f t="shared" si="121"/>
        <v>90000</v>
      </c>
      <c r="O876" s="111">
        <f t="shared" si="122"/>
        <v>18000</v>
      </c>
      <c r="P876" s="111">
        <f t="shared" si="123"/>
        <v>20000</v>
      </c>
      <c r="Q876" s="111">
        <v>50000</v>
      </c>
      <c r="R876" s="111">
        <v>5</v>
      </c>
      <c r="S876" s="111">
        <f t="shared" si="124"/>
        <v>5000</v>
      </c>
      <c r="T876" s="111">
        <f t="shared" si="125"/>
        <v>250000</v>
      </c>
      <c r="U876" s="111">
        <f t="shared" si="126"/>
        <v>2500</v>
      </c>
      <c r="V876" s="111">
        <f t="shared" si="127"/>
        <v>252500</v>
      </c>
      <c r="W876" t="s">
        <v>3335</v>
      </c>
    </row>
    <row r="877" spans="1:23" x14ac:dyDescent="0.3">
      <c r="A877" s="110">
        <v>1301013</v>
      </c>
      <c r="B877" s="110" t="s">
        <v>1079</v>
      </c>
      <c r="C877" s="110" t="s">
        <v>1087</v>
      </c>
      <c r="D877" s="110" t="s">
        <v>1088</v>
      </c>
      <c r="E877" s="110" t="s">
        <v>1089</v>
      </c>
      <c r="F877" s="110" t="s">
        <v>117</v>
      </c>
      <c r="G877" s="110" t="s">
        <v>114</v>
      </c>
      <c r="H877" s="111">
        <v>101</v>
      </c>
      <c r="I877" s="111">
        <v>92</v>
      </c>
      <c r="J877" s="111">
        <v>95</v>
      </c>
      <c r="K877" s="111">
        <f t="shared" si="119"/>
        <v>96</v>
      </c>
      <c r="L877" s="111">
        <v>150000</v>
      </c>
      <c r="M877" s="111">
        <f t="shared" si="120"/>
        <v>67500</v>
      </c>
      <c r="N877" s="111">
        <f t="shared" si="121"/>
        <v>67500</v>
      </c>
      <c r="O877" s="111">
        <f t="shared" si="122"/>
        <v>13500</v>
      </c>
      <c r="P877" s="111">
        <f t="shared" si="123"/>
        <v>15000</v>
      </c>
      <c r="Q877" s="111">
        <v>30000</v>
      </c>
      <c r="R877" s="111">
        <v>3</v>
      </c>
      <c r="S877" s="111">
        <f t="shared" si="124"/>
        <v>3000</v>
      </c>
      <c r="T877" s="111">
        <f t="shared" si="125"/>
        <v>180000</v>
      </c>
      <c r="U877" s="111">
        <f t="shared" si="126"/>
        <v>1800</v>
      </c>
      <c r="V877" s="111">
        <f t="shared" si="127"/>
        <v>181800</v>
      </c>
      <c r="W877" t="s">
        <v>3336</v>
      </c>
    </row>
    <row r="878" spans="1:23" x14ac:dyDescent="0.3">
      <c r="A878" s="110">
        <v>1301139</v>
      </c>
      <c r="B878" s="110" t="s">
        <v>1079</v>
      </c>
      <c r="C878" s="110" t="s">
        <v>1079</v>
      </c>
      <c r="D878" s="110" t="s">
        <v>1079</v>
      </c>
      <c r="E878" s="110" t="s">
        <v>1090</v>
      </c>
      <c r="F878" s="110" t="s">
        <v>117</v>
      </c>
      <c r="G878" s="110" t="s">
        <v>125</v>
      </c>
      <c r="H878" s="111">
        <v>784</v>
      </c>
      <c r="I878" s="111">
        <v>788</v>
      </c>
      <c r="J878" s="111">
        <v>767</v>
      </c>
      <c r="K878" s="111">
        <f t="shared" si="119"/>
        <v>779.66666666666663</v>
      </c>
      <c r="L878" s="111">
        <f>300000</f>
        <v>300000</v>
      </c>
      <c r="M878" s="111">
        <f t="shared" si="120"/>
        <v>135000</v>
      </c>
      <c r="N878" s="111">
        <f t="shared" si="121"/>
        <v>135000</v>
      </c>
      <c r="O878" s="111">
        <f t="shared" si="122"/>
        <v>27000</v>
      </c>
      <c r="P878" s="111">
        <f t="shared" si="123"/>
        <v>30000</v>
      </c>
      <c r="Q878" s="111">
        <v>60000</v>
      </c>
      <c r="R878" s="111">
        <v>6</v>
      </c>
      <c r="S878" s="111">
        <f t="shared" si="124"/>
        <v>6000</v>
      </c>
      <c r="T878" s="111">
        <f t="shared" si="125"/>
        <v>360000</v>
      </c>
      <c r="U878" s="111">
        <f t="shared" si="126"/>
        <v>3600</v>
      </c>
      <c r="V878" s="111">
        <f t="shared" si="127"/>
        <v>363600</v>
      </c>
      <c r="W878" t="s">
        <v>3337</v>
      </c>
    </row>
    <row r="879" spans="1:23" x14ac:dyDescent="0.3">
      <c r="A879" s="110">
        <v>1301215</v>
      </c>
      <c r="B879" s="110" t="s">
        <v>1079</v>
      </c>
      <c r="C879" s="110" t="s">
        <v>1079</v>
      </c>
      <c r="D879" s="110" t="s">
        <v>1079</v>
      </c>
      <c r="E879" s="110" t="s">
        <v>282</v>
      </c>
      <c r="F879" s="110" t="s">
        <v>209</v>
      </c>
      <c r="G879" s="110" t="s">
        <v>114</v>
      </c>
      <c r="H879" s="111">
        <v>270</v>
      </c>
      <c r="I879" s="111">
        <v>262</v>
      </c>
      <c r="J879" s="111">
        <v>265</v>
      </c>
      <c r="K879" s="111">
        <f t="shared" si="119"/>
        <v>265.66666666666669</v>
      </c>
      <c r="L879" s="111">
        <v>200000</v>
      </c>
      <c r="M879" s="111">
        <f t="shared" si="120"/>
        <v>90000</v>
      </c>
      <c r="N879" s="111">
        <f t="shared" si="121"/>
        <v>90000</v>
      </c>
      <c r="O879" s="111">
        <f t="shared" si="122"/>
        <v>18000</v>
      </c>
      <c r="P879" s="111">
        <f t="shared" si="123"/>
        <v>20000</v>
      </c>
      <c r="Q879" s="111">
        <v>50000</v>
      </c>
      <c r="R879" s="111">
        <v>5</v>
      </c>
      <c r="S879" s="111">
        <f t="shared" si="124"/>
        <v>5000</v>
      </c>
      <c r="T879" s="111">
        <f t="shared" si="125"/>
        <v>250000</v>
      </c>
      <c r="U879" s="111">
        <f t="shared" si="126"/>
        <v>2500</v>
      </c>
      <c r="V879" s="111">
        <f t="shared" si="127"/>
        <v>252500</v>
      </c>
      <c r="W879" t="s">
        <v>3338</v>
      </c>
    </row>
    <row r="880" spans="1:23" x14ac:dyDescent="0.3">
      <c r="A880" s="110">
        <v>1301222</v>
      </c>
      <c r="B880" s="110" t="s">
        <v>1079</v>
      </c>
      <c r="C880" s="110" t="s">
        <v>1079</v>
      </c>
      <c r="D880" s="110" t="s">
        <v>1079</v>
      </c>
      <c r="E880" s="110" t="s">
        <v>540</v>
      </c>
      <c r="F880" s="110" t="s">
        <v>209</v>
      </c>
      <c r="G880" s="110" t="s">
        <v>114</v>
      </c>
      <c r="H880" s="111">
        <v>291</v>
      </c>
      <c r="I880" s="111">
        <v>289</v>
      </c>
      <c r="J880" s="111">
        <v>273</v>
      </c>
      <c r="K880" s="111">
        <f t="shared" si="119"/>
        <v>284.33333333333331</v>
      </c>
      <c r="L880" s="111">
        <v>200000</v>
      </c>
      <c r="M880" s="111">
        <f t="shared" si="120"/>
        <v>90000</v>
      </c>
      <c r="N880" s="111">
        <f t="shared" si="121"/>
        <v>90000</v>
      </c>
      <c r="O880" s="111">
        <f t="shared" si="122"/>
        <v>18000</v>
      </c>
      <c r="P880" s="111">
        <f t="shared" si="123"/>
        <v>20000</v>
      </c>
      <c r="Q880" s="111">
        <v>50000</v>
      </c>
      <c r="R880" s="111">
        <v>5</v>
      </c>
      <c r="S880" s="111">
        <f t="shared" si="124"/>
        <v>5000</v>
      </c>
      <c r="T880" s="111">
        <f t="shared" si="125"/>
        <v>250000</v>
      </c>
      <c r="U880" s="111">
        <f t="shared" si="126"/>
        <v>2500</v>
      </c>
      <c r="V880" s="111">
        <f t="shared" si="127"/>
        <v>252500</v>
      </c>
      <c r="W880" t="s">
        <v>3339</v>
      </c>
    </row>
    <row r="881" spans="1:23" x14ac:dyDescent="0.3">
      <c r="A881" s="110">
        <v>1301234</v>
      </c>
      <c r="B881" s="110" t="s">
        <v>1079</v>
      </c>
      <c r="C881" s="110" t="s">
        <v>1079</v>
      </c>
      <c r="D881" s="110" t="s">
        <v>1079</v>
      </c>
      <c r="E881" s="110" t="s">
        <v>1091</v>
      </c>
      <c r="F881" s="110" t="s">
        <v>119</v>
      </c>
      <c r="G881" s="110" t="s">
        <v>114</v>
      </c>
      <c r="H881" s="111">
        <v>384</v>
      </c>
      <c r="I881" s="111">
        <v>342</v>
      </c>
      <c r="J881" s="111">
        <v>257</v>
      </c>
      <c r="K881" s="111">
        <f t="shared" si="119"/>
        <v>327.66666666666669</v>
      </c>
      <c r="L881" s="111">
        <v>200000</v>
      </c>
      <c r="M881" s="111">
        <f t="shared" si="120"/>
        <v>90000</v>
      </c>
      <c r="N881" s="111">
        <f t="shared" si="121"/>
        <v>90000</v>
      </c>
      <c r="O881" s="111">
        <f t="shared" si="122"/>
        <v>18000</v>
      </c>
      <c r="P881" s="111">
        <f t="shared" si="123"/>
        <v>20000</v>
      </c>
      <c r="Q881" s="111">
        <v>50000</v>
      </c>
      <c r="R881" s="111">
        <v>5</v>
      </c>
      <c r="S881" s="111">
        <f t="shared" si="124"/>
        <v>5000</v>
      </c>
      <c r="T881" s="111">
        <f t="shared" si="125"/>
        <v>250000</v>
      </c>
      <c r="U881" s="111">
        <f t="shared" si="126"/>
        <v>2500</v>
      </c>
      <c r="V881" s="111">
        <f t="shared" si="127"/>
        <v>252500</v>
      </c>
      <c r="W881" t="s">
        <v>3340</v>
      </c>
    </row>
    <row r="882" spans="1:23" x14ac:dyDescent="0.3">
      <c r="A882" s="110">
        <v>1301247</v>
      </c>
      <c r="B882" s="110" t="s">
        <v>1079</v>
      </c>
      <c r="C882" s="110" t="s">
        <v>1079</v>
      </c>
      <c r="D882" s="110" t="s">
        <v>1079</v>
      </c>
      <c r="E882" s="110" t="s">
        <v>1092</v>
      </c>
      <c r="F882" s="110" t="s">
        <v>209</v>
      </c>
      <c r="G882" s="110" t="s">
        <v>114</v>
      </c>
      <c r="H882" s="111">
        <v>186</v>
      </c>
      <c r="I882" s="111">
        <v>209</v>
      </c>
      <c r="J882" s="111">
        <v>225</v>
      </c>
      <c r="K882" s="111">
        <f t="shared" si="119"/>
        <v>206.66666666666666</v>
      </c>
      <c r="L882" s="111">
        <v>200000</v>
      </c>
      <c r="M882" s="111">
        <f t="shared" si="120"/>
        <v>90000</v>
      </c>
      <c r="N882" s="111">
        <f t="shared" si="121"/>
        <v>90000</v>
      </c>
      <c r="O882" s="111">
        <f t="shared" si="122"/>
        <v>18000</v>
      </c>
      <c r="P882" s="111">
        <f t="shared" si="123"/>
        <v>20000</v>
      </c>
      <c r="Q882" s="111">
        <v>50000</v>
      </c>
      <c r="R882" s="111">
        <v>5</v>
      </c>
      <c r="S882" s="111">
        <f t="shared" si="124"/>
        <v>5000</v>
      </c>
      <c r="T882" s="111">
        <f t="shared" si="125"/>
        <v>250000</v>
      </c>
      <c r="U882" s="111">
        <f t="shared" si="126"/>
        <v>2500</v>
      </c>
      <c r="V882" s="111">
        <f t="shared" si="127"/>
        <v>252500</v>
      </c>
      <c r="W882" t="s">
        <v>3341</v>
      </c>
    </row>
    <row r="883" spans="1:23" x14ac:dyDescent="0.3">
      <c r="A883" s="110">
        <v>1301254</v>
      </c>
      <c r="B883" s="110" t="s">
        <v>1079</v>
      </c>
      <c r="C883" s="110" t="s">
        <v>1079</v>
      </c>
      <c r="D883" s="110" t="s">
        <v>1079</v>
      </c>
      <c r="E883" s="110" t="s">
        <v>1093</v>
      </c>
      <c r="F883" s="110" t="s">
        <v>209</v>
      </c>
      <c r="G883" s="110" t="s">
        <v>114</v>
      </c>
      <c r="H883" s="111">
        <v>199</v>
      </c>
      <c r="I883" s="111">
        <v>182</v>
      </c>
      <c r="J883" s="111">
        <v>154</v>
      </c>
      <c r="K883" s="111">
        <f t="shared" si="119"/>
        <v>178.33333333333334</v>
      </c>
      <c r="L883" s="111">
        <v>150000</v>
      </c>
      <c r="M883" s="111">
        <f t="shared" si="120"/>
        <v>67500</v>
      </c>
      <c r="N883" s="111">
        <f t="shared" si="121"/>
        <v>67500</v>
      </c>
      <c r="O883" s="111">
        <f t="shared" si="122"/>
        <v>13500</v>
      </c>
      <c r="P883" s="111">
        <f t="shared" si="123"/>
        <v>15000</v>
      </c>
      <c r="Q883" s="111">
        <v>30000</v>
      </c>
      <c r="R883" s="111">
        <v>3</v>
      </c>
      <c r="S883" s="111">
        <f t="shared" si="124"/>
        <v>3000</v>
      </c>
      <c r="T883" s="111">
        <f t="shared" si="125"/>
        <v>180000</v>
      </c>
      <c r="U883" s="111">
        <f t="shared" si="126"/>
        <v>1800</v>
      </c>
      <c r="V883" s="111">
        <f t="shared" si="127"/>
        <v>181800</v>
      </c>
      <c r="W883" t="s">
        <v>3342</v>
      </c>
    </row>
    <row r="884" spans="1:23" x14ac:dyDescent="0.3">
      <c r="A884" s="110">
        <v>1301329</v>
      </c>
      <c r="B884" s="110" t="s">
        <v>1079</v>
      </c>
      <c r="C884" s="110" t="s">
        <v>1083</v>
      </c>
      <c r="D884" s="110" t="s">
        <v>1083</v>
      </c>
      <c r="E884" s="110" t="s">
        <v>1094</v>
      </c>
      <c r="F884" s="110" t="s">
        <v>209</v>
      </c>
      <c r="G884" s="110" t="s">
        <v>114</v>
      </c>
      <c r="H884" s="111">
        <v>121</v>
      </c>
      <c r="I884" s="111">
        <v>102</v>
      </c>
      <c r="J884" s="111">
        <v>101</v>
      </c>
      <c r="K884" s="111">
        <f t="shared" si="119"/>
        <v>108</v>
      </c>
      <c r="L884" s="111">
        <v>150000</v>
      </c>
      <c r="M884" s="111">
        <f t="shared" si="120"/>
        <v>67500</v>
      </c>
      <c r="N884" s="111">
        <f t="shared" si="121"/>
        <v>67500</v>
      </c>
      <c r="O884" s="111">
        <f t="shared" si="122"/>
        <v>13500</v>
      </c>
      <c r="P884" s="111">
        <f t="shared" si="123"/>
        <v>15000</v>
      </c>
      <c r="Q884" s="111">
        <v>30000</v>
      </c>
      <c r="R884" s="111">
        <v>3</v>
      </c>
      <c r="S884" s="111">
        <f t="shared" si="124"/>
        <v>3000</v>
      </c>
      <c r="T884" s="111">
        <f t="shared" si="125"/>
        <v>180000</v>
      </c>
      <c r="U884" s="111">
        <f t="shared" si="126"/>
        <v>1800</v>
      </c>
      <c r="V884" s="111">
        <f t="shared" si="127"/>
        <v>181800</v>
      </c>
      <c r="W884" t="s">
        <v>3343</v>
      </c>
    </row>
    <row r="885" spans="1:23" x14ac:dyDescent="0.3">
      <c r="A885" s="110">
        <v>1301343</v>
      </c>
      <c r="B885" s="110" t="s">
        <v>1079</v>
      </c>
      <c r="C885" s="110" t="s">
        <v>1083</v>
      </c>
      <c r="D885" s="110" t="s">
        <v>1083</v>
      </c>
      <c r="E885" s="110" t="s">
        <v>1095</v>
      </c>
      <c r="F885" s="110" t="s">
        <v>209</v>
      </c>
      <c r="G885" s="110" t="s">
        <v>114</v>
      </c>
      <c r="H885" s="111">
        <v>120</v>
      </c>
      <c r="I885" s="111">
        <v>111</v>
      </c>
      <c r="J885" s="111">
        <v>92</v>
      </c>
      <c r="K885" s="111">
        <f t="shared" si="119"/>
        <v>107.66666666666667</v>
      </c>
      <c r="L885" s="111">
        <v>150000</v>
      </c>
      <c r="M885" s="111">
        <f t="shared" si="120"/>
        <v>67500</v>
      </c>
      <c r="N885" s="111">
        <f t="shared" si="121"/>
        <v>67500</v>
      </c>
      <c r="O885" s="111">
        <f t="shared" si="122"/>
        <v>13500</v>
      </c>
      <c r="P885" s="111">
        <f t="shared" si="123"/>
        <v>15000</v>
      </c>
      <c r="Q885" s="111">
        <v>30000</v>
      </c>
      <c r="R885" s="111">
        <v>3</v>
      </c>
      <c r="S885" s="111">
        <f t="shared" si="124"/>
        <v>3000</v>
      </c>
      <c r="T885" s="111">
        <f t="shared" si="125"/>
        <v>180000</v>
      </c>
      <c r="U885" s="111">
        <f t="shared" si="126"/>
        <v>1800</v>
      </c>
      <c r="V885" s="111">
        <f t="shared" si="127"/>
        <v>181800</v>
      </c>
      <c r="W885" t="s">
        <v>3344</v>
      </c>
    </row>
    <row r="886" spans="1:23" x14ac:dyDescent="0.3">
      <c r="A886" s="110">
        <v>1301368</v>
      </c>
      <c r="B886" s="110" t="s">
        <v>1079</v>
      </c>
      <c r="C886" s="110" t="s">
        <v>1087</v>
      </c>
      <c r="D886" s="110" t="s">
        <v>1087</v>
      </c>
      <c r="E886" s="110" t="s">
        <v>282</v>
      </c>
      <c r="F886" s="110" t="s">
        <v>209</v>
      </c>
      <c r="G886" s="110" t="s">
        <v>114</v>
      </c>
      <c r="H886" s="111">
        <v>44</v>
      </c>
      <c r="I886" s="111">
        <v>41</v>
      </c>
      <c r="J886" s="111">
        <v>39</v>
      </c>
      <c r="K886" s="111">
        <f t="shared" si="119"/>
        <v>41.333333333333336</v>
      </c>
      <c r="L886" s="111">
        <v>50000</v>
      </c>
      <c r="M886" s="111">
        <f t="shared" si="120"/>
        <v>22500</v>
      </c>
      <c r="N886" s="111">
        <f t="shared" si="121"/>
        <v>22500</v>
      </c>
      <c r="O886" s="111">
        <f t="shared" si="122"/>
        <v>4500</v>
      </c>
      <c r="P886" s="111">
        <f t="shared" si="123"/>
        <v>5000</v>
      </c>
      <c r="Q886" s="111">
        <v>10000</v>
      </c>
      <c r="R886" s="111">
        <v>1</v>
      </c>
      <c r="S886" s="111">
        <f t="shared" si="124"/>
        <v>1000</v>
      </c>
      <c r="T886" s="111">
        <f t="shared" si="125"/>
        <v>60000</v>
      </c>
      <c r="U886" s="111">
        <f t="shared" si="126"/>
        <v>600</v>
      </c>
      <c r="V886" s="111">
        <f t="shared" si="127"/>
        <v>60600</v>
      </c>
      <c r="W886" t="s">
        <v>3345</v>
      </c>
    </row>
    <row r="887" spans="1:23" x14ac:dyDescent="0.3">
      <c r="A887" s="110">
        <v>1301375</v>
      </c>
      <c r="B887" s="110" t="s">
        <v>1079</v>
      </c>
      <c r="C887" s="110" t="s">
        <v>1096</v>
      </c>
      <c r="D887" s="110" t="s">
        <v>1096</v>
      </c>
      <c r="E887" s="110" t="s">
        <v>1097</v>
      </c>
      <c r="F887" s="110" t="s">
        <v>209</v>
      </c>
      <c r="G887" s="110" t="s">
        <v>114</v>
      </c>
      <c r="H887" s="111">
        <v>118</v>
      </c>
      <c r="I887" s="111">
        <v>113</v>
      </c>
      <c r="J887" s="111">
        <v>113</v>
      </c>
      <c r="K887" s="111">
        <f t="shared" si="119"/>
        <v>114.66666666666667</v>
      </c>
      <c r="L887" s="111">
        <v>150000</v>
      </c>
      <c r="M887" s="111">
        <f t="shared" si="120"/>
        <v>67500</v>
      </c>
      <c r="N887" s="111">
        <f t="shared" si="121"/>
        <v>67500</v>
      </c>
      <c r="O887" s="111">
        <f t="shared" si="122"/>
        <v>13500</v>
      </c>
      <c r="P887" s="111">
        <f t="shared" si="123"/>
        <v>15000</v>
      </c>
      <c r="Q887" s="111">
        <v>30000</v>
      </c>
      <c r="R887" s="111">
        <v>3</v>
      </c>
      <c r="S887" s="111">
        <f t="shared" si="124"/>
        <v>3000</v>
      </c>
      <c r="T887" s="111">
        <f t="shared" si="125"/>
        <v>180000</v>
      </c>
      <c r="U887" s="111">
        <f t="shared" si="126"/>
        <v>1800</v>
      </c>
      <c r="V887" s="111">
        <f t="shared" si="127"/>
        <v>181800</v>
      </c>
      <c r="W887" t="s">
        <v>3346</v>
      </c>
    </row>
    <row r="888" spans="1:23" x14ac:dyDescent="0.3">
      <c r="A888" s="110">
        <v>1301382</v>
      </c>
      <c r="B888" s="110" t="s">
        <v>1079</v>
      </c>
      <c r="C888" s="110" t="s">
        <v>1098</v>
      </c>
      <c r="D888" s="110" t="s">
        <v>1099</v>
      </c>
      <c r="E888" s="110" t="s">
        <v>505</v>
      </c>
      <c r="F888" s="110" t="s">
        <v>113</v>
      </c>
      <c r="G888" s="110" t="s">
        <v>114</v>
      </c>
      <c r="H888" s="111">
        <v>88</v>
      </c>
      <c r="I888" s="111">
        <v>82</v>
      </c>
      <c r="J888" s="111">
        <v>77</v>
      </c>
      <c r="K888" s="111">
        <f t="shared" si="119"/>
        <v>82.333333333333329</v>
      </c>
      <c r="L888" s="111">
        <v>150000</v>
      </c>
      <c r="M888" s="111">
        <f t="shared" si="120"/>
        <v>67500</v>
      </c>
      <c r="N888" s="111">
        <f t="shared" si="121"/>
        <v>67500</v>
      </c>
      <c r="O888" s="111">
        <f t="shared" si="122"/>
        <v>13500</v>
      </c>
      <c r="P888" s="111">
        <f t="shared" si="123"/>
        <v>15000</v>
      </c>
      <c r="Q888" s="111">
        <v>30000</v>
      </c>
      <c r="R888" s="111">
        <v>3</v>
      </c>
      <c r="S888" s="111">
        <f t="shared" si="124"/>
        <v>3000</v>
      </c>
      <c r="T888" s="111">
        <f t="shared" si="125"/>
        <v>180000</v>
      </c>
      <c r="U888" s="111">
        <f t="shared" si="126"/>
        <v>1800</v>
      </c>
      <c r="V888" s="111">
        <f t="shared" si="127"/>
        <v>181800</v>
      </c>
      <c r="W888" t="s">
        <v>3347</v>
      </c>
    </row>
    <row r="889" spans="1:23" x14ac:dyDescent="0.3">
      <c r="A889" s="110">
        <v>1301514</v>
      </c>
      <c r="B889" s="110" t="s">
        <v>1079</v>
      </c>
      <c r="C889" s="110" t="s">
        <v>1098</v>
      </c>
      <c r="D889" s="110" t="s">
        <v>1100</v>
      </c>
      <c r="E889" s="110" t="s">
        <v>597</v>
      </c>
      <c r="F889" s="110" t="s">
        <v>168</v>
      </c>
      <c r="G889" s="110" t="s">
        <v>114</v>
      </c>
      <c r="H889" s="111">
        <v>167</v>
      </c>
      <c r="I889" s="111">
        <v>166</v>
      </c>
      <c r="J889" s="111">
        <v>152</v>
      </c>
      <c r="K889" s="111">
        <f t="shared" si="119"/>
        <v>161.66666666666666</v>
      </c>
      <c r="L889" s="111">
        <v>150000</v>
      </c>
      <c r="M889" s="111">
        <f t="shared" si="120"/>
        <v>67500</v>
      </c>
      <c r="N889" s="111">
        <f t="shared" si="121"/>
        <v>67500</v>
      </c>
      <c r="O889" s="111">
        <f t="shared" si="122"/>
        <v>13500</v>
      </c>
      <c r="P889" s="111">
        <f t="shared" si="123"/>
        <v>15000</v>
      </c>
      <c r="Q889" s="111">
        <v>30000</v>
      </c>
      <c r="R889" s="111">
        <v>3</v>
      </c>
      <c r="S889" s="111">
        <f t="shared" si="124"/>
        <v>3000</v>
      </c>
      <c r="T889" s="111">
        <f t="shared" si="125"/>
        <v>180000</v>
      </c>
      <c r="U889" s="111">
        <f t="shared" si="126"/>
        <v>1800</v>
      </c>
      <c r="V889" s="111">
        <f t="shared" si="127"/>
        <v>181800</v>
      </c>
      <c r="W889" t="s">
        <v>3348</v>
      </c>
    </row>
    <row r="890" spans="1:23" x14ac:dyDescent="0.3">
      <c r="A890" s="110">
        <v>1301521</v>
      </c>
      <c r="B890" s="110" t="s">
        <v>1079</v>
      </c>
      <c r="C890" s="110" t="s">
        <v>1087</v>
      </c>
      <c r="D890" s="110" t="s">
        <v>1101</v>
      </c>
      <c r="E890" s="110" t="s">
        <v>1102</v>
      </c>
      <c r="F890" s="110" t="s">
        <v>209</v>
      </c>
      <c r="G890" s="110" t="s">
        <v>114</v>
      </c>
      <c r="H890" s="111">
        <v>23</v>
      </c>
      <c r="I890" s="111">
        <v>31</v>
      </c>
      <c r="J890" s="111">
        <v>38</v>
      </c>
      <c r="K890" s="111">
        <f t="shared" si="119"/>
        <v>30.666666666666668</v>
      </c>
      <c r="L890" s="111">
        <v>50000</v>
      </c>
      <c r="M890" s="111">
        <f t="shared" si="120"/>
        <v>22500</v>
      </c>
      <c r="N890" s="111">
        <f t="shared" si="121"/>
        <v>22500</v>
      </c>
      <c r="O890" s="111">
        <f t="shared" si="122"/>
        <v>4500</v>
      </c>
      <c r="P890" s="111">
        <f t="shared" si="123"/>
        <v>5000</v>
      </c>
      <c r="Q890" s="111">
        <v>10000</v>
      </c>
      <c r="R890" s="111">
        <v>1</v>
      </c>
      <c r="S890" s="111">
        <f t="shared" si="124"/>
        <v>1000</v>
      </c>
      <c r="T890" s="111">
        <f t="shared" si="125"/>
        <v>60000</v>
      </c>
      <c r="U890" s="111">
        <f t="shared" si="126"/>
        <v>600</v>
      </c>
      <c r="V890" s="111">
        <f t="shared" si="127"/>
        <v>60600</v>
      </c>
      <c r="W890" t="s">
        <v>3349</v>
      </c>
    </row>
    <row r="891" spans="1:23" x14ac:dyDescent="0.3">
      <c r="A891" s="110">
        <v>1301566</v>
      </c>
      <c r="B891" s="110" t="s">
        <v>1079</v>
      </c>
      <c r="C891" s="110" t="s">
        <v>1103</v>
      </c>
      <c r="D891" s="110" t="s">
        <v>1103</v>
      </c>
      <c r="E891" s="110" t="s">
        <v>1104</v>
      </c>
      <c r="F891" s="110" t="s">
        <v>119</v>
      </c>
      <c r="G891" s="110" t="s">
        <v>114</v>
      </c>
      <c r="H891" s="111">
        <v>126</v>
      </c>
      <c r="I891" s="111">
        <v>135</v>
      </c>
      <c r="J891" s="111">
        <v>145</v>
      </c>
      <c r="K891" s="111">
        <f t="shared" si="119"/>
        <v>135.33333333333334</v>
      </c>
      <c r="L891" s="111">
        <v>150000</v>
      </c>
      <c r="M891" s="111">
        <f t="shared" si="120"/>
        <v>67500</v>
      </c>
      <c r="N891" s="111">
        <f t="shared" si="121"/>
        <v>67500</v>
      </c>
      <c r="O891" s="111">
        <f t="shared" si="122"/>
        <v>13500</v>
      </c>
      <c r="P891" s="111">
        <f t="shared" si="123"/>
        <v>15000</v>
      </c>
      <c r="Q891" s="111">
        <v>30000</v>
      </c>
      <c r="R891" s="111">
        <v>3</v>
      </c>
      <c r="S891" s="111">
        <f t="shared" si="124"/>
        <v>3000</v>
      </c>
      <c r="T891" s="111">
        <f t="shared" si="125"/>
        <v>180000</v>
      </c>
      <c r="U891" s="111">
        <f t="shared" si="126"/>
        <v>1800</v>
      </c>
      <c r="V891" s="111">
        <f t="shared" si="127"/>
        <v>181800</v>
      </c>
      <c r="W891" t="s">
        <v>3350</v>
      </c>
    </row>
    <row r="892" spans="1:23" x14ac:dyDescent="0.3">
      <c r="A892" s="110">
        <v>1301610</v>
      </c>
      <c r="B892" s="110" t="s">
        <v>1079</v>
      </c>
      <c r="C892" s="110" t="s">
        <v>1098</v>
      </c>
      <c r="D892" s="110" t="s">
        <v>1105</v>
      </c>
      <c r="E892" s="110" t="s">
        <v>399</v>
      </c>
      <c r="F892" s="110" t="s">
        <v>113</v>
      </c>
      <c r="G892" s="110" t="s">
        <v>114</v>
      </c>
      <c r="H892" s="111">
        <v>83</v>
      </c>
      <c r="I892" s="111">
        <v>83</v>
      </c>
      <c r="J892" s="111">
        <v>77</v>
      </c>
      <c r="K892" s="111">
        <f t="shared" si="119"/>
        <v>81</v>
      </c>
      <c r="L892" s="111">
        <v>150000</v>
      </c>
      <c r="M892" s="111">
        <f t="shared" si="120"/>
        <v>67500</v>
      </c>
      <c r="N892" s="111">
        <f t="shared" si="121"/>
        <v>67500</v>
      </c>
      <c r="O892" s="111">
        <f t="shared" si="122"/>
        <v>13500</v>
      </c>
      <c r="P892" s="111">
        <f t="shared" si="123"/>
        <v>15000</v>
      </c>
      <c r="Q892" s="111">
        <v>30000</v>
      </c>
      <c r="R892" s="111">
        <v>3</v>
      </c>
      <c r="S892" s="111">
        <f t="shared" si="124"/>
        <v>3000</v>
      </c>
      <c r="T892" s="111">
        <f t="shared" si="125"/>
        <v>180000</v>
      </c>
      <c r="U892" s="111">
        <f t="shared" si="126"/>
        <v>1800</v>
      </c>
      <c r="V892" s="111">
        <f t="shared" si="127"/>
        <v>181800</v>
      </c>
      <c r="W892" t="s">
        <v>3351</v>
      </c>
    </row>
    <row r="893" spans="1:23" x14ac:dyDescent="0.3">
      <c r="A893" s="110">
        <v>1301628</v>
      </c>
      <c r="B893" s="110" t="s">
        <v>1079</v>
      </c>
      <c r="C893" s="110" t="s">
        <v>1098</v>
      </c>
      <c r="D893" s="110" t="s">
        <v>1106</v>
      </c>
      <c r="E893" s="110" t="s">
        <v>316</v>
      </c>
      <c r="F893" s="110" t="s">
        <v>168</v>
      </c>
      <c r="G893" s="110" t="s">
        <v>114</v>
      </c>
      <c r="H893" s="111">
        <v>155</v>
      </c>
      <c r="I893" s="111">
        <v>156</v>
      </c>
      <c r="J893" s="111">
        <v>152</v>
      </c>
      <c r="K893" s="111">
        <f t="shared" si="119"/>
        <v>154.33333333333334</v>
      </c>
      <c r="L893" s="111">
        <v>150000</v>
      </c>
      <c r="M893" s="111">
        <f t="shared" si="120"/>
        <v>67500</v>
      </c>
      <c r="N893" s="111">
        <f t="shared" si="121"/>
        <v>67500</v>
      </c>
      <c r="O893" s="111">
        <f t="shared" si="122"/>
        <v>13500</v>
      </c>
      <c r="P893" s="111">
        <f t="shared" si="123"/>
        <v>15000</v>
      </c>
      <c r="Q893" s="111">
        <v>30000</v>
      </c>
      <c r="R893" s="111">
        <v>3</v>
      </c>
      <c r="S893" s="111">
        <f t="shared" si="124"/>
        <v>3000</v>
      </c>
      <c r="T893" s="111">
        <f t="shared" si="125"/>
        <v>180000</v>
      </c>
      <c r="U893" s="111">
        <f t="shared" si="126"/>
        <v>1800</v>
      </c>
      <c r="V893" s="111">
        <f t="shared" si="127"/>
        <v>181800</v>
      </c>
      <c r="W893" t="s">
        <v>3352</v>
      </c>
    </row>
    <row r="894" spans="1:23" x14ac:dyDescent="0.3">
      <c r="A894" s="110">
        <v>1301654</v>
      </c>
      <c r="B894" s="110" t="s">
        <v>1079</v>
      </c>
      <c r="C894" s="110" t="s">
        <v>1079</v>
      </c>
      <c r="D894" s="110" t="s">
        <v>1107</v>
      </c>
      <c r="E894" s="110" t="s">
        <v>1108</v>
      </c>
      <c r="F894" s="110" t="s">
        <v>209</v>
      </c>
      <c r="G894" s="110" t="s">
        <v>114</v>
      </c>
      <c r="H894" s="111">
        <v>93</v>
      </c>
      <c r="I894" s="111">
        <v>85</v>
      </c>
      <c r="J894" s="111">
        <v>84</v>
      </c>
      <c r="K894" s="111">
        <f t="shared" si="119"/>
        <v>87.333333333333329</v>
      </c>
      <c r="L894" s="111">
        <v>150000</v>
      </c>
      <c r="M894" s="111">
        <f t="shared" si="120"/>
        <v>67500</v>
      </c>
      <c r="N894" s="111">
        <f t="shared" si="121"/>
        <v>67500</v>
      </c>
      <c r="O894" s="111">
        <f t="shared" si="122"/>
        <v>13500</v>
      </c>
      <c r="P894" s="111">
        <f t="shared" si="123"/>
        <v>15000</v>
      </c>
      <c r="Q894" s="111">
        <v>30000</v>
      </c>
      <c r="R894" s="111">
        <v>3</v>
      </c>
      <c r="S894" s="111">
        <f t="shared" si="124"/>
        <v>3000</v>
      </c>
      <c r="T894" s="111">
        <f t="shared" si="125"/>
        <v>180000</v>
      </c>
      <c r="U894" s="111">
        <f t="shared" si="126"/>
        <v>1800</v>
      </c>
      <c r="V894" s="111">
        <f t="shared" si="127"/>
        <v>181800</v>
      </c>
      <c r="W894" t="s">
        <v>3353</v>
      </c>
    </row>
    <row r="895" spans="1:23" x14ac:dyDescent="0.3">
      <c r="A895" s="110">
        <v>1301674</v>
      </c>
      <c r="B895" s="110" t="s">
        <v>1079</v>
      </c>
      <c r="C895" s="110" t="s">
        <v>1098</v>
      </c>
      <c r="D895" s="110" t="s">
        <v>1098</v>
      </c>
      <c r="E895" s="110" t="s">
        <v>329</v>
      </c>
      <c r="F895" s="110" t="s">
        <v>119</v>
      </c>
      <c r="G895" s="110" t="s">
        <v>114</v>
      </c>
      <c r="H895" s="111">
        <v>734</v>
      </c>
      <c r="I895" s="111">
        <v>724</v>
      </c>
      <c r="J895" s="111">
        <v>692</v>
      </c>
      <c r="K895" s="111">
        <f t="shared" si="119"/>
        <v>716.66666666666663</v>
      </c>
      <c r="L895" s="111">
        <f>300000*0.7</f>
        <v>210000</v>
      </c>
      <c r="M895" s="111">
        <f t="shared" si="120"/>
        <v>94500</v>
      </c>
      <c r="N895" s="111">
        <f t="shared" si="121"/>
        <v>94500</v>
      </c>
      <c r="O895" s="111">
        <f t="shared" si="122"/>
        <v>18900</v>
      </c>
      <c r="P895" s="111">
        <f t="shared" si="123"/>
        <v>21000</v>
      </c>
      <c r="Q895" s="111">
        <v>60000</v>
      </c>
      <c r="R895" s="111">
        <v>6</v>
      </c>
      <c r="S895" s="111">
        <f t="shared" si="124"/>
        <v>6000</v>
      </c>
      <c r="T895" s="111">
        <f t="shared" si="125"/>
        <v>270000</v>
      </c>
      <c r="U895" s="111">
        <f t="shared" si="126"/>
        <v>2700</v>
      </c>
      <c r="V895" s="111">
        <f t="shared" si="127"/>
        <v>272700</v>
      </c>
      <c r="W895" t="s">
        <v>3354</v>
      </c>
    </row>
    <row r="896" spans="1:23" x14ac:dyDescent="0.3">
      <c r="A896" s="110">
        <v>1301699</v>
      </c>
      <c r="B896" s="110" t="s">
        <v>1079</v>
      </c>
      <c r="C896" s="110" t="s">
        <v>1098</v>
      </c>
      <c r="D896" s="110" t="s">
        <v>1098</v>
      </c>
      <c r="E896" s="110" t="s">
        <v>381</v>
      </c>
      <c r="F896" s="110" t="s">
        <v>113</v>
      </c>
      <c r="G896" s="110" t="s">
        <v>114</v>
      </c>
      <c r="H896" s="111">
        <v>246</v>
      </c>
      <c r="I896" s="111">
        <v>244</v>
      </c>
      <c r="J896" s="111">
        <v>235</v>
      </c>
      <c r="K896" s="111">
        <f t="shared" si="119"/>
        <v>241.66666666666666</v>
      </c>
      <c r="L896" s="111">
        <v>200000</v>
      </c>
      <c r="M896" s="111">
        <f t="shared" si="120"/>
        <v>90000</v>
      </c>
      <c r="N896" s="111">
        <f t="shared" si="121"/>
        <v>90000</v>
      </c>
      <c r="O896" s="111">
        <f t="shared" si="122"/>
        <v>18000</v>
      </c>
      <c r="P896" s="111">
        <f t="shared" si="123"/>
        <v>20000</v>
      </c>
      <c r="Q896" s="111">
        <v>50000</v>
      </c>
      <c r="R896" s="111">
        <v>5</v>
      </c>
      <c r="S896" s="111">
        <f t="shared" si="124"/>
        <v>5000</v>
      </c>
      <c r="T896" s="111">
        <f t="shared" si="125"/>
        <v>250000</v>
      </c>
      <c r="U896" s="111">
        <f t="shared" si="126"/>
        <v>2500</v>
      </c>
      <c r="V896" s="111">
        <f t="shared" si="127"/>
        <v>252500</v>
      </c>
      <c r="W896" t="s">
        <v>3355</v>
      </c>
    </row>
    <row r="897" spans="1:23" x14ac:dyDescent="0.3">
      <c r="A897" s="110">
        <v>1301707</v>
      </c>
      <c r="B897" s="110" t="s">
        <v>1079</v>
      </c>
      <c r="C897" s="110" t="s">
        <v>1098</v>
      </c>
      <c r="D897" s="110" t="s">
        <v>1098</v>
      </c>
      <c r="E897" s="110" t="s">
        <v>313</v>
      </c>
      <c r="F897" s="110" t="s">
        <v>113</v>
      </c>
      <c r="G897" s="110" t="s">
        <v>114</v>
      </c>
      <c r="H897" s="111">
        <v>157</v>
      </c>
      <c r="I897" s="111">
        <v>157</v>
      </c>
      <c r="J897" s="111">
        <v>147</v>
      </c>
      <c r="K897" s="111">
        <f t="shared" si="119"/>
        <v>153.66666666666666</v>
      </c>
      <c r="L897" s="111">
        <v>150000</v>
      </c>
      <c r="M897" s="111">
        <f t="shared" si="120"/>
        <v>67500</v>
      </c>
      <c r="N897" s="111">
        <f t="shared" si="121"/>
        <v>67500</v>
      </c>
      <c r="O897" s="111">
        <f t="shared" si="122"/>
        <v>13500</v>
      </c>
      <c r="P897" s="111">
        <f t="shared" si="123"/>
        <v>15000</v>
      </c>
      <c r="Q897" s="111">
        <v>30000</v>
      </c>
      <c r="R897" s="111">
        <v>3</v>
      </c>
      <c r="S897" s="111">
        <f t="shared" si="124"/>
        <v>3000</v>
      </c>
      <c r="T897" s="111">
        <f t="shared" si="125"/>
        <v>180000</v>
      </c>
      <c r="U897" s="111">
        <f t="shared" si="126"/>
        <v>1800</v>
      </c>
      <c r="V897" s="111">
        <f t="shared" si="127"/>
        <v>181800</v>
      </c>
      <c r="W897" t="s">
        <v>3356</v>
      </c>
    </row>
    <row r="898" spans="1:23" x14ac:dyDescent="0.3">
      <c r="A898" s="110">
        <v>1301717</v>
      </c>
      <c r="B898" s="110" t="s">
        <v>1079</v>
      </c>
      <c r="C898" s="110" t="s">
        <v>1079</v>
      </c>
      <c r="D898" s="110" t="s">
        <v>1079</v>
      </c>
      <c r="E898" s="110" t="s">
        <v>1109</v>
      </c>
      <c r="F898" s="110" t="s">
        <v>113</v>
      </c>
      <c r="G898" s="110" t="s">
        <v>114</v>
      </c>
      <c r="H898" s="111">
        <v>562</v>
      </c>
      <c r="I898" s="111">
        <v>534</v>
      </c>
      <c r="J898" s="111">
        <v>515</v>
      </c>
      <c r="K898" s="111">
        <f t="shared" ref="K898:K961" si="128">+(H898+I898+J898)/3</f>
        <v>537</v>
      </c>
      <c r="L898" s="111">
        <f>300000</f>
        <v>300000</v>
      </c>
      <c r="M898" s="111">
        <f t="shared" ref="M898:M961" si="129">+L898*0.45</f>
        <v>135000</v>
      </c>
      <c r="N898" s="111">
        <f t="shared" ref="N898:N961" si="130">+L898*0.45</f>
        <v>135000</v>
      </c>
      <c r="O898" s="111">
        <f t="shared" ref="O898:O961" si="131">+N898*0.2</f>
        <v>27000</v>
      </c>
      <c r="P898" s="111">
        <f t="shared" ref="P898:P961" si="132">++L898*0.1</f>
        <v>30000</v>
      </c>
      <c r="Q898" s="111">
        <v>60000</v>
      </c>
      <c r="R898" s="111">
        <v>6</v>
      </c>
      <c r="S898" s="111">
        <f t="shared" ref="S898:S961" si="133">+Q898*0.1</f>
        <v>6000</v>
      </c>
      <c r="T898" s="111">
        <f t="shared" ref="T898:T961" si="134">+L898+Q898</f>
        <v>360000</v>
      </c>
      <c r="U898" s="111">
        <f t="shared" ref="U898:U961" si="135">+T898*0.01</f>
        <v>3600</v>
      </c>
      <c r="V898" s="111">
        <f t="shared" ref="V898:V961" si="136">+T898+U898</f>
        <v>363600</v>
      </c>
      <c r="W898" t="s">
        <v>3357</v>
      </c>
    </row>
    <row r="899" spans="1:23" x14ac:dyDescent="0.3">
      <c r="A899" s="110">
        <v>1301724</v>
      </c>
      <c r="B899" s="110" t="s">
        <v>1079</v>
      </c>
      <c r="C899" s="110" t="s">
        <v>1079</v>
      </c>
      <c r="D899" s="110" t="s">
        <v>1079</v>
      </c>
      <c r="E899" s="110" t="s">
        <v>1110</v>
      </c>
      <c r="F899" s="110" t="s">
        <v>113</v>
      </c>
      <c r="G899" s="110" t="s">
        <v>114</v>
      </c>
      <c r="H899" s="111">
        <v>191</v>
      </c>
      <c r="I899" s="111">
        <v>179</v>
      </c>
      <c r="J899" s="111">
        <v>166</v>
      </c>
      <c r="K899" s="111">
        <f t="shared" si="128"/>
        <v>178.66666666666666</v>
      </c>
      <c r="L899" s="111">
        <v>150000</v>
      </c>
      <c r="M899" s="111">
        <f t="shared" si="129"/>
        <v>67500</v>
      </c>
      <c r="N899" s="111">
        <f t="shared" si="130"/>
        <v>67500</v>
      </c>
      <c r="O899" s="111">
        <f t="shared" si="131"/>
        <v>13500</v>
      </c>
      <c r="P899" s="111">
        <f t="shared" si="132"/>
        <v>15000</v>
      </c>
      <c r="Q899" s="111">
        <v>30000</v>
      </c>
      <c r="R899" s="111">
        <v>3</v>
      </c>
      <c r="S899" s="111">
        <f t="shared" si="133"/>
        <v>3000</v>
      </c>
      <c r="T899" s="111">
        <f t="shared" si="134"/>
        <v>180000</v>
      </c>
      <c r="U899" s="111">
        <f t="shared" si="135"/>
        <v>1800</v>
      </c>
      <c r="V899" s="111">
        <f t="shared" si="136"/>
        <v>181800</v>
      </c>
      <c r="W899" t="s">
        <v>3358</v>
      </c>
    </row>
    <row r="900" spans="1:23" x14ac:dyDescent="0.3">
      <c r="A900" s="110">
        <v>1301731</v>
      </c>
      <c r="B900" s="110" t="s">
        <v>1079</v>
      </c>
      <c r="C900" s="110" t="s">
        <v>1111</v>
      </c>
      <c r="D900" s="110" t="s">
        <v>1111</v>
      </c>
      <c r="E900" s="110" t="s">
        <v>944</v>
      </c>
      <c r="F900" s="110" t="s">
        <v>113</v>
      </c>
      <c r="G900" s="110" t="s">
        <v>114</v>
      </c>
      <c r="H900" s="111">
        <v>401</v>
      </c>
      <c r="I900" s="111">
        <v>383</v>
      </c>
      <c r="J900" s="111">
        <v>371</v>
      </c>
      <c r="K900" s="111">
        <f t="shared" si="128"/>
        <v>385</v>
      </c>
      <c r="L900" s="111">
        <f>200000*0.7</f>
        <v>140000</v>
      </c>
      <c r="M900" s="111">
        <f t="shared" si="129"/>
        <v>63000</v>
      </c>
      <c r="N900" s="111">
        <f t="shared" si="130"/>
        <v>63000</v>
      </c>
      <c r="O900" s="111">
        <f t="shared" si="131"/>
        <v>12600</v>
      </c>
      <c r="P900" s="111">
        <f t="shared" si="132"/>
        <v>14000</v>
      </c>
      <c r="Q900" s="111">
        <v>50000</v>
      </c>
      <c r="R900" s="111">
        <v>5</v>
      </c>
      <c r="S900" s="111">
        <f t="shared" si="133"/>
        <v>5000</v>
      </c>
      <c r="T900" s="111">
        <f t="shared" si="134"/>
        <v>190000</v>
      </c>
      <c r="U900" s="111">
        <f t="shared" si="135"/>
        <v>1900</v>
      </c>
      <c r="V900" s="111">
        <f t="shared" si="136"/>
        <v>191900</v>
      </c>
      <c r="W900" t="s">
        <v>3359</v>
      </c>
    </row>
    <row r="901" spans="1:23" x14ac:dyDescent="0.3">
      <c r="A901" s="110">
        <v>1301749</v>
      </c>
      <c r="B901" s="110" t="s">
        <v>1079</v>
      </c>
      <c r="C901" s="110" t="s">
        <v>1111</v>
      </c>
      <c r="D901" s="110" t="s">
        <v>1111</v>
      </c>
      <c r="E901" s="110" t="s">
        <v>1112</v>
      </c>
      <c r="F901" s="110" t="s">
        <v>113</v>
      </c>
      <c r="G901" s="110" t="s">
        <v>114</v>
      </c>
      <c r="H901" s="111">
        <v>212</v>
      </c>
      <c r="I901" s="111">
        <v>209</v>
      </c>
      <c r="J901" s="111">
        <v>218</v>
      </c>
      <c r="K901" s="111">
        <f t="shared" si="128"/>
        <v>213</v>
      </c>
      <c r="L901" s="111">
        <v>200000</v>
      </c>
      <c r="M901" s="111">
        <f t="shared" si="129"/>
        <v>90000</v>
      </c>
      <c r="N901" s="111">
        <f t="shared" si="130"/>
        <v>90000</v>
      </c>
      <c r="O901" s="111">
        <f t="shared" si="131"/>
        <v>18000</v>
      </c>
      <c r="P901" s="111">
        <f t="shared" si="132"/>
        <v>20000</v>
      </c>
      <c r="Q901" s="111">
        <v>50000</v>
      </c>
      <c r="R901" s="111">
        <v>5</v>
      </c>
      <c r="S901" s="111">
        <f t="shared" si="133"/>
        <v>5000</v>
      </c>
      <c r="T901" s="111">
        <f t="shared" si="134"/>
        <v>250000</v>
      </c>
      <c r="U901" s="111">
        <f t="shared" si="135"/>
        <v>2500</v>
      </c>
      <c r="V901" s="111">
        <f t="shared" si="136"/>
        <v>252500</v>
      </c>
      <c r="W901" t="s">
        <v>3360</v>
      </c>
    </row>
    <row r="902" spans="1:23" x14ac:dyDescent="0.3">
      <c r="A902" s="110">
        <v>1301763</v>
      </c>
      <c r="B902" s="110" t="s">
        <v>1079</v>
      </c>
      <c r="C902" s="110" t="s">
        <v>1083</v>
      </c>
      <c r="D902" s="110" t="s">
        <v>1083</v>
      </c>
      <c r="E902" s="110" t="s">
        <v>558</v>
      </c>
      <c r="F902" s="110" t="s">
        <v>113</v>
      </c>
      <c r="G902" s="110" t="s">
        <v>114</v>
      </c>
      <c r="H902" s="111">
        <v>151</v>
      </c>
      <c r="I902" s="111">
        <v>131</v>
      </c>
      <c r="J902" s="111">
        <v>107</v>
      </c>
      <c r="K902" s="111">
        <f t="shared" si="128"/>
        <v>129.66666666666666</v>
      </c>
      <c r="L902" s="111">
        <v>150000</v>
      </c>
      <c r="M902" s="111">
        <f t="shared" si="129"/>
        <v>67500</v>
      </c>
      <c r="N902" s="111">
        <f t="shared" si="130"/>
        <v>67500</v>
      </c>
      <c r="O902" s="111">
        <f t="shared" si="131"/>
        <v>13500</v>
      </c>
      <c r="P902" s="111">
        <f t="shared" si="132"/>
        <v>15000</v>
      </c>
      <c r="Q902" s="111">
        <v>30000</v>
      </c>
      <c r="R902" s="111">
        <v>3</v>
      </c>
      <c r="S902" s="111">
        <f t="shared" si="133"/>
        <v>3000</v>
      </c>
      <c r="T902" s="111">
        <f t="shared" si="134"/>
        <v>180000</v>
      </c>
      <c r="U902" s="111">
        <f t="shared" si="135"/>
        <v>1800</v>
      </c>
      <c r="V902" s="111">
        <f t="shared" si="136"/>
        <v>181800</v>
      </c>
      <c r="W902" t="s">
        <v>3361</v>
      </c>
    </row>
    <row r="903" spans="1:23" x14ac:dyDescent="0.3">
      <c r="A903" s="110">
        <v>1301770</v>
      </c>
      <c r="B903" s="110" t="s">
        <v>1079</v>
      </c>
      <c r="C903" s="110" t="s">
        <v>1084</v>
      </c>
      <c r="D903" s="110" t="s">
        <v>1084</v>
      </c>
      <c r="E903" s="110" t="s">
        <v>274</v>
      </c>
      <c r="F903" s="110" t="s">
        <v>119</v>
      </c>
      <c r="G903" s="110" t="s">
        <v>114</v>
      </c>
      <c r="H903" s="111">
        <v>597</v>
      </c>
      <c r="I903" s="111">
        <v>592</v>
      </c>
      <c r="J903" s="111">
        <v>553</v>
      </c>
      <c r="K903" s="111">
        <f t="shared" si="128"/>
        <v>580.66666666666663</v>
      </c>
      <c r="L903" s="111">
        <f>300000</f>
        <v>300000</v>
      </c>
      <c r="M903" s="111">
        <f t="shared" si="129"/>
        <v>135000</v>
      </c>
      <c r="N903" s="111">
        <f t="shared" si="130"/>
        <v>135000</v>
      </c>
      <c r="O903" s="111">
        <f t="shared" si="131"/>
        <v>27000</v>
      </c>
      <c r="P903" s="111">
        <f t="shared" si="132"/>
        <v>30000</v>
      </c>
      <c r="Q903" s="111">
        <v>60000</v>
      </c>
      <c r="R903" s="111">
        <v>6</v>
      </c>
      <c r="S903" s="111">
        <f t="shared" si="133"/>
        <v>6000</v>
      </c>
      <c r="T903" s="111">
        <f t="shared" si="134"/>
        <v>360000</v>
      </c>
      <c r="U903" s="111">
        <f t="shared" si="135"/>
        <v>3600</v>
      </c>
      <c r="V903" s="111">
        <f t="shared" si="136"/>
        <v>363600</v>
      </c>
      <c r="W903" t="s">
        <v>3362</v>
      </c>
    </row>
    <row r="904" spans="1:23" x14ac:dyDescent="0.3">
      <c r="A904" s="110">
        <v>1301788</v>
      </c>
      <c r="B904" s="110" t="s">
        <v>1079</v>
      </c>
      <c r="C904" s="110" t="s">
        <v>1087</v>
      </c>
      <c r="D904" s="110" t="s">
        <v>1087</v>
      </c>
      <c r="E904" s="110" t="s">
        <v>272</v>
      </c>
      <c r="F904" s="110" t="s">
        <v>119</v>
      </c>
      <c r="G904" s="110" t="s">
        <v>114</v>
      </c>
      <c r="H904" s="111">
        <v>435</v>
      </c>
      <c r="I904" s="111">
        <v>446</v>
      </c>
      <c r="J904" s="111">
        <v>462</v>
      </c>
      <c r="K904" s="111">
        <f t="shared" si="128"/>
        <v>447.66666666666669</v>
      </c>
      <c r="L904" s="111">
        <f>300000</f>
        <v>300000</v>
      </c>
      <c r="M904" s="111">
        <f t="shared" si="129"/>
        <v>135000</v>
      </c>
      <c r="N904" s="111">
        <f t="shared" si="130"/>
        <v>135000</v>
      </c>
      <c r="O904" s="111">
        <f t="shared" si="131"/>
        <v>27000</v>
      </c>
      <c r="P904" s="111">
        <f t="shared" si="132"/>
        <v>30000</v>
      </c>
      <c r="Q904" s="111">
        <v>60000</v>
      </c>
      <c r="R904" s="111">
        <v>6</v>
      </c>
      <c r="S904" s="111">
        <f t="shared" si="133"/>
        <v>6000</v>
      </c>
      <c r="T904" s="111">
        <f t="shared" si="134"/>
        <v>360000</v>
      </c>
      <c r="U904" s="111">
        <f t="shared" si="135"/>
        <v>3600</v>
      </c>
      <c r="V904" s="111">
        <f t="shared" si="136"/>
        <v>363600</v>
      </c>
      <c r="W904" t="s">
        <v>3363</v>
      </c>
    </row>
    <row r="905" spans="1:23" x14ac:dyDescent="0.3">
      <c r="A905" s="110">
        <v>1301806</v>
      </c>
      <c r="B905" s="110" t="s">
        <v>1079</v>
      </c>
      <c r="C905" s="110" t="s">
        <v>1087</v>
      </c>
      <c r="D905" s="110" t="s">
        <v>1113</v>
      </c>
      <c r="E905" s="110" t="s">
        <v>406</v>
      </c>
      <c r="F905" s="110" t="s">
        <v>113</v>
      </c>
      <c r="G905" s="110" t="s">
        <v>114</v>
      </c>
      <c r="H905" s="111">
        <v>69</v>
      </c>
      <c r="I905" s="111">
        <v>58</v>
      </c>
      <c r="J905" s="111">
        <v>54</v>
      </c>
      <c r="K905" s="111">
        <f t="shared" si="128"/>
        <v>60.333333333333336</v>
      </c>
      <c r="L905" s="111">
        <v>150000</v>
      </c>
      <c r="M905" s="111">
        <f t="shared" si="129"/>
        <v>67500</v>
      </c>
      <c r="N905" s="111">
        <f t="shared" si="130"/>
        <v>67500</v>
      </c>
      <c r="O905" s="111">
        <f t="shared" si="131"/>
        <v>13500</v>
      </c>
      <c r="P905" s="111">
        <f t="shared" si="132"/>
        <v>15000</v>
      </c>
      <c r="Q905" s="111">
        <v>30000</v>
      </c>
      <c r="R905" s="111">
        <v>3</v>
      </c>
      <c r="S905" s="111">
        <f t="shared" si="133"/>
        <v>3000</v>
      </c>
      <c r="T905" s="111">
        <f t="shared" si="134"/>
        <v>180000</v>
      </c>
      <c r="U905" s="111">
        <f t="shared" si="135"/>
        <v>1800</v>
      </c>
      <c r="V905" s="111">
        <f t="shared" si="136"/>
        <v>181800</v>
      </c>
      <c r="W905" t="s">
        <v>3364</v>
      </c>
    </row>
    <row r="906" spans="1:23" x14ac:dyDescent="0.3">
      <c r="A906" s="110">
        <v>1301810</v>
      </c>
      <c r="B906" s="110" t="s">
        <v>1079</v>
      </c>
      <c r="C906" s="110" t="s">
        <v>1087</v>
      </c>
      <c r="D906" s="110" t="s">
        <v>1114</v>
      </c>
      <c r="E906" s="110" t="s">
        <v>1115</v>
      </c>
      <c r="F906" s="110" t="s">
        <v>113</v>
      </c>
      <c r="G906" s="110" t="s">
        <v>114</v>
      </c>
      <c r="H906" s="111">
        <v>97</v>
      </c>
      <c r="I906" s="111">
        <v>101</v>
      </c>
      <c r="J906" s="111">
        <v>98</v>
      </c>
      <c r="K906" s="111">
        <f t="shared" si="128"/>
        <v>98.666666666666671</v>
      </c>
      <c r="L906" s="111">
        <v>150000</v>
      </c>
      <c r="M906" s="111">
        <f t="shared" si="129"/>
        <v>67500</v>
      </c>
      <c r="N906" s="111">
        <f t="shared" si="130"/>
        <v>67500</v>
      </c>
      <c r="O906" s="111">
        <f t="shared" si="131"/>
        <v>13500</v>
      </c>
      <c r="P906" s="111">
        <f t="shared" si="132"/>
        <v>15000</v>
      </c>
      <c r="Q906" s="111">
        <v>30000</v>
      </c>
      <c r="R906" s="111">
        <v>3</v>
      </c>
      <c r="S906" s="111">
        <f t="shared" si="133"/>
        <v>3000</v>
      </c>
      <c r="T906" s="111">
        <f t="shared" si="134"/>
        <v>180000</v>
      </c>
      <c r="U906" s="111">
        <f t="shared" si="135"/>
        <v>1800</v>
      </c>
      <c r="V906" s="111">
        <f t="shared" si="136"/>
        <v>181800</v>
      </c>
      <c r="W906" t="s">
        <v>3365</v>
      </c>
    </row>
    <row r="907" spans="1:23" x14ac:dyDescent="0.3">
      <c r="A907" s="110">
        <v>1301811</v>
      </c>
      <c r="B907" s="110" t="s">
        <v>1079</v>
      </c>
      <c r="C907" s="110" t="s">
        <v>1098</v>
      </c>
      <c r="D907" s="110" t="s">
        <v>1098</v>
      </c>
      <c r="E907" s="110" t="s">
        <v>1116</v>
      </c>
      <c r="F907" s="110" t="s">
        <v>135</v>
      </c>
      <c r="G907" s="110" t="s">
        <v>125</v>
      </c>
      <c r="H907" s="111">
        <v>72</v>
      </c>
      <c r="I907" s="111">
        <v>70</v>
      </c>
      <c r="J907" s="111">
        <v>68</v>
      </c>
      <c r="K907" s="111">
        <f t="shared" si="128"/>
        <v>70</v>
      </c>
      <c r="L907" s="111">
        <v>150000</v>
      </c>
      <c r="M907" s="111">
        <f t="shared" si="129"/>
        <v>67500</v>
      </c>
      <c r="N907" s="111">
        <f t="shared" si="130"/>
        <v>67500</v>
      </c>
      <c r="O907" s="111">
        <f t="shared" si="131"/>
        <v>13500</v>
      </c>
      <c r="P907" s="111">
        <f t="shared" si="132"/>
        <v>15000</v>
      </c>
      <c r="Q907" s="111">
        <v>30000</v>
      </c>
      <c r="R907" s="111">
        <v>3</v>
      </c>
      <c r="S907" s="111">
        <f t="shared" si="133"/>
        <v>3000</v>
      </c>
      <c r="T907" s="111">
        <f t="shared" si="134"/>
        <v>180000</v>
      </c>
      <c r="U907" s="111">
        <f t="shared" si="135"/>
        <v>1800</v>
      </c>
      <c r="V907" s="111">
        <f t="shared" si="136"/>
        <v>181800</v>
      </c>
      <c r="W907" t="s">
        <v>3366</v>
      </c>
    </row>
    <row r="908" spans="1:23" x14ac:dyDescent="0.3">
      <c r="A908" s="110">
        <v>1301813</v>
      </c>
      <c r="B908" s="110" t="s">
        <v>1079</v>
      </c>
      <c r="C908" s="110" t="s">
        <v>1087</v>
      </c>
      <c r="D908" s="110" t="s">
        <v>1117</v>
      </c>
      <c r="E908" s="110" t="s">
        <v>353</v>
      </c>
      <c r="F908" s="110" t="s">
        <v>113</v>
      </c>
      <c r="G908" s="110" t="s">
        <v>114</v>
      </c>
      <c r="H908" s="111">
        <v>71</v>
      </c>
      <c r="I908" s="111">
        <v>89</v>
      </c>
      <c r="J908" s="111">
        <v>86</v>
      </c>
      <c r="K908" s="111">
        <f t="shared" si="128"/>
        <v>82</v>
      </c>
      <c r="L908" s="111">
        <v>150000</v>
      </c>
      <c r="M908" s="111">
        <f t="shared" si="129"/>
        <v>67500</v>
      </c>
      <c r="N908" s="111">
        <f t="shared" si="130"/>
        <v>67500</v>
      </c>
      <c r="O908" s="111">
        <f t="shared" si="131"/>
        <v>13500</v>
      </c>
      <c r="P908" s="111">
        <f t="shared" si="132"/>
        <v>15000</v>
      </c>
      <c r="Q908" s="111">
        <v>30000</v>
      </c>
      <c r="R908" s="111">
        <v>3</v>
      </c>
      <c r="S908" s="111">
        <f t="shared" si="133"/>
        <v>3000</v>
      </c>
      <c r="T908" s="111">
        <f t="shared" si="134"/>
        <v>180000</v>
      </c>
      <c r="U908" s="111">
        <f t="shared" si="135"/>
        <v>1800</v>
      </c>
      <c r="V908" s="111">
        <f t="shared" si="136"/>
        <v>181800</v>
      </c>
      <c r="W908" t="s">
        <v>3367</v>
      </c>
    </row>
    <row r="909" spans="1:23" x14ac:dyDescent="0.3">
      <c r="A909" s="110">
        <v>1301838</v>
      </c>
      <c r="B909" s="110" t="s">
        <v>1079</v>
      </c>
      <c r="C909" s="110" t="s">
        <v>1087</v>
      </c>
      <c r="D909" s="110" t="s">
        <v>1118</v>
      </c>
      <c r="E909" s="110" t="s">
        <v>172</v>
      </c>
      <c r="F909" s="110" t="s">
        <v>168</v>
      </c>
      <c r="G909" s="110" t="s">
        <v>114</v>
      </c>
      <c r="H909" s="111">
        <v>312</v>
      </c>
      <c r="I909" s="111">
        <v>270</v>
      </c>
      <c r="J909" s="111">
        <v>256</v>
      </c>
      <c r="K909" s="111">
        <f t="shared" si="128"/>
        <v>279.33333333333331</v>
      </c>
      <c r="L909" s="111">
        <v>200000</v>
      </c>
      <c r="M909" s="111">
        <f t="shared" si="129"/>
        <v>90000</v>
      </c>
      <c r="N909" s="111">
        <f t="shared" si="130"/>
        <v>90000</v>
      </c>
      <c r="O909" s="111">
        <f t="shared" si="131"/>
        <v>18000</v>
      </c>
      <c r="P909" s="111">
        <f t="shared" si="132"/>
        <v>20000</v>
      </c>
      <c r="Q909" s="111">
        <v>50000</v>
      </c>
      <c r="R909" s="111">
        <v>5</v>
      </c>
      <c r="S909" s="111">
        <f t="shared" si="133"/>
        <v>5000</v>
      </c>
      <c r="T909" s="111">
        <f t="shared" si="134"/>
        <v>250000</v>
      </c>
      <c r="U909" s="111">
        <f t="shared" si="135"/>
        <v>2500</v>
      </c>
      <c r="V909" s="111">
        <f t="shared" si="136"/>
        <v>252500</v>
      </c>
      <c r="W909" t="s">
        <v>3368</v>
      </c>
    </row>
    <row r="910" spans="1:23" x14ac:dyDescent="0.3">
      <c r="A910" s="110">
        <v>1301852</v>
      </c>
      <c r="B910" s="110" t="s">
        <v>1079</v>
      </c>
      <c r="C910" s="110" t="s">
        <v>1098</v>
      </c>
      <c r="D910" s="110" t="s">
        <v>1119</v>
      </c>
      <c r="E910" s="110" t="s">
        <v>1120</v>
      </c>
      <c r="F910" s="110" t="s">
        <v>119</v>
      </c>
      <c r="G910" s="110" t="s">
        <v>114</v>
      </c>
      <c r="H910" s="111">
        <v>601</v>
      </c>
      <c r="I910" s="111">
        <v>611</v>
      </c>
      <c r="J910" s="111">
        <v>595</v>
      </c>
      <c r="K910" s="111">
        <f t="shared" si="128"/>
        <v>602.33333333333337</v>
      </c>
      <c r="L910" s="111">
        <f>300000</f>
        <v>300000</v>
      </c>
      <c r="M910" s="111">
        <f t="shared" si="129"/>
        <v>135000</v>
      </c>
      <c r="N910" s="111">
        <f t="shared" si="130"/>
        <v>135000</v>
      </c>
      <c r="O910" s="111">
        <f t="shared" si="131"/>
        <v>27000</v>
      </c>
      <c r="P910" s="111">
        <f t="shared" si="132"/>
        <v>30000</v>
      </c>
      <c r="Q910" s="111">
        <v>60000</v>
      </c>
      <c r="R910" s="111">
        <v>6</v>
      </c>
      <c r="S910" s="111">
        <f t="shared" si="133"/>
        <v>6000</v>
      </c>
      <c r="T910" s="111">
        <f t="shared" si="134"/>
        <v>360000</v>
      </c>
      <c r="U910" s="111">
        <f t="shared" si="135"/>
        <v>3600</v>
      </c>
      <c r="V910" s="111">
        <f t="shared" si="136"/>
        <v>363600</v>
      </c>
      <c r="W910" t="s">
        <v>3369</v>
      </c>
    </row>
    <row r="911" spans="1:23" x14ac:dyDescent="0.3">
      <c r="A911" s="110">
        <v>1301860</v>
      </c>
      <c r="B911" s="110" t="s">
        <v>1079</v>
      </c>
      <c r="C911" s="110" t="s">
        <v>1079</v>
      </c>
      <c r="D911" s="110" t="s">
        <v>1121</v>
      </c>
      <c r="E911" s="110" t="s">
        <v>319</v>
      </c>
      <c r="F911" s="110" t="s">
        <v>113</v>
      </c>
      <c r="G911" s="110" t="s">
        <v>114</v>
      </c>
      <c r="H911" s="111">
        <v>46</v>
      </c>
      <c r="I911" s="111">
        <v>47</v>
      </c>
      <c r="J911" s="111">
        <v>44</v>
      </c>
      <c r="K911" s="111">
        <f t="shared" si="128"/>
        <v>45.666666666666664</v>
      </c>
      <c r="L911" s="111">
        <v>50000</v>
      </c>
      <c r="M911" s="111">
        <f t="shared" si="129"/>
        <v>22500</v>
      </c>
      <c r="N911" s="111">
        <f t="shared" si="130"/>
        <v>22500</v>
      </c>
      <c r="O911" s="111">
        <f t="shared" si="131"/>
        <v>4500</v>
      </c>
      <c r="P911" s="111">
        <f t="shared" si="132"/>
        <v>5000</v>
      </c>
      <c r="Q911" s="111">
        <v>10000</v>
      </c>
      <c r="R911" s="111">
        <v>1</v>
      </c>
      <c r="S911" s="111">
        <f t="shared" si="133"/>
        <v>1000</v>
      </c>
      <c r="T911" s="111">
        <f t="shared" si="134"/>
        <v>60000</v>
      </c>
      <c r="U911" s="111">
        <f t="shared" si="135"/>
        <v>600</v>
      </c>
      <c r="V911" s="111">
        <f t="shared" si="136"/>
        <v>60600</v>
      </c>
      <c r="W911" t="s">
        <v>3370</v>
      </c>
    </row>
    <row r="912" spans="1:23" x14ac:dyDescent="0.3">
      <c r="A912" s="110">
        <v>1301891</v>
      </c>
      <c r="B912" s="110" t="s">
        <v>1079</v>
      </c>
      <c r="C912" s="110" t="s">
        <v>1087</v>
      </c>
      <c r="D912" s="110" t="s">
        <v>1122</v>
      </c>
      <c r="E912" s="110" t="s">
        <v>482</v>
      </c>
      <c r="F912" s="110" t="s">
        <v>113</v>
      </c>
      <c r="G912" s="110" t="s">
        <v>114</v>
      </c>
      <c r="H912" s="111">
        <v>133</v>
      </c>
      <c r="I912" s="111">
        <v>134</v>
      </c>
      <c r="J912" s="111">
        <v>125</v>
      </c>
      <c r="K912" s="111">
        <f t="shared" si="128"/>
        <v>130.66666666666666</v>
      </c>
      <c r="L912" s="111">
        <v>150000</v>
      </c>
      <c r="M912" s="111">
        <f t="shared" si="129"/>
        <v>67500</v>
      </c>
      <c r="N912" s="111">
        <f t="shared" si="130"/>
        <v>67500</v>
      </c>
      <c r="O912" s="111">
        <f t="shared" si="131"/>
        <v>13500</v>
      </c>
      <c r="P912" s="111">
        <f t="shared" si="132"/>
        <v>15000</v>
      </c>
      <c r="Q912" s="111">
        <v>30000</v>
      </c>
      <c r="R912" s="111">
        <v>3</v>
      </c>
      <c r="S912" s="111">
        <f t="shared" si="133"/>
        <v>3000</v>
      </c>
      <c r="T912" s="111">
        <f t="shared" si="134"/>
        <v>180000</v>
      </c>
      <c r="U912" s="111">
        <f t="shared" si="135"/>
        <v>1800</v>
      </c>
      <c r="V912" s="111">
        <f t="shared" si="136"/>
        <v>181800</v>
      </c>
      <c r="W912" t="s">
        <v>3371</v>
      </c>
    </row>
    <row r="913" spans="1:23" x14ac:dyDescent="0.3">
      <c r="A913" s="110">
        <v>1301902</v>
      </c>
      <c r="B913" s="110" t="s">
        <v>1079</v>
      </c>
      <c r="C913" s="110" t="s">
        <v>1087</v>
      </c>
      <c r="D913" s="110" t="s">
        <v>1088</v>
      </c>
      <c r="E913" s="110" t="s">
        <v>1123</v>
      </c>
      <c r="F913" s="110" t="s">
        <v>113</v>
      </c>
      <c r="G913" s="110" t="s">
        <v>114</v>
      </c>
      <c r="H913" s="111">
        <v>41</v>
      </c>
      <c r="I913" s="111">
        <v>37</v>
      </c>
      <c r="J913" s="111">
        <v>43</v>
      </c>
      <c r="K913" s="111">
        <f t="shared" si="128"/>
        <v>40.333333333333336</v>
      </c>
      <c r="L913" s="111">
        <v>50000</v>
      </c>
      <c r="M913" s="111">
        <f t="shared" si="129"/>
        <v>22500</v>
      </c>
      <c r="N913" s="111">
        <f t="shared" si="130"/>
        <v>22500</v>
      </c>
      <c r="O913" s="111">
        <f t="shared" si="131"/>
        <v>4500</v>
      </c>
      <c r="P913" s="111">
        <f t="shared" si="132"/>
        <v>5000</v>
      </c>
      <c r="Q913" s="111">
        <v>10000</v>
      </c>
      <c r="R913" s="111">
        <v>1</v>
      </c>
      <c r="S913" s="111">
        <f t="shared" si="133"/>
        <v>1000</v>
      </c>
      <c r="T913" s="111">
        <f t="shared" si="134"/>
        <v>60000</v>
      </c>
      <c r="U913" s="111">
        <f t="shared" si="135"/>
        <v>600</v>
      </c>
      <c r="V913" s="111">
        <f t="shared" si="136"/>
        <v>60600</v>
      </c>
      <c r="W913" t="s">
        <v>3372</v>
      </c>
    </row>
    <row r="914" spans="1:23" x14ac:dyDescent="0.3">
      <c r="A914" s="110">
        <v>1301911</v>
      </c>
      <c r="B914" s="110" t="s">
        <v>1079</v>
      </c>
      <c r="C914" s="110" t="s">
        <v>1079</v>
      </c>
      <c r="D914" s="110" t="s">
        <v>1079</v>
      </c>
      <c r="E914" s="110" t="s">
        <v>1124</v>
      </c>
      <c r="F914" s="110" t="s">
        <v>117</v>
      </c>
      <c r="G914" s="110" t="s">
        <v>114</v>
      </c>
      <c r="H914" s="111">
        <v>453</v>
      </c>
      <c r="I914" s="111">
        <v>428</v>
      </c>
      <c r="J914" s="111">
        <v>444</v>
      </c>
      <c r="K914" s="111">
        <f t="shared" si="128"/>
        <v>441.66666666666669</v>
      </c>
      <c r="L914" s="111">
        <f>300000</f>
        <v>300000</v>
      </c>
      <c r="M914" s="111">
        <f t="shared" si="129"/>
        <v>135000</v>
      </c>
      <c r="N914" s="111">
        <f t="shared" si="130"/>
        <v>135000</v>
      </c>
      <c r="O914" s="111">
        <f t="shared" si="131"/>
        <v>27000</v>
      </c>
      <c r="P914" s="111">
        <f t="shared" si="132"/>
        <v>30000</v>
      </c>
      <c r="Q914" s="111">
        <v>60000</v>
      </c>
      <c r="R914" s="111">
        <v>6</v>
      </c>
      <c r="S914" s="111">
        <f t="shared" si="133"/>
        <v>6000</v>
      </c>
      <c r="T914" s="111">
        <f t="shared" si="134"/>
        <v>360000</v>
      </c>
      <c r="U914" s="111">
        <f t="shared" si="135"/>
        <v>3600</v>
      </c>
      <c r="V914" s="111">
        <f t="shared" si="136"/>
        <v>363600</v>
      </c>
      <c r="W914" t="s">
        <v>3373</v>
      </c>
    </row>
    <row r="915" spans="1:23" x14ac:dyDescent="0.3">
      <c r="A915" s="110">
        <v>1301980</v>
      </c>
      <c r="B915" s="110" t="s">
        <v>1079</v>
      </c>
      <c r="C915" s="110" t="s">
        <v>1079</v>
      </c>
      <c r="D915" s="110" t="s">
        <v>1125</v>
      </c>
      <c r="E915" s="110" t="s">
        <v>184</v>
      </c>
      <c r="F915" s="110" t="s">
        <v>113</v>
      </c>
      <c r="G915" s="110" t="s">
        <v>114</v>
      </c>
      <c r="H915" s="111">
        <v>65</v>
      </c>
      <c r="I915" s="111">
        <v>66</v>
      </c>
      <c r="J915" s="111">
        <v>61</v>
      </c>
      <c r="K915" s="111">
        <f t="shared" si="128"/>
        <v>64</v>
      </c>
      <c r="L915" s="111">
        <v>150000</v>
      </c>
      <c r="M915" s="111">
        <f t="shared" si="129"/>
        <v>67500</v>
      </c>
      <c r="N915" s="111">
        <f t="shared" si="130"/>
        <v>67500</v>
      </c>
      <c r="O915" s="111">
        <f t="shared" si="131"/>
        <v>13500</v>
      </c>
      <c r="P915" s="111">
        <f t="shared" si="132"/>
        <v>15000</v>
      </c>
      <c r="Q915" s="111">
        <v>30000</v>
      </c>
      <c r="R915" s="111">
        <v>3</v>
      </c>
      <c r="S915" s="111">
        <f t="shared" si="133"/>
        <v>3000</v>
      </c>
      <c r="T915" s="111">
        <f t="shared" si="134"/>
        <v>180000</v>
      </c>
      <c r="U915" s="111">
        <f t="shared" si="135"/>
        <v>1800</v>
      </c>
      <c r="V915" s="111">
        <f t="shared" si="136"/>
        <v>181800</v>
      </c>
      <c r="W915" t="s">
        <v>3374</v>
      </c>
    </row>
    <row r="916" spans="1:23" x14ac:dyDescent="0.3">
      <c r="A916" s="110">
        <v>1302025</v>
      </c>
      <c r="B916" s="110" t="s">
        <v>1079</v>
      </c>
      <c r="C916" s="110" t="s">
        <v>1079</v>
      </c>
      <c r="D916" s="110" t="s">
        <v>1126</v>
      </c>
      <c r="E916" s="110" t="s">
        <v>184</v>
      </c>
      <c r="F916" s="110" t="s">
        <v>113</v>
      </c>
      <c r="G916" s="110" t="s">
        <v>114</v>
      </c>
      <c r="H916" s="111">
        <v>96</v>
      </c>
      <c r="I916" s="111">
        <v>92</v>
      </c>
      <c r="J916" s="111">
        <v>89</v>
      </c>
      <c r="K916" s="111">
        <f t="shared" si="128"/>
        <v>92.333333333333329</v>
      </c>
      <c r="L916" s="111">
        <f>150000*0.7</f>
        <v>105000</v>
      </c>
      <c r="M916" s="111">
        <f t="shared" si="129"/>
        <v>47250</v>
      </c>
      <c r="N916" s="111">
        <f t="shared" si="130"/>
        <v>47250</v>
      </c>
      <c r="O916" s="111">
        <f t="shared" si="131"/>
        <v>9450</v>
      </c>
      <c r="P916" s="111">
        <f t="shared" si="132"/>
        <v>10500</v>
      </c>
      <c r="Q916" s="111">
        <v>30000</v>
      </c>
      <c r="R916" s="111">
        <v>3</v>
      </c>
      <c r="S916" s="111">
        <f t="shared" si="133"/>
        <v>3000</v>
      </c>
      <c r="T916" s="111">
        <f t="shared" si="134"/>
        <v>135000</v>
      </c>
      <c r="U916" s="111">
        <f t="shared" si="135"/>
        <v>1350</v>
      </c>
      <c r="V916" s="111">
        <f t="shared" si="136"/>
        <v>136350</v>
      </c>
      <c r="W916" t="s">
        <v>3375</v>
      </c>
    </row>
    <row r="917" spans="1:23" x14ac:dyDescent="0.3">
      <c r="A917" s="110">
        <v>1302032</v>
      </c>
      <c r="B917" s="110" t="s">
        <v>1079</v>
      </c>
      <c r="C917" s="110" t="s">
        <v>1079</v>
      </c>
      <c r="D917" s="110" t="s">
        <v>1127</v>
      </c>
      <c r="E917" s="110" t="s">
        <v>319</v>
      </c>
      <c r="F917" s="110" t="s">
        <v>113</v>
      </c>
      <c r="G917" s="110" t="s">
        <v>114</v>
      </c>
      <c r="H917" s="111">
        <v>95</v>
      </c>
      <c r="I917" s="111">
        <v>117</v>
      </c>
      <c r="J917" s="111">
        <v>130</v>
      </c>
      <c r="K917" s="111">
        <f t="shared" si="128"/>
        <v>114</v>
      </c>
      <c r="L917" s="111">
        <f>150000*0.7</f>
        <v>105000</v>
      </c>
      <c r="M917" s="111">
        <f t="shared" si="129"/>
        <v>47250</v>
      </c>
      <c r="N917" s="111">
        <f t="shared" si="130"/>
        <v>47250</v>
      </c>
      <c r="O917" s="111">
        <f t="shared" si="131"/>
        <v>9450</v>
      </c>
      <c r="P917" s="111">
        <f t="shared" si="132"/>
        <v>10500</v>
      </c>
      <c r="Q917" s="111">
        <v>30000</v>
      </c>
      <c r="R917" s="111">
        <v>3</v>
      </c>
      <c r="S917" s="111">
        <f t="shared" si="133"/>
        <v>3000</v>
      </c>
      <c r="T917" s="111">
        <f t="shared" si="134"/>
        <v>135000</v>
      </c>
      <c r="U917" s="111">
        <f t="shared" si="135"/>
        <v>1350</v>
      </c>
      <c r="V917" s="111">
        <f t="shared" si="136"/>
        <v>136350</v>
      </c>
      <c r="W917" t="s">
        <v>3376</v>
      </c>
    </row>
    <row r="918" spans="1:23" x14ac:dyDescent="0.3">
      <c r="A918" s="110">
        <v>1302043</v>
      </c>
      <c r="B918" s="110" t="s">
        <v>1079</v>
      </c>
      <c r="C918" s="110" t="s">
        <v>1079</v>
      </c>
      <c r="D918" s="110" t="s">
        <v>1128</v>
      </c>
      <c r="E918" s="110" t="s">
        <v>1129</v>
      </c>
      <c r="F918" s="110" t="s">
        <v>113</v>
      </c>
      <c r="G918" s="110" t="s">
        <v>114</v>
      </c>
      <c r="H918" s="111">
        <v>86</v>
      </c>
      <c r="I918" s="111">
        <v>93</v>
      </c>
      <c r="J918" s="111">
        <v>90</v>
      </c>
      <c r="K918" s="111">
        <f t="shared" si="128"/>
        <v>89.666666666666671</v>
      </c>
      <c r="L918" s="111">
        <v>150000</v>
      </c>
      <c r="M918" s="111">
        <f t="shared" si="129"/>
        <v>67500</v>
      </c>
      <c r="N918" s="111">
        <f t="shared" si="130"/>
        <v>67500</v>
      </c>
      <c r="O918" s="111">
        <f t="shared" si="131"/>
        <v>13500</v>
      </c>
      <c r="P918" s="111">
        <f t="shared" si="132"/>
        <v>15000</v>
      </c>
      <c r="Q918" s="111">
        <v>30000</v>
      </c>
      <c r="R918" s="111">
        <v>3</v>
      </c>
      <c r="S918" s="111">
        <f t="shared" si="133"/>
        <v>3000</v>
      </c>
      <c r="T918" s="111">
        <f t="shared" si="134"/>
        <v>180000</v>
      </c>
      <c r="U918" s="111">
        <f t="shared" si="135"/>
        <v>1800</v>
      </c>
      <c r="V918" s="111">
        <f t="shared" si="136"/>
        <v>181800</v>
      </c>
      <c r="W918" t="s">
        <v>3377</v>
      </c>
    </row>
    <row r="919" spans="1:23" x14ac:dyDescent="0.3">
      <c r="A919" s="110">
        <v>1302064</v>
      </c>
      <c r="B919" s="110" t="s">
        <v>1079</v>
      </c>
      <c r="C919" s="110" t="s">
        <v>1087</v>
      </c>
      <c r="D919" s="110" t="s">
        <v>1130</v>
      </c>
      <c r="E919" s="110" t="s">
        <v>1131</v>
      </c>
      <c r="F919" s="110" t="s">
        <v>113</v>
      </c>
      <c r="G919" s="110" t="s">
        <v>114</v>
      </c>
      <c r="H919" s="111">
        <v>92</v>
      </c>
      <c r="I919" s="111">
        <v>96</v>
      </c>
      <c r="J919" s="111">
        <v>92</v>
      </c>
      <c r="K919" s="111">
        <f t="shared" si="128"/>
        <v>93.333333333333329</v>
      </c>
      <c r="L919" s="111">
        <v>150000</v>
      </c>
      <c r="M919" s="111">
        <f t="shared" si="129"/>
        <v>67500</v>
      </c>
      <c r="N919" s="111">
        <f t="shared" si="130"/>
        <v>67500</v>
      </c>
      <c r="O919" s="111">
        <f t="shared" si="131"/>
        <v>13500</v>
      </c>
      <c r="P919" s="111">
        <f t="shared" si="132"/>
        <v>15000</v>
      </c>
      <c r="Q919" s="111">
        <v>30000</v>
      </c>
      <c r="R919" s="111">
        <v>3</v>
      </c>
      <c r="S919" s="111">
        <f t="shared" si="133"/>
        <v>3000</v>
      </c>
      <c r="T919" s="111">
        <f t="shared" si="134"/>
        <v>180000</v>
      </c>
      <c r="U919" s="111">
        <f t="shared" si="135"/>
        <v>1800</v>
      </c>
      <c r="V919" s="111">
        <f t="shared" si="136"/>
        <v>181800</v>
      </c>
      <c r="W919" t="s">
        <v>3378</v>
      </c>
    </row>
    <row r="920" spans="1:23" x14ac:dyDescent="0.3">
      <c r="A920" s="110">
        <v>1302071</v>
      </c>
      <c r="B920" s="110" t="s">
        <v>1079</v>
      </c>
      <c r="C920" s="110" t="s">
        <v>1103</v>
      </c>
      <c r="D920" s="110" t="s">
        <v>1132</v>
      </c>
      <c r="E920" s="110" t="s">
        <v>184</v>
      </c>
      <c r="F920" s="110" t="s">
        <v>113</v>
      </c>
      <c r="G920" s="110" t="s">
        <v>114</v>
      </c>
      <c r="H920" s="111">
        <v>41</v>
      </c>
      <c r="I920" s="111">
        <v>43</v>
      </c>
      <c r="J920" s="111">
        <v>38</v>
      </c>
      <c r="K920" s="111">
        <f t="shared" si="128"/>
        <v>40.666666666666664</v>
      </c>
      <c r="L920" s="111">
        <v>50000</v>
      </c>
      <c r="M920" s="111">
        <f t="shared" si="129"/>
        <v>22500</v>
      </c>
      <c r="N920" s="111">
        <f t="shared" si="130"/>
        <v>22500</v>
      </c>
      <c r="O920" s="111">
        <f t="shared" si="131"/>
        <v>4500</v>
      </c>
      <c r="P920" s="111">
        <f t="shared" si="132"/>
        <v>5000</v>
      </c>
      <c r="Q920" s="111">
        <v>10000</v>
      </c>
      <c r="R920" s="111">
        <v>1</v>
      </c>
      <c r="S920" s="111">
        <f t="shared" si="133"/>
        <v>1000</v>
      </c>
      <c r="T920" s="111">
        <f t="shared" si="134"/>
        <v>60000</v>
      </c>
      <c r="U920" s="111">
        <f t="shared" si="135"/>
        <v>600</v>
      </c>
      <c r="V920" s="111">
        <f t="shared" si="136"/>
        <v>60600</v>
      </c>
      <c r="W920" t="s">
        <v>3379</v>
      </c>
    </row>
    <row r="921" spans="1:23" x14ac:dyDescent="0.3">
      <c r="A921" s="110">
        <v>1302096</v>
      </c>
      <c r="B921" s="110" t="s">
        <v>1079</v>
      </c>
      <c r="C921" s="110" t="s">
        <v>1103</v>
      </c>
      <c r="D921" s="110" t="s">
        <v>1133</v>
      </c>
      <c r="E921" s="110" t="s">
        <v>1131</v>
      </c>
      <c r="F921" s="110" t="s">
        <v>113</v>
      </c>
      <c r="G921" s="110" t="s">
        <v>114</v>
      </c>
      <c r="H921" s="111">
        <v>119</v>
      </c>
      <c r="I921" s="111">
        <v>117</v>
      </c>
      <c r="J921" s="111">
        <v>106</v>
      </c>
      <c r="K921" s="111">
        <f t="shared" si="128"/>
        <v>114</v>
      </c>
      <c r="L921" s="111">
        <v>150000</v>
      </c>
      <c r="M921" s="111">
        <f t="shared" si="129"/>
        <v>67500</v>
      </c>
      <c r="N921" s="111">
        <f t="shared" si="130"/>
        <v>67500</v>
      </c>
      <c r="O921" s="111">
        <f t="shared" si="131"/>
        <v>13500</v>
      </c>
      <c r="P921" s="111">
        <f t="shared" si="132"/>
        <v>15000</v>
      </c>
      <c r="Q921" s="111">
        <v>30000</v>
      </c>
      <c r="R921" s="111">
        <v>3</v>
      </c>
      <c r="S921" s="111">
        <f t="shared" si="133"/>
        <v>3000</v>
      </c>
      <c r="T921" s="111">
        <f t="shared" si="134"/>
        <v>180000</v>
      </c>
      <c r="U921" s="111">
        <f t="shared" si="135"/>
        <v>1800</v>
      </c>
      <c r="V921" s="111">
        <f t="shared" si="136"/>
        <v>181800</v>
      </c>
      <c r="W921" t="s">
        <v>3380</v>
      </c>
    </row>
    <row r="922" spans="1:23" x14ac:dyDescent="0.3">
      <c r="A922" s="110">
        <v>1302114</v>
      </c>
      <c r="B922" s="110" t="s">
        <v>1079</v>
      </c>
      <c r="C922" s="110" t="s">
        <v>1134</v>
      </c>
      <c r="D922" s="110" t="s">
        <v>1135</v>
      </c>
      <c r="E922" s="110" t="s">
        <v>1136</v>
      </c>
      <c r="F922" s="110" t="s">
        <v>168</v>
      </c>
      <c r="G922" s="110" t="s">
        <v>114</v>
      </c>
      <c r="H922" s="111">
        <v>194</v>
      </c>
      <c r="I922" s="111">
        <v>180</v>
      </c>
      <c r="J922" s="111">
        <v>169</v>
      </c>
      <c r="K922" s="111">
        <f t="shared" si="128"/>
        <v>181</v>
      </c>
      <c r="L922" s="111">
        <v>150000</v>
      </c>
      <c r="M922" s="111">
        <f t="shared" si="129"/>
        <v>67500</v>
      </c>
      <c r="N922" s="111">
        <f t="shared" si="130"/>
        <v>67500</v>
      </c>
      <c r="O922" s="111">
        <f t="shared" si="131"/>
        <v>13500</v>
      </c>
      <c r="P922" s="111">
        <f t="shared" si="132"/>
        <v>15000</v>
      </c>
      <c r="Q922" s="111">
        <v>30000</v>
      </c>
      <c r="R922" s="111">
        <v>3</v>
      </c>
      <c r="S922" s="111">
        <f t="shared" si="133"/>
        <v>3000</v>
      </c>
      <c r="T922" s="111">
        <f t="shared" si="134"/>
        <v>180000</v>
      </c>
      <c r="U922" s="111">
        <f t="shared" si="135"/>
        <v>1800</v>
      </c>
      <c r="V922" s="111">
        <f t="shared" si="136"/>
        <v>181800</v>
      </c>
      <c r="W922" t="s">
        <v>3381</v>
      </c>
    </row>
    <row r="923" spans="1:23" x14ac:dyDescent="0.3">
      <c r="A923" s="110">
        <v>1302146</v>
      </c>
      <c r="B923" s="110" t="s">
        <v>1079</v>
      </c>
      <c r="C923" s="110" t="s">
        <v>1079</v>
      </c>
      <c r="D923" s="110" t="s">
        <v>1137</v>
      </c>
      <c r="E923" s="110" t="s">
        <v>143</v>
      </c>
      <c r="F923" s="110" t="s">
        <v>113</v>
      </c>
      <c r="G923" s="110" t="s">
        <v>114</v>
      </c>
      <c r="H923" s="111">
        <v>151</v>
      </c>
      <c r="I923" s="111">
        <v>171</v>
      </c>
      <c r="J923" s="111">
        <v>173</v>
      </c>
      <c r="K923" s="111">
        <f t="shared" si="128"/>
        <v>165</v>
      </c>
      <c r="L923" s="111">
        <v>150000</v>
      </c>
      <c r="M923" s="111">
        <f t="shared" si="129"/>
        <v>67500</v>
      </c>
      <c r="N923" s="111">
        <f t="shared" si="130"/>
        <v>67500</v>
      </c>
      <c r="O923" s="111">
        <f t="shared" si="131"/>
        <v>13500</v>
      </c>
      <c r="P923" s="111">
        <f t="shared" si="132"/>
        <v>15000</v>
      </c>
      <c r="Q923" s="111">
        <v>30000</v>
      </c>
      <c r="R923" s="111">
        <v>3</v>
      </c>
      <c r="S923" s="111">
        <f t="shared" si="133"/>
        <v>3000</v>
      </c>
      <c r="T923" s="111">
        <f t="shared" si="134"/>
        <v>180000</v>
      </c>
      <c r="U923" s="111">
        <f t="shared" si="135"/>
        <v>1800</v>
      </c>
      <c r="V923" s="111">
        <f t="shared" si="136"/>
        <v>181800</v>
      </c>
      <c r="W923" t="s">
        <v>3382</v>
      </c>
    </row>
    <row r="924" spans="1:23" x14ac:dyDescent="0.3">
      <c r="A924" s="110">
        <v>1302178</v>
      </c>
      <c r="B924" s="110" t="s">
        <v>1079</v>
      </c>
      <c r="C924" s="110" t="s">
        <v>1079</v>
      </c>
      <c r="D924" s="110" t="s">
        <v>1138</v>
      </c>
      <c r="E924" s="110" t="s">
        <v>390</v>
      </c>
      <c r="F924" s="110" t="s">
        <v>113</v>
      </c>
      <c r="G924" s="110" t="s">
        <v>114</v>
      </c>
      <c r="H924" s="111">
        <v>86</v>
      </c>
      <c r="I924" s="111">
        <v>80</v>
      </c>
      <c r="J924" s="111">
        <v>82</v>
      </c>
      <c r="K924" s="111">
        <f t="shared" si="128"/>
        <v>82.666666666666671</v>
      </c>
      <c r="L924" s="111">
        <v>150000</v>
      </c>
      <c r="M924" s="111">
        <f t="shared" si="129"/>
        <v>67500</v>
      </c>
      <c r="N924" s="111">
        <f t="shared" si="130"/>
        <v>67500</v>
      </c>
      <c r="O924" s="111">
        <f t="shared" si="131"/>
        <v>13500</v>
      </c>
      <c r="P924" s="111">
        <f t="shared" si="132"/>
        <v>15000</v>
      </c>
      <c r="Q924" s="111">
        <v>30000</v>
      </c>
      <c r="R924" s="111">
        <v>3</v>
      </c>
      <c r="S924" s="111">
        <f t="shared" si="133"/>
        <v>3000</v>
      </c>
      <c r="T924" s="111">
        <f t="shared" si="134"/>
        <v>180000</v>
      </c>
      <c r="U924" s="111">
        <f t="shared" si="135"/>
        <v>1800</v>
      </c>
      <c r="V924" s="111">
        <f t="shared" si="136"/>
        <v>181800</v>
      </c>
      <c r="W924" t="s">
        <v>3383</v>
      </c>
    </row>
    <row r="925" spans="1:23" x14ac:dyDescent="0.3">
      <c r="A925" s="110">
        <v>1302185</v>
      </c>
      <c r="B925" s="110" t="s">
        <v>1079</v>
      </c>
      <c r="C925" s="110" t="s">
        <v>1079</v>
      </c>
      <c r="D925" s="110" t="s">
        <v>164</v>
      </c>
      <c r="E925" s="110" t="s">
        <v>390</v>
      </c>
      <c r="F925" s="110" t="s">
        <v>113</v>
      </c>
      <c r="G925" s="110" t="s">
        <v>114</v>
      </c>
      <c r="H925" s="111">
        <v>87</v>
      </c>
      <c r="I925" s="111">
        <v>97</v>
      </c>
      <c r="J925" s="111">
        <v>98</v>
      </c>
      <c r="K925" s="111">
        <f t="shared" si="128"/>
        <v>94</v>
      </c>
      <c r="L925" s="111">
        <v>150000</v>
      </c>
      <c r="M925" s="111">
        <f t="shared" si="129"/>
        <v>67500</v>
      </c>
      <c r="N925" s="111">
        <f t="shared" si="130"/>
        <v>67500</v>
      </c>
      <c r="O925" s="111">
        <f t="shared" si="131"/>
        <v>13500</v>
      </c>
      <c r="P925" s="111">
        <f t="shared" si="132"/>
        <v>15000</v>
      </c>
      <c r="Q925" s="111">
        <v>30000</v>
      </c>
      <c r="R925" s="111">
        <v>3</v>
      </c>
      <c r="S925" s="111">
        <f t="shared" si="133"/>
        <v>3000</v>
      </c>
      <c r="T925" s="111">
        <f t="shared" si="134"/>
        <v>180000</v>
      </c>
      <c r="U925" s="111">
        <f t="shared" si="135"/>
        <v>1800</v>
      </c>
      <c r="V925" s="111">
        <f t="shared" si="136"/>
        <v>181800</v>
      </c>
      <c r="W925" t="s">
        <v>3384</v>
      </c>
    </row>
    <row r="926" spans="1:23" x14ac:dyDescent="0.3">
      <c r="A926" s="110">
        <v>1302192</v>
      </c>
      <c r="B926" s="110" t="s">
        <v>1079</v>
      </c>
      <c r="C926" s="110" t="s">
        <v>1079</v>
      </c>
      <c r="D926" s="110" t="s">
        <v>1139</v>
      </c>
      <c r="E926" s="110" t="s">
        <v>1140</v>
      </c>
      <c r="F926" s="110" t="s">
        <v>113</v>
      </c>
      <c r="G926" s="110" t="s">
        <v>114</v>
      </c>
      <c r="H926" s="111">
        <v>50</v>
      </c>
      <c r="I926" s="111">
        <v>43</v>
      </c>
      <c r="J926" s="111">
        <v>37</v>
      </c>
      <c r="K926" s="111">
        <f t="shared" si="128"/>
        <v>43.333333333333336</v>
      </c>
      <c r="L926" s="111">
        <v>50000</v>
      </c>
      <c r="M926" s="111">
        <f t="shared" si="129"/>
        <v>22500</v>
      </c>
      <c r="N926" s="111">
        <f t="shared" si="130"/>
        <v>22500</v>
      </c>
      <c r="O926" s="111">
        <f t="shared" si="131"/>
        <v>4500</v>
      </c>
      <c r="P926" s="111">
        <f t="shared" si="132"/>
        <v>5000</v>
      </c>
      <c r="Q926" s="111">
        <v>10000</v>
      </c>
      <c r="R926" s="111">
        <v>1</v>
      </c>
      <c r="S926" s="111">
        <f t="shared" si="133"/>
        <v>1000</v>
      </c>
      <c r="T926" s="111">
        <f t="shared" si="134"/>
        <v>60000</v>
      </c>
      <c r="U926" s="111">
        <f t="shared" si="135"/>
        <v>600</v>
      </c>
      <c r="V926" s="111">
        <f t="shared" si="136"/>
        <v>60600</v>
      </c>
      <c r="W926" t="s">
        <v>3385</v>
      </c>
    </row>
    <row r="927" spans="1:23" x14ac:dyDescent="0.3">
      <c r="A927" s="110">
        <v>1302228</v>
      </c>
      <c r="B927" s="110" t="s">
        <v>1079</v>
      </c>
      <c r="C927" s="110" t="s">
        <v>1079</v>
      </c>
      <c r="D927" s="110" t="s">
        <v>1141</v>
      </c>
      <c r="E927" s="110" t="s">
        <v>247</v>
      </c>
      <c r="F927" s="110" t="s">
        <v>113</v>
      </c>
      <c r="G927" s="110" t="s">
        <v>114</v>
      </c>
      <c r="H927" s="111">
        <v>43</v>
      </c>
      <c r="I927" s="111">
        <v>42</v>
      </c>
      <c r="J927" s="111">
        <v>40</v>
      </c>
      <c r="K927" s="111">
        <f t="shared" si="128"/>
        <v>41.666666666666664</v>
      </c>
      <c r="L927" s="111">
        <v>50000</v>
      </c>
      <c r="M927" s="111">
        <f t="shared" si="129"/>
        <v>22500</v>
      </c>
      <c r="N927" s="111">
        <f t="shared" si="130"/>
        <v>22500</v>
      </c>
      <c r="O927" s="111">
        <f t="shared" si="131"/>
        <v>4500</v>
      </c>
      <c r="P927" s="111">
        <f t="shared" si="132"/>
        <v>5000</v>
      </c>
      <c r="Q927" s="111">
        <v>10000</v>
      </c>
      <c r="R927" s="111">
        <v>1</v>
      </c>
      <c r="S927" s="111">
        <f t="shared" si="133"/>
        <v>1000</v>
      </c>
      <c r="T927" s="111">
        <f t="shared" si="134"/>
        <v>60000</v>
      </c>
      <c r="U927" s="111">
        <f t="shared" si="135"/>
        <v>600</v>
      </c>
      <c r="V927" s="111">
        <f t="shared" si="136"/>
        <v>60600</v>
      </c>
      <c r="W927" t="s">
        <v>3386</v>
      </c>
    </row>
    <row r="928" spans="1:23" x14ac:dyDescent="0.3">
      <c r="A928" s="110">
        <v>1302235</v>
      </c>
      <c r="B928" s="110" t="s">
        <v>1079</v>
      </c>
      <c r="C928" s="110" t="s">
        <v>1079</v>
      </c>
      <c r="D928" s="110" t="s">
        <v>1142</v>
      </c>
      <c r="E928" s="110" t="s">
        <v>956</v>
      </c>
      <c r="F928" s="110" t="s">
        <v>113</v>
      </c>
      <c r="G928" s="110" t="s">
        <v>114</v>
      </c>
      <c r="H928" s="111">
        <v>55</v>
      </c>
      <c r="I928" s="111">
        <v>54</v>
      </c>
      <c r="J928" s="111">
        <v>53</v>
      </c>
      <c r="K928" s="111">
        <f t="shared" si="128"/>
        <v>54</v>
      </c>
      <c r="L928" s="111">
        <v>150000</v>
      </c>
      <c r="M928" s="111">
        <f t="shared" si="129"/>
        <v>67500</v>
      </c>
      <c r="N928" s="111">
        <f t="shared" si="130"/>
        <v>67500</v>
      </c>
      <c r="O928" s="111">
        <f t="shared" si="131"/>
        <v>13500</v>
      </c>
      <c r="P928" s="111">
        <f t="shared" si="132"/>
        <v>15000</v>
      </c>
      <c r="Q928" s="111">
        <v>30000</v>
      </c>
      <c r="R928" s="111">
        <v>3</v>
      </c>
      <c r="S928" s="111">
        <f t="shared" si="133"/>
        <v>3000</v>
      </c>
      <c r="T928" s="111">
        <f t="shared" si="134"/>
        <v>180000</v>
      </c>
      <c r="U928" s="111">
        <f t="shared" si="135"/>
        <v>1800</v>
      </c>
      <c r="V928" s="111">
        <f t="shared" si="136"/>
        <v>181800</v>
      </c>
      <c r="W928" t="s">
        <v>3387</v>
      </c>
    </row>
    <row r="929" spans="1:23" x14ac:dyDescent="0.3">
      <c r="A929" s="110">
        <v>1302299</v>
      </c>
      <c r="B929" s="110" t="s">
        <v>1079</v>
      </c>
      <c r="C929" s="110" t="s">
        <v>1079</v>
      </c>
      <c r="D929" s="110" t="s">
        <v>1143</v>
      </c>
      <c r="E929" s="110" t="s">
        <v>1144</v>
      </c>
      <c r="F929" s="110" t="s">
        <v>113</v>
      </c>
      <c r="G929" s="110" t="s">
        <v>114</v>
      </c>
      <c r="H929" s="111">
        <v>56</v>
      </c>
      <c r="I929" s="111">
        <v>59</v>
      </c>
      <c r="J929" s="111">
        <v>62</v>
      </c>
      <c r="K929" s="111">
        <f t="shared" si="128"/>
        <v>59</v>
      </c>
      <c r="L929" s="111">
        <v>150000</v>
      </c>
      <c r="M929" s="111">
        <f t="shared" si="129"/>
        <v>67500</v>
      </c>
      <c r="N929" s="111">
        <f t="shared" si="130"/>
        <v>67500</v>
      </c>
      <c r="O929" s="111">
        <f t="shared" si="131"/>
        <v>13500</v>
      </c>
      <c r="P929" s="111">
        <f t="shared" si="132"/>
        <v>15000</v>
      </c>
      <c r="Q929" s="111">
        <v>30000</v>
      </c>
      <c r="R929" s="111">
        <v>3</v>
      </c>
      <c r="S929" s="111">
        <f t="shared" si="133"/>
        <v>3000</v>
      </c>
      <c r="T929" s="111">
        <f t="shared" si="134"/>
        <v>180000</v>
      </c>
      <c r="U929" s="111">
        <f t="shared" si="135"/>
        <v>1800</v>
      </c>
      <c r="V929" s="111">
        <f t="shared" si="136"/>
        <v>181800</v>
      </c>
      <c r="W929" t="s">
        <v>3388</v>
      </c>
    </row>
    <row r="930" spans="1:23" x14ac:dyDescent="0.3">
      <c r="A930" s="110">
        <v>1302301</v>
      </c>
      <c r="B930" s="110" t="s">
        <v>1079</v>
      </c>
      <c r="C930" s="110" t="s">
        <v>1111</v>
      </c>
      <c r="D930" s="110" t="s">
        <v>1145</v>
      </c>
      <c r="E930" s="110" t="s">
        <v>1146</v>
      </c>
      <c r="F930" s="110" t="s">
        <v>168</v>
      </c>
      <c r="G930" s="110" t="s">
        <v>114</v>
      </c>
      <c r="H930" s="111">
        <v>115</v>
      </c>
      <c r="I930" s="111">
        <v>108</v>
      </c>
      <c r="J930" s="111">
        <v>100</v>
      </c>
      <c r="K930" s="111">
        <f t="shared" si="128"/>
        <v>107.66666666666667</v>
      </c>
      <c r="L930" s="111">
        <v>150000</v>
      </c>
      <c r="M930" s="111">
        <f t="shared" si="129"/>
        <v>67500</v>
      </c>
      <c r="N930" s="111">
        <f t="shared" si="130"/>
        <v>67500</v>
      </c>
      <c r="O930" s="111">
        <f t="shared" si="131"/>
        <v>13500</v>
      </c>
      <c r="P930" s="111">
        <f t="shared" si="132"/>
        <v>15000</v>
      </c>
      <c r="Q930" s="111">
        <v>30000</v>
      </c>
      <c r="R930" s="111">
        <v>3</v>
      </c>
      <c r="S930" s="111">
        <f t="shared" si="133"/>
        <v>3000</v>
      </c>
      <c r="T930" s="111">
        <f t="shared" si="134"/>
        <v>180000</v>
      </c>
      <c r="U930" s="111">
        <f t="shared" si="135"/>
        <v>1800</v>
      </c>
      <c r="V930" s="111">
        <f t="shared" si="136"/>
        <v>181800</v>
      </c>
      <c r="W930" t="s">
        <v>3389</v>
      </c>
    </row>
    <row r="931" spans="1:23" x14ac:dyDescent="0.3">
      <c r="A931" s="110">
        <v>1302324</v>
      </c>
      <c r="B931" s="110" t="s">
        <v>1079</v>
      </c>
      <c r="C931" s="110" t="s">
        <v>1084</v>
      </c>
      <c r="D931" s="110" t="s">
        <v>1147</v>
      </c>
      <c r="E931" s="110" t="s">
        <v>184</v>
      </c>
      <c r="F931" s="110" t="s">
        <v>113</v>
      </c>
      <c r="G931" s="110" t="s">
        <v>114</v>
      </c>
      <c r="H931" s="111">
        <v>168</v>
      </c>
      <c r="I931" s="111">
        <v>160</v>
      </c>
      <c r="J931" s="111">
        <v>169</v>
      </c>
      <c r="K931" s="111">
        <f t="shared" si="128"/>
        <v>165.66666666666666</v>
      </c>
      <c r="L931" s="111">
        <v>150000</v>
      </c>
      <c r="M931" s="111">
        <f t="shared" si="129"/>
        <v>67500</v>
      </c>
      <c r="N931" s="111">
        <f t="shared" si="130"/>
        <v>67500</v>
      </c>
      <c r="O931" s="111">
        <f t="shared" si="131"/>
        <v>13500</v>
      </c>
      <c r="P931" s="111">
        <f t="shared" si="132"/>
        <v>15000</v>
      </c>
      <c r="Q931" s="111">
        <v>30000</v>
      </c>
      <c r="R931" s="111">
        <v>3</v>
      </c>
      <c r="S931" s="111">
        <f t="shared" si="133"/>
        <v>3000</v>
      </c>
      <c r="T931" s="111">
        <f t="shared" si="134"/>
        <v>180000</v>
      </c>
      <c r="U931" s="111">
        <f t="shared" si="135"/>
        <v>1800</v>
      </c>
      <c r="V931" s="111">
        <f t="shared" si="136"/>
        <v>181800</v>
      </c>
      <c r="W931" t="s">
        <v>3390</v>
      </c>
    </row>
    <row r="932" spans="1:23" x14ac:dyDescent="0.3">
      <c r="A932" s="110">
        <v>1302349</v>
      </c>
      <c r="B932" s="110" t="s">
        <v>1079</v>
      </c>
      <c r="C932" s="110" t="s">
        <v>1098</v>
      </c>
      <c r="D932" s="110" t="s">
        <v>1148</v>
      </c>
      <c r="E932" s="110" t="s">
        <v>286</v>
      </c>
      <c r="F932" s="110" t="s">
        <v>119</v>
      </c>
      <c r="G932" s="110" t="s">
        <v>114</v>
      </c>
      <c r="H932" s="111">
        <v>407</v>
      </c>
      <c r="I932" s="111">
        <v>410</v>
      </c>
      <c r="J932" s="111">
        <v>384</v>
      </c>
      <c r="K932" s="111">
        <f t="shared" si="128"/>
        <v>400.33333333333331</v>
      </c>
      <c r="L932" s="111">
        <v>200000</v>
      </c>
      <c r="M932" s="111">
        <f t="shared" si="129"/>
        <v>90000</v>
      </c>
      <c r="N932" s="111">
        <f t="shared" si="130"/>
        <v>90000</v>
      </c>
      <c r="O932" s="111">
        <f t="shared" si="131"/>
        <v>18000</v>
      </c>
      <c r="P932" s="111">
        <f t="shared" si="132"/>
        <v>20000</v>
      </c>
      <c r="Q932" s="111">
        <v>50000</v>
      </c>
      <c r="R932" s="111">
        <v>5</v>
      </c>
      <c r="S932" s="111">
        <f t="shared" si="133"/>
        <v>5000</v>
      </c>
      <c r="T932" s="111">
        <f t="shared" si="134"/>
        <v>250000</v>
      </c>
      <c r="U932" s="111">
        <f t="shared" si="135"/>
        <v>2500</v>
      </c>
      <c r="V932" s="111">
        <f t="shared" si="136"/>
        <v>252500</v>
      </c>
      <c r="W932" t="s">
        <v>3391</v>
      </c>
    </row>
    <row r="933" spans="1:23" x14ac:dyDescent="0.3">
      <c r="A933" s="110">
        <v>1302406</v>
      </c>
      <c r="B933" s="110" t="s">
        <v>1079</v>
      </c>
      <c r="C933" s="110" t="s">
        <v>1086</v>
      </c>
      <c r="D933" s="110" t="s">
        <v>1149</v>
      </c>
      <c r="E933" s="110" t="s">
        <v>549</v>
      </c>
      <c r="F933" s="110" t="s">
        <v>113</v>
      </c>
      <c r="G933" s="110" t="s">
        <v>114</v>
      </c>
      <c r="H933" s="111">
        <v>47</v>
      </c>
      <c r="I933" s="111">
        <v>45</v>
      </c>
      <c r="J933" s="111">
        <v>42</v>
      </c>
      <c r="K933" s="111">
        <f t="shared" si="128"/>
        <v>44.666666666666664</v>
      </c>
      <c r="L933" s="111">
        <v>50000</v>
      </c>
      <c r="M933" s="111">
        <f t="shared" si="129"/>
        <v>22500</v>
      </c>
      <c r="N933" s="111">
        <f t="shared" si="130"/>
        <v>22500</v>
      </c>
      <c r="O933" s="111">
        <f t="shared" si="131"/>
        <v>4500</v>
      </c>
      <c r="P933" s="111">
        <f t="shared" si="132"/>
        <v>5000</v>
      </c>
      <c r="Q933" s="111">
        <v>10000</v>
      </c>
      <c r="R933" s="111">
        <v>1</v>
      </c>
      <c r="S933" s="111">
        <f t="shared" si="133"/>
        <v>1000</v>
      </c>
      <c r="T933" s="111">
        <f t="shared" si="134"/>
        <v>60000</v>
      </c>
      <c r="U933" s="111">
        <f t="shared" si="135"/>
        <v>600</v>
      </c>
      <c r="V933" s="111">
        <f t="shared" si="136"/>
        <v>60600</v>
      </c>
      <c r="W933" t="s">
        <v>3392</v>
      </c>
    </row>
    <row r="934" spans="1:23" x14ac:dyDescent="0.3">
      <c r="A934" s="110">
        <v>1302420</v>
      </c>
      <c r="B934" s="110" t="s">
        <v>1079</v>
      </c>
      <c r="C934" s="110" t="s">
        <v>516</v>
      </c>
      <c r="D934" s="110" t="s">
        <v>901</v>
      </c>
      <c r="E934" s="110" t="s">
        <v>186</v>
      </c>
      <c r="F934" s="110" t="s">
        <v>113</v>
      </c>
      <c r="G934" s="110" t="s">
        <v>114</v>
      </c>
      <c r="H934" s="111">
        <v>12</v>
      </c>
      <c r="I934" s="111">
        <v>11</v>
      </c>
      <c r="J934" s="111">
        <v>7</v>
      </c>
      <c r="K934" s="111">
        <f t="shared" si="128"/>
        <v>10</v>
      </c>
      <c r="L934" s="111">
        <v>50000</v>
      </c>
      <c r="M934" s="111">
        <f t="shared" si="129"/>
        <v>22500</v>
      </c>
      <c r="N934" s="111">
        <f t="shared" si="130"/>
        <v>22500</v>
      </c>
      <c r="O934" s="111">
        <f t="shared" si="131"/>
        <v>4500</v>
      </c>
      <c r="P934" s="111">
        <f t="shared" si="132"/>
        <v>5000</v>
      </c>
      <c r="Q934" s="111">
        <v>10000</v>
      </c>
      <c r="R934" s="111">
        <v>1</v>
      </c>
      <c r="S934" s="111">
        <f t="shared" si="133"/>
        <v>1000</v>
      </c>
      <c r="T934" s="111">
        <f t="shared" si="134"/>
        <v>60000</v>
      </c>
      <c r="U934" s="111">
        <f t="shared" si="135"/>
        <v>600</v>
      </c>
      <c r="V934" s="111">
        <f t="shared" si="136"/>
        <v>60600</v>
      </c>
      <c r="W934" t="s">
        <v>3393</v>
      </c>
    </row>
    <row r="935" spans="1:23" x14ac:dyDescent="0.3">
      <c r="A935" s="110">
        <v>1302438</v>
      </c>
      <c r="B935" s="110" t="s">
        <v>1079</v>
      </c>
      <c r="C935" s="110" t="s">
        <v>1098</v>
      </c>
      <c r="D935" s="110" t="s">
        <v>260</v>
      </c>
      <c r="E935" s="110" t="s">
        <v>184</v>
      </c>
      <c r="F935" s="110" t="s">
        <v>113</v>
      </c>
      <c r="G935" s="110" t="s">
        <v>114</v>
      </c>
      <c r="H935" s="111">
        <v>46</v>
      </c>
      <c r="I935" s="111">
        <v>45</v>
      </c>
      <c r="J935" s="111">
        <v>34</v>
      </c>
      <c r="K935" s="111">
        <f t="shared" si="128"/>
        <v>41.666666666666664</v>
      </c>
      <c r="L935" s="111">
        <v>50000</v>
      </c>
      <c r="M935" s="111">
        <f t="shared" si="129"/>
        <v>22500</v>
      </c>
      <c r="N935" s="111">
        <f t="shared" si="130"/>
        <v>22500</v>
      </c>
      <c r="O935" s="111">
        <f t="shared" si="131"/>
        <v>4500</v>
      </c>
      <c r="P935" s="111">
        <f t="shared" si="132"/>
        <v>5000</v>
      </c>
      <c r="Q935" s="111">
        <v>10000</v>
      </c>
      <c r="R935" s="111">
        <v>1</v>
      </c>
      <c r="S935" s="111">
        <f t="shared" si="133"/>
        <v>1000</v>
      </c>
      <c r="T935" s="111">
        <f t="shared" si="134"/>
        <v>60000</v>
      </c>
      <c r="U935" s="111">
        <f t="shared" si="135"/>
        <v>600</v>
      </c>
      <c r="V935" s="111">
        <f t="shared" si="136"/>
        <v>60600</v>
      </c>
      <c r="W935" t="s">
        <v>3394</v>
      </c>
    </row>
    <row r="936" spans="1:23" x14ac:dyDescent="0.3">
      <c r="A936" s="110">
        <v>1302445</v>
      </c>
      <c r="B936" s="110" t="s">
        <v>1079</v>
      </c>
      <c r="C936" s="110" t="s">
        <v>1134</v>
      </c>
      <c r="D936" s="110" t="s">
        <v>1150</v>
      </c>
      <c r="E936" s="110" t="s">
        <v>184</v>
      </c>
      <c r="F936" s="110" t="s">
        <v>113</v>
      </c>
      <c r="G936" s="110" t="s">
        <v>114</v>
      </c>
      <c r="H936" s="111">
        <v>44</v>
      </c>
      <c r="I936" s="111">
        <v>48</v>
      </c>
      <c r="J936" s="111">
        <v>51</v>
      </c>
      <c r="K936" s="111">
        <f t="shared" si="128"/>
        <v>47.666666666666664</v>
      </c>
      <c r="L936" s="111">
        <v>50000</v>
      </c>
      <c r="M936" s="111">
        <f t="shared" si="129"/>
        <v>22500</v>
      </c>
      <c r="N936" s="111">
        <f t="shared" si="130"/>
        <v>22500</v>
      </c>
      <c r="O936" s="111">
        <f t="shared" si="131"/>
        <v>4500</v>
      </c>
      <c r="P936" s="111">
        <f t="shared" si="132"/>
        <v>5000</v>
      </c>
      <c r="Q936" s="111">
        <v>10000</v>
      </c>
      <c r="R936" s="111">
        <v>1</v>
      </c>
      <c r="S936" s="111">
        <f t="shared" si="133"/>
        <v>1000</v>
      </c>
      <c r="T936" s="111">
        <f t="shared" si="134"/>
        <v>60000</v>
      </c>
      <c r="U936" s="111">
        <f t="shared" si="135"/>
        <v>600</v>
      </c>
      <c r="V936" s="111">
        <f t="shared" si="136"/>
        <v>60600</v>
      </c>
      <c r="W936" t="s">
        <v>3395</v>
      </c>
    </row>
    <row r="937" spans="1:23" x14ac:dyDescent="0.3">
      <c r="A937" s="110">
        <v>1302453</v>
      </c>
      <c r="B937" s="110" t="s">
        <v>1079</v>
      </c>
      <c r="C937" s="110" t="s">
        <v>1079</v>
      </c>
      <c r="D937" s="110" t="s">
        <v>1151</v>
      </c>
      <c r="E937" s="110" t="s">
        <v>247</v>
      </c>
      <c r="F937" s="110" t="s">
        <v>113</v>
      </c>
      <c r="G937" s="110" t="s">
        <v>114</v>
      </c>
      <c r="H937" s="111">
        <v>162</v>
      </c>
      <c r="I937" s="111">
        <v>160</v>
      </c>
      <c r="J937" s="111">
        <v>156</v>
      </c>
      <c r="K937" s="111">
        <f t="shared" si="128"/>
        <v>159.33333333333334</v>
      </c>
      <c r="L937" s="111">
        <v>150000</v>
      </c>
      <c r="M937" s="111">
        <f t="shared" si="129"/>
        <v>67500</v>
      </c>
      <c r="N937" s="111">
        <f t="shared" si="130"/>
        <v>67500</v>
      </c>
      <c r="O937" s="111">
        <f t="shared" si="131"/>
        <v>13500</v>
      </c>
      <c r="P937" s="111">
        <f t="shared" si="132"/>
        <v>15000</v>
      </c>
      <c r="Q937" s="111">
        <v>30000</v>
      </c>
      <c r="R937" s="111">
        <v>3</v>
      </c>
      <c r="S937" s="111">
        <f t="shared" si="133"/>
        <v>3000</v>
      </c>
      <c r="T937" s="111">
        <f t="shared" si="134"/>
        <v>180000</v>
      </c>
      <c r="U937" s="111">
        <f t="shared" si="135"/>
        <v>1800</v>
      </c>
      <c r="V937" s="111">
        <f t="shared" si="136"/>
        <v>181800</v>
      </c>
      <c r="W937" t="s">
        <v>3396</v>
      </c>
    </row>
    <row r="938" spans="1:23" x14ac:dyDescent="0.3">
      <c r="A938" s="110">
        <v>1302491</v>
      </c>
      <c r="B938" s="110" t="s">
        <v>1079</v>
      </c>
      <c r="C938" s="110" t="s">
        <v>516</v>
      </c>
      <c r="D938" s="110" t="s">
        <v>516</v>
      </c>
      <c r="E938" s="110" t="s">
        <v>390</v>
      </c>
      <c r="F938" s="110" t="s">
        <v>113</v>
      </c>
      <c r="G938" s="110" t="s">
        <v>114</v>
      </c>
      <c r="H938" s="111">
        <v>112</v>
      </c>
      <c r="I938" s="111">
        <v>105</v>
      </c>
      <c r="J938" s="111">
        <v>111</v>
      </c>
      <c r="K938" s="111">
        <f t="shared" si="128"/>
        <v>109.33333333333333</v>
      </c>
      <c r="L938" s="111">
        <v>150000</v>
      </c>
      <c r="M938" s="111">
        <f t="shared" si="129"/>
        <v>67500</v>
      </c>
      <c r="N938" s="111">
        <f t="shared" si="130"/>
        <v>67500</v>
      </c>
      <c r="O938" s="111">
        <f t="shared" si="131"/>
        <v>13500</v>
      </c>
      <c r="P938" s="111">
        <f t="shared" si="132"/>
        <v>15000</v>
      </c>
      <c r="Q938" s="111">
        <v>30000</v>
      </c>
      <c r="R938" s="111">
        <v>3</v>
      </c>
      <c r="S938" s="111">
        <f t="shared" si="133"/>
        <v>3000</v>
      </c>
      <c r="T938" s="111">
        <f t="shared" si="134"/>
        <v>180000</v>
      </c>
      <c r="U938" s="111">
        <f t="shared" si="135"/>
        <v>1800</v>
      </c>
      <c r="V938" s="111">
        <f t="shared" si="136"/>
        <v>181800</v>
      </c>
      <c r="W938" t="s">
        <v>3397</v>
      </c>
    </row>
    <row r="939" spans="1:23" x14ac:dyDescent="0.3">
      <c r="A939" s="110">
        <v>1302502</v>
      </c>
      <c r="B939" s="110" t="s">
        <v>1079</v>
      </c>
      <c r="C939" s="110" t="s">
        <v>1079</v>
      </c>
      <c r="D939" s="110" t="s">
        <v>1079</v>
      </c>
      <c r="E939" s="110" t="s">
        <v>228</v>
      </c>
      <c r="F939" s="110" t="s">
        <v>113</v>
      </c>
      <c r="G939" s="110" t="s">
        <v>114</v>
      </c>
      <c r="H939" s="111">
        <v>309</v>
      </c>
      <c r="I939" s="111">
        <v>366</v>
      </c>
      <c r="J939" s="111">
        <v>389</v>
      </c>
      <c r="K939" s="111">
        <f t="shared" si="128"/>
        <v>354.66666666666669</v>
      </c>
      <c r="L939" s="111">
        <v>200000</v>
      </c>
      <c r="M939" s="111">
        <f t="shared" si="129"/>
        <v>90000</v>
      </c>
      <c r="N939" s="111">
        <f t="shared" si="130"/>
        <v>90000</v>
      </c>
      <c r="O939" s="111">
        <f t="shared" si="131"/>
        <v>18000</v>
      </c>
      <c r="P939" s="111">
        <f t="shared" si="132"/>
        <v>20000</v>
      </c>
      <c r="Q939" s="111">
        <v>50000</v>
      </c>
      <c r="R939" s="111">
        <v>5</v>
      </c>
      <c r="S939" s="111">
        <f t="shared" si="133"/>
        <v>5000</v>
      </c>
      <c r="T939" s="111">
        <f t="shared" si="134"/>
        <v>250000</v>
      </c>
      <c r="U939" s="111">
        <f t="shared" si="135"/>
        <v>2500</v>
      </c>
      <c r="V939" s="111">
        <f t="shared" si="136"/>
        <v>252500</v>
      </c>
      <c r="W939" t="s">
        <v>3398</v>
      </c>
    </row>
    <row r="940" spans="1:23" x14ac:dyDescent="0.3">
      <c r="A940" s="110">
        <v>1302517</v>
      </c>
      <c r="B940" s="110" t="s">
        <v>1079</v>
      </c>
      <c r="C940" s="110" t="s">
        <v>1079</v>
      </c>
      <c r="D940" s="110" t="s">
        <v>1079</v>
      </c>
      <c r="E940" s="110" t="s">
        <v>1152</v>
      </c>
      <c r="F940" s="110" t="s">
        <v>113</v>
      </c>
      <c r="G940" s="110" t="s">
        <v>114</v>
      </c>
      <c r="H940" s="111">
        <v>72</v>
      </c>
      <c r="I940" s="111">
        <v>70</v>
      </c>
      <c r="J940" s="111">
        <v>70</v>
      </c>
      <c r="K940" s="111">
        <f t="shared" si="128"/>
        <v>70.666666666666671</v>
      </c>
      <c r="L940" s="111">
        <v>150000</v>
      </c>
      <c r="M940" s="111">
        <f t="shared" si="129"/>
        <v>67500</v>
      </c>
      <c r="N940" s="111">
        <f t="shared" si="130"/>
        <v>67500</v>
      </c>
      <c r="O940" s="111">
        <f t="shared" si="131"/>
        <v>13500</v>
      </c>
      <c r="P940" s="111">
        <f t="shared" si="132"/>
        <v>15000</v>
      </c>
      <c r="Q940" s="111">
        <v>30000</v>
      </c>
      <c r="R940" s="111">
        <v>3</v>
      </c>
      <c r="S940" s="111">
        <f t="shared" si="133"/>
        <v>3000</v>
      </c>
      <c r="T940" s="111">
        <f t="shared" si="134"/>
        <v>180000</v>
      </c>
      <c r="U940" s="111">
        <f t="shared" si="135"/>
        <v>1800</v>
      </c>
      <c r="V940" s="111">
        <f t="shared" si="136"/>
        <v>181800</v>
      </c>
      <c r="W940" t="s">
        <v>3399</v>
      </c>
    </row>
    <row r="941" spans="1:23" x14ac:dyDescent="0.3">
      <c r="A941" s="110">
        <v>1302534</v>
      </c>
      <c r="B941" s="110" t="s">
        <v>1079</v>
      </c>
      <c r="C941" s="110" t="s">
        <v>1079</v>
      </c>
      <c r="D941" s="110" t="s">
        <v>1079</v>
      </c>
      <c r="E941" s="110" t="s">
        <v>184</v>
      </c>
      <c r="F941" s="110" t="s">
        <v>113</v>
      </c>
      <c r="G941" s="110" t="s">
        <v>114</v>
      </c>
      <c r="H941" s="111">
        <v>141</v>
      </c>
      <c r="I941" s="111">
        <v>145</v>
      </c>
      <c r="J941" s="111">
        <v>155</v>
      </c>
      <c r="K941" s="111">
        <f t="shared" si="128"/>
        <v>147</v>
      </c>
      <c r="L941" s="111">
        <v>150000</v>
      </c>
      <c r="M941" s="111">
        <f t="shared" si="129"/>
        <v>67500</v>
      </c>
      <c r="N941" s="111">
        <f t="shared" si="130"/>
        <v>67500</v>
      </c>
      <c r="O941" s="111">
        <f t="shared" si="131"/>
        <v>13500</v>
      </c>
      <c r="P941" s="111">
        <f t="shared" si="132"/>
        <v>15000</v>
      </c>
      <c r="Q941" s="111">
        <v>30000</v>
      </c>
      <c r="R941" s="111">
        <v>3</v>
      </c>
      <c r="S941" s="111">
        <f t="shared" si="133"/>
        <v>3000</v>
      </c>
      <c r="T941" s="111">
        <f t="shared" si="134"/>
        <v>180000</v>
      </c>
      <c r="U941" s="111">
        <f t="shared" si="135"/>
        <v>1800</v>
      </c>
      <c r="V941" s="111">
        <f t="shared" si="136"/>
        <v>181800</v>
      </c>
      <c r="W941" t="s">
        <v>3400</v>
      </c>
    </row>
    <row r="942" spans="1:23" x14ac:dyDescent="0.3">
      <c r="A942" s="110">
        <v>1302566</v>
      </c>
      <c r="B942" s="110" t="s">
        <v>1079</v>
      </c>
      <c r="C942" s="110" t="s">
        <v>1079</v>
      </c>
      <c r="D942" s="110" t="s">
        <v>1107</v>
      </c>
      <c r="E942" s="110" t="s">
        <v>1153</v>
      </c>
      <c r="F942" s="110" t="s">
        <v>113</v>
      </c>
      <c r="G942" s="110" t="s">
        <v>114</v>
      </c>
      <c r="H942" s="111">
        <v>79</v>
      </c>
      <c r="I942" s="111">
        <v>74</v>
      </c>
      <c r="J942" s="111">
        <v>60</v>
      </c>
      <c r="K942" s="111">
        <f t="shared" si="128"/>
        <v>71</v>
      </c>
      <c r="L942" s="111">
        <v>150000</v>
      </c>
      <c r="M942" s="111">
        <f t="shared" si="129"/>
        <v>67500</v>
      </c>
      <c r="N942" s="111">
        <f t="shared" si="130"/>
        <v>67500</v>
      </c>
      <c r="O942" s="111">
        <f t="shared" si="131"/>
        <v>13500</v>
      </c>
      <c r="P942" s="111">
        <f t="shared" si="132"/>
        <v>15000</v>
      </c>
      <c r="Q942" s="111">
        <v>30000</v>
      </c>
      <c r="R942" s="111">
        <v>3</v>
      </c>
      <c r="S942" s="111">
        <f t="shared" si="133"/>
        <v>3000</v>
      </c>
      <c r="T942" s="111">
        <f t="shared" si="134"/>
        <v>180000</v>
      </c>
      <c r="U942" s="111">
        <f t="shared" si="135"/>
        <v>1800</v>
      </c>
      <c r="V942" s="111">
        <f t="shared" si="136"/>
        <v>181800</v>
      </c>
      <c r="W942" t="s">
        <v>3401</v>
      </c>
    </row>
    <row r="943" spans="1:23" x14ac:dyDescent="0.3">
      <c r="A943" s="110">
        <v>1302573</v>
      </c>
      <c r="B943" s="110" t="s">
        <v>1079</v>
      </c>
      <c r="C943" s="110" t="s">
        <v>1098</v>
      </c>
      <c r="D943" s="110" t="s">
        <v>1098</v>
      </c>
      <c r="E943" s="110" t="s">
        <v>214</v>
      </c>
      <c r="F943" s="110" t="s">
        <v>119</v>
      </c>
      <c r="G943" s="110" t="s">
        <v>114</v>
      </c>
      <c r="H943" s="111">
        <v>577</v>
      </c>
      <c r="I943" s="111">
        <v>571</v>
      </c>
      <c r="J943" s="111">
        <v>592</v>
      </c>
      <c r="K943" s="111">
        <f t="shared" si="128"/>
        <v>580</v>
      </c>
      <c r="L943" s="111">
        <f>300000*0.7</f>
        <v>210000</v>
      </c>
      <c r="M943" s="111">
        <f t="shared" si="129"/>
        <v>94500</v>
      </c>
      <c r="N943" s="111">
        <f t="shared" si="130"/>
        <v>94500</v>
      </c>
      <c r="O943" s="111">
        <f t="shared" si="131"/>
        <v>18900</v>
      </c>
      <c r="P943" s="111">
        <f t="shared" si="132"/>
        <v>21000</v>
      </c>
      <c r="Q943" s="111">
        <v>60000</v>
      </c>
      <c r="R943" s="111">
        <v>6</v>
      </c>
      <c r="S943" s="111">
        <f t="shared" si="133"/>
        <v>6000</v>
      </c>
      <c r="T943" s="111">
        <f t="shared" si="134"/>
        <v>270000</v>
      </c>
      <c r="U943" s="111">
        <f t="shared" si="135"/>
        <v>2700</v>
      </c>
      <c r="V943" s="111">
        <f t="shared" si="136"/>
        <v>272700</v>
      </c>
      <c r="W943" t="s">
        <v>3402</v>
      </c>
    </row>
    <row r="944" spans="1:23" x14ac:dyDescent="0.3">
      <c r="A944" s="110">
        <v>1302580</v>
      </c>
      <c r="B944" s="110" t="s">
        <v>1079</v>
      </c>
      <c r="C944" s="110" t="s">
        <v>1079</v>
      </c>
      <c r="D944" s="110" t="s">
        <v>1079</v>
      </c>
      <c r="E944" s="110" t="s">
        <v>1154</v>
      </c>
      <c r="F944" s="110" t="s">
        <v>122</v>
      </c>
      <c r="G944" s="110" t="s">
        <v>114</v>
      </c>
      <c r="H944" s="111">
        <v>100</v>
      </c>
      <c r="I944" s="111">
        <v>102</v>
      </c>
      <c r="J944" s="111">
        <v>122</v>
      </c>
      <c r="K944" s="111">
        <f t="shared" si="128"/>
        <v>108</v>
      </c>
      <c r="L944" s="111">
        <f>150000*0.7</f>
        <v>105000</v>
      </c>
      <c r="M944" s="111">
        <f t="shared" si="129"/>
        <v>47250</v>
      </c>
      <c r="N944" s="111">
        <f t="shared" si="130"/>
        <v>47250</v>
      </c>
      <c r="O944" s="111">
        <f t="shared" si="131"/>
        <v>9450</v>
      </c>
      <c r="P944" s="111">
        <f t="shared" si="132"/>
        <v>10500</v>
      </c>
      <c r="Q944" s="111">
        <v>30000</v>
      </c>
      <c r="R944" s="111">
        <v>3</v>
      </c>
      <c r="S944" s="111">
        <f t="shared" si="133"/>
        <v>3000</v>
      </c>
      <c r="T944" s="111">
        <f t="shared" si="134"/>
        <v>135000</v>
      </c>
      <c r="U944" s="111">
        <f t="shared" si="135"/>
        <v>1350</v>
      </c>
      <c r="V944" s="111">
        <f t="shared" si="136"/>
        <v>136350</v>
      </c>
      <c r="W944" t="s">
        <v>3403</v>
      </c>
    </row>
    <row r="945" spans="1:23" x14ac:dyDescent="0.3">
      <c r="A945" s="110">
        <v>1302623</v>
      </c>
      <c r="B945" s="110" t="s">
        <v>1079</v>
      </c>
      <c r="C945" s="110" t="s">
        <v>1111</v>
      </c>
      <c r="D945" s="110" t="s">
        <v>1111</v>
      </c>
      <c r="E945" s="110" t="s">
        <v>1155</v>
      </c>
      <c r="F945" s="110" t="s">
        <v>119</v>
      </c>
      <c r="G945" s="110" t="s">
        <v>114</v>
      </c>
      <c r="H945" s="111">
        <v>753</v>
      </c>
      <c r="I945" s="111">
        <v>755</v>
      </c>
      <c r="J945" s="111">
        <v>747</v>
      </c>
      <c r="K945" s="111">
        <f t="shared" si="128"/>
        <v>751.66666666666663</v>
      </c>
      <c r="L945" s="111">
        <f>300000</f>
        <v>300000</v>
      </c>
      <c r="M945" s="111">
        <f t="shared" si="129"/>
        <v>135000</v>
      </c>
      <c r="N945" s="111">
        <f t="shared" si="130"/>
        <v>135000</v>
      </c>
      <c r="O945" s="111">
        <f t="shared" si="131"/>
        <v>27000</v>
      </c>
      <c r="P945" s="111">
        <f t="shared" si="132"/>
        <v>30000</v>
      </c>
      <c r="Q945" s="111">
        <v>60000</v>
      </c>
      <c r="R945" s="111">
        <v>6</v>
      </c>
      <c r="S945" s="111">
        <f t="shared" si="133"/>
        <v>6000</v>
      </c>
      <c r="T945" s="111">
        <f t="shared" si="134"/>
        <v>360000</v>
      </c>
      <c r="U945" s="111">
        <f t="shared" si="135"/>
        <v>3600</v>
      </c>
      <c r="V945" s="111">
        <f t="shared" si="136"/>
        <v>363600</v>
      </c>
      <c r="W945" t="s">
        <v>3404</v>
      </c>
    </row>
    <row r="946" spans="1:23" x14ac:dyDescent="0.3">
      <c r="A946" s="110">
        <v>1302630</v>
      </c>
      <c r="B946" s="110" t="s">
        <v>1079</v>
      </c>
      <c r="C946" s="110" t="s">
        <v>1083</v>
      </c>
      <c r="D946" s="110" t="s">
        <v>1083</v>
      </c>
      <c r="E946" s="110" t="s">
        <v>274</v>
      </c>
      <c r="F946" s="110" t="s">
        <v>119</v>
      </c>
      <c r="G946" s="110" t="s">
        <v>114</v>
      </c>
      <c r="H946" s="111">
        <v>350</v>
      </c>
      <c r="I946" s="111">
        <v>344</v>
      </c>
      <c r="J946" s="111">
        <v>337</v>
      </c>
      <c r="K946" s="111">
        <f t="shared" si="128"/>
        <v>343.66666666666669</v>
      </c>
      <c r="L946" s="111">
        <v>200000</v>
      </c>
      <c r="M946" s="111">
        <f t="shared" si="129"/>
        <v>90000</v>
      </c>
      <c r="N946" s="111">
        <f t="shared" si="130"/>
        <v>90000</v>
      </c>
      <c r="O946" s="111">
        <f t="shared" si="131"/>
        <v>18000</v>
      </c>
      <c r="P946" s="111">
        <f t="shared" si="132"/>
        <v>20000</v>
      </c>
      <c r="Q946" s="111">
        <v>50000</v>
      </c>
      <c r="R946" s="111">
        <v>5</v>
      </c>
      <c r="S946" s="111">
        <f t="shared" si="133"/>
        <v>5000</v>
      </c>
      <c r="T946" s="111">
        <f t="shared" si="134"/>
        <v>250000</v>
      </c>
      <c r="U946" s="111">
        <f t="shared" si="135"/>
        <v>2500</v>
      </c>
      <c r="V946" s="111">
        <f t="shared" si="136"/>
        <v>252500</v>
      </c>
      <c r="W946" t="s">
        <v>3405</v>
      </c>
    </row>
    <row r="947" spans="1:23" x14ac:dyDescent="0.3">
      <c r="A947" s="110">
        <v>1302662</v>
      </c>
      <c r="B947" s="110" t="s">
        <v>1079</v>
      </c>
      <c r="C947" s="110" t="s">
        <v>1096</v>
      </c>
      <c r="D947" s="110" t="s">
        <v>1096</v>
      </c>
      <c r="E947" s="110" t="s">
        <v>1156</v>
      </c>
      <c r="F947" s="110" t="s">
        <v>119</v>
      </c>
      <c r="G947" s="110" t="s">
        <v>114</v>
      </c>
      <c r="H947" s="111">
        <v>219</v>
      </c>
      <c r="I947" s="111">
        <v>221</v>
      </c>
      <c r="J947" s="111">
        <v>220</v>
      </c>
      <c r="K947" s="111">
        <f t="shared" si="128"/>
        <v>220</v>
      </c>
      <c r="L947" s="111">
        <v>200000</v>
      </c>
      <c r="M947" s="111">
        <f t="shared" si="129"/>
        <v>90000</v>
      </c>
      <c r="N947" s="111">
        <f t="shared" si="130"/>
        <v>90000</v>
      </c>
      <c r="O947" s="111">
        <f t="shared" si="131"/>
        <v>18000</v>
      </c>
      <c r="P947" s="111">
        <f t="shared" si="132"/>
        <v>20000</v>
      </c>
      <c r="Q947" s="111">
        <v>50000</v>
      </c>
      <c r="R947" s="111">
        <v>5</v>
      </c>
      <c r="S947" s="111">
        <f t="shared" si="133"/>
        <v>5000</v>
      </c>
      <c r="T947" s="111">
        <f t="shared" si="134"/>
        <v>250000</v>
      </c>
      <c r="U947" s="111">
        <f t="shared" si="135"/>
        <v>2500</v>
      </c>
      <c r="V947" s="111">
        <f t="shared" si="136"/>
        <v>252500</v>
      </c>
      <c r="W947" t="s">
        <v>3406</v>
      </c>
    </row>
    <row r="948" spans="1:23" x14ac:dyDescent="0.3">
      <c r="A948" s="110">
        <v>1302705</v>
      </c>
      <c r="B948" s="110" t="s">
        <v>1079</v>
      </c>
      <c r="C948" s="110" t="s">
        <v>1079</v>
      </c>
      <c r="D948" s="110" t="s">
        <v>1079</v>
      </c>
      <c r="E948" s="110" t="s">
        <v>467</v>
      </c>
      <c r="F948" s="110" t="s">
        <v>135</v>
      </c>
      <c r="G948" s="110" t="s">
        <v>125</v>
      </c>
      <c r="H948" s="111">
        <v>75</v>
      </c>
      <c r="I948" s="111">
        <v>82</v>
      </c>
      <c r="J948" s="111">
        <v>75</v>
      </c>
      <c r="K948" s="111">
        <f t="shared" si="128"/>
        <v>77.333333333333329</v>
      </c>
      <c r="L948" s="111">
        <v>150000</v>
      </c>
      <c r="M948" s="111">
        <f t="shared" si="129"/>
        <v>67500</v>
      </c>
      <c r="N948" s="111">
        <f t="shared" si="130"/>
        <v>67500</v>
      </c>
      <c r="O948" s="111">
        <f t="shared" si="131"/>
        <v>13500</v>
      </c>
      <c r="P948" s="111">
        <f t="shared" si="132"/>
        <v>15000</v>
      </c>
      <c r="Q948" s="111">
        <v>30000</v>
      </c>
      <c r="R948" s="111">
        <v>3</v>
      </c>
      <c r="S948" s="111">
        <f t="shared" si="133"/>
        <v>3000</v>
      </c>
      <c r="T948" s="111">
        <f t="shared" si="134"/>
        <v>180000</v>
      </c>
      <c r="U948" s="111">
        <f t="shared" si="135"/>
        <v>1800</v>
      </c>
      <c r="V948" s="111">
        <f t="shared" si="136"/>
        <v>181800</v>
      </c>
      <c r="W948" t="s">
        <v>3407</v>
      </c>
    </row>
    <row r="949" spans="1:23" x14ac:dyDescent="0.3">
      <c r="A949" s="110">
        <v>1302722</v>
      </c>
      <c r="B949" s="110" t="s">
        <v>1079</v>
      </c>
      <c r="C949" s="110" t="s">
        <v>1084</v>
      </c>
      <c r="D949" s="110" t="s">
        <v>1084</v>
      </c>
      <c r="E949" s="110" t="s">
        <v>1157</v>
      </c>
      <c r="F949" s="110" t="s">
        <v>1158</v>
      </c>
      <c r="G949" s="110" t="s">
        <v>125</v>
      </c>
      <c r="H949" s="111">
        <v>65</v>
      </c>
      <c r="I949" s="111">
        <v>62</v>
      </c>
      <c r="J949" s="111">
        <v>62</v>
      </c>
      <c r="K949" s="111">
        <f t="shared" si="128"/>
        <v>63</v>
      </c>
      <c r="L949" s="111">
        <v>150000</v>
      </c>
      <c r="M949" s="111">
        <f t="shared" si="129"/>
        <v>67500</v>
      </c>
      <c r="N949" s="111">
        <f t="shared" si="130"/>
        <v>67500</v>
      </c>
      <c r="O949" s="111">
        <f t="shared" si="131"/>
        <v>13500</v>
      </c>
      <c r="P949" s="111">
        <f t="shared" si="132"/>
        <v>15000</v>
      </c>
      <c r="Q949" s="111">
        <v>30000</v>
      </c>
      <c r="R949" s="111">
        <v>3</v>
      </c>
      <c r="S949" s="111">
        <f t="shared" si="133"/>
        <v>3000</v>
      </c>
      <c r="T949" s="111">
        <f t="shared" si="134"/>
        <v>180000</v>
      </c>
      <c r="U949" s="111">
        <f t="shared" si="135"/>
        <v>1800</v>
      </c>
      <c r="V949" s="111">
        <f t="shared" si="136"/>
        <v>181800</v>
      </c>
      <c r="W949" t="s">
        <v>3408</v>
      </c>
    </row>
    <row r="950" spans="1:23" x14ac:dyDescent="0.3">
      <c r="A950" s="110">
        <v>1302769</v>
      </c>
      <c r="B950" s="110" t="s">
        <v>1079</v>
      </c>
      <c r="C950" s="110" t="s">
        <v>1079</v>
      </c>
      <c r="D950" s="110" t="s">
        <v>1079</v>
      </c>
      <c r="E950" s="110" t="s">
        <v>971</v>
      </c>
      <c r="F950" s="110" t="s">
        <v>117</v>
      </c>
      <c r="G950" s="110" t="s">
        <v>125</v>
      </c>
      <c r="H950" s="111">
        <v>544</v>
      </c>
      <c r="I950" s="111">
        <v>555</v>
      </c>
      <c r="J950" s="111">
        <v>565</v>
      </c>
      <c r="K950" s="111">
        <f t="shared" si="128"/>
        <v>554.66666666666663</v>
      </c>
      <c r="L950" s="111">
        <f>300000</f>
        <v>300000</v>
      </c>
      <c r="M950" s="111">
        <f t="shared" si="129"/>
        <v>135000</v>
      </c>
      <c r="N950" s="111">
        <f t="shared" si="130"/>
        <v>135000</v>
      </c>
      <c r="O950" s="111">
        <f t="shared" si="131"/>
        <v>27000</v>
      </c>
      <c r="P950" s="111">
        <f t="shared" si="132"/>
        <v>30000</v>
      </c>
      <c r="Q950" s="111">
        <v>60000</v>
      </c>
      <c r="R950" s="111">
        <v>6</v>
      </c>
      <c r="S950" s="111">
        <f t="shared" si="133"/>
        <v>6000</v>
      </c>
      <c r="T950" s="111">
        <f t="shared" si="134"/>
        <v>360000</v>
      </c>
      <c r="U950" s="111">
        <f t="shared" si="135"/>
        <v>3600</v>
      </c>
      <c r="V950" s="111">
        <f t="shared" si="136"/>
        <v>363600</v>
      </c>
      <c r="W950" t="s">
        <v>3409</v>
      </c>
    </row>
    <row r="951" spans="1:23" x14ac:dyDescent="0.3">
      <c r="A951" s="110">
        <v>1302783</v>
      </c>
      <c r="B951" s="110" t="s">
        <v>1079</v>
      </c>
      <c r="C951" s="110" t="s">
        <v>516</v>
      </c>
      <c r="D951" s="110" t="s">
        <v>516</v>
      </c>
      <c r="E951" s="110" t="s">
        <v>1159</v>
      </c>
      <c r="F951" s="110" t="s">
        <v>117</v>
      </c>
      <c r="G951" s="110" t="s">
        <v>114</v>
      </c>
      <c r="H951" s="111">
        <v>71</v>
      </c>
      <c r="I951" s="111">
        <v>54</v>
      </c>
      <c r="J951" s="111">
        <v>57</v>
      </c>
      <c r="K951" s="111">
        <f t="shared" si="128"/>
        <v>60.666666666666664</v>
      </c>
      <c r="L951" s="111">
        <v>150000</v>
      </c>
      <c r="M951" s="111">
        <f t="shared" si="129"/>
        <v>67500</v>
      </c>
      <c r="N951" s="111">
        <f t="shared" si="130"/>
        <v>67500</v>
      </c>
      <c r="O951" s="111">
        <f t="shared" si="131"/>
        <v>13500</v>
      </c>
      <c r="P951" s="111">
        <f t="shared" si="132"/>
        <v>15000</v>
      </c>
      <c r="Q951" s="111">
        <v>30000</v>
      </c>
      <c r="R951" s="111">
        <v>3</v>
      </c>
      <c r="S951" s="111">
        <f t="shared" si="133"/>
        <v>3000</v>
      </c>
      <c r="T951" s="111">
        <f t="shared" si="134"/>
        <v>180000</v>
      </c>
      <c r="U951" s="111">
        <f t="shared" si="135"/>
        <v>1800</v>
      </c>
      <c r="V951" s="111">
        <f t="shared" si="136"/>
        <v>181800</v>
      </c>
      <c r="W951" t="s">
        <v>3410</v>
      </c>
    </row>
    <row r="952" spans="1:23" x14ac:dyDescent="0.3">
      <c r="A952" s="110">
        <v>1302819</v>
      </c>
      <c r="B952" s="110" t="s">
        <v>1079</v>
      </c>
      <c r="C952" s="110" t="s">
        <v>1083</v>
      </c>
      <c r="D952" s="110" t="s">
        <v>1083</v>
      </c>
      <c r="E952" s="110" t="s">
        <v>1160</v>
      </c>
      <c r="F952" s="110" t="s">
        <v>117</v>
      </c>
      <c r="G952" s="110" t="s">
        <v>114</v>
      </c>
      <c r="H952" s="111">
        <v>196</v>
      </c>
      <c r="I952" s="111">
        <v>200</v>
      </c>
      <c r="J952" s="111">
        <v>191</v>
      </c>
      <c r="K952" s="111">
        <f t="shared" si="128"/>
        <v>195.66666666666666</v>
      </c>
      <c r="L952" s="111">
        <v>150000</v>
      </c>
      <c r="M952" s="111">
        <f t="shared" si="129"/>
        <v>67500</v>
      </c>
      <c r="N952" s="111">
        <f t="shared" si="130"/>
        <v>67500</v>
      </c>
      <c r="O952" s="111">
        <f t="shared" si="131"/>
        <v>13500</v>
      </c>
      <c r="P952" s="111">
        <f t="shared" si="132"/>
        <v>15000</v>
      </c>
      <c r="Q952" s="111">
        <v>30000</v>
      </c>
      <c r="R952" s="111">
        <v>3</v>
      </c>
      <c r="S952" s="111">
        <f t="shared" si="133"/>
        <v>3000</v>
      </c>
      <c r="T952" s="111">
        <f t="shared" si="134"/>
        <v>180000</v>
      </c>
      <c r="U952" s="111">
        <f t="shared" si="135"/>
        <v>1800</v>
      </c>
      <c r="V952" s="111">
        <f t="shared" si="136"/>
        <v>181800</v>
      </c>
      <c r="W952" t="s">
        <v>3411</v>
      </c>
    </row>
    <row r="953" spans="1:23" x14ac:dyDescent="0.3">
      <c r="A953" s="110">
        <v>1302961</v>
      </c>
      <c r="B953" s="110" t="s">
        <v>1079</v>
      </c>
      <c r="C953" s="110" t="s">
        <v>1079</v>
      </c>
      <c r="D953" s="110" t="s">
        <v>1079</v>
      </c>
      <c r="E953" s="110" t="s">
        <v>1161</v>
      </c>
      <c r="F953" s="110" t="s">
        <v>117</v>
      </c>
      <c r="G953" s="110" t="s">
        <v>125</v>
      </c>
      <c r="H953" s="111">
        <v>555</v>
      </c>
      <c r="I953" s="111">
        <v>608</v>
      </c>
      <c r="J953" s="111">
        <v>659</v>
      </c>
      <c r="K953" s="111">
        <f t="shared" si="128"/>
        <v>607.33333333333337</v>
      </c>
      <c r="L953" s="111">
        <f>300000</f>
        <v>300000</v>
      </c>
      <c r="M953" s="111">
        <f t="shared" si="129"/>
        <v>135000</v>
      </c>
      <c r="N953" s="111">
        <f t="shared" si="130"/>
        <v>135000</v>
      </c>
      <c r="O953" s="111">
        <f t="shared" si="131"/>
        <v>27000</v>
      </c>
      <c r="P953" s="111">
        <f t="shared" si="132"/>
        <v>30000</v>
      </c>
      <c r="Q953" s="111">
        <v>60000</v>
      </c>
      <c r="R953" s="111">
        <v>6</v>
      </c>
      <c r="S953" s="111">
        <f t="shared" si="133"/>
        <v>6000</v>
      </c>
      <c r="T953" s="111">
        <f t="shared" si="134"/>
        <v>360000</v>
      </c>
      <c r="U953" s="111">
        <f t="shared" si="135"/>
        <v>3600</v>
      </c>
      <c r="V953" s="111">
        <f t="shared" si="136"/>
        <v>363600</v>
      </c>
      <c r="W953" t="s">
        <v>3412</v>
      </c>
    </row>
    <row r="954" spans="1:23" x14ac:dyDescent="0.3">
      <c r="A954" s="110">
        <v>1302979</v>
      </c>
      <c r="B954" s="110" t="s">
        <v>1079</v>
      </c>
      <c r="C954" s="110" t="s">
        <v>1098</v>
      </c>
      <c r="D954" s="110" t="s">
        <v>1098</v>
      </c>
      <c r="E954" s="110" t="s">
        <v>1162</v>
      </c>
      <c r="F954" s="110" t="s">
        <v>117</v>
      </c>
      <c r="G954" s="110" t="s">
        <v>114</v>
      </c>
      <c r="H954" s="111">
        <v>268</v>
      </c>
      <c r="I954" s="111">
        <v>269</v>
      </c>
      <c r="J954" s="111">
        <v>266</v>
      </c>
      <c r="K954" s="111">
        <f t="shared" si="128"/>
        <v>267.66666666666669</v>
      </c>
      <c r="L954" s="111">
        <v>200000</v>
      </c>
      <c r="M954" s="111">
        <f t="shared" si="129"/>
        <v>90000</v>
      </c>
      <c r="N954" s="111">
        <f t="shared" si="130"/>
        <v>90000</v>
      </c>
      <c r="O954" s="111">
        <f t="shared" si="131"/>
        <v>18000</v>
      </c>
      <c r="P954" s="111">
        <f t="shared" si="132"/>
        <v>20000</v>
      </c>
      <c r="Q954" s="111">
        <v>50000</v>
      </c>
      <c r="R954" s="111">
        <v>5</v>
      </c>
      <c r="S954" s="111">
        <f t="shared" si="133"/>
        <v>5000</v>
      </c>
      <c r="T954" s="111">
        <f t="shared" si="134"/>
        <v>250000</v>
      </c>
      <c r="U954" s="111">
        <f t="shared" si="135"/>
        <v>2500</v>
      </c>
      <c r="V954" s="111">
        <f t="shared" si="136"/>
        <v>252500</v>
      </c>
      <c r="W954" t="s">
        <v>3413</v>
      </c>
    </row>
    <row r="955" spans="1:23" x14ac:dyDescent="0.3">
      <c r="A955" s="110">
        <v>1302993</v>
      </c>
      <c r="B955" s="110" t="s">
        <v>1079</v>
      </c>
      <c r="C955" s="110" t="s">
        <v>1087</v>
      </c>
      <c r="D955" s="110" t="s">
        <v>1087</v>
      </c>
      <c r="E955" s="110" t="s">
        <v>1163</v>
      </c>
      <c r="F955" s="110" t="s">
        <v>117</v>
      </c>
      <c r="G955" s="110" t="s">
        <v>114</v>
      </c>
      <c r="H955" s="111">
        <v>401</v>
      </c>
      <c r="I955" s="111">
        <v>359</v>
      </c>
      <c r="J955" s="111">
        <v>361</v>
      </c>
      <c r="K955" s="111">
        <f t="shared" si="128"/>
        <v>373.66666666666669</v>
      </c>
      <c r="L955" s="111">
        <v>200000</v>
      </c>
      <c r="M955" s="111">
        <f t="shared" si="129"/>
        <v>90000</v>
      </c>
      <c r="N955" s="111">
        <f t="shared" si="130"/>
        <v>90000</v>
      </c>
      <c r="O955" s="111">
        <f t="shared" si="131"/>
        <v>18000</v>
      </c>
      <c r="P955" s="111">
        <f t="shared" si="132"/>
        <v>20000</v>
      </c>
      <c r="Q955" s="111">
        <v>50000</v>
      </c>
      <c r="R955" s="111">
        <v>5</v>
      </c>
      <c r="S955" s="111">
        <f t="shared" si="133"/>
        <v>5000</v>
      </c>
      <c r="T955" s="111">
        <f t="shared" si="134"/>
        <v>250000</v>
      </c>
      <c r="U955" s="111">
        <f t="shared" si="135"/>
        <v>2500</v>
      </c>
      <c r="V955" s="111">
        <f t="shared" si="136"/>
        <v>252500</v>
      </c>
      <c r="W955" t="s">
        <v>3414</v>
      </c>
    </row>
    <row r="956" spans="1:23" x14ac:dyDescent="0.3">
      <c r="A956" s="110">
        <v>1303006</v>
      </c>
      <c r="B956" s="110" t="s">
        <v>1079</v>
      </c>
      <c r="C956" s="110" t="s">
        <v>1079</v>
      </c>
      <c r="D956" s="110" t="s">
        <v>1079</v>
      </c>
      <c r="E956" s="110" t="s">
        <v>1164</v>
      </c>
      <c r="F956" s="110" t="s">
        <v>117</v>
      </c>
      <c r="G956" s="110" t="s">
        <v>125</v>
      </c>
      <c r="H956" s="111">
        <v>101</v>
      </c>
      <c r="I956" s="111">
        <v>108</v>
      </c>
      <c r="J956" s="111">
        <v>125</v>
      </c>
      <c r="K956" s="111">
        <f t="shared" si="128"/>
        <v>111.33333333333333</v>
      </c>
      <c r="L956" s="111">
        <v>150000</v>
      </c>
      <c r="M956" s="111">
        <f t="shared" si="129"/>
        <v>67500</v>
      </c>
      <c r="N956" s="111">
        <f t="shared" si="130"/>
        <v>67500</v>
      </c>
      <c r="O956" s="111">
        <f t="shared" si="131"/>
        <v>13500</v>
      </c>
      <c r="P956" s="111">
        <f t="shared" si="132"/>
        <v>15000</v>
      </c>
      <c r="Q956" s="111">
        <v>30000</v>
      </c>
      <c r="R956" s="111">
        <v>3</v>
      </c>
      <c r="S956" s="111">
        <f t="shared" si="133"/>
        <v>3000</v>
      </c>
      <c r="T956" s="111">
        <f t="shared" si="134"/>
        <v>180000</v>
      </c>
      <c r="U956" s="111">
        <f t="shared" si="135"/>
        <v>1800</v>
      </c>
      <c r="V956" s="111">
        <f t="shared" si="136"/>
        <v>181800</v>
      </c>
      <c r="W956" t="s">
        <v>3415</v>
      </c>
    </row>
    <row r="957" spans="1:23" x14ac:dyDescent="0.3">
      <c r="A957" s="110">
        <v>1303321</v>
      </c>
      <c r="B957" s="110" t="s">
        <v>1079</v>
      </c>
      <c r="C957" s="110" t="s">
        <v>1079</v>
      </c>
      <c r="D957" s="110" t="s">
        <v>1165</v>
      </c>
      <c r="E957" s="110" t="s">
        <v>314</v>
      </c>
      <c r="F957" s="110" t="s">
        <v>113</v>
      </c>
      <c r="G957" s="110" t="s">
        <v>114</v>
      </c>
      <c r="H957" s="111">
        <v>46</v>
      </c>
      <c r="I957" s="111">
        <v>44</v>
      </c>
      <c r="J957" s="111">
        <v>45</v>
      </c>
      <c r="K957" s="111">
        <f t="shared" si="128"/>
        <v>45</v>
      </c>
      <c r="L957" s="111">
        <v>50000</v>
      </c>
      <c r="M957" s="111">
        <f t="shared" si="129"/>
        <v>22500</v>
      </c>
      <c r="N957" s="111">
        <f t="shared" si="130"/>
        <v>22500</v>
      </c>
      <c r="O957" s="111">
        <f t="shared" si="131"/>
        <v>4500</v>
      </c>
      <c r="P957" s="111">
        <f t="shared" si="132"/>
        <v>5000</v>
      </c>
      <c r="Q957" s="111">
        <v>10000</v>
      </c>
      <c r="R957" s="111">
        <v>1</v>
      </c>
      <c r="S957" s="111">
        <f t="shared" si="133"/>
        <v>1000</v>
      </c>
      <c r="T957" s="111">
        <f t="shared" si="134"/>
        <v>60000</v>
      </c>
      <c r="U957" s="111">
        <f t="shared" si="135"/>
        <v>600</v>
      </c>
      <c r="V957" s="111">
        <f t="shared" si="136"/>
        <v>60600</v>
      </c>
      <c r="W957" t="s">
        <v>3416</v>
      </c>
    </row>
    <row r="958" spans="1:23" x14ac:dyDescent="0.3">
      <c r="A958" s="110">
        <v>1303344</v>
      </c>
      <c r="B958" s="110" t="s">
        <v>1079</v>
      </c>
      <c r="C958" s="110" t="s">
        <v>1079</v>
      </c>
      <c r="D958" s="110" t="s">
        <v>1079</v>
      </c>
      <c r="E958" s="110" t="s">
        <v>1166</v>
      </c>
      <c r="F958" s="110" t="s">
        <v>117</v>
      </c>
      <c r="G958" s="110" t="s">
        <v>125</v>
      </c>
      <c r="H958" s="111">
        <v>186</v>
      </c>
      <c r="I958" s="111">
        <v>185</v>
      </c>
      <c r="J958" s="111">
        <v>158</v>
      </c>
      <c r="K958" s="111">
        <f t="shared" si="128"/>
        <v>176.33333333333334</v>
      </c>
      <c r="L958" s="111">
        <v>150000</v>
      </c>
      <c r="M958" s="111">
        <f t="shared" si="129"/>
        <v>67500</v>
      </c>
      <c r="N958" s="111">
        <f t="shared" si="130"/>
        <v>67500</v>
      </c>
      <c r="O958" s="111">
        <f t="shared" si="131"/>
        <v>13500</v>
      </c>
      <c r="P958" s="111">
        <f t="shared" si="132"/>
        <v>15000</v>
      </c>
      <c r="Q958" s="111">
        <v>30000</v>
      </c>
      <c r="R958" s="111">
        <v>3</v>
      </c>
      <c r="S958" s="111">
        <f t="shared" si="133"/>
        <v>3000</v>
      </c>
      <c r="T958" s="111">
        <f t="shared" si="134"/>
        <v>180000</v>
      </c>
      <c r="U958" s="111">
        <f t="shared" si="135"/>
        <v>1800</v>
      </c>
      <c r="V958" s="111">
        <f t="shared" si="136"/>
        <v>181800</v>
      </c>
      <c r="W958" t="s">
        <v>3417</v>
      </c>
    </row>
    <row r="959" spans="1:23" x14ac:dyDescent="0.3">
      <c r="A959" s="110">
        <v>1303456</v>
      </c>
      <c r="B959" s="110" t="s">
        <v>1079</v>
      </c>
      <c r="C959" s="110" t="s">
        <v>1079</v>
      </c>
      <c r="D959" s="110" t="s">
        <v>1167</v>
      </c>
      <c r="E959" s="110" t="s">
        <v>1168</v>
      </c>
      <c r="F959" s="110" t="s">
        <v>113</v>
      </c>
      <c r="G959" s="110" t="s">
        <v>114</v>
      </c>
      <c r="H959" s="111">
        <v>94</v>
      </c>
      <c r="I959" s="111">
        <v>90</v>
      </c>
      <c r="J959" s="111">
        <v>79</v>
      </c>
      <c r="K959" s="111">
        <f t="shared" si="128"/>
        <v>87.666666666666671</v>
      </c>
      <c r="L959" s="111">
        <v>150000</v>
      </c>
      <c r="M959" s="111">
        <f t="shared" si="129"/>
        <v>67500</v>
      </c>
      <c r="N959" s="111">
        <f t="shared" si="130"/>
        <v>67500</v>
      </c>
      <c r="O959" s="111">
        <f t="shared" si="131"/>
        <v>13500</v>
      </c>
      <c r="P959" s="111">
        <f t="shared" si="132"/>
        <v>15000</v>
      </c>
      <c r="Q959" s="111">
        <v>30000</v>
      </c>
      <c r="R959" s="111">
        <v>3</v>
      </c>
      <c r="S959" s="111">
        <f t="shared" si="133"/>
        <v>3000</v>
      </c>
      <c r="T959" s="111">
        <f t="shared" si="134"/>
        <v>180000</v>
      </c>
      <c r="U959" s="111">
        <f t="shared" si="135"/>
        <v>1800</v>
      </c>
      <c r="V959" s="111">
        <f t="shared" si="136"/>
        <v>181800</v>
      </c>
      <c r="W959" t="s">
        <v>3418</v>
      </c>
    </row>
    <row r="960" spans="1:23" x14ac:dyDescent="0.3">
      <c r="A960" s="110">
        <v>1303889</v>
      </c>
      <c r="B960" s="110" t="s">
        <v>1079</v>
      </c>
      <c r="C960" s="110" t="s">
        <v>1087</v>
      </c>
      <c r="D960" s="110" t="s">
        <v>1087</v>
      </c>
      <c r="E960" s="110" t="s">
        <v>286</v>
      </c>
      <c r="F960" s="110" t="s">
        <v>119</v>
      </c>
      <c r="G960" s="110" t="s">
        <v>114</v>
      </c>
      <c r="H960" s="111">
        <v>236</v>
      </c>
      <c r="I960" s="111">
        <v>237</v>
      </c>
      <c r="J960" s="111">
        <v>212</v>
      </c>
      <c r="K960" s="111">
        <f t="shared" si="128"/>
        <v>228.33333333333334</v>
      </c>
      <c r="L960" s="111">
        <v>200000</v>
      </c>
      <c r="M960" s="111">
        <f t="shared" si="129"/>
        <v>90000</v>
      </c>
      <c r="N960" s="111">
        <f t="shared" si="130"/>
        <v>90000</v>
      </c>
      <c r="O960" s="111">
        <f t="shared" si="131"/>
        <v>18000</v>
      </c>
      <c r="P960" s="111">
        <f t="shared" si="132"/>
        <v>20000</v>
      </c>
      <c r="Q960" s="111">
        <v>50000</v>
      </c>
      <c r="R960" s="111">
        <v>5</v>
      </c>
      <c r="S960" s="111">
        <f t="shared" si="133"/>
        <v>5000</v>
      </c>
      <c r="T960" s="111">
        <f t="shared" si="134"/>
        <v>250000</v>
      </c>
      <c r="U960" s="111">
        <f t="shared" si="135"/>
        <v>2500</v>
      </c>
      <c r="V960" s="111">
        <f t="shared" si="136"/>
        <v>252500</v>
      </c>
      <c r="W960" t="s">
        <v>3419</v>
      </c>
    </row>
    <row r="961" spans="1:23" x14ac:dyDescent="0.3">
      <c r="A961" s="110">
        <v>1304231</v>
      </c>
      <c r="B961" s="110" t="s">
        <v>1079</v>
      </c>
      <c r="C961" s="110" t="s">
        <v>1098</v>
      </c>
      <c r="D961" s="110" t="s">
        <v>1098</v>
      </c>
      <c r="E961" s="110" t="s">
        <v>1169</v>
      </c>
      <c r="F961" s="110" t="s">
        <v>117</v>
      </c>
      <c r="G961" s="110" t="s">
        <v>125</v>
      </c>
      <c r="H961" s="111">
        <v>398</v>
      </c>
      <c r="I961" s="111">
        <v>370</v>
      </c>
      <c r="J961" s="111">
        <v>412</v>
      </c>
      <c r="K961" s="111">
        <f t="shared" si="128"/>
        <v>393.33333333333331</v>
      </c>
      <c r="L961" s="111">
        <v>200000</v>
      </c>
      <c r="M961" s="111">
        <f t="shared" si="129"/>
        <v>90000</v>
      </c>
      <c r="N961" s="111">
        <f t="shared" si="130"/>
        <v>90000</v>
      </c>
      <c r="O961" s="111">
        <f t="shared" si="131"/>
        <v>18000</v>
      </c>
      <c r="P961" s="111">
        <f t="shared" si="132"/>
        <v>20000</v>
      </c>
      <c r="Q961" s="111">
        <v>50000</v>
      </c>
      <c r="R961" s="111">
        <v>5</v>
      </c>
      <c r="S961" s="111">
        <f t="shared" si="133"/>
        <v>5000</v>
      </c>
      <c r="T961" s="111">
        <f t="shared" si="134"/>
        <v>250000</v>
      </c>
      <c r="U961" s="111">
        <f t="shared" si="135"/>
        <v>2500</v>
      </c>
      <c r="V961" s="111">
        <f t="shared" si="136"/>
        <v>252500</v>
      </c>
      <c r="W961" t="s">
        <v>3420</v>
      </c>
    </row>
    <row r="962" spans="1:23" x14ac:dyDescent="0.3">
      <c r="A962" s="110">
        <v>1304290</v>
      </c>
      <c r="B962" s="110" t="s">
        <v>1079</v>
      </c>
      <c r="C962" s="110" t="s">
        <v>1079</v>
      </c>
      <c r="D962" s="110" t="s">
        <v>1079</v>
      </c>
      <c r="E962" s="110" t="s">
        <v>1170</v>
      </c>
      <c r="F962" s="110" t="s">
        <v>122</v>
      </c>
      <c r="G962" s="110" t="s">
        <v>114</v>
      </c>
      <c r="H962" s="111">
        <v>1026</v>
      </c>
      <c r="I962" s="111">
        <v>974</v>
      </c>
      <c r="J962" s="111">
        <v>941</v>
      </c>
      <c r="K962" s="111">
        <f t="shared" ref="K962:K1025" si="137">+(H962+I962+J962)/3</f>
        <v>980.33333333333337</v>
      </c>
      <c r="L962" s="111">
        <f>300000</f>
        <v>300000</v>
      </c>
      <c r="M962" s="111">
        <f t="shared" ref="M962:M1025" si="138">+L962*0.45</f>
        <v>135000</v>
      </c>
      <c r="N962" s="111">
        <f t="shared" ref="N962:N1025" si="139">+L962*0.45</f>
        <v>135000</v>
      </c>
      <c r="O962" s="111">
        <f t="shared" ref="O962:O1025" si="140">+N962*0.2</f>
        <v>27000</v>
      </c>
      <c r="P962" s="111">
        <f t="shared" ref="P962:P1025" si="141">++L962*0.1</f>
        <v>30000</v>
      </c>
      <c r="Q962" s="111">
        <v>60000</v>
      </c>
      <c r="R962" s="111">
        <v>6</v>
      </c>
      <c r="S962" s="111">
        <f t="shared" ref="S962:S1025" si="142">+Q962*0.1</f>
        <v>6000</v>
      </c>
      <c r="T962" s="111">
        <f t="shared" ref="T962:T1025" si="143">+L962+Q962</f>
        <v>360000</v>
      </c>
      <c r="U962" s="111">
        <f t="shared" ref="U962:U1025" si="144">+T962*0.01</f>
        <v>3600</v>
      </c>
      <c r="V962" s="111">
        <f t="shared" ref="V962:V1025" si="145">+T962+U962</f>
        <v>363600</v>
      </c>
      <c r="W962" t="s">
        <v>3421</v>
      </c>
    </row>
    <row r="963" spans="1:23" x14ac:dyDescent="0.3">
      <c r="A963" s="110">
        <v>1304332</v>
      </c>
      <c r="B963" s="110" t="s">
        <v>1079</v>
      </c>
      <c r="C963" s="110" t="s">
        <v>1079</v>
      </c>
      <c r="D963" s="110" t="s">
        <v>1079</v>
      </c>
      <c r="E963" s="110" t="s">
        <v>1171</v>
      </c>
      <c r="F963" s="110" t="s">
        <v>117</v>
      </c>
      <c r="G963" s="110" t="s">
        <v>125</v>
      </c>
      <c r="H963" s="111">
        <v>159</v>
      </c>
      <c r="I963" s="111">
        <v>148</v>
      </c>
      <c r="J963" s="111">
        <v>186</v>
      </c>
      <c r="K963" s="111">
        <f t="shared" si="137"/>
        <v>164.33333333333334</v>
      </c>
      <c r="L963" s="111">
        <v>150000</v>
      </c>
      <c r="M963" s="111">
        <f t="shared" si="138"/>
        <v>67500</v>
      </c>
      <c r="N963" s="111">
        <f t="shared" si="139"/>
        <v>67500</v>
      </c>
      <c r="O963" s="111">
        <f t="shared" si="140"/>
        <v>13500</v>
      </c>
      <c r="P963" s="111">
        <f t="shared" si="141"/>
        <v>15000</v>
      </c>
      <c r="Q963" s="111">
        <v>30000</v>
      </c>
      <c r="R963" s="111">
        <v>3</v>
      </c>
      <c r="S963" s="111">
        <f t="shared" si="142"/>
        <v>3000</v>
      </c>
      <c r="T963" s="111">
        <f t="shared" si="143"/>
        <v>180000</v>
      </c>
      <c r="U963" s="111">
        <f t="shared" si="144"/>
        <v>1800</v>
      </c>
      <c r="V963" s="111">
        <f t="shared" si="145"/>
        <v>181800</v>
      </c>
      <c r="W963" t="s">
        <v>3422</v>
      </c>
    </row>
    <row r="964" spans="1:23" x14ac:dyDescent="0.3">
      <c r="A964" s="110">
        <v>1304357</v>
      </c>
      <c r="B964" s="110" t="s">
        <v>1079</v>
      </c>
      <c r="C964" s="110" t="s">
        <v>1083</v>
      </c>
      <c r="D964" s="110" t="s">
        <v>1083</v>
      </c>
      <c r="E964" s="110" t="s">
        <v>1172</v>
      </c>
      <c r="F964" s="110" t="s">
        <v>168</v>
      </c>
      <c r="G964" s="110" t="s">
        <v>114</v>
      </c>
      <c r="H964" s="111">
        <v>302</v>
      </c>
      <c r="I964" s="111">
        <v>291</v>
      </c>
      <c r="J964" s="111">
        <v>317</v>
      </c>
      <c r="K964" s="111">
        <f t="shared" si="137"/>
        <v>303.33333333333331</v>
      </c>
      <c r="L964" s="111">
        <v>200000</v>
      </c>
      <c r="M964" s="111">
        <f t="shared" si="138"/>
        <v>90000</v>
      </c>
      <c r="N964" s="111">
        <f t="shared" si="139"/>
        <v>90000</v>
      </c>
      <c r="O964" s="111">
        <f t="shared" si="140"/>
        <v>18000</v>
      </c>
      <c r="P964" s="111">
        <f t="shared" si="141"/>
        <v>20000</v>
      </c>
      <c r="Q964" s="111">
        <v>50000</v>
      </c>
      <c r="R964" s="111">
        <v>5</v>
      </c>
      <c r="S964" s="111">
        <f t="shared" si="142"/>
        <v>5000</v>
      </c>
      <c r="T964" s="111">
        <f t="shared" si="143"/>
        <v>250000</v>
      </c>
      <c r="U964" s="111">
        <f t="shared" si="144"/>
        <v>2500</v>
      </c>
      <c r="V964" s="111">
        <f t="shared" si="145"/>
        <v>252500</v>
      </c>
      <c r="W964" t="s">
        <v>3423</v>
      </c>
    </row>
    <row r="965" spans="1:23" x14ac:dyDescent="0.3">
      <c r="A965" s="110">
        <v>1304532</v>
      </c>
      <c r="B965" s="110" t="s">
        <v>1079</v>
      </c>
      <c r="C965" s="110" t="s">
        <v>1084</v>
      </c>
      <c r="D965" s="110" t="s">
        <v>1084</v>
      </c>
      <c r="E965" s="110" t="s">
        <v>1131</v>
      </c>
      <c r="F965" s="110" t="s">
        <v>113</v>
      </c>
      <c r="G965" s="110" t="s">
        <v>114</v>
      </c>
      <c r="H965" s="111">
        <v>324</v>
      </c>
      <c r="I965" s="111">
        <v>310</v>
      </c>
      <c r="J965" s="111">
        <v>288</v>
      </c>
      <c r="K965" s="111">
        <f t="shared" si="137"/>
        <v>307.33333333333331</v>
      </c>
      <c r="L965" s="111">
        <v>200000</v>
      </c>
      <c r="M965" s="111">
        <f t="shared" si="138"/>
        <v>90000</v>
      </c>
      <c r="N965" s="111">
        <f t="shared" si="139"/>
        <v>90000</v>
      </c>
      <c r="O965" s="111">
        <f t="shared" si="140"/>
        <v>18000</v>
      </c>
      <c r="P965" s="111">
        <f t="shared" si="141"/>
        <v>20000</v>
      </c>
      <c r="Q965" s="111">
        <v>50000</v>
      </c>
      <c r="R965" s="111">
        <v>5</v>
      </c>
      <c r="S965" s="111">
        <f t="shared" si="142"/>
        <v>5000</v>
      </c>
      <c r="T965" s="111">
        <f t="shared" si="143"/>
        <v>250000</v>
      </c>
      <c r="U965" s="111">
        <f t="shared" si="144"/>
        <v>2500</v>
      </c>
      <c r="V965" s="111">
        <f t="shared" si="145"/>
        <v>252500</v>
      </c>
      <c r="W965" t="s">
        <v>3424</v>
      </c>
    </row>
    <row r="966" spans="1:23" x14ac:dyDescent="0.3">
      <c r="A966" s="110">
        <v>1304923</v>
      </c>
      <c r="B966" s="110" t="s">
        <v>1079</v>
      </c>
      <c r="C966" s="110" t="s">
        <v>1086</v>
      </c>
      <c r="D966" s="110" t="s">
        <v>1173</v>
      </c>
      <c r="E966" s="110" t="s">
        <v>259</v>
      </c>
      <c r="F966" s="110" t="s">
        <v>113</v>
      </c>
      <c r="G966" s="110" t="s">
        <v>114</v>
      </c>
      <c r="H966" s="111">
        <v>56</v>
      </c>
      <c r="I966" s="111">
        <v>56</v>
      </c>
      <c r="J966" s="111">
        <v>56</v>
      </c>
      <c r="K966" s="111">
        <f t="shared" si="137"/>
        <v>56</v>
      </c>
      <c r="L966" s="111">
        <v>150000</v>
      </c>
      <c r="M966" s="111">
        <f t="shared" si="138"/>
        <v>67500</v>
      </c>
      <c r="N966" s="111">
        <f t="shared" si="139"/>
        <v>67500</v>
      </c>
      <c r="O966" s="111">
        <f t="shared" si="140"/>
        <v>13500</v>
      </c>
      <c r="P966" s="111">
        <f t="shared" si="141"/>
        <v>15000</v>
      </c>
      <c r="Q966" s="111">
        <v>30000</v>
      </c>
      <c r="R966" s="111">
        <v>3</v>
      </c>
      <c r="S966" s="111">
        <f t="shared" si="142"/>
        <v>3000</v>
      </c>
      <c r="T966" s="111">
        <f t="shared" si="143"/>
        <v>180000</v>
      </c>
      <c r="U966" s="111">
        <f t="shared" si="144"/>
        <v>1800</v>
      </c>
      <c r="V966" s="111">
        <f t="shared" si="145"/>
        <v>181800</v>
      </c>
      <c r="W966" t="s">
        <v>3425</v>
      </c>
    </row>
    <row r="967" spans="1:23" x14ac:dyDescent="0.3">
      <c r="A967" s="110">
        <v>1304930</v>
      </c>
      <c r="B967" s="110" t="s">
        <v>1079</v>
      </c>
      <c r="C967" s="110" t="s">
        <v>1079</v>
      </c>
      <c r="D967" s="110" t="s">
        <v>1079</v>
      </c>
      <c r="E967" s="110" t="s">
        <v>1174</v>
      </c>
      <c r="F967" s="110" t="s">
        <v>113</v>
      </c>
      <c r="G967" s="110" t="s">
        <v>114</v>
      </c>
      <c r="H967" s="111">
        <v>283</v>
      </c>
      <c r="I967" s="111">
        <v>294</v>
      </c>
      <c r="J967" s="111">
        <v>320</v>
      </c>
      <c r="K967" s="111">
        <f t="shared" si="137"/>
        <v>299</v>
      </c>
      <c r="L967" s="111">
        <v>200000</v>
      </c>
      <c r="M967" s="111">
        <f t="shared" si="138"/>
        <v>90000</v>
      </c>
      <c r="N967" s="111">
        <f t="shared" si="139"/>
        <v>90000</v>
      </c>
      <c r="O967" s="111">
        <f t="shared" si="140"/>
        <v>18000</v>
      </c>
      <c r="P967" s="111">
        <f t="shared" si="141"/>
        <v>20000</v>
      </c>
      <c r="Q967" s="111">
        <v>50000</v>
      </c>
      <c r="R967" s="111">
        <v>5</v>
      </c>
      <c r="S967" s="111">
        <f t="shared" si="142"/>
        <v>5000</v>
      </c>
      <c r="T967" s="111">
        <f t="shared" si="143"/>
        <v>250000</v>
      </c>
      <c r="U967" s="111">
        <f t="shared" si="144"/>
        <v>2500</v>
      </c>
      <c r="V967" s="111">
        <f t="shared" si="145"/>
        <v>252500</v>
      </c>
      <c r="W967" t="s">
        <v>3426</v>
      </c>
    </row>
    <row r="968" spans="1:23" x14ac:dyDescent="0.3">
      <c r="A968" s="110">
        <v>1304948</v>
      </c>
      <c r="B968" s="110" t="s">
        <v>1079</v>
      </c>
      <c r="C968" s="110" t="s">
        <v>1079</v>
      </c>
      <c r="D968" s="110" t="s">
        <v>1079</v>
      </c>
      <c r="E968" s="110" t="s">
        <v>993</v>
      </c>
      <c r="F968" s="110" t="s">
        <v>119</v>
      </c>
      <c r="G968" s="110" t="s">
        <v>114</v>
      </c>
      <c r="H968" s="111">
        <v>843</v>
      </c>
      <c r="I968" s="111">
        <v>804</v>
      </c>
      <c r="J968" s="111">
        <v>755</v>
      </c>
      <c r="K968" s="111">
        <f t="shared" si="137"/>
        <v>800.66666666666663</v>
      </c>
      <c r="L968" s="111">
        <f>300000</f>
        <v>300000</v>
      </c>
      <c r="M968" s="111">
        <f t="shared" si="138"/>
        <v>135000</v>
      </c>
      <c r="N968" s="111">
        <f t="shared" si="139"/>
        <v>135000</v>
      </c>
      <c r="O968" s="111">
        <f t="shared" si="140"/>
        <v>27000</v>
      </c>
      <c r="P968" s="111">
        <f t="shared" si="141"/>
        <v>30000</v>
      </c>
      <c r="Q968" s="111">
        <v>60000</v>
      </c>
      <c r="R968" s="111">
        <v>6</v>
      </c>
      <c r="S968" s="111">
        <f t="shared" si="142"/>
        <v>6000</v>
      </c>
      <c r="T968" s="111">
        <f t="shared" si="143"/>
        <v>360000</v>
      </c>
      <c r="U968" s="111">
        <f t="shared" si="144"/>
        <v>3600</v>
      </c>
      <c r="V968" s="111">
        <f t="shared" si="145"/>
        <v>363600</v>
      </c>
      <c r="W968" t="s">
        <v>3427</v>
      </c>
    </row>
    <row r="969" spans="1:23" x14ac:dyDescent="0.3">
      <c r="A969" s="110">
        <v>1305320</v>
      </c>
      <c r="B969" s="110" t="s">
        <v>1079</v>
      </c>
      <c r="C969" s="110" t="s">
        <v>1079</v>
      </c>
      <c r="D969" s="110" t="s">
        <v>1079</v>
      </c>
      <c r="E969" s="110" t="s">
        <v>1175</v>
      </c>
      <c r="F969" s="110" t="s">
        <v>209</v>
      </c>
      <c r="G969" s="110" t="s">
        <v>114</v>
      </c>
      <c r="H969" s="111">
        <v>191</v>
      </c>
      <c r="I969" s="111">
        <v>192</v>
      </c>
      <c r="J969" s="111">
        <v>196</v>
      </c>
      <c r="K969" s="111">
        <f t="shared" si="137"/>
        <v>193</v>
      </c>
      <c r="L969" s="111">
        <v>150000</v>
      </c>
      <c r="M969" s="111">
        <f t="shared" si="138"/>
        <v>67500</v>
      </c>
      <c r="N969" s="111">
        <f t="shared" si="139"/>
        <v>67500</v>
      </c>
      <c r="O969" s="111">
        <f t="shared" si="140"/>
        <v>13500</v>
      </c>
      <c r="P969" s="111">
        <f t="shared" si="141"/>
        <v>15000</v>
      </c>
      <c r="Q969" s="111">
        <v>30000</v>
      </c>
      <c r="R969" s="111">
        <v>3</v>
      </c>
      <c r="S969" s="111">
        <f t="shared" si="142"/>
        <v>3000</v>
      </c>
      <c r="T969" s="111">
        <f t="shared" si="143"/>
        <v>180000</v>
      </c>
      <c r="U969" s="111">
        <f t="shared" si="144"/>
        <v>1800</v>
      </c>
      <c r="V969" s="111">
        <f t="shared" si="145"/>
        <v>181800</v>
      </c>
      <c r="W969" t="s">
        <v>3428</v>
      </c>
    </row>
    <row r="970" spans="1:23" x14ac:dyDescent="0.3">
      <c r="A970" s="110">
        <v>1305338</v>
      </c>
      <c r="B970" s="110" t="s">
        <v>1079</v>
      </c>
      <c r="C970" s="110" t="s">
        <v>1079</v>
      </c>
      <c r="D970" s="110" t="s">
        <v>1079</v>
      </c>
      <c r="E970" s="110" t="s">
        <v>1176</v>
      </c>
      <c r="F970" s="110" t="s">
        <v>119</v>
      </c>
      <c r="G970" s="110" t="s">
        <v>114</v>
      </c>
      <c r="H970" s="111">
        <v>562</v>
      </c>
      <c r="I970" s="111">
        <v>531</v>
      </c>
      <c r="J970" s="111">
        <v>512</v>
      </c>
      <c r="K970" s="111">
        <f t="shared" si="137"/>
        <v>535</v>
      </c>
      <c r="L970" s="111">
        <f>300000</f>
        <v>300000</v>
      </c>
      <c r="M970" s="111">
        <f t="shared" si="138"/>
        <v>135000</v>
      </c>
      <c r="N970" s="111">
        <f t="shared" si="139"/>
        <v>135000</v>
      </c>
      <c r="O970" s="111">
        <f t="shared" si="140"/>
        <v>27000</v>
      </c>
      <c r="P970" s="111">
        <f t="shared" si="141"/>
        <v>30000</v>
      </c>
      <c r="Q970" s="111">
        <v>60000</v>
      </c>
      <c r="R970" s="111">
        <v>6</v>
      </c>
      <c r="S970" s="111">
        <f t="shared" si="142"/>
        <v>6000</v>
      </c>
      <c r="T970" s="111">
        <f t="shared" si="143"/>
        <v>360000</v>
      </c>
      <c r="U970" s="111">
        <f t="shared" si="144"/>
        <v>3600</v>
      </c>
      <c r="V970" s="111">
        <f t="shared" si="145"/>
        <v>363600</v>
      </c>
      <c r="W970" t="s">
        <v>3429</v>
      </c>
    </row>
    <row r="971" spans="1:23" x14ac:dyDescent="0.3">
      <c r="A971" s="110">
        <v>1305555</v>
      </c>
      <c r="B971" s="110" t="s">
        <v>1079</v>
      </c>
      <c r="C971" s="110" t="s">
        <v>1111</v>
      </c>
      <c r="D971" s="110" t="s">
        <v>1177</v>
      </c>
      <c r="E971" s="110" t="s">
        <v>1178</v>
      </c>
      <c r="F971" s="110" t="s">
        <v>113</v>
      </c>
      <c r="G971" s="110" t="s">
        <v>114</v>
      </c>
      <c r="H971" s="111">
        <v>71</v>
      </c>
      <c r="I971" s="111">
        <v>69</v>
      </c>
      <c r="J971" s="111">
        <v>75</v>
      </c>
      <c r="K971" s="111">
        <f t="shared" si="137"/>
        <v>71.666666666666671</v>
      </c>
      <c r="L971" s="111">
        <v>150000</v>
      </c>
      <c r="M971" s="111">
        <f t="shared" si="138"/>
        <v>67500</v>
      </c>
      <c r="N971" s="111">
        <f t="shared" si="139"/>
        <v>67500</v>
      </c>
      <c r="O971" s="111">
        <f t="shared" si="140"/>
        <v>13500</v>
      </c>
      <c r="P971" s="111">
        <f t="shared" si="141"/>
        <v>15000</v>
      </c>
      <c r="Q971" s="111">
        <v>30000</v>
      </c>
      <c r="R971" s="111">
        <v>3</v>
      </c>
      <c r="S971" s="111">
        <f t="shared" si="142"/>
        <v>3000</v>
      </c>
      <c r="T971" s="111">
        <f t="shared" si="143"/>
        <v>180000</v>
      </c>
      <c r="U971" s="111">
        <f t="shared" si="144"/>
        <v>1800</v>
      </c>
      <c r="V971" s="111">
        <f t="shared" si="145"/>
        <v>181800</v>
      </c>
      <c r="W971" t="s">
        <v>3430</v>
      </c>
    </row>
    <row r="972" spans="1:23" x14ac:dyDescent="0.3">
      <c r="A972" s="110">
        <v>1305587</v>
      </c>
      <c r="B972" s="110" t="s">
        <v>1079</v>
      </c>
      <c r="C972" s="110" t="s">
        <v>1111</v>
      </c>
      <c r="D972" s="110" t="s">
        <v>1111</v>
      </c>
      <c r="E972" s="110" t="s">
        <v>1179</v>
      </c>
      <c r="F972" s="110" t="s">
        <v>117</v>
      </c>
      <c r="G972" s="110" t="s">
        <v>125</v>
      </c>
      <c r="H972" s="111">
        <v>410</v>
      </c>
      <c r="I972" s="111">
        <v>402</v>
      </c>
      <c r="J972" s="111">
        <v>394</v>
      </c>
      <c r="K972" s="111">
        <f t="shared" si="137"/>
        <v>402</v>
      </c>
      <c r="L972" s="111">
        <f>300000</f>
        <v>300000</v>
      </c>
      <c r="M972" s="111">
        <f t="shared" si="138"/>
        <v>135000</v>
      </c>
      <c r="N972" s="111">
        <f t="shared" si="139"/>
        <v>135000</v>
      </c>
      <c r="O972" s="111">
        <f t="shared" si="140"/>
        <v>27000</v>
      </c>
      <c r="P972" s="111">
        <f t="shared" si="141"/>
        <v>30000</v>
      </c>
      <c r="Q972" s="111">
        <v>60000</v>
      </c>
      <c r="R972" s="111">
        <v>6</v>
      </c>
      <c r="S972" s="111">
        <f t="shared" si="142"/>
        <v>6000</v>
      </c>
      <c r="T972" s="111">
        <f t="shared" si="143"/>
        <v>360000</v>
      </c>
      <c r="U972" s="111">
        <f t="shared" si="144"/>
        <v>3600</v>
      </c>
      <c r="V972" s="111">
        <f t="shared" si="145"/>
        <v>363600</v>
      </c>
      <c r="W972" t="s">
        <v>3431</v>
      </c>
    </row>
    <row r="973" spans="1:23" x14ac:dyDescent="0.3">
      <c r="A973" s="110">
        <v>1305831</v>
      </c>
      <c r="B973" s="110" t="s">
        <v>1079</v>
      </c>
      <c r="C973" s="110" t="s">
        <v>1079</v>
      </c>
      <c r="D973" s="110" t="s">
        <v>1079</v>
      </c>
      <c r="E973" s="110" t="s">
        <v>1032</v>
      </c>
      <c r="F973" s="110" t="s">
        <v>119</v>
      </c>
      <c r="G973" s="110" t="s">
        <v>114</v>
      </c>
      <c r="H973" s="111">
        <v>514</v>
      </c>
      <c r="I973" s="111">
        <v>502</v>
      </c>
      <c r="J973" s="111">
        <v>488</v>
      </c>
      <c r="K973" s="111">
        <f t="shared" si="137"/>
        <v>501.33333333333331</v>
      </c>
      <c r="L973" s="111">
        <f>300000</f>
        <v>300000</v>
      </c>
      <c r="M973" s="111">
        <f t="shared" si="138"/>
        <v>135000</v>
      </c>
      <c r="N973" s="111">
        <f t="shared" si="139"/>
        <v>135000</v>
      </c>
      <c r="O973" s="111">
        <f t="shared" si="140"/>
        <v>27000</v>
      </c>
      <c r="P973" s="111">
        <f t="shared" si="141"/>
        <v>30000</v>
      </c>
      <c r="Q973" s="111">
        <v>60000</v>
      </c>
      <c r="R973" s="111">
        <v>6</v>
      </c>
      <c r="S973" s="111">
        <f t="shared" si="142"/>
        <v>6000</v>
      </c>
      <c r="T973" s="111">
        <f t="shared" si="143"/>
        <v>360000</v>
      </c>
      <c r="U973" s="111">
        <f t="shared" si="144"/>
        <v>3600</v>
      </c>
      <c r="V973" s="111">
        <f t="shared" si="145"/>
        <v>363600</v>
      </c>
      <c r="W973" t="s">
        <v>3432</v>
      </c>
    </row>
    <row r="974" spans="1:23" x14ac:dyDescent="0.3">
      <c r="A974" s="110">
        <v>1306811</v>
      </c>
      <c r="B974" s="110" t="s">
        <v>1079</v>
      </c>
      <c r="C974" s="110" t="s">
        <v>1098</v>
      </c>
      <c r="D974" s="110" t="s">
        <v>1098</v>
      </c>
      <c r="E974" s="110" t="s">
        <v>203</v>
      </c>
      <c r="F974" s="110" t="s">
        <v>113</v>
      </c>
      <c r="G974" s="110" t="s">
        <v>114</v>
      </c>
      <c r="H974" s="111">
        <v>485</v>
      </c>
      <c r="I974" s="111">
        <v>487</v>
      </c>
      <c r="J974" s="111">
        <v>463</v>
      </c>
      <c r="K974" s="111">
        <f t="shared" si="137"/>
        <v>478.33333333333331</v>
      </c>
      <c r="L974" s="111">
        <f>300000</f>
        <v>300000</v>
      </c>
      <c r="M974" s="111">
        <f t="shared" si="138"/>
        <v>135000</v>
      </c>
      <c r="N974" s="111">
        <f t="shared" si="139"/>
        <v>135000</v>
      </c>
      <c r="O974" s="111">
        <f t="shared" si="140"/>
        <v>27000</v>
      </c>
      <c r="P974" s="111">
        <f t="shared" si="141"/>
        <v>30000</v>
      </c>
      <c r="Q974" s="111">
        <v>60000</v>
      </c>
      <c r="R974" s="111">
        <v>6</v>
      </c>
      <c r="S974" s="111">
        <f t="shared" si="142"/>
        <v>6000</v>
      </c>
      <c r="T974" s="111">
        <f t="shared" si="143"/>
        <v>360000</v>
      </c>
      <c r="U974" s="111">
        <f t="shared" si="144"/>
        <v>3600</v>
      </c>
      <c r="V974" s="111">
        <f t="shared" si="145"/>
        <v>363600</v>
      </c>
      <c r="W974" t="s">
        <v>3433</v>
      </c>
    </row>
    <row r="975" spans="1:23" x14ac:dyDescent="0.3">
      <c r="A975" s="110">
        <v>1307213</v>
      </c>
      <c r="B975" s="110" t="s">
        <v>1079</v>
      </c>
      <c r="C975" s="110" t="s">
        <v>1103</v>
      </c>
      <c r="D975" s="110" t="s">
        <v>1103</v>
      </c>
      <c r="E975" s="110" t="s">
        <v>1180</v>
      </c>
      <c r="F975" s="110" t="s">
        <v>209</v>
      </c>
      <c r="G975" s="110" t="s">
        <v>114</v>
      </c>
      <c r="H975" s="111">
        <v>84</v>
      </c>
      <c r="I975" s="111">
        <v>79</v>
      </c>
      <c r="J975" s="111">
        <v>96</v>
      </c>
      <c r="K975" s="111">
        <f t="shared" si="137"/>
        <v>86.333333333333329</v>
      </c>
      <c r="L975" s="111">
        <v>150000</v>
      </c>
      <c r="M975" s="111">
        <f t="shared" si="138"/>
        <v>67500</v>
      </c>
      <c r="N975" s="111">
        <f t="shared" si="139"/>
        <v>67500</v>
      </c>
      <c r="O975" s="111">
        <f t="shared" si="140"/>
        <v>13500</v>
      </c>
      <c r="P975" s="111">
        <f t="shared" si="141"/>
        <v>15000</v>
      </c>
      <c r="Q975" s="111">
        <v>30000</v>
      </c>
      <c r="R975" s="111">
        <v>3</v>
      </c>
      <c r="S975" s="111">
        <f t="shared" si="142"/>
        <v>3000</v>
      </c>
      <c r="T975" s="111">
        <f t="shared" si="143"/>
        <v>180000</v>
      </c>
      <c r="U975" s="111">
        <f t="shared" si="144"/>
        <v>1800</v>
      </c>
      <c r="V975" s="111">
        <f t="shared" si="145"/>
        <v>181800</v>
      </c>
      <c r="W975" t="s">
        <v>3434</v>
      </c>
    </row>
    <row r="976" spans="1:23" x14ac:dyDescent="0.3">
      <c r="A976" s="110">
        <v>1307267</v>
      </c>
      <c r="B976" s="110" t="s">
        <v>1079</v>
      </c>
      <c r="C976" s="110" t="s">
        <v>1079</v>
      </c>
      <c r="D976" s="110" t="s">
        <v>1079</v>
      </c>
      <c r="E976" s="110" t="s">
        <v>310</v>
      </c>
      <c r="F976" s="110" t="s">
        <v>113</v>
      </c>
      <c r="G976" s="110" t="s">
        <v>114</v>
      </c>
      <c r="H976" s="111">
        <v>283</v>
      </c>
      <c r="I976" s="111">
        <v>321</v>
      </c>
      <c r="J976" s="111">
        <v>352</v>
      </c>
      <c r="K976" s="111">
        <f t="shared" si="137"/>
        <v>318.66666666666669</v>
      </c>
      <c r="L976" s="111">
        <v>200000</v>
      </c>
      <c r="M976" s="111">
        <f t="shared" si="138"/>
        <v>90000</v>
      </c>
      <c r="N976" s="111">
        <f t="shared" si="139"/>
        <v>90000</v>
      </c>
      <c r="O976" s="111">
        <f t="shared" si="140"/>
        <v>18000</v>
      </c>
      <c r="P976" s="111">
        <f t="shared" si="141"/>
        <v>20000</v>
      </c>
      <c r="Q976" s="111">
        <v>50000</v>
      </c>
      <c r="R976" s="111">
        <v>5</v>
      </c>
      <c r="S976" s="111">
        <f t="shared" si="142"/>
        <v>5000</v>
      </c>
      <c r="T976" s="111">
        <f t="shared" si="143"/>
        <v>250000</v>
      </c>
      <c r="U976" s="111">
        <f t="shared" si="144"/>
        <v>2500</v>
      </c>
      <c r="V976" s="111">
        <f t="shared" si="145"/>
        <v>252500</v>
      </c>
      <c r="W976" t="s">
        <v>3435</v>
      </c>
    </row>
    <row r="977" spans="1:23" x14ac:dyDescent="0.3">
      <c r="A977" s="110">
        <v>1307598</v>
      </c>
      <c r="B977" s="110" t="s">
        <v>1079</v>
      </c>
      <c r="C977" s="110" t="s">
        <v>1079</v>
      </c>
      <c r="D977" s="110" t="s">
        <v>1181</v>
      </c>
      <c r="E977" s="110" t="s">
        <v>184</v>
      </c>
      <c r="F977" s="110" t="s">
        <v>113</v>
      </c>
      <c r="G977" s="110" t="s">
        <v>114</v>
      </c>
      <c r="H977" s="111">
        <v>43</v>
      </c>
      <c r="I977" s="111">
        <v>34</v>
      </c>
      <c r="J977" s="111">
        <v>26</v>
      </c>
      <c r="K977" s="111">
        <f t="shared" si="137"/>
        <v>34.333333333333336</v>
      </c>
      <c r="L977" s="111">
        <v>50000</v>
      </c>
      <c r="M977" s="111">
        <f t="shared" si="138"/>
        <v>22500</v>
      </c>
      <c r="N977" s="111">
        <f t="shared" si="139"/>
        <v>22500</v>
      </c>
      <c r="O977" s="111">
        <f t="shared" si="140"/>
        <v>4500</v>
      </c>
      <c r="P977" s="111">
        <f t="shared" si="141"/>
        <v>5000</v>
      </c>
      <c r="Q977" s="111">
        <v>10000</v>
      </c>
      <c r="R977" s="111">
        <v>1</v>
      </c>
      <c r="S977" s="111">
        <f t="shared" si="142"/>
        <v>1000</v>
      </c>
      <c r="T977" s="111">
        <f t="shared" si="143"/>
        <v>60000</v>
      </c>
      <c r="U977" s="111">
        <f t="shared" si="144"/>
        <v>600</v>
      </c>
      <c r="V977" s="111">
        <f t="shared" si="145"/>
        <v>60600</v>
      </c>
      <c r="W977" t="s">
        <v>3436</v>
      </c>
    </row>
    <row r="978" spans="1:23" x14ac:dyDescent="0.3">
      <c r="A978" s="110">
        <v>1307713</v>
      </c>
      <c r="B978" s="110" t="s">
        <v>1079</v>
      </c>
      <c r="C978" s="110" t="s">
        <v>1079</v>
      </c>
      <c r="D978" s="110" t="s">
        <v>1182</v>
      </c>
      <c r="E978" s="110" t="s">
        <v>1183</v>
      </c>
      <c r="F978" s="110" t="s">
        <v>113</v>
      </c>
      <c r="G978" s="110" t="s">
        <v>114</v>
      </c>
      <c r="H978" s="111">
        <v>50</v>
      </c>
      <c r="I978" s="111">
        <v>50</v>
      </c>
      <c r="J978" s="111">
        <v>44</v>
      </c>
      <c r="K978" s="111">
        <f t="shared" si="137"/>
        <v>48</v>
      </c>
      <c r="L978" s="111">
        <v>50000</v>
      </c>
      <c r="M978" s="111">
        <f t="shared" si="138"/>
        <v>22500</v>
      </c>
      <c r="N978" s="111">
        <f t="shared" si="139"/>
        <v>22500</v>
      </c>
      <c r="O978" s="111">
        <f t="shared" si="140"/>
        <v>4500</v>
      </c>
      <c r="P978" s="111">
        <f t="shared" si="141"/>
        <v>5000</v>
      </c>
      <c r="Q978" s="111">
        <v>10000</v>
      </c>
      <c r="R978" s="111">
        <v>1</v>
      </c>
      <c r="S978" s="111">
        <f t="shared" si="142"/>
        <v>1000</v>
      </c>
      <c r="T978" s="111">
        <f t="shared" si="143"/>
        <v>60000</v>
      </c>
      <c r="U978" s="111">
        <f t="shared" si="144"/>
        <v>600</v>
      </c>
      <c r="V978" s="111">
        <f t="shared" si="145"/>
        <v>60600</v>
      </c>
      <c r="W978" t="s">
        <v>3437</v>
      </c>
    </row>
    <row r="979" spans="1:23" x14ac:dyDescent="0.3">
      <c r="A979" s="110">
        <v>1308560</v>
      </c>
      <c r="B979" s="110" t="s">
        <v>1079</v>
      </c>
      <c r="C979" s="110" t="s">
        <v>1184</v>
      </c>
      <c r="D979" s="110" t="s">
        <v>1185</v>
      </c>
      <c r="E979" s="110" t="s">
        <v>390</v>
      </c>
      <c r="F979" s="110" t="s">
        <v>113</v>
      </c>
      <c r="G979" s="110" t="s">
        <v>114</v>
      </c>
      <c r="H979" s="111">
        <v>38</v>
      </c>
      <c r="I979" s="111">
        <v>37</v>
      </c>
      <c r="J979" s="111">
        <v>33</v>
      </c>
      <c r="K979" s="111">
        <f t="shared" si="137"/>
        <v>36</v>
      </c>
      <c r="L979" s="111">
        <v>50000</v>
      </c>
      <c r="M979" s="111">
        <f t="shared" si="138"/>
        <v>22500</v>
      </c>
      <c r="N979" s="111">
        <f t="shared" si="139"/>
        <v>22500</v>
      </c>
      <c r="O979" s="111">
        <f t="shared" si="140"/>
        <v>4500</v>
      </c>
      <c r="P979" s="111">
        <f t="shared" si="141"/>
        <v>5000</v>
      </c>
      <c r="Q979" s="111">
        <v>10000</v>
      </c>
      <c r="R979" s="111">
        <v>1</v>
      </c>
      <c r="S979" s="111">
        <f t="shared" si="142"/>
        <v>1000</v>
      </c>
      <c r="T979" s="111">
        <f t="shared" si="143"/>
        <v>60000</v>
      </c>
      <c r="U979" s="111">
        <f t="shared" si="144"/>
        <v>600</v>
      </c>
      <c r="V979" s="111">
        <f t="shared" si="145"/>
        <v>60600</v>
      </c>
      <c r="W979" t="s">
        <v>3438</v>
      </c>
    </row>
    <row r="980" spans="1:23" x14ac:dyDescent="0.3">
      <c r="A980" s="110">
        <v>1308667</v>
      </c>
      <c r="B980" s="110" t="s">
        <v>1079</v>
      </c>
      <c r="C980" s="110" t="s">
        <v>1184</v>
      </c>
      <c r="D980" s="110" t="s">
        <v>1184</v>
      </c>
      <c r="E980" s="110" t="s">
        <v>1186</v>
      </c>
      <c r="F980" s="110" t="s">
        <v>119</v>
      </c>
      <c r="G980" s="110" t="s">
        <v>114</v>
      </c>
      <c r="H980" s="111">
        <v>508</v>
      </c>
      <c r="I980" s="111">
        <v>481</v>
      </c>
      <c r="J980" s="111">
        <v>480</v>
      </c>
      <c r="K980" s="111">
        <f t="shared" si="137"/>
        <v>489.66666666666669</v>
      </c>
      <c r="L980" s="111">
        <f>300000</f>
        <v>300000</v>
      </c>
      <c r="M980" s="111">
        <f t="shared" si="138"/>
        <v>135000</v>
      </c>
      <c r="N980" s="111">
        <f t="shared" si="139"/>
        <v>135000</v>
      </c>
      <c r="O980" s="111">
        <f t="shared" si="140"/>
        <v>27000</v>
      </c>
      <c r="P980" s="111">
        <f t="shared" si="141"/>
        <v>30000</v>
      </c>
      <c r="Q980" s="111">
        <v>60000</v>
      </c>
      <c r="R980" s="111">
        <v>6</v>
      </c>
      <c r="S980" s="111">
        <f t="shared" si="142"/>
        <v>6000</v>
      </c>
      <c r="T980" s="111">
        <f t="shared" si="143"/>
        <v>360000</v>
      </c>
      <c r="U980" s="111">
        <f t="shared" si="144"/>
        <v>3600</v>
      </c>
      <c r="V980" s="111">
        <f t="shared" si="145"/>
        <v>363600</v>
      </c>
      <c r="W980" t="s">
        <v>3439</v>
      </c>
    </row>
    <row r="981" spans="1:23" x14ac:dyDescent="0.3">
      <c r="A981" s="110">
        <v>1309018</v>
      </c>
      <c r="B981" s="110" t="s">
        <v>1079</v>
      </c>
      <c r="C981" s="110" t="s">
        <v>1079</v>
      </c>
      <c r="D981" s="110" t="s">
        <v>1079</v>
      </c>
      <c r="E981" s="110" t="s">
        <v>1187</v>
      </c>
      <c r="F981" s="110" t="s">
        <v>122</v>
      </c>
      <c r="G981" s="110" t="s">
        <v>114</v>
      </c>
      <c r="H981" s="111">
        <v>783</v>
      </c>
      <c r="I981" s="111">
        <v>795</v>
      </c>
      <c r="J981" s="111">
        <v>776</v>
      </c>
      <c r="K981" s="111">
        <f t="shared" si="137"/>
        <v>784.66666666666663</v>
      </c>
      <c r="L981" s="111">
        <f>300000*0.7</f>
        <v>210000</v>
      </c>
      <c r="M981" s="111">
        <f t="shared" si="138"/>
        <v>94500</v>
      </c>
      <c r="N981" s="111">
        <f t="shared" si="139"/>
        <v>94500</v>
      </c>
      <c r="O981" s="111">
        <f t="shared" si="140"/>
        <v>18900</v>
      </c>
      <c r="P981" s="111">
        <f t="shared" si="141"/>
        <v>21000</v>
      </c>
      <c r="Q981" s="111">
        <v>60000</v>
      </c>
      <c r="R981" s="111">
        <v>6</v>
      </c>
      <c r="S981" s="111">
        <f t="shared" si="142"/>
        <v>6000</v>
      </c>
      <c r="T981" s="111">
        <f t="shared" si="143"/>
        <v>270000</v>
      </c>
      <c r="U981" s="111">
        <f t="shared" si="144"/>
        <v>2700</v>
      </c>
      <c r="V981" s="111">
        <f t="shared" si="145"/>
        <v>272700</v>
      </c>
      <c r="W981" t="s">
        <v>3440</v>
      </c>
    </row>
    <row r="982" spans="1:23" x14ac:dyDescent="0.3">
      <c r="A982" s="110">
        <v>1309813</v>
      </c>
      <c r="B982" s="110" t="s">
        <v>1079</v>
      </c>
      <c r="C982" s="110" t="s">
        <v>1134</v>
      </c>
      <c r="D982" s="110" t="s">
        <v>1188</v>
      </c>
      <c r="E982" s="110" t="s">
        <v>1189</v>
      </c>
      <c r="F982" s="110" t="s">
        <v>113</v>
      </c>
      <c r="G982" s="110" t="s">
        <v>114</v>
      </c>
      <c r="H982" s="111">
        <v>88</v>
      </c>
      <c r="I982" s="111">
        <v>96</v>
      </c>
      <c r="J982" s="111">
        <v>103</v>
      </c>
      <c r="K982" s="111">
        <f t="shared" si="137"/>
        <v>95.666666666666671</v>
      </c>
      <c r="L982" s="111">
        <v>150000</v>
      </c>
      <c r="M982" s="111">
        <f t="shared" si="138"/>
        <v>67500</v>
      </c>
      <c r="N982" s="111">
        <f t="shared" si="139"/>
        <v>67500</v>
      </c>
      <c r="O982" s="111">
        <f t="shared" si="140"/>
        <v>13500</v>
      </c>
      <c r="P982" s="111">
        <f t="shared" si="141"/>
        <v>15000</v>
      </c>
      <c r="Q982" s="111">
        <v>30000</v>
      </c>
      <c r="R982" s="111">
        <v>3</v>
      </c>
      <c r="S982" s="111">
        <f t="shared" si="142"/>
        <v>3000</v>
      </c>
      <c r="T982" s="111">
        <f t="shared" si="143"/>
        <v>180000</v>
      </c>
      <c r="U982" s="111">
        <f t="shared" si="144"/>
        <v>1800</v>
      </c>
      <c r="V982" s="111">
        <f t="shared" si="145"/>
        <v>181800</v>
      </c>
      <c r="W982" t="s">
        <v>3441</v>
      </c>
    </row>
    <row r="983" spans="1:23" x14ac:dyDescent="0.3">
      <c r="A983" s="110">
        <v>1311390</v>
      </c>
      <c r="B983" s="110" t="s">
        <v>1079</v>
      </c>
      <c r="C983" s="110" t="s">
        <v>1098</v>
      </c>
      <c r="D983" s="110" t="s">
        <v>1098</v>
      </c>
      <c r="E983" s="110" t="s">
        <v>1190</v>
      </c>
      <c r="F983" s="110" t="s">
        <v>117</v>
      </c>
      <c r="G983" s="110" t="s">
        <v>125</v>
      </c>
      <c r="H983" s="111">
        <v>213</v>
      </c>
      <c r="I983" s="111">
        <v>246</v>
      </c>
      <c r="J983" s="111">
        <v>244</v>
      </c>
      <c r="K983" s="111">
        <f t="shared" si="137"/>
        <v>234.33333333333334</v>
      </c>
      <c r="L983" s="111">
        <v>200000</v>
      </c>
      <c r="M983" s="111">
        <f t="shared" si="138"/>
        <v>90000</v>
      </c>
      <c r="N983" s="111">
        <f t="shared" si="139"/>
        <v>90000</v>
      </c>
      <c r="O983" s="111">
        <f t="shared" si="140"/>
        <v>18000</v>
      </c>
      <c r="P983" s="111">
        <f t="shared" si="141"/>
        <v>20000</v>
      </c>
      <c r="Q983" s="111">
        <v>50000</v>
      </c>
      <c r="R983" s="111">
        <v>5</v>
      </c>
      <c r="S983" s="111">
        <f t="shared" si="142"/>
        <v>5000</v>
      </c>
      <c r="T983" s="111">
        <f t="shared" si="143"/>
        <v>250000</v>
      </c>
      <c r="U983" s="111">
        <f t="shared" si="144"/>
        <v>2500</v>
      </c>
      <c r="V983" s="111">
        <f t="shared" si="145"/>
        <v>252500</v>
      </c>
      <c r="W983" t="s">
        <v>3442</v>
      </c>
    </row>
    <row r="984" spans="1:23" x14ac:dyDescent="0.3">
      <c r="A984" s="110">
        <v>1400841</v>
      </c>
      <c r="B984" s="110" t="s">
        <v>1191</v>
      </c>
      <c r="C984" s="110" t="s">
        <v>1192</v>
      </c>
      <c r="D984" s="110" t="s">
        <v>1193</v>
      </c>
      <c r="E984" s="110" t="s">
        <v>353</v>
      </c>
      <c r="F984" s="110" t="s">
        <v>113</v>
      </c>
      <c r="G984" s="110" t="s">
        <v>114</v>
      </c>
      <c r="H984" s="111">
        <v>48</v>
      </c>
      <c r="I984" s="111">
        <v>47</v>
      </c>
      <c r="J984" s="111">
        <v>44</v>
      </c>
      <c r="K984" s="111">
        <f t="shared" si="137"/>
        <v>46.333333333333336</v>
      </c>
      <c r="L984" s="111">
        <v>50000</v>
      </c>
      <c r="M984" s="111">
        <f t="shared" si="138"/>
        <v>22500</v>
      </c>
      <c r="N984" s="111">
        <f t="shared" si="139"/>
        <v>22500</v>
      </c>
      <c r="O984" s="111">
        <f t="shared" si="140"/>
        <v>4500</v>
      </c>
      <c r="P984" s="111">
        <f t="shared" si="141"/>
        <v>5000</v>
      </c>
      <c r="Q984" s="111">
        <v>10000</v>
      </c>
      <c r="R984" s="111">
        <v>1</v>
      </c>
      <c r="S984" s="111">
        <f t="shared" si="142"/>
        <v>1000</v>
      </c>
      <c r="T984" s="111">
        <f t="shared" si="143"/>
        <v>60000</v>
      </c>
      <c r="U984" s="111">
        <f t="shared" si="144"/>
        <v>600</v>
      </c>
      <c r="V984" s="111">
        <f t="shared" si="145"/>
        <v>60600</v>
      </c>
      <c r="W984" t="s">
        <v>3443</v>
      </c>
    </row>
    <row r="985" spans="1:23" x14ac:dyDescent="0.3">
      <c r="A985" s="110">
        <v>1400842</v>
      </c>
      <c r="B985" s="110" t="s">
        <v>1191</v>
      </c>
      <c r="C985" s="110" t="s">
        <v>1192</v>
      </c>
      <c r="D985" s="110" t="s">
        <v>1192</v>
      </c>
      <c r="E985" s="110" t="s">
        <v>214</v>
      </c>
      <c r="F985" s="110" t="s">
        <v>119</v>
      </c>
      <c r="G985" s="110" t="s">
        <v>114</v>
      </c>
      <c r="H985" s="111">
        <v>386</v>
      </c>
      <c r="I985" s="111">
        <v>404</v>
      </c>
      <c r="J985" s="111">
        <v>392</v>
      </c>
      <c r="K985" s="111">
        <f t="shared" si="137"/>
        <v>394</v>
      </c>
      <c r="L985" s="111">
        <v>200000</v>
      </c>
      <c r="M985" s="111">
        <f t="shared" si="138"/>
        <v>90000</v>
      </c>
      <c r="N985" s="111">
        <f t="shared" si="139"/>
        <v>90000</v>
      </c>
      <c r="O985" s="111">
        <f t="shared" si="140"/>
        <v>18000</v>
      </c>
      <c r="P985" s="111">
        <f t="shared" si="141"/>
        <v>20000</v>
      </c>
      <c r="Q985" s="111">
        <v>50000</v>
      </c>
      <c r="R985" s="111">
        <v>5</v>
      </c>
      <c r="S985" s="111">
        <f t="shared" si="142"/>
        <v>5000</v>
      </c>
      <c r="T985" s="111">
        <f t="shared" si="143"/>
        <v>250000</v>
      </c>
      <c r="U985" s="111">
        <f t="shared" si="144"/>
        <v>2500</v>
      </c>
      <c r="V985" s="111">
        <f t="shared" si="145"/>
        <v>252500</v>
      </c>
      <c r="W985" t="s">
        <v>3444</v>
      </c>
    </row>
    <row r="986" spans="1:23" x14ac:dyDescent="0.3">
      <c r="A986" s="110">
        <v>1401946</v>
      </c>
      <c r="B986" s="110" t="s">
        <v>1191</v>
      </c>
      <c r="C986" s="110" t="s">
        <v>1194</v>
      </c>
      <c r="D986" s="110" t="s">
        <v>1194</v>
      </c>
      <c r="E986" s="110" t="s">
        <v>1195</v>
      </c>
      <c r="F986" s="110" t="s">
        <v>119</v>
      </c>
      <c r="G986" s="110" t="s">
        <v>114</v>
      </c>
      <c r="H986" s="111">
        <v>119</v>
      </c>
      <c r="I986" s="111">
        <v>112</v>
      </c>
      <c r="J986" s="111">
        <v>111</v>
      </c>
      <c r="K986" s="111">
        <f t="shared" si="137"/>
        <v>114</v>
      </c>
      <c r="L986" s="111">
        <v>150000</v>
      </c>
      <c r="M986" s="111">
        <f t="shared" si="138"/>
        <v>67500</v>
      </c>
      <c r="N986" s="111">
        <f t="shared" si="139"/>
        <v>67500</v>
      </c>
      <c r="O986" s="111">
        <f t="shared" si="140"/>
        <v>13500</v>
      </c>
      <c r="P986" s="111">
        <f t="shared" si="141"/>
        <v>15000</v>
      </c>
      <c r="Q986" s="111">
        <v>30000</v>
      </c>
      <c r="R986" s="111">
        <v>3</v>
      </c>
      <c r="S986" s="111">
        <f t="shared" si="142"/>
        <v>3000</v>
      </c>
      <c r="T986" s="111">
        <f t="shared" si="143"/>
        <v>180000</v>
      </c>
      <c r="U986" s="111">
        <f t="shared" si="144"/>
        <v>1800</v>
      </c>
      <c r="V986" s="111">
        <f t="shared" si="145"/>
        <v>181800</v>
      </c>
      <c r="W986" t="s">
        <v>3445</v>
      </c>
    </row>
    <row r="987" spans="1:23" x14ac:dyDescent="0.3">
      <c r="A987" s="110">
        <v>1402258</v>
      </c>
      <c r="B987" s="110" t="s">
        <v>1191</v>
      </c>
      <c r="C987" s="110" t="s">
        <v>1196</v>
      </c>
      <c r="D987" s="110" t="s">
        <v>1197</v>
      </c>
      <c r="E987" s="110" t="s">
        <v>588</v>
      </c>
      <c r="F987" s="110" t="s">
        <v>113</v>
      </c>
      <c r="G987" s="110" t="s">
        <v>114</v>
      </c>
      <c r="H987" s="111">
        <v>18</v>
      </c>
      <c r="I987" s="111">
        <v>16</v>
      </c>
      <c r="J987" s="111">
        <v>13</v>
      </c>
      <c r="K987" s="111">
        <f t="shared" si="137"/>
        <v>15.666666666666666</v>
      </c>
      <c r="L987" s="111">
        <v>50000</v>
      </c>
      <c r="M987" s="111">
        <f t="shared" si="138"/>
        <v>22500</v>
      </c>
      <c r="N987" s="111">
        <f t="shared" si="139"/>
        <v>22500</v>
      </c>
      <c r="O987" s="111">
        <f t="shared" si="140"/>
        <v>4500</v>
      </c>
      <c r="P987" s="111">
        <f t="shared" si="141"/>
        <v>5000</v>
      </c>
      <c r="Q987" s="111">
        <v>10000</v>
      </c>
      <c r="R987" s="111">
        <v>1</v>
      </c>
      <c r="S987" s="111">
        <f t="shared" si="142"/>
        <v>1000</v>
      </c>
      <c r="T987" s="111">
        <f t="shared" si="143"/>
        <v>60000</v>
      </c>
      <c r="U987" s="111">
        <f t="shared" si="144"/>
        <v>600</v>
      </c>
      <c r="V987" s="111">
        <f t="shared" si="145"/>
        <v>60600</v>
      </c>
      <c r="W987" t="s">
        <v>3446</v>
      </c>
    </row>
    <row r="988" spans="1:23" x14ac:dyDescent="0.3">
      <c r="A988" s="110">
        <v>1403201</v>
      </c>
      <c r="B988" s="110" t="s">
        <v>1191</v>
      </c>
      <c r="C988" s="110" t="s">
        <v>1191</v>
      </c>
      <c r="D988" s="110" t="s">
        <v>1191</v>
      </c>
      <c r="E988" s="110" t="s">
        <v>458</v>
      </c>
      <c r="F988" s="110" t="s">
        <v>113</v>
      </c>
      <c r="G988" s="110" t="s">
        <v>114</v>
      </c>
      <c r="H988" s="111">
        <v>986</v>
      </c>
      <c r="I988" s="111">
        <v>963</v>
      </c>
      <c r="J988" s="111">
        <v>935</v>
      </c>
      <c r="K988" s="111">
        <f t="shared" si="137"/>
        <v>961.33333333333337</v>
      </c>
      <c r="L988" s="111">
        <f>300000</f>
        <v>300000</v>
      </c>
      <c r="M988" s="111">
        <f t="shared" si="138"/>
        <v>135000</v>
      </c>
      <c r="N988" s="111">
        <f t="shared" si="139"/>
        <v>135000</v>
      </c>
      <c r="O988" s="111">
        <f t="shared" si="140"/>
        <v>27000</v>
      </c>
      <c r="P988" s="111">
        <f t="shared" si="141"/>
        <v>30000</v>
      </c>
      <c r="Q988" s="111">
        <v>60000</v>
      </c>
      <c r="R988" s="111">
        <v>6</v>
      </c>
      <c r="S988" s="111">
        <f t="shared" si="142"/>
        <v>6000</v>
      </c>
      <c r="T988" s="111">
        <f t="shared" si="143"/>
        <v>360000</v>
      </c>
      <c r="U988" s="111">
        <f t="shared" si="144"/>
        <v>3600</v>
      </c>
      <c r="V988" s="111">
        <f t="shared" si="145"/>
        <v>363600</v>
      </c>
      <c r="W988" t="s">
        <v>3447</v>
      </c>
    </row>
    <row r="989" spans="1:23" x14ac:dyDescent="0.3">
      <c r="A989" s="110">
        <v>1403202</v>
      </c>
      <c r="B989" s="110" t="s">
        <v>1191</v>
      </c>
      <c r="C989" s="110" t="s">
        <v>1191</v>
      </c>
      <c r="D989" s="110" t="s">
        <v>1191</v>
      </c>
      <c r="E989" s="110" t="s">
        <v>1198</v>
      </c>
      <c r="F989" s="110" t="s">
        <v>113</v>
      </c>
      <c r="G989" s="110" t="s">
        <v>114</v>
      </c>
      <c r="H989" s="111">
        <v>253</v>
      </c>
      <c r="I989" s="111">
        <v>263</v>
      </c>
      <c r="J989" s="111">
        <v>265</v>
      </c>
      <c r="K989" s="111">
        <f t="shared" si="137"/>
        <v>260.33333333333331</v>
      </c>
      <c r="L989" s="111">
        <v>200000</v>
      </c>
      <c r="M989" s="111">
        <f t="shared" si="138"/>
        <v>90000</v>
      </c>
      <c r="N989" s="111">
        <f t="shared" si="139"/>
        <v>90000</v>
      </c>
      <c r="O989" s="111">
        <f t="shared" si="140"/>
        <v>18000</v>
      </c>
      <c r="P989" s="111">
        <f t="shared" si="141"/>
        <v>20000</v>
      </c>
      <c r="Q989" s="111">
        <v>50000</v>
      </c>
      <c r="R989" s="111">
        <v>5</v>
      </c>
      <c r="S989" s="111">
        <f t="shared" si="142"/>
        <v>5000</v>
      </c>
      <c r="T989" s="111">
        <f t="shared" si="143"/>
        <v>250000</v>
      </c>
      <c r="U989" s="111">
        <f t="shared" si="144"/>
        <v>2500</v>
      </c>
      <c r="V989" s="111">
        <f t="shared" si="145"/>
        <v>252500</v>
      </c>
      <c r="W989" t="s">
        <v>3448</v>
      </c>
    </row>
    <row r="990" spans="1:23" x14ac:dyDescent="0.3">
      <c r="A990" s="110">
        <v>1403203</v>
      </c>
      <c r="B990" s="110" t="s">
        <v>1191</v>
      </c>
      <c r="C990" s="110" t="s">
        <v>1191</v>
      </c>
      <c r="D990" s="110" t="s">
        <v>1191</v>
      </c>
      <c r="E990" s="110" t="s">
        <v>1199</v>
      </c>
      <c r="F990" s="110" t="s">
        <v>113</v>
      </c>
      <c r="G990" s="110" t="s">
        <v>114</v>
      </c>
      <c r="H990" s="111">
        <v>143</v>
      </c>
      <c r="I990" s="111">
        <v>141</v>
      </c>
      <c r="J990" s="111">
        <v>142</v>
      </c>
      <c r="K990" s="111">
        <f t="shared" si="137"/>
        <v>142</v>
      </c>
      <c r="L990" s="111">
        <v>150000</v>
      </c>
      <c r="M990" s="111">
        <f t="shared" si="138"/>
        <v>67500</v>
      </c>
      <c r="N990" s="111">
        <f t="shared" si="139"/>
        <v>67500</v>
      </c>
      <c r="O990" s="111">
        <f t="shared" si="140"/>
        <v>13500</v>
      </c>
      <c r="P990" s="111">
        <f t="shared" si="141"/>
        <v>15000</v>
      </c>
      <c r="Q990" s="111">
        <v>30000</v>
      </c>
      <c r="R990" s="111">
        <v>3</v>
      </c>
      <c r="S990" s="111">
        <f t="shared" si="142"/>
        <v>3000</v>
      </c>
      <c r="T990" s="111">
        <f t="shared" si="143"/>
        <v>180000</v>
      </c>
      <c r="U990" s="111">
        <f t="shared" si="144"/>
        <v>1800</v>
      </c>
      <c r="V990" s="111">
        <f t="shared" si="145"/>
        <v>181800</v>
      </c>
      <c r="W990" t="s">
        <v>3449</v>
      </c>
    </row>
    <row r="991" spans="1:23" x14ac:dyDescent="0.3">
      <c r="A991" s="110">
        <v>1403204</v>
      </c>
      <c r="B991" s="110" t="s">
        <v>1191</v>
      </c>
      <c r="C991" s="110" t="s">
        <v>1191</v>
      </c>
      <c r="D991" s="110" t="s">
        <v>1191</v>
      </c>
      <c r="E991" s="110" t="s">
        <v>1200</v>
      </c>
      <c r="F991" s="110" t="s">
        <v>119</v>
      </c>
      <c r="G991" s="110" t="s">
        <v>114</v>
      </c>
      <c r="H991" s="111">
        <v>385</v>
      </c>
      <c r="I991" s="111">
        <v>412</v>
      </c>
      <c r="J991" s="111">
        <v>388</v>
      </c>
      <c r="K991" s="111">
        <f t="shared" si="137"/>
        <v>395</v>
      </c>
      <c r="L991" s="111">
        <v>200000</v>
      </c>
      <c r="M991" s="111">
        <f t="shared" si="138"/>
        <v>90000</v>
      </c>
      <c r="N991" s="111">
        <f t="shared" si="139"/>
        <v>90000</v>
      </c>
      <c r="O991" s="111">
        <f t="shared" si="140"/>
        <v>18000</v>
      </c>
      <c r="P991" s="111">
        <f t="shared" si="141"/>
        <v>20000</v>
      </c>
      <c r="Q991" s="111">
        <v>50000</v>
      </c>
      <c r="R991" s="111">
        <v>5</v>
      </c>
      <c r="S991" s="111">
        <f t="shared" si="142"/>
        <v>5000</v>
      </c>
      <c r="T991" s="111">
        <f t="shared" si="143"/>
        <v>250000</v>
      </c>
      <c r="U991" s="111">
        <f t="shared" si="144"/>
        <v>2500</v>
      </c>
      <c r="V991" s="111">
        <f t="shared" si="145"/>
        <v>252500</v>
      </c>
      <c r="W991" t="s">
        <v>3450</v>
      </c>
    </row>
    <row r="992" spans="1:23" x14ac:dyDescent="0.3">
      <c r="A992" s="110">
        <v>1403205</v>
      </c>
      <c r="B992" s="110" t="s">
        <v>1191</v>
      </c>
      <c r="C992" s="110" t="s">
        <v>1191</v>
      </c>
      <c r="D992" s="110" t="s">
        <v>1191</v>
      </c>
      <c r="E992" s="110" t="s">
        <v>1201</v>
      </c>
      <c r="F992" s="110" t="s">
        <v>113</v>
      </c>
      <c r="G992" s="110" t="s">
        <v>114</v>
      </c>
      <c r="H992" s="111">
        <v>691</v>
      </c>
      <c r="I992" s="111">
        <v>694</v>
      </c>
      <c r="J992" s="111">
        <v>707</v>
      </c>
      <c r="K992" s="111">
        <f t="shared" si="137"/>
        <v>697.33333333333337</v>
      </c>
      <c r="L992" s="111">
        <f>300000</f>
        <v>300000</v>
      </c>
      <c r="M992" s="111">
        <f t="shared" si="138"/>
        <v>135000</v>
      </c>
      <c r="N992" s="111">
        <f t="shared" si="139"/>
        <v>135000</v>
      </c>
      <c r="O992" s="111">
        <f t="shared" si="140"/>
        <v>27000</v>
      </c>
      <c r="P992" s="111">
        <f t="shared" si="141"/>
        <v>30000</v>
      </c>
      <c r="Q992" s="111">
        <v>60000</v>
      </c>
      <c r="R992" s="111">
        <v>6</v>
      </c>
      <c r="S992" s="111">
        <f t="shared" si="142"/>
        <v>6000</v>
      </c>
      <c r="T992" s="111">
        <f t="shared" si="143"/>
        <v>360000</v>
      </c>
      <c r="U992" s="111">
        <f t="shared" si="144"/>
        <v>3600</v>
      </c>
      <c r="V992" s="111">
        <f t="shared" si="145"/>
        <v>363600</v>
      </c>
      <c r="W992" t="s">
        <v>3451</v>
      </c>
    </row>
    <row r="993" spans="1:23" x14ac:dyDescent="0.3">
      <c r="A993" s="110">
        <v>1403206</v>
      </c>
      <c r="B993" s="110" t="s">
        <v>1191</v>
      </c>
      <c r="C993" s="110" t="s">
        <v>1191</v>
      </c>
      <c r="D993" s="110" t="s">
        <v>1191</v>
      </c>
      <c r="E993" s="110" t="s">
        <v>1202</v>
      </c>
      <c r="F993" s="110" t="s">
        <v>113</v>
      </c>
      <c r="G993" s="110" t="s">
        <v>114</v>
      </c>
      <c r="H993" s="111">
        <v>611</v>
      </c>
      <c r="I993" s="111">
        <v>588</v>
      </c>
      <c r="J993" s="111">
        <v>582</v>
      </c>
      <c r="K993" s="111">
        <f t="shared" si="137"/>
        <v>593.66666666666663</v>
      </c>
      <c r="L993" s="111">
        <f>300000</f>
        <v>300000</v>
      </c>
      <c r="M993" s="111">
        <f t="shared" si="138"/>
        <v>135000</v>
      </c>
      <c r="N993" s="111">
        <f t="shared" si="139"/>
        <v>135000</v>
      </c>
      <c r="O993" s="111">
        <f t="shared" si="140"/>
        <v>27000</v>
      </c>
      <c r="P993" s="111">
        <f t="shared" si="141"/>
        <v>30000</v>
      </c>
      <c r="Q993" s="111">
        <v>60000</v>
      </c>
      <c r="R993" s="111">
        <v>6</v>
      </c>
      <c r="S993" s="111">
        <f t="shared" si="142"/>
        <v>6000</v>
      </c>
      <c r="T993" s="111">
        <f t="shared" si="143"/>
        <v>360000</v>
      </c>
      <c r="U993" s="111">
        <f t="shared" si="144"/>
        <v>3600</v>
      </c>
      <c r="V993" s="111">
        <f t="shared" si="145"/>
        <v>363600</v>
      </c>
      <c r="W993" t="s">
        <v>3452</v>
      </c>
    </row>
    <row r="994" spans="1:23" x14ac:dyDescent="0.3">
      <c r="A994" s="110">
        <v>1403207</v>
      </c>
      <c r="B994" s="110" t="s">
        <v>1191</v>
      </c>
      <c r="C994" s="110" t="s">
        <v>1191</v>
      </c>
      <c r="D994" s="110" t="s">
        <v>1191</v>
      </c>
      <c r="E994" s="110" t="s">
        <v>1203</v>
      </c>
      <c r="F994" s="110" t="s">
        <v>113</v>
      </c>
      <c r="G994" s="110" t="s">
        <v>114</v>
      </c>
      <c r="H994" s="111">
        <v>161</v>
      </c>
      <c r="I994" s="111">
        <v>150</v>
      </c>
      <c r="J994" s="111">
        <v>150</v>
      </c>
      <c r="K994" s="111">
        <f t="shared" si="137"/>
        <v>153.66666666666666</v>
      </c>
      <c r="L994" s="111">
        <v>150000</v>
      </c>
      <c r="M994" s="111">
        <f t="shared" si="138"/>
        <v>67500</v>
      </c>
      <c r="N994" s="111">
        <f t="shared" si="139"/>
        <v>67500</v>
      </c>
      <c r="O994" s="111">
        <f t="shared" si="140"/>
        <v>13500</v>
      </c>
      <c r="P994" s="111">
        <f t="shared" si="141"/>
        <v>15000</v>
      </c>
      <c r="Q994" s="111">
        <v>30000</v>
      </c>
      <c r="R994" s="111">
        <v>3</v>
      </c>
      <c r="S994" s="111">
        <f t="shared" si="142"/>
        <v>3000</v>
      </c>
      <c r="T994" s="111">
        <f t="shared" si="143"/>
        <v>180000</v>
      </c>
      <c r="U994" s="111">
        <f t="shared" si="144"/>
        <v>1800</v>
      </c>
      <c r="V994" s="111">
        <f t="shared" si="145"/>
        <v>181800</v>
      </c>
      <c r="W994" t="s">
        <v>3453</v>
      </c>
    </row>
    <row r="995" spans="1:23" x14ac:dyDescent="0.3">
      <c r="A995" s="110">
        <v>1403208</v>
      </c>
      <c r="B995" s="110" t="s">
        <v>1191</v>
      </c>
      <c r="C995" s="110" t="s">
        <v>1191</v>
      </c>
      <c r="D995" s="110" t="s">
        <v>1191</v>
      </c>
      <c r="E995" s="110" t="s">
        <v>1204</v>
      </c>
      <c r="F995" s="110" t="s">
        <v>113</v>
      </c>
      <c r="G995" s="110" t="s">
        <v>114</v>
      </c>
      <c r="H995" s="111">
        <v>349</v>
      </c>
      <c r="I995" s="111">
        <v>342</v>
      </c>
      <c r="J995" s="111">
        <v>312</v>
      </c>
      <c r="K995" s="111">
        <f t="shared" si="137"/>
        <v>334.33333333333331</v>
      </c>
      <c r="L995" s="111">
        <v>200000</v>
      </c>
      <c r="M995" s="111">
        <f t="shared" si="138"/>
        <v>90000</v>
      </c>
      <c r="N995" s="111">
        <f t="shared" si="139"/>
        <v>90000</v>
      </c>
      <c r="O995" s="111">
        <f t="shared" si="140"/>
        <v>18000</v>
      </c>
      <c r="P995" s="111">
        <f t="shared" si="141"/>
        <v>20000</v>
      </c>
      <c r="Q995" s="111">
        <v>50000</v>
      </c>
      <c r="R995" s="111">
        <v>5</v>
      </c>
      <c r="S995" s="111">
        <f t="shared" si="142"/>
        <v>5000</v>
      </c>
      <c r="T995" s="111">
        <f t="shared" si="143"/>
        <v>250000</v>
      </c>
      <c r="U995" s="111">
        <f t="shared" si="144"/>
        <v>2500</v>
      </c>
      <c r="V995" s="111">
        <f t="shared" si="145"/>
        <v>252500</v>
      </c>
      <c r="W995" t="s">
        <v>3454</v>
      </c>
    </row>
    <row r="996" spans="1:23" x14ac:dyDescent="0.3">
      <c r="A996" s="110">
        <v>1403211</v>
      </c>
      <c r="B996" s="110" t="s">
        <v>1191</v>
      </c>
      <c r="C996" s="110" t="s">
        <v>1191</v>
      </c>
      <c r="D996" s="110" t="s">
        <v>1191</v>
      </c>
      <c r="E996" s="110" t="s">
        <v>1205</v>
      </c>
      <c r="F996" s="110" t="s">
        <v>113</v>
      </c>
      <c r="G996" s="110" t="s">
        <v>114</v>
      </c>
      <c r="H996" s="111">
        <v>181</v>
      </c>
      <c r="I996" s="111">
        <v>186</v>
      </c>
      <c r="J996" s="111">
        <v>188</v>
      </c>
      <c r="K996" s="111">
        <f t="shared" si="137"/>
        <v>185</v>
      </c>
      <c r="L996" s="111">
        <v>150000</v>
      </c>
      <c r="M996" s="111">
        <f t="shared" si="138"/>
        <v>67500</v>
      </c>
      <c r="N996" s="111">
        <f t="shared" si="139"/>
        <v>67500</v>
      </c>
      <c r="O996" s="111">
        <f t="shared" si="140"/>
        <v>13500</v>
      </c>
      <c r="P996" s="111">
        <f t="shared" si="141"/>
        <v>15000</v>
      </c>
      <c r="Q996" s="111">
        <v>30000</v>
      </c>
      <c r="R996" s="111">
        <v>3</v>
      </c>
      <c r="S996" s="111">
        <f t="shared" si="142"/>
        <v>3000</v>
      </c>
      <c r="T996" s="111">
        <f t="shared" si="143"/>
        <v>180000</v>
      </c>
      <c r="U996" s="111">
        <f t="shared" si="144"/>
        <v>1800</v>
      </c>
      <c r="V996" s="111">
        <f t="shared" si="145"/>
        <v>181800</v>
      </c>
      <c r="W996" t="s">
        <v>3455</v>
      </c>
    </row>
    <row r="997" spans="1:23" x14ac:dyDescent="0.3">
      <c r="A997" s="110">
        <v>1403213</v>
      </c>
      <c r="B997" s="110" t="s">
        <v>1191</v>
      </c>
      <c r="C997" s="110" t="s">
        <v>1191</v>
      </c>
      <c r="D997" s="110" t="s">
        <v>1191</v>
      </c>
      <c r="E997" s="110" t="s">
        <v>1206</v>
      </c>
      <c r="F997" s="110" t="s">
        <v>119</v>
      </c>
      <c r="G997" s="110" t="s">
        <v>114</v>
      </c>
      <c r="H997" s="111">
        <v>226</v>
      </c>
      <c r="I997" s="111">
        <v>223</v>
      </c>
      <c r="J997" s="111">
        <v>245</v>
      </c>
      <c r="K997" s="111">
        <f t="shared" si="137"/>
        <v>231.33333333333334</v>
      </c>
      <c r="L997" s="111">
        <f>200000*0.7</f>
        <v>140000</v>
      </c>
      <c r="M997" s="111">
        <f t="shared" si="138"/>
        <v>63000</v>
      </c>
      <c r="N997" s="111">
        <f t="shared" si="139"/>
        <v>63000</v>
      </c>
      <c r="O997" s="111">
        <f t="shared" si="140"/>
        <v>12600</v>
      </c>
      <c r="P997" s="111">
        <f t="shared" si="141"/>
        <v>14000</v>
      </c>
      <c r="Q997" s="111">
        <v>50000</v>
      </c>
      <c r="R997" s="111">
        <v>5</v>
      </c>
      <c r="S997" s="111">
        <f t="shared" si="142"/>
        <v>5000</v>
      </c>
      <c r="T997" s="111">
        <f t="shared" si="143"/>
        <v>190000</v>
      </c>
      <c r="U997" s="111">
        <f t="shared" si="144"/>
        <v>1900</v>
      </c>
      <c r="V997" s="111">
        <f t="shared" si="145"/>
        <v>191900</v>
      </c>
      <c r="W997" t="s">
        <v>3456</v>
      </c>
    </row>
    <row r="998" spans="1:23" x14ac:dyDescent="0.3">
      <c r="A998" s="110">
        <v>1403214</v>
      </c>
      <c r="B998" s="110" t="s">
        <v>1191</v>
      </c>
      <c r="C998" s="110" t="s">
        <v>1191</v>
      </c>
      <c r="D998" s="110" t="s">
        <v>1191</v>
      </c>
      <c r="E998" s="110" t="s">
        <v>1207</v>
      </c>
      <c r="F998" s="110" t="s">
        <v>119</v>
      </c>
      <c r="G998" s="110" t="s">
        <v>114</v>
      </c>
      <c r="H998" s="111">
        <v>366</v>
      </c>
      <c r="I998" s="111">
        <v>364</v>
      </c>
      <c r="J998" s="111">
        <v>382</v>
      </c>
      <c r="K998" s="111">
        <f t="shared" si="137"/>
        <v>370.66666666666669</v>
      </c>
      <c r="L998" s="111">
        <v>200000</v>
      </c>
      <c r="M998" s="111">
        <f t="shared" si="138"/>
        <v>90000</v>
      </c>
      <c r="N998" s="111">
        <f t="shared" si="139"/>
        <v>90000</v>
      </c>
      <c r="O998" s="111">
        <f t="shared" si="140"/>
        <v>18000</v>
      </c>
      <c r="P998" s="111">
        <f t="shared" si="141"/>
        <v>20000</v>
      </c>
      <c r="Q998" s="111">
        <v>50000</v>
      </c>
      <c r="R998" s="111">
        <v>5</v>
      </c>
      <c r="S998" s="111">
        <f t="shared" si="142"/>
        <v>5000</v>
      </c>
      <c r="T998" s="111">
        <f t="shared" si="143"/>
        <v>250000</v>
      </c>
      <c r="U998" s="111">
        <f t="shared" si="144"/>
        <v>2500</v>
      </c>
      <c r="V998" s="111">
        <f t="shared" si="145"/>
        <v>252500</v>
      </c>
      <c r="W998" t="s">
        <v>3457</v>
      </c>
    </row>
    <row r="999" spans="1:23" x14ac:dyDescent="0.3">
      <c r="A999" s="110">
        <v>1403215</v>
      </c>
      <c r="B999" s="110" t="s">
        <v>1191</v>
      </c>
      <c r="C999" s="110" t="s">
        <v>1191</v>
      </c>
      <c r="D999" s="110" t="s">
        <v>1191</v>
      </c>
      <c r="E999" s="110" t="s">
        <v>1208</v>
      </c>
      <c r="F999" s="110" t="s">
        <v>113</v>
      </c>
      <c r="G999" s="110" t="s">
        <v>114</v>
      </c>
      <c r="H999" s="111">
        <v>323</v>
      </c>
      <c r="I999" s="111">
        <v>309</v>
      </c>
      <c r="J999" s="111">
        <v>302</v>
      </c>
      <c r="K999" s="111">
        <f t="shared" si="137"/>
        <v>311.33333333333331</v>
      </c>
      <c r="L999" s="111">
        <v>200000</v>
      </c>
      <c r="M999" s="111">
        <f t="shared" si="138"/>
        <v>90000</v>
      </c>
      <c r="N999" s="111">
        <f t="shared" si="139"/>
        <v>90000</v>
      </c>
      <c r="O999" s="111">
        <f t="shared" si="140"/>
        <v>18000</v>
      </c>
      <c r="P999" s="111">
        <f t="shared" si="141"/>
        <v>20000</v>
      </c>
      <c r="Q999" s="111">
        <v>50000</v>
      </c>
      <c r="R999" s="111">
        <v>5</v>
      </c>
      <c r="S999" s="111">
        <f t="shared" si="142"/>
        <v>5000</v>
      </c>
      <c r="T999" s="111">
        <f t="shared" si="143"/>
        <v>250000</v>
      </c>
      <c r="U999" s="111">
        <f t="shared" si="144"/>
        <v>2500</v>
      </c>
      <c r="V999" s="111">
        <f t="shared" si="145"/>
        <v>252500</v>
      </c>
      <c r="W999" t="s">
        <v>3458</v>
      </c>
    </row>
    <row r="1000" spans="1:23" x14ac:dyDescent="0.3">
      <c r="A1000" s="110">
        <v>1403216</v>
      </c>
      <c r="B1000" s="110" t="s">
        <v>1191</v>
      </c>
      <c r="C1000" s="110" t="s">
        <v>1191</v>
      </c>
      <c r="D1000" s="110" t="s">
        <v>1191</v>
      </c>
      <c r="E1000" s="110" t="s">
        <v>1209</v>
      </c>
      <c r="F1000" s="110" t="s">
        <v>119</v>
      </c>
      <c r="G1000" s="110" t="s">
        <v>114</v>
      </c>
      <c r="H1000" s="111">
        <v>761</v>
      </c>
      <c r="I1000" s="111">
        <v>748</v>
      </c>
      <c r="J1000" s="111">
        <v>728</v>
      </c>
      <c r="K1000" s="111">
        <f t="shared" si="137"/>
        <v>745.66666666666663</v>
      </c>
      <c r="L1000" s="111">
        <f>300000</f>
        <v>300000</v>
      </c>
      <c r="M1000" s="111">
        <f t="shared" si="138"/>
        <v>135000</v>
      </c>
      <c r="N1000" s="111">
        <f t="shared" si="139"/>
        <v>135000</v>
      </c>
      <c r="O1000" s="111">
        <f t="shared" si="140"/>
        <v>27000</v>
      </c>
      <c r="P1000" s="111">
        <f t="shared" si="141"/>
        <v>30000</v>
      </c>
      <c r="Q1000" s="111">
        <v>60000</v>
      </c>
      <c r="R1000" s="111">
        <v>6</v>
      </c>
      <c r="S1000" s="111">
        <f t="shared" si="142"/>
        <v>6000</v>
      </c>
      <c r="T1000" s="111">
        <f t="shared" si="143"/>
        <v>360000</v>
      </c>
      <c r="U1000" s="111">
        <f t="shared" si="144"/>
        <v>3600</v>
      </c>
      <c r="V1000" s="111">
        <f t="shared" si="145"/>
        <v>363600</v>
      </c>
      <c r="W1000" t="s">
        <v>3459</v>
      </c>
    </row>
    <row r="1001" spans="1:23" x14ac:dyDescent="0.3">
      <c r="A1001" s="110">
        <v>1403217</v>
      </c>
      <c r="B1001" s="110" t="s">
        <v>1191</v>
      </c>
      <c r="C1001" s="110" t="s">
        <v>1191</v>
      </c>
      <c r="D1001" s="110" t="s">
        <v>1191</v>
      </c>
      <c r="E1001" s="110" t="s">
        <v>1210</v>
      </c>
      <c r="F1001" s="110" t="s">
        <v>296</v>
      </c>
      <c r="G1001" s="110" t="s">
        <v>114</v>
      </c>
      <c r="H1001" s="111">
        <v>156</v>
      </c>
      <c r="I1001" s="111">
        <v>164</v>
      </c>
      <c r="J1001" s="111">
        <v>164</v>
      </c>
      <c r="K1001" s="111">
        <f t="shared" si="137"/>
        <v>161.33333333333334</v>
      </c>
      <c r="L1001" s="111">
        <v>150000</v>
      </c>
      <c r="M1001" s="111">
        <f t="shared" si="138"/>
        <v>67500</v>
      </c>
      <c r="N1001" s="111">
        <f t="shared" si="139"/>
        <v>67500</v>
      </c>
      <c r="O1001" s="111">
        <f t="shared" si="140"/>
        <v>13500</v>
      </c>
      <c r="P1001" s="111">
        <f t="shared" si="141"/>
        <v>15000</v>
      </c>
      <c r="Q1001" s="111">
        <v>30000</v>
      </c>
      <c r="R1001" s="111">
        <v>3</v>
      </c>
      <c r="S1001" s="111">
        <f t="shared" si="142"/>
        <v>3000</v>
      </c>
      <c r="T1001" s="111">
        <f t="shared" si="143"/>
        <v>180000</v>
      </c>
      <c r="U1001" s="111">
        <f t="shared" si="144"/>
        <v>1800</v>
      </c>
      <c r="V1001" s="111">
        <f t="shared" si="145"/>
        <v>181800</v>
      </c>
      <c r="W1001" t="s">
        <v>3460</v>
      </c>
    </row>
    <row r="1002" spans="1:23" x14ac:dyDescent="0.3">
      <c r="A1002" s="110">
        <v>1403218</v>
      </c>
      <c r="B1002" s="110" t="s">
        <v>1191</v>
      </c>
      <c r="C1002" s="110" t="s">
        <v>1191</v>
      </c>
      <c r="D1002" s="110" t="s">
        <v>1211</v>
      </c>
      <c r="E1002" s="110" t="s">
        <v>184</v>
      </c>
      <c r="F1002" s="110" t="s">
        <v>113</v>
      </c>
      <c r="G1002" s="110" t="s">
        <v>114</v>
      </c>
      <c r="H1002" s="111">
        <v>135</v>
      </c>
      <c r="I1002" s="111">
        <v>124</v>
      </c>
      <c r="J1002" s="111">
        <v>119</v>
      </c>
      <c r="K1002" s="111">
        <f t="shared" si="137"/>
        <v>126</v>
      </c>
      <c r="L1002" s="111">
        <v>150000</v>
      </c>
      <c r="M1002" s="111">
        <f t="shared" si="138"/>
        <v>67500</v>
      </c>
      <c r="N1002" s="111">
        <f t="shared" si="139"/>
        <v>67500</v>
      </c>
      <c r="O1002" s="111">
        <f t="shared" si="140"/>
        <v>13500</v>
      </c>
      <c r="P1002" s="111">
        <f t="shared" si="141"/>
        <v>15000</v>
      </c>
      <c r="Q1002" s="111">
        <v>30000</v>
      </c>
      <c r="R1002" s="111">
        <v>3</v>
      </c>
      <c r="S1002" s="111">
        <f t="shared" si="142"/>
        <v>3000</v>
      </c>
      <c r="T1002" s="111">
        <f t="shared" si="143"/>
        <v>180000</v>
      </c>
      <c r="U1002" s="111">
        <f t="shared" si="144"/>
        <v>1800</v>
      </c>
      <c r="V1002" s="111">
        <f t="shared" si="145"/>
        <v>181800</v>
      </c>
      <c r="W1002" t="s">
        <v>3461</v>
      </c>
    </row>
    <row r="1003" spans="1:23" x14ac:dyDescent="0.3">
      <c r="A1003" s="110">
        <v>1403219</v>
      </c>
      <c r="B1003" s="110" t="s">
        <v>1191</v>
      </c>
      <c r="C1003" s="110" t="s">
        <v>1191</v>
      </c>
      <c r="D1003" s="110" t="s">
        <v>1191</v>
      </c>
      <c r="E1003" s="110" t="s">
        <v>1212</v>
      </c>
      <c r="F1003" s="110" t="s">
        <v>122</v>
      </c>
      <c r="G1003" s="110" t="s">
        <v>114</v>
      </c>
      <c r="H1003" s="111">
        <v>490</v>
      </c>
      <c r="I1003" s="111">
        <v>521</v>
      </c>
      <c r="J1003" s="111">
        <v>546</v>
      </c>
      <c r="K1003" s="111">
        <f t="shared" si="137"/>
        <v>519</v>
      </c>
      <c r="L1003" s="111">
        <f>300000*0.7</f>
        <v>210000</v>
      </c>
      <c r="M1003" s="111">
        <f t="shared" si="138"/>
        <v>94500</v>
      </c>
      <c r="N1003" s="111">
        <f t="shared" si="139"/>
        <v>94500</v>
      </c>
      <c r="O1003" s="111">
        <f t="shared" si="140"/>
        <v>18900</v>
      </c>
      <c r="P1003" s="111">
        <f t="shared" si="141"/>
        <v>21000</v>
      </c>
      <c r="Q1003" s="111">
        <v>60000</v>
      </c>
      <c r="R1003" s="111">
        <v>6</v>
      </c>
      <c r="S1003" s="111">
        <f t="shared" si="142"/>
        <v>6000</v>
      </c>
      <c r="T1003" s="111">
        <f t="shared" si="143"/>
        <v>270000</v>
      </c>
      <c r="U1003" s="111">
        <f t="shared" si="144"/>
        <v>2700</v>
      </c>
      <c r="V1003" s="111">
        <f t="shared" si="145"/>
        <v>272700</v>
      </c>
      <c r="W1003" t="s">
        <v>3462</v>
      </c>
    </row>
    <row r="1004" spans="1:23" x14ac:dyDescent="0.3">
      <c r="A1004" s="110">
        <v>1403220</v>
      </c>
      <c r="B1004" s="110" t="s">
        <v>1191</v>
      </c>
      <c r="C1004" s="110" t="s">
        <v>1191</v>
      </c>
      <c r="D1004" s="110" t="s">
        <v>1191</v>
      </c>
      <c r="E1004" s="110" t="s">
        <v>1213</v>
      </c>
      <c r="F1004" s="110" t="s">
        <v>122</v>
      </c>
      <c r="G1004" s="110" t="s">
        <v>114</v>
      </c>
      <c r="H1004" s="111">
        <v>736</v>
      </c>
      <c r="I1004" s="111">
        <v>746</v>
      </c>
      <c r="J1004" s="111">
        <v>762</v>
      </c>
      <c r="K1004" s="111">
        <f t="shared" si="137"/>
        <v>748</v>
      </c>
      <c r="L1004" s="111">
        <f>300000</f>
        <v>300000</v>
      </c>
      <c r="M1004" s="111">
        <f t="shared" si="138"/>
        <v>135000</v>
      </c>
      <c r="N1004" s="111">
        <f t="shared" si="139"/>
        <v>135000</v>
      </c>
      <c r="O1004" s="111">
        <f t="shared" si="140"/>
        <v>27000</v>
      </c>
      <c r="P1004" s="111">
        <f t="shared" si="141"/>
        <v>30000</v>
      </c>
      <c r="Q1004" s="111">
        <v>60000</v>
      </c>
      <c r="R1004" s="111">
        <v>6</v>
      </c>
      <c r="S1004" s="111">
        <f t="shared" si="142"/>
        <v>6000</v>
      </c>
      <c r="T1004" s="111">
        <f t="shared" si="143"/>
        <v>360000</v>
      </c>
      <c r="U1004" s="111">
        <f t="shared" si="144"/>
        <v>3600</v>
      </c>
      <c r="V1004" s="111">
        <f t="shared" si="145"/>
        <v>363600</v>
      </c>
      <c r="W1004" t="s">
        <v>3463</v>
      </c>
    </row>
    <row r="1005" spans="1:23" x14ac:dyDescent="0.3">
      <c r="A1005" s="110">
        <v>1403222</v>
      </c>
      <c r="B1005" s="110" t="s">
        <v>1191</v>
      </c>
      <c r="C1005" s="110" t="s">
        <v>1191</v>
      </c>
      <c r="D1005" s="110" t="s">
        <v>1214</v>
      </c>
      <c r="E1005" s="110" t="s">
        <v>1215</v>
      </c>
      <c r="F1005" s="110" t="s">
        <v>113</v>
      </c>
      <c r="G1005" s="110" t="s">
        <v>114</v>
      </c>
      <c r="H1005" s="111">
        <v>22</v>
      </c>
      <c r="I1005" s="111">
        <v>30</v>
      </c>
      <c r="J1005" s="111">
        <v>23</v>
      </c>
      <c r="K1005" s="111">
        <f t="shared" si="137"/>
        <v>25</v>
      </c>
      <c r="L1005" s="111">
        <v>50000</v>
      </c>
      <c r="M1005" s="111">
        <f t="shared" si="138"/>
        <v>22500</v>
      </c>
      <c r="N1005" s="111">
        <f t="shared" si="139"/>
        <v>22500</v>
      </c>
      <c r="O1005" s="111">
        <f t="shared" si="140"/>
        <v>4500</v>
      </c>
      <c r="P1005" s="111">
        <f t="shared" si="141"/>
        <v>5000</v>
      </c>
      <c r="Q1005" s="111">
        <v>10000</v>
      </c>
      <c r="R1005" s="111">
        <v>1</v>
      </c>
      <c r="S1005" s="111">
        <f t="shared" si="142"/>
        <v>1000</v>
      </c>
      <c r="T1005" s="111">
        <f t="shared" si="143"/>
        <v>60000</v>
      </c>
      <c r="U1005" s="111">
        <f t="shared" si="144"/>
        <v>600</v>
      </c>
      <c r="V1005" s="111">
        <f t="shared" si="145"/>
        <v>60600</v>
      </c>
      <c r="W1005" t="s">
        <v>3464</v>
      </c>
    </row>
    <row r="1006" spans="1:23" x14ac:dyDescent="0.3">
      <c r="A1006" s="110">
        <v>1403223</v>
      </c>
      <c r="B1006" s="110" t="s">
        <v>1191</v>
      </c>
      <c r="C1006" s="110" t="s">
        <v>1191</v>
      </c>
      <c r="D1006" s="110" t="s">
        <v>1216</v>
      </c>
      <c r="E1006" s="110" t="s">
        <v>588</v>
      </c>
      <c r="F1006" s="110" t="s">
        <v>113</v>
      </c>
      <c r="G1006" s="110" t="s">
        <v>114</v>
      </c>
      <c r="H1006" s="111">
        <v>50</v>
      </c>
      <c r="I1006" s="111">
        <v>46</v>
      </c>
      <c r="J1006" s="111">
        <v>49</v>
      </c>
      <c r="K1006" s="111">
        <f t="shared" si="137"/>
        <v>48.333333333333336</v>
      </c>
      <c r="L1006" s="111">
        <v>50000</v>
      </c>
      <c r="M1006" s="111">
        <f t="shared" si="138"/>
        <v>22500</v>
      </c>
      <c r="N1006" s="111">
        <f t="shared" si="139"/>
        <v>22500</v>
      </c>
      <c r="O1006" s="111">
        <f t="shared" si="140"/>
        <v>4500</v>
      </c>
      <c r="P1006" s="111">
        <f t="shared" si="141"/>
        <v>5000</v>
      </c>
      <c r="Q1006" s="111">
        <v>10000</v>
      </c>
      <c r="R1006" s="111">
        <v>1</v>
      </c>
      <c r="S1006" s="111">
        <f t="shared" si="142"/>
        <v>1000</v>
      </c>
      <c r="T1006" s="111">
        <f t="shared" si="143"/>
        <v>60000</v>
      </c>
      <c r="U1006" s="111">
        <f t="shared" si="144"/>
        <v>600</v>
      </c>
      <c r="V1006" s="111">
        <f t="shared" si="145"/>
        <v>60600</v>
      </c>
      <c r="W1006" t="s">
        <v>3465</v>
      </c>
    </row>
    <row r="1007" spans="1:23" x14ac:dyDescent="0.3">
      <c r="A1007" s="110">
        <v>1403227</v>
      </c>
      <c r="B1007" s="110" t="s">
        <v>1191</v>
      </c>
      <c r="C1007" s="110" t="s">
        <v>1191</v>
      </c>
      <c r="D1007" s="110" t="s">
        <v>1217</v>
      </c>
      <c r="E1007" s="110" t="s">
        <v>390</v>
      </c>
      <c r="F1007" s="110" t="s">
        <v>113</v>
      </c>
      <c r="G1007" s="110" t="s">
        <v>114</v>
      </c>
      <c r="H1007" s="111">
        <v>31</v>
      </c>
      <c r="I1007" s="111">
        <v>30</v>
      </c>
      <c r="J1007" s="111">
        <v>26</v>
      </c>
      <c r="K1007" s="111">
        <f t="shared" si="137"/>
        <v>29</v>
      </c>
      <c r="L1007" s="111">
        <v>50000</v>
      </c>
      <c r="M1007" s="111">
        <f t="shared" si="138"/>
        <v>22500</v>
      </c>
      <c r="N1007" s="111">
        <f t="shared" si="139"/>
        <v>22500</v>
      </c>
      <c r="O1007" s="111">
        <f t="shared" si="140"/>
        <v>4500</v>
      </c>
      <c r="P1007" s="111">
        <f t="shared" si="141"/>
        <v>5000</v>
      </c>
      <c r="Q1007" s="111">
        <v>10000</v>
      </c>
      <c r="R1007" s="111">
        <v>1</v>
      </c>
      <c r="S1007" s="111">
        <f t="shared" si="142"/>
        <v>1000</v>
      </c>
      <c r="T1007" s="111">
        <f t="shared" si="143"/>
        <v>60000</v>
      </c>
      <c r="U1007" s="111">
        <f t="shared" si="144"/>
        <v>600</v>
      </c>
      <c r="V1007" s="111">
        <f t="shared" si="145"/>
        <v>60600</v>
      </c>
      <c r="W1007" t="s">
        <v>3466</v>
      </c>
    </row>
    <row r="1008" spans="1:23" x14ac:dyDescent="0.3">
      <c r="A1008" s="110">
        <v>1403228</v>
      </c>
      <c r="B1008" s="110" t="s">
        <v>1191</v>
      </c>
      <c r="C1008" s="110" t="s">
        <v>1191</v>
      </c>
      <c r="D1008" s="110" t="s">
        <v>1218</v>
      </c>
      <c r="E1008" s="110" t="s">
        <v>588</v>
      </c>
      <c r="F1008" s="110" t="s">
        <v>113</v>
      </c>
      <c r="G1008" s="110" t="s">
        <v>114</v>
      </c>
      <c r="H1008" s="111">
        <v>109</v>
      </c>
      <c r="I1008" s="111">
        <v>116</v>
      </c>
      <c r="J1008" s="111">
        <v>120</v>
      </c>
      <c r="K1008" s="111">
        <f t="shared" si="137"/>
        <v>115</v>
      </c>
      <c r="L1008" s="111">
        <v>150000</v>
      </c>
      <c r="M1008" s="111">
        <f t="shared" si="138"/>
        <v>67500</v>
      </c>
      <c r="N1008" s="111">
        <f t="shared" si="139"/>
        <v>67500</v>
      </c>
      <c r="O1008" s="111">
        <f t="shared" si="140"/>
        <v>13500</v>
      </c>
      <c r="P1008" s="111">
        <f t="shared" si="141"/>
        <v>15000</v>
      </c>
      <c r="Q1008" s="111">
        <v>30000</v>
      </c>
      <c r="R1008" s="111">
        <v>3</v>
      </c>
      <c r="S1008" s="111">
        <f t="shared" si="142"/>
        <v>3000</v>
      </c>
      <c r="T1008" s="111">
        <f t="shared" si="143"/>
        <v>180000</v>
      </c>
      <c r="U1008" s="111">
        <f t="shared" si="144"/>
        <v>1800</v>
      </c>
      <c r="V1008" s="111">
        <f t="shared" si="145"/>
        <v>181800</v>
      </c>
      <c r="W1008" t="s">
        <v>3467</v>
      </c>
    </row>
    <row r="1009" spans="1:23" x14ac:dyDescent="0.3">
      <c r="A1009" s="110">
        <v>1403229</v>
      </c>
      <c r="B1009" s="110" t="s">
        <v>1191</v>
      </c>
      <c r="C1009" s="110" t="s">
        <v>1191</v>
      </c>
      <c r="D1009" s="110" t="s">
        <v>1219</v>
      </c>
      <c r="E1009" s="110" t="s">
        <v>1220</v>
      </c>
      <c r="F1009" s="110" t="s">
        <v>113</v>
      </c>
      <c r="G1009" s="110" t="s">
        <v>114</v>
      </c>
      <c r="H1009" s="111">
        <v>65</v>
      </c>
      <c r="I1009" s="111">
        <v>73</v>
      </c>
      <c r="J1009" s="111">
        <v>72</v>
      </c>
      <c r="K1009" s="111">
        <f t="shared" si="137"/>
        <v>70</v>
      </c>
      <c r="L1009" s="111">
        <v>150000</v>
      </c>
      <c r="M1009" s="111">
        <f t="shared" si="138"/>
        <v>67500</v>
      </c>
      <c r="N1009" s="111">
        <f t="shared" si="139"/>
        <v>67500</v>
      </c>
      <c r="O1009" s="111">
        <f t="shared" si="140"/>
        <v>13500</v>
      </c>
      <c r="P1009" s="111">
        <f t="shared" si="141"/>
        <v>15000</v>
      </c>
      <c r="Q1009" s="111">
        <v>30000</v>
      </c>
      <c r="R1009" s="111">
        <v>3</v>
      </c>
      <c r="S1009" s="111">
        <f t="shared" si="142"/>
        <v>3000</v>
      </c>
      <c r="T1009" s="111">
        <f t="shared" si="143"/>
        <v>180000</v>
      </c>
      <c r="U1009" s="111">
        <f t="shared" si="144"/>
        <v>1800</v>
      </c>
      <c r="V1009" s="111">
        <f t="shared" si="145"/>
        <v>181800</v>
      </c>
      <c r="W1009" t="s">
        <v>3468</v>
      </c>
    </row>
    <row r="1010" spans="1:23" x14ac:dyDescent="0.3">
      <c r="A1010" s="110">
        <v>1403231</v>
      </c>
      <c r="B1010" s="110" t="s">
        <v>1191</v>
      </c>
      <c r="C1010" s="110" t="s">
        <v>1191</v>
      </c>
      <c r="D1010" s="110" t="s">
        <v>1191</v>
      </c>
      <c r="E1010" s="110" t="s">
        <v>1221</v>
      </c>
      <c r="F1010" s="110" t="s">
        <v>135</v>
      </c>
      <c r="G1010" s="110" t="s">
        <v>125</v>
      </c>
      <c r="H1010" s="111">
        <v>36</v>
      </c>
      <c r="I1010" s="111">
        <v>46</v>
      </c>
      <c r="J1010" s="111">
        <v>42</v>
      </c>
      <c r="K1010" s="111">
        <f t="shared" si="137"/>
        <v>41.333333333333336</v>
      </c>
      <c r="L1010" s="111">
        <v>50000</v>
      </c>
      <c r="M1010" s="111">
        <f t="shared" si="138"/>
        <v>22500</v>
      </c>
      <c r="N1010" s="111">
        <f t="shared" si="139"/>
        <v>22500</v>
      </c>
      <c r="O1010" s="111">
        <f t="shared" si="140"/>
        <v>4500</v>
      </c>
      <c r="P1010" s="111">
        <f t="shared" si="141"/>
        <v>5000</v>
      </c>
      <c r="Q1010" s="111">
        <v>10000</v>
      </c>
      <c r="R1010" s="111">
        <v>1</v>
      </c>
      <c r="S1010" s="111">
        <f t="shared" si="142"/>
        <v>1000</v>
      </c>
      <c r="T1010" s="111">
        <f t="shared" si="143"/>
        <v>60000</v>
      </c>
      <c r="U1010" s="111">
        <f t="shared" si="144"/>
        <v>600</v>
      </c>
      <c r="V1010" s="111">
        <f t="shared" si="145"/>
        <v>60600</v>
      </c>
      <c r="W1010" t="s">
        <v>3469</v>
      </c>
    </row>
    <row r="1011" spans="1:23" x14ac:dyDescent="0.3">
      <c r="A1011" s="110">
        <v>1403233</v>
      </c>
      <c r="B1011" s="110" t="s">
        <v>1191</v>
      </c>
      <c r="C1011" s="110" t="s">
        <v>1191</v>
      </c>
      <c r="D1011" s="110" t="s">
        <v>1191</v>
      </c>
      <c r="E1011" s="110" t="s">
        <v>1222</v>
      </c>
      <c r="F1011" s="110" t="s">
        <v>117</v>
      </c>
      <c r="G1011" s="110" t="s">
        <v>125</v>
      </c>
      <c r="H1011" s="111">
        <v>269</v>
      </c>
      <c r="I1011" s="111">
        <v>317</v>
      </c>
      <c r="J1011" s="111">
        <v>388</v>
      </c>
      <c r="K1011" s="111">
        <f t="shared" si="137"/>
        <v>324.66666666666669</v>
      </c>
      <c r="L1011" s="111">
        <v>200000</v>
      </c>
      <c r="M1011" s="111">
        <f t="shared" si="138"/>
        <v>90000</v>
      </c>
      <c r="N1011" s="111">
        <f t="shared" si="139"/>
        <v>90000</v>
      </c>
      <c r="O1011" s="111">
        <f t="shared" si="140"/>
        <v>18000</v>
      </c>
      <c r="P1011" s="111">
        <f t="shared" si="141"/>
        <v>20000</v>
      </c>
      <c r="Q1011" s="111">
        <v>50000</v>
      </c>
      <c r="R1011" s="111">
        <v>5</v>
      </c>
      <c r="S1011" s="111">
        <f t="shared" si="142"/>
        <v>5000</v>
      </c>
      <c r="T1011" s="111">
        <f t="shared" si="143"/>
        <v>250000</v>
      </c>
      <c r="U1011" s="111">
        <f t="shared" si="144"/>
        <v>2500</v>
      </c>
      <c r="V1011" s="111">
        <f t="shared" si="145"/>
        <v>252500</v>
      </c>
      <c r="W1011" t="s">
        <v>3470</v>
      </c>
    </row>
    <row r="1012" spans="1:23" x14ac:dyDescent="0.3">
      <c r="A1012" s="110">
        <v>1403234</v>
      </c>
      <c r="B1012" s="110" t="s">
        <v>1191</v>
      </c>
      <c r="C1012" s="110" t="s">
        <v>1191</v>
      </c>
      <c r="D1012" s="110" t="s">
        <v>1191</v>
      </c>
      <c r="E1012" s="110" t="s">
        <v>1223</v>
      </c>
      <c r="F1012" s="110" t="s">
        <v>117</v>
      </c>
      <c r="G1012" s="110" t="s">
        <v>125</v>
      </c>
      <c r="H1012" s="111">
        <v>502</v>
      </c>
      <c r="I1012" s="111">
        <v>508</v>
      </c>
      <c r="J1012" s="111">
        <v>510</v>
      </c>
      <c r="K1012" s="111">
        <f t="shared" si="137"/>
        <v>506.66666666666669</v>
      </c>
      <c r="L1012" s="111">
        <f>300000</f>
        <v>300000</v>
      </c>
      <c r="M1012" s="111">
        <f t="shared" si="138"/>
        <v>135000</v>
      </c>
      <c r="N1012" s="111">
        <f t="shared" si="139"/>
        <v>135000</v>
      </c>
      <c r="O1012" s="111">
        <f t="shared" si="140"/>
        <v>27000</v>
      </c>
      <c r="P1012" s="111">
        <f t="shared" si="141"/>
        <v>30000</v>
      </c>
      <c r="Q1012" s="111">
        <v>60000</v>
      </c>
      <c r="R1012" s="111">
        <v>6</v>
      </c>
      <c r="S1012" s="111">
        <f t="shared" si="142"/>
        <v>6000</v>
      </c>
      <c r="T1012" s="111">
        <f t="shared" si="143"/>
        <v>360000</v>
      </c>
      <c r="U1012" s="111">
        <f t="shared" si="144"/>
        <v>3600</v>
      </c>
      <c r="V1012" s="111">
        <f t="shared" si="145"/>
        <v>363600</v>
      </c>
      <c r="W1012" t="s">
        <v>3471</v>
      </c>
    </row>
    <row r="1013" spans="1:23" x14ac:dyDescent="0.3">
      <c r="A1013" s="110">
        <v>1403235</v>
      </c>
      <c r="B1013" s="110" t="s">
        <v>1191</v>
      </c>
      <c r="C1013" s="110" t="s">
        <v>1191</v>
      </c>
      <c r="D1013" s="110" t="s">
        <v>1191</v>
      </c>
      <c r="E1013" s="110" t="s">
        <v>1224</v>
      </c>
      <c r="F1013" s="110" t="s">
        <v>117</v>
      </c>
      <c r="G1013" s="110" t="s">
        <v>125</v>
      </c>
      <c r="H1013" s="111">
        <v>134</v>
      </c>
      <c r="I1013" s="111">
        <v>151</v>
      </c>
      <c r="J1013" s="111">
        <v>160</v>
      </c>
      <c r="K1013" s="111">
        <f t="shared" si="137"/>
        <v>148.33333333333334</v>
      </c>
      <c r="L1013" s="111">
        <v>150000</v>
      </c>
      <c r="M1013" s="111">
        <f t="shared" si="138"/>
        <v>67500</v>
      </c>
      <c r="N1013" s="111">
        <f t="shared" si="139"/>
        <v>67500</v>
      </c>
      <c r="O1013" s="111">
        <f t="shared" si="140"/>
        <v>13500</v>
      </c>
      <c r="P1013" s="111">
        <f t="shared" si="141"/>
        <v>15000</v>
      </c>
      <c r="Q1013" s="111">
        <v>30000</v>
      </c>
      <c r="R1013" s="111">
        <v>3</v>
      </c>
      <c r="S1013" s="111">
        <f t="shared" si="142"/>
        <v>3000</v>
      </c>
      <c r="T1013" s="111">
        <f t="shared" si="143"/>
        <v>180000</v>
      </c>
      <c r="U1013" s="111">
        <f t="shared" si="144"/>
        <v>1800</v>
      </c>
      <c r="V1013" s="111">
        <f t="shared" si="145"/>
        <v>181800</v>
      </c>
      <c r="W1013" t="s">
        <v>3472</v>
      </c>
    </row>
    <row r="1014" spans="1:23" x14ac:dyDescent="0.3">
      <c r="A1014" s="110">
        <v>1403236</v>
      </c>
      <c r="B1014" s="110" t="s">
        <v>1191</v>
      </c>
      <c r="C1014" s="110" t="s">
        <v>1191</v>
      </c>
      <c r="D1014" s="110" t="s">
        <v>1191</v>
      </c>
      <c r="E1014" s="110" t="s">
        <v>1225</v>
      </c>
      <c r="F1014" s="110" t="s">
        <v>117</v>
      </c>
      <c r="G1014" s="110" t="s">
        <v>125</v>
      </c>
      <c r="H1014" s="111">
        <v>523</v>
      </c>
      <c r="I1014" s="111">
        <v>521</v>
      </c>
      <c r="J1014" s="111">
        <v>542</v>
      </c>
      <c r="K1014" s="111">
        <f t="shared" si="137"/>
        <v>528.66666666666663</v>
      </c>
      <c r="L1014" s="111">
        <f>300000</f>
        <v>300000</v>
      </c>
      <c r="M1014" s="111">
        <f t="shared" si="138"/>
        <v>135000</v>
      </c>
      <c r="N1014" s="111">
        <f t="shared" si="139"/>
        <v>135000</v>
      </c>
      <c r="O1014" s="111">
        <f t="shared" si="140"/>
        <v>27000</v>
      </c>
      <c r="P1014" s="111">
        <f t="shared" si="141"/>
        <v>30000</v>
      </c>
      <c r="Q1014" s="111">
        <v>60000</v>
      </c>
      <c r="R1014" s="111">
        <v>6</v>
      </c>
      <c r="S1014" s="111">
        <f t="shared" si="142"/>
        <v>6000</v>
      </c>
      <c r="T1014" s="111">
        <f t="shared" si="143"/>
        <v>360000</v>
      </c>
      <c r="U1014" s="111">
        <f t="shared" si="144"/>
        <v>3600</v>
      </c>
      <c r="V1014" s="111">
        <f t="shared" si="145"/>
        <v>363600</v>
      </c>
      <c r="W1014" t="s">
        <v>3473</v>
      </c>
    </row>
    <row r="1015" spans="1:23" x14ac:dyDescent="0.3">
      <c r="A1015" s="110">
        <v>1403237</v>
      </c>
      <c r="B1015" s="110" t="s">
        <v>1191</v>
      </c>
      <c r="C1015" s="110" t="s">
        <v>1191</v>
      </c>
      <c r="D1015" s="110" t="s">
        <v>1191</v>
      </c>
      <c r="E1015" s="110" t="s">
        <v>1226</v>
      </c>
      <c r="F1015" s="110" t="s">
        <v>117</v>
      </c>
      <c r="G1015" s="110" t="s">
        <v>125</v>
      </c>
      <c r="H1015" s="111">
        <v>235</v>
      </c>
      <c r="I1015" s="111">
        <v>188</v>
      </c>
      <c r="J1015" s="111">
        <v>187</v>
      </c>
      <c r="K1015" s="111">
        <f t="shared" si="137"/>
        <v>203.33333333333334</v>
      </c>
      <c r="L1015" s="111">
        <v>200000</v>
      </c>
      <c r="M1015" s="111">
        <f t="shared" si="138"/>
        <v>90000</v>
      </c>
      <c r="N1015" s="111">
        <f t="shared" si="139"/>
        <v>90000</v>
      </c>
      <c r="O1015" s="111">
        <f t="shared" si="140"/>
        <v>18000</v>
      </c>
      <c r="P1015" s="111">
        <f t="shared" si="141"/>
        <v>20000</v>
      </c>
      <c r="Q1015" s="111">
        <v>50000</v>
      </c>
      <c r="R1015" s="111">
        <v>5</v>
      </c>
      <c r="S1015" s="111">
        <f t="shared" si="142"/>
        <v>5000</v>
      </c>
      <c r="T1015" s="111">
        <f t="shared" si="143"/>
        <v>250000</v>
      </c>
      <c r="U1015" s="111">
        <f t="shared" si="144"/>
        <v>2500</v>
      </c>
      <c r="V1015" s="111">
        <f t="shared" si="145"/>
        <v>252500</v>
      </c>
      <c r="W1015" t="s">
        <v>3474</v>
      </c>
    </row>
    <row r="1016" spans="1:23" x14ac:dyDescent="0.3">
      <c r="A1016" s="110">
        <v>1403648</v>
      </c>
      <c r="B1016" s="110" t="s">
        <v>1191</v>
      </c>
      <c r="C1016" s="110" t="s">
        <v>1227</v>
      </c>
      <c r="D1016" s="110" t="s">
        <v>1227</v>
      </c>
      <c r="E1016" s="110" t="s">
        <v>1228</v>
      </c>
      <c r="F1016" s="110" t="s">
        <v>209</v>
      </c>
      <c r="G1016" s="110" t="s">
        <v>114</v>
      </c>
      <c r="H1016" s="111">
        <v>261</v>
      </c>
      <c r="I1016" s="111">
        <v>244</v>
      </c>
      <c r="J1016" s="111">
        <v>222</v>
      </c>
      <c r="K1016" s="111">
        <f t="shared" si="137"/>
        <v>242.33333333333334</v>
      </c>
      <c r="L1016" s="111">
        <v>200000</v>
      </c>
      <c r="M1016" s="111">
        <f t="shared" si="138"/>
        <v>90000</v>
      </c>
      <c r="N1016" s="111">
        <f t="shared" si="139"/>
        <v>90000</v>
      </c>
      <c r="O1016" s="111">
        <f t="shared" si="140"/>
        <v>18000</v>
      </c>
      <c r="P1016" s="111">
        <f t="shared" si="141"/>
        <v>20000</v>
      </c>
      <c r="Q1016" s="111">
        <v>50000</v>
      </c>
      <c r="R1016" s="111">
        <v>5</v>
      </c>
      <c r="S1016" s="111">
        <f t="shared" si="142"/>
        <v>5000</v>
      </c>
      <c r="T1016" s="111">
        <f t="shared" si="143"/>
        <v>250000</v>
      </c>
      <c r="U1016" s="111">
        <f t="shared" si="144"/>
        <v>2500</v>
      </c>
      <c r="V1016" s="111">
        <f t="shared" si="145"/>
        <v>252500</v>
      </c>
      <c r="W1016" t="s">
        <v>3475</v>
      </c>
    </row>
    <row r="1017" spans="1:23" x14ac:dyDescent="0.3">
      <c r="A1017" s="110">
        <v>1403650</v>
      </c>
      <c r="B1017" s="110" t="s">
        <v>1191</v>
      </c>
      <c r="C1017" s="110" t="s">
        <v>1227</v>
      </c>
      <c r="D1017" s="110" t="s">
        <v>1227</v>
      </c>
      <c r="E1017" s="110" t="s">
        <v>353</v>
      </c>
      <c r="F1017" s="110" t="s">
        <v>113</v>
      </c>
      <c r="G1017" s="110" t="s">
        <v>114</v>
      </c>
      <c r="H1017" s="111">
        <v>445</v>
      </c>
      <c r="I1017" s="111">
        <v>423</v>
      </c>
      <c r="J1017" s="111">
        <v>399</v>
      </c>
      <c r="K1017" s="111">
        <f t="shared" si="137"/>
        <v>422.33333333333331</v>
      </c>
      <c r="L1017" s="111">
        <f>300000</f>
        <v>300000</v>
      </c>
      <c r="M1017" s="111">
        <f t="shared" si="138"/>
        <v>135000</v>
      </c>
      <c r="N1017" s="111">
        <f t="shared" si="139"/>
        <v>135000</v>
      </c>
      <c r="O1017" s="111">
        <f t="shared" si="140"/>
        <v>27000</v>
      </c>
      <c r="P1017" s="111">
        <f t="shared" si="141"/>
        <v>30000</v>
      </c>
      <c r="Q1017" s="111">
        <v>60000</v>
      </c>
      <c r="R1017" s="111">
        <v>6</v>
      </c>
      <c r="S1017" s="111">
        <f t="shared" si="142"/>
        <v>6000</v>
      </c>
      <c r="T1017" s="111">
        <f t="shared" si="143"/>
        <v>360000</v>
      </c>
      <c r="U1017" s="111">
        <f t="shared" si="144"/>
        <v>3600</v>
      </c>
      <c r="V1017" s="111">
        <f t="shared" si="145"/>
        <v>363600</v>
      </c>
      <c r="W1017" t="s">
        <v>3476</v>
      </c>
    </row>
    <row r="1018" spans="1:23" x14ac:dyDescent="0.3">
      <c r="A1018" s="110">
        <v>1403652</v>
      </c>
      <c r="B1018" s="110" t="s">
        <v>1191</v>
      </c>
      <c r="C1018" s="110" t="s">
        <v>1227</v>
      </c>
      <c r="D1018" s="110" t="s">
        <v>1229</v>
      </c>
      <c r="E1018" s="110" t="s">
        <v>320</v>
      </c>
      <c r="F1018" s="110" t="s">
        <v>113</v>
      </c>
      <c r="G1018" s="110" t="s">
        <v>114</v>
      </c>
      <c r="H1018" s="111">
        <v>24</v>
      </c>
      <c r="I1018" s="111">
        <v>35</v>
      </c>
      <c r="J1018" s="111">
        <v>37</v>
      </c>
      <c r="K1018" s="111">
        <f t="shared" si="137"/>
        <v>32</v>
      </c>
      <c r="L1018" s="111">
        <v>50000</v>
      </c>
      <c r="M1018" s="111">
        <f t="shared" si="138"/>
        <v>22500</v>
      </c>
      <c r="N1018" s="111">
        <f t="shared" si="139"/>
        <v>22500</v>
      </c>
      <c r="O1018" s="111">
        <f t="shared" si="140"/>
        <v>4500</v>
      </c>
      <c r="P1018" s="111">
        <f t="shared" si="141"/>
        <v>5000</v>
      </c>
      <c r="Q1018" s="111">
        <v>10000</v>
      </c>
      <c r="R1018" s="111">
        <v>1</v>
      </c>
      <c r="S1018" s="111">
        <f t="shared" si="142"/>
        <v>1000</v>
      </c>
      <c r="T1018" s="111">
        <f t="shared" si="143"/>
        <v>60000</v>
      </c>
      <c r="U1018" s="111">
        <f t="shared" si="144"/>
        <v>600</v>
      </c>
      <c r="V1018" s="111">
        <f t="shared" si="145"/>
        <v>60600</v>
      </c>
      <c r="W1018" t="s">
        <v>3477</v>
      </c>
    </row>
    <row r="1019" spans="1:23" x14ac:dyDescent="0.3">
      <c r="A1019" s="110">
        <v>1403653</v>
      </c>
      <c r="B1019" s="110" t="s">
        <v>1191</v>
      </c>
      <c r="C1019" s="110" t="s">
        <v>1227</v>
      </c>
      <c r="D1019" s="110" t="s">
        <v>1230</v>
      </c>
      <c r="E1019" s="110" t="s">
        <v>184</v>
      </c>
      <c r="F1019" s="110" t="s">
        <v>113</v>
      </c>
      <c r="G1019" s="110" t="s">
        <v>114</v>
      </c>
      <c r="H1019" s="111">
        <v>26</v>
      </c>
      <c r="I1019" s="111">
        <v>19</v>
      </c>
      <c r="J1019" s="111">
        <v>20</v>
      </c>
      <c r="K1019" s="111">
        <f t="shared" si="137"/>
        <v>21.666666666666668</v>
      </c>
      <c r="L1019" s="111">
        <v>50000</v>
      </c>
      <c r="M1019" s="111">
        <f t="shared" si="138"/>
        <v>22500</v>
      </c>
      <c r="N1019" s="111">
        <f t="shared" si="139"/>
        <v>22500</v>
      </c>
      <c r="O1019" s="111">
        <f t="shared" si="140"/>
        <v>4500</v>
      </c>
      <c r="P1019" s="111">
        <f t="shared" si="141"/>
        <v>5000</v>
      </c>
      <c r="Q1019" s="111">
        <v>10000</v>
      </c>
      <c r="R1019" s="111">
        <v>1</v>
      </c>
      <c r="S1019" s="111">
        <f t="shared" si="142"/>
        <v>1000</v>
      </c>
      <c r="T1019" s="111">
        <f t="shared" si="143"/>
        <v>60000</v>
      </c>
      <c r="U1019" s="111">
        <f t="shared" si="144"/>
        <v>600</v>
      </c>
      <c r="V1019" s="111">
        <f t="shared" si="145"/>
        <v>60600</v>
      </c>
      <c r="W1019" t="s">
        <v>3478</v>
      </c>
    </row>
    <row r="1020" spans="1:23" x14ac:dyDescent="0.3">
      <c r="A1020" s="110">
        <v>1403654</v>
      </c>
      <c r="B1020" s="110" t="s">
        <v>1191</v>
      </c>
      <c r="C1020" s="110" t="s">
        <v>1227</v>
      </c>
      <c r="D1020" s="110" t="s">
        <v>1231</v>
      </c>
      <c r="E1020" s="110" t="s">
        <v>184</v>
      </c>
      <c r="F1020" s="110" t="s">
        <v>113</v>
      </c>
      <c r="G1020" s="110" t="s">
        <v>114</v>
      </c>
      <c r="H1020" s="111">
        <v>19</v>
      </c>
      <c r="I1020" s="111">
        <v>9</v>
      </c>
      <c r="J1020" s="111">
        <v>16</v>
      </c>
      <c r="K1020" s="111">
        <f t="shared" si="137"/>
        <v>14.666666666666666</v>
      </c>
      <c r="L1020" s="111">
        <v>50000</v>
      </c>
      <c r="M1020" s="111">
        <f t="shared" si="138"/>
        <v>22500</v>
      </c>
      <c r="N1020" s="111">
        <f t="shared" si="139"/>
        <v>22500</v>
      </c>
      <c r="O1020" s="111">
        <f t="shared" si="140"/>
        <v>4500</v>
      </c>
      <c r="P1020" s="111">
        <f t="shared" si="141"/>
        <v>5000</v>
      </c>
      <c r="Q1020" s="111">
        <v>10000</v>
      </c>
      <c r="R1020" s="111">
        <v>1</v>
      </c>
      <c r="S1020" s="111">
        <f t="shared" si="142"/>
        <v>1000</v>
      </c>
      <c r="T1020" s="111">
        <f t="shared" si="143"/>
        <v>60000</v>
      </c>
      <c r="U1020" s="111">
        <f t="shared" si="144"/>
        <v>600</v>
      </c>
      <c r="V1020" s="111">
        <f t="shared" si="145"/>
        <v>60600</v>
      </c>
      <c r="W1020" t="s">
        <v>3479</v>
      </c>
    </row>
    <row r="1021" spans="1:23" x14ac:dyDescent="0.3">
      <c r="A1021" s="110">
        <v>1403655</v>
      </c>
      <c r="B1021" s="110" t="s">
        <v>1191</v>
      </c>
      <c r="C1021" s="110" t="s">
        <v>1227</v>
      </c>
      <c r="D1021" s="110" t="s">
        <v>1227</v>
      </c>
      <c r="E1021" s="110" t="s">
        <v>252</v>
      </c>
      <c r="F1021" s="110" t="s">
        <v>119</v>
      </c>
      <c r="G1021" s="110" t="s">
        <v>114</v>
      </c>
      <c r="H1021" s="111">
        <v>342</v>
      </c>
      <c r="I1021" s="111">
        <v>363</v>
      </c>
      <c r="J1021" s="111">
        <v>391</v>
      </c>
      <c r="K1021" s="111">
        <f t="shared" si="137"/>
        <v>365.33333333333331</v>
      </c>
      <c r="L1021" s="111">
        <v>200000</v>
      </c>
      <c r="M1021" s="111">
        <f t="shared" si="138"/>
        <v>90000</v>
      </c>
      <c r="N1021" s="111">
        <f t="shared" si="139"/>
        <v>90000</v>
      </c>
      <c r="O1021" s="111">
        <f t="shared" si="140"/>
        <v>18000</v>
      </c>
      <c r="P1021" s="111">
        <f t="shared" si="141"/>
        <v>20000</v>
      </c>
      <c r="Q1021" s="111">
        <v>50000</v>
      </c>
      <c r="R1021" s="111">
        <v>5</v>
      </c>
      <c r="S1021" s="111">
        <f t="shared" si="142"/>
        <v>5000</v>
      </c>
      <c r="T1021" s="111">
        <f t="shared" si="143"/>
        <v>250000</v>
      </c>
      <c r="U1021" s="111">
        <f t="shared" si="144"/>
        <v>2500</v>
      </c>
      <c r="V1021" s="111">
        <f t="shared" si="145"/>
        <v>252500</v>
      </c>
      <c r="W1021" t="s">
        <v>3480</v>
      </c>
    </row>
    <row r="1022" spans="1:23" x14ac:dyDescent="0.3">
      <c r="A1022" s="110">
        <v>1403656</v>
      </c>
      <c r="B1022" s="110" t="s">
        <v>1191</v>
      </c>
      <c r="C1022" s="110" t="s">
        <v>1227</v>
      </c>
      <c r="D1022" s="110" t="s">
        <v>1227</v>
      </c>
      <c r="E1022" s="110" t="s">
        <v>1232</v>
      </c>
      <c r="F1022" s="110" t="s">
        <v>117</v>
      </c>
      <c r="G1022" s="110" t="s">
        <v>125</v>
      </c>
      <c r="H1022" s="111">
        <v>168</v>
      </c>
      <c r="I1022" s="111">
        <v>183</v>
      </c>
      <c r="J1022" s="111">
        <v>198</v>
      </c>
      <c r="K1022" s="111">
        <f t="shared" si="137"/>
        <v>183</v>
      </c>
      <c r="L1022" s="111">
        <f>150000*0.7</f>
        <v>105000</v>
      </c>
      <c r="M1022" s="111">
        <f t="shared" si="138"/>
        <v>47250</v>
      </c>
      <c r="N1022" s="111">
        <f t="shared" si="139"/>
        <v>47250</v>
      </c>
      <c r="O1022" s="111">
        <f t="shared" si="140"/>
        <v>9450</v>
      </c>
      <c r="P1022" s="111">
        <f t="shared" si="141"/>
        <v>10500</v>
      </c>
      <c r="Q1022" s="111">
        <v>30000</v>
      </c>
      <c r="R1022" s="111">
        <v>3</v>
      </c>
      <c r="S1022" s="111">
        <f t="shared" si="142"/>
        <v>3000</v>
      </c>
      <c r="T1022" s="111">
        <f t="shared" si="143"/>
        <v>135000</v>
      </c>
      <c r="U1022" s="111">
        <f t="shared" si="144"/>
        <v>1350</v>
      </c>
      <c r="V1022" s="111">
        <f t="shared" si="145"/>
        <v>136350</v>
      </c>
      <c r="W1022" t="s">
        <v>3481</v>
      </c>
    </row>
    <row r="1023" spans="1:23" x14ac:dyDescent="0.3">
      <c r="A1023" s="110">
        <v>1403657</v>
      </c>
      <c r="B1023" s="110" t="s">
        <v>1191</v>
      </c>
      <c r="C1023" s="110" t="s">
        <v>1227</v>
      </c>
      <c r="D1023" s="110" t="s">
        <v>1227</v>
      </c>
      <c r="E1023" s="110" t="s">
        <v>1233</v>
      </c>
      <c r="F1023" s="110" t="s">
        <v>117</v>
      </c>
      <c r="G1023" s="110" t="s">
        <v>125</v>
      </c>
      <c r="H1023" s="111">
        <v>82</v>
      </c>
      <c r="I1023" s="111">
        <v>88</v>
      </c>
      <c r="J1023" s="111">
        <v>100</v>
      </c>
      <c r="K1023" s="111">
        <f t="shared" si="137"/>
        <v>90</v>
      </c>
      <c r="L1023" s="111">
        <v>150000</v>
      </c>
      <c r="M1023" s="111">
        <f t="shared" si="138"/>
        <v>67500</v>
      </c>
      <c r="N1023" s="111">
        <f t="shared" si="139"/>
        <v>67500</v>
      </c>
      <c r="O1023" s="111">
        <f t="shared" si="140"/>
        <v>13500</v>
      </c>
      <c r="P1023" s="111">
        <f t="shared" si="141"/>
        <v>15000</v>
      </c>
      <c r="Q1023" s="111">
        <v>30000</v>
      </c>
      <c r="R1023" s="111">
        <v>3</v>
      </c>
      <c r="S1023" s="111">
        <f t="shared" si="142"/>
        <v>3000</v>
      </c>
      <c r="T1023" s="111">
        <f t="shared" si="143"/>
        <v>180000</v>
      </c>
      <c r="U1023" s="111">
        <f t="shared" si="144"/>
        <v>1800</v>
      </c>
      <c r="V1023" s="111">
        <f t="shared" si="145"/>
        <v>181800</v>
      </c>
      <c r="W1023" t="s">
        <v>3482</v>
      </c>
    </row>
    <row r="1024" spans="1:23" x14ac:dyDescent="0.3">
      <c r="A1024" s="110">
        <v>1405144</v>
      </c>
      <c r="B1024" s="110" t="s">
        <v>1191</v>
      </c>
      <c r="C1024" s="110" t="s">
        <v>1234</v>
      </c>
      <c r="D1024" s="110" t="s">
        <v>1234</v>
      </c>
      <c r="E1024" s="110" t="s">
        <v>569</v>
      </c>
      <c r="F1024" s="110" t="s">
        <v>119</v>
      </c>
      <c r="G1024" s="110" t="s">
        <v>114</v>
      </c>
      <c r="H1024" s="111">
        <v>283</v>
      </c>
      <c r="I1024" s="111">
        <v>308</v>
      </c>
      <c r="J1024" s="111">
        <v>280</v>
      </c>
      <c r="K1024" s="111">
        <f t="shared" si="137"/>
        <v>290.33333333333331</v>
      </c>
      <c r="L1024" s="111">
        <v>200000</v>
      </c>
      <c r="M1024" s="111">
        <f t="shared" si="138"/>
        <v>90000</v>
      </c>
      <c r="N1024" s="111">
        <f t="shared" si="139"/>
        <v>90000</v>
      </c>
      <c r="O1024" s="111">
        <f t="shared" si="140"/>
        <v>18000</v>
      </c>
      <c r="P1024" s="111">
        <f t="shared" si="141"/>
        <v>20000</v>
      </c>
      <c r="Q1024" s="111">
        <v>50000</v>
      </c>
      <c r="R1024" s="111">
        <v>5</v>
      </c>
      <c r="S1024" s="111">
        <f t="shared" si="142"/>
        <v>5000</v>
      </c>
      <c r="T1024" s="111">
        <f t="shared" si="143"/>
        <v>250000</v>
      </c>
      <c r="U1024" s="111">
        <f t="shared" si="144"/>
        <v>2500</v>
      </c>
      <c r="V1024" s="111">
        <f t="shared" si="145"/>
        <v>252500</v>
      </c>
      <c r="W1024" t="s">
        <v>3483</v>
      </c>
    </row>
    <row r="1025" spans="1:23" x14ac:dyDescent="0.3">
      <c r="A1025" s="110">
        <v>1500101</v>
      </c>
      <c r="B1025" s="110" t="s">
        <v>1235</v>
      </c>
      <c r="C1025" s="110" t="s">
        <v>1235</v>
      </c>
      <c r="D1025" s="110" t="s">
        <v>1235</v>
      </c>
      <c r="E1025" s="110" t="s">
        <v>1236</v>
      </c>
      <c r="F1025" s="110" t="s">
        <v>209</v>
      </c>
      <c r="G1025" s="110" t="s">
        <v>114</v>
      </c>
      <c r="H1025" s="111">
        <v>122</v>
      </c>
      <c r="I1025" s="111">
        <v>114</v>
      </c>
      <c r="J1025" s="111">
        <v>134</v>
      </c>
      <c r="K1025" s="111">
        <f t="shared" si="137"/>
        <v>123.33333333333333</v>
      </c>
      <c r="L1025" s="111">
        <v>150000</v>
      </c>
      <c r="M1025" s="111">
        <f t="shared" si="138"/>
        <v>67500</v>
      </c>
      <c r="N1025" s="111">
        <f t="shared" si="139"/>
        <v>67500</v>
      </c>
      <c r="O1025" s="111">
        <f t="shared" si="140"/>
        <v>13500</v>
      </c>
      <c r="P1025" s="111">
        <f t="shared" si="141"/>
        <v>15000</v>
      </c>
      <c r="Q1025" s="111">
        <v>30000</v>
      </c>
      <c r="R1025" s="111">
        <v>3</v>
      </c>
      <c r="S1025" s="111">
        <f t="shared" si="142"/>
        <v>3000</v>
      </c>
      <c r="T1025" s="111">
        <f t="shared" si="143"/>
        <v>180000</v>
      </c>
      <c r="U1025" s="111">
        <f t="shared" si="144"/>
        <v>1800</v>
      </c>
      <c r="V1025" s="111">
        <f t="shared" si="145"/>
        <v>181800</v>
      </c>
      <c r="W1025" t="s">
        <v>3484</v>
      </c>
    </row>
    <row r="1026" spans="1:23" x14ac:dyDescent="0.3">
      <c r="A1026" s="110">
        <v>1500102</v>
      </c>
      <c r="B1026" s="110" t="s">
        <v>1235</v>
      </c>
      <c r="C1026" s="110" t="s">
        <v>1235</v>
      </c>
      <c r="D1026" s="110" t="s">
        <v>1235</v>
      </c>
      <c r="E1026" s="110" t="s">
        <v>646</v>
      </c>
      <c r="F1026" s="110" t="s">
        <v>209</v>
      </c>
      <c r="G1026" s="110" t="s">
        <v>114</v>
      </c>
      <c r="H1026" s="111">
        <v>409</v>
      </c>
      <c r="I1026" s="111">
        <v>405</v>
      </c>
      <c r="J1026" s="111">
        <v>384</v>
      </c>
      <c r="K1026" s="111">
        <f t="shared" ref="K1026:K1089" si="146">+(H1026+I1026+J1026)/3</f>
        <v>399.33333333333331</v>
      </c>
      <c r="L1026" s="111">
        <v>200000</v>
      </c>
      <c r="M1026" s="111">
        <f t="shared" ref="M1026:M1089" si="147">+L1026*0.45</f>
        <v>90000</v>
      </c>
      <c r="N1026" s="111">
        <f t="shared" ref="N1026:N1089" si="148">+L1026*0.45</f>
        <v>90000</v>
      </c>
      <c r="O1026" s="111">
        <f t="shared" ref="O1026:O1089" si="149">+N1026*0.2</f>
        <v>18000</v>
      </c>
      <c r="P1026" s="111">
        <f t="shared" ref="P1026:P1089" si="150">++L1026*0.1</f>
        <v>20000</v>
      </c>
      <c r="Q1026" s="111">
        <v>50000</v>
      </c>
      <c r="R1026" s="111">
        <v>5</v>
      </c>
      <c r="S1026" s="111">
        <f t="shared" ref="S1026:S1089" si="151">+Q1026*0.1</f>
        <v>5000</v>
      </c>
      <c r="T1026" s="111">
        <f t="shared" ref="T1026:T1089" si="152">+L1026+Q1026</f>
        <v>250000</v>
      </c>
      <c r="U1026" s="111">
        <f t="shared" ref="U1026:U1089" si="153">+T1026*0.01</f>
        <v>2500</v>
      </c>
      <c r="V1026" s="111">
        <f t="shared" ref="V1026:V1089" si="154">+T1026+U1026</f>
        <v>252500</v>
      </c>
      <c r="W1026" t="s">
        <v>3485</v>
      </c>
    </row>
    <row r="1027" spans="1:23" x14ac:dyDescent="0.3">
      <c r="A1027" s="110">
        <v>1500103</v>
      </c>
      <c r="B1027" s="110" t="s">
        <v>1235</v>
      </c>
      <c r="C1027" s="110" t="s">
        <v>1235</v>
      </c>
      <c r="D1027" s="110" t="s">
        <v>1235</v>
      </c>
      <c r="E1027" s="110" t="s">
        <v>1237</v>
      </c>
      <c r="F1027" s="110" t="s">
        <v>209</v>
      </c>
      <c r="G1027" s="110" t="s">
        <v>114</v>
      </c>
      <c r="H1027" s="111">
        <v>368</v>
      </c>
      <c r="I1027" s="111">
        <v>378</v>
      </c>
      <c r="J1027" s="111">
        <v>366</v>
      </c>
      <c r="K1027" s="111">
        <f t="shared" si="146"/>
        <v>370.66666666666669</v>
      </c>
      <c r="L1027" s="111">
        <v>200000</v>
      </c>
      <c r="M1027" s="111">
        <f t="shared" si="147"/>
        <v>90000</v>
      </c>
      <c r="N1027" s="111">
        <f t="shared" si="148"/>
        <v>90000</v>
      </c>
      <c r="O1027" s="111">
        <f t="shared" si="149"/>
        <v>18000</v>
      </c>
      <c r="P1027" s="111">
        <f t="shared" si="150"/>
        <v>20000</v>
      </c>
      <c r="Q1027" s="111">
        <v>50000</v>
      </c>
      <c r="R1027" s="111">
        <v>5</v>
      </c>
      <c r="S1027" s="111">
        <f t="shared" si="151"/>
        <v>5000</v>
      </c>
      <c r="T1027" s="111">
        <f t="shared" si="152"/>
        <v>250000</v>
      </c>
      <c r="U1027" s="111">
        <f t="shared" si="153"/>
        <v>2500</v>
      </c>
      <c r="V1027" s="111">
        <f t="shared" si="154"/>
        <v>252500</v>
      </c>
      <c r="W1027" t="s">
        <v>3486</v>
      </c>
    </row>
    <row r="1028" spans="1:23" x14ac:dyDescent="0.3">
      <c r="A1028" s="110">
        <v>1500105</v>
      </c>
      <c r="B1028" s="110" t="s">
        <v>1235</v>
      </c>
      <c r="C1028" s="110" t="s">
        <v>1235</v>
      </c>
      <c r="D1028" s="110" t="s">
        <v>1235</v>
      </c>
      <c r="E1028" s="110" t="s">
        <v>540</v>
      </c>
      <c r="F1028" s="110" t="s">
        <v>209</v>
      </c>
      <c r="G1028" s="110" t="s">
        <v>114</v>
      </c>
      <c r="H1028" s="111">
        <v>302</v>
      </c>
      <c r="I1028" s="111">
        <v>265</v>
      </c>
      <c r="J1028" s="111">
        <v>257</v>
      </c>
      <c r="K1028" s="111">
        <f t="shared" si="146"/>
        <v>274.66666666666669</v>
      </c>
      <c r="L1028" s="111">
        <v>200000</v>
      </c>
      <c r="M1028" s="111">
        <f t="shared" si="147"/>
        <v>90000</v>
      </c>
      <c r="N1028" s="111">
        <f t="shared" si="148"/>
        <v>90000</v>
      </c>
      <c r="O1028" s="111">
        <f t="shared" si="149"/>
        <v>18000</v>
      </c>
      <c r="P1028" s="111">
        <f t="shared" si="150"/>
        <v>20000</v>
      </c>
      <c r="Q1028" s="111">
        <v>50000</v>
      </c>
      <c r="R1028" s="111">
        <v>5</v>
      </c>
      <c r="S1028" s="111">
        <f t="shared" si="151"/>
        <v>5000</v>
      </c>
      <c r="T1028" s="111">
        <f t="shared" si="152"/>
        <v>250000</v>
      </c>
      <c r="U1028" s="111">
        <f t="shared" si="153"/>
        <v>2500</v>
      </c>
      <c r="V1028" s="111">
        <f t="shared" si="154"/>
        <v>252500</v>
      </c>
      <c r="W1028" t="s">
        <v>3487</v>
      </c>
    </row>
    <row r="1029" spans="1:23" x14ac:dyDescent="0.3">
      <c r="A1029" s="110">
        <v>1500106</v>
      </c>
      <c r="B1029" s="110" t="s">
        <v>1235</v>
      </c>
      <c r="C1029" s="110" t="s">
        <v>1235</v>
      </c>
      <c r="D1029" s="110" t="s">
        <v>1238</v>
      </c>
      <c r="E1029" s="110" t="s">
        <v>1239</v>
      </c>
      <c r="F1029" s="110" t="s">
        <v>209</v>
      </c>
      <c r="G1029" s="110" t="s">
        <v>114</v>
      </c>
      <c r="H1029" s="111">
        <v>41</v>
      </c>
      <c r="I1029" s="111">
        <v>41</v>
      </c>
      <c r="J1029" s="111">
        <v>25</v>
      </c>
      <c r="K1029" s="111">
        <f t="shared" si="146"/>
        <v>35.666666666666664</v>
      </c>
      <c r="L1029" s="111">
        <v>50000</v>
      </c>
      <c r="M1029" s="111">
        <f t="shared" si="147"/>
        <v>22500</v>
      </c>
      <c r="N1029" s="111">
        <f t="shared" si="148"/>
        <v>22500</v>
      </c>
      <c r="O1029" s="111">
        <f t="shared" si="149"/>
        <v>4500</v>
      </c>
      <c r="P1029" s="111">
        <f t="shared" si="150"/>
        <v>5000</v>
      </c>
      <c r="Q1029" s="111">
        <v>10000</v>
      </c>
      <c r="R1029" s="111">
        <v>1</v>
      </c>
      <c r="S1029" s="111">
        <f t="shared" si="151"/>
        <v>1000</v>
      </c>
      <c r="T1029" s="111">
        <f t="shared" si="152"/>
        <v>60000</v>
      </c>
      <c r="U1029" s="111">
        <f t="shared" si="153"/>
        <v>600</v>
      </c>
      <c r="V1029" s="111">
        <f t="shared" si="154"/>
        <v>60600</v>
      </c>
      <c r="W1029" t="s">
        <v>3488</v>
      </c>
    </row>
    <row r="1030" spans="1:23" x14ac:dyDescent="0.3">
      <c r="A1030" s="110">
        <v>1500107</v>
      </c>
      <c r="B1030" s="110" t="s">
        <v>1235</v>
      </c>
      <c r="C1030" s="110" t="s">
        <v>1235</v>
      </c>
      <c r="D1030" s="110" t="s">
        <v>486</v>
      </c>
      <c r="E1030" s="110" t="s">
        <v>1240</v>
      </c>
      <c r="F1030" s="110" t="s">
        <v>209</v>
      </c>
      <c r="G1030" s="110" t="s">
        <v>114</v>
      </c>
      <c r="H1030" s="111">
        <v>36</v>
      </c>
      <c r="I1030" s="111">
        <v>35</v>
      </c>
      <c r="J1030" s="111">
        <v>45</v>
      </c>
      <c r="K1030" s="111">
        <f t="shared" si="146"/>
        <v>38.666666666666664</v>
      </c>
      <c r="L1030" s="111">
        <v>50000</v>
      </c>
      <c r="M1030" s="111">
        <f t="shared" si="147"/>
        <v>22500</v>
      </c>
      <c r="N1030" s="111">
        <f t="shared" si="148"/>
        <v>22500</v>
      </c>
      <c r="O1030" s="111">
        <f t="shared" si="149"/>
        <v>4500</v>
      </c>
      <c r="P1030" s="111">
        <f t="shared" si="150"/>
        <v>5000</v>
      </c>
      <c r="Q1030" s="111">
        <v>10000</v>
      </c>
      <c r="R1030" s="111">
        <v>1</v>
      </c>
      <c r="S1030" s="111">
        <f t="shared" si="151"/>
        <v>1000</v>
      </c>
      <c r="T1030" s="111">
        <f t="shared" si="152"/>
        <v>60000</v>
      </c>
      <c r="U1030" s="111">
        <f t="shared" si="153"/>
        <v>600</v>
      </c>
      <c r="V1030" s="111">
        <f t="shared" si="154"/>
        <v>60600</v>
      </c>
      <c r="W1030" t="s">
        <v>3489</v>
      </c>
    </row>
    <row r="1031" spans="1:23" x14ac:dyDescent="0.3">
      <c r="A1031" s="110">
        <v>1500108</v>
      </c>
      <c r="B1031" s="110" t="s">
        <v>1235</v>
      </c>
      <c r="C1031" s="110" t="s">
        <v>1235</v>
      </c>
      <c r="D1031" s="110" t="s">
        <v>1241</v>
      </c>
      <c r="E1031" s="110" t="s">
        <v>646</v>
      </c>
      <c r="F1031" s="110" t="s">
        <v>209</v>
      </c>
      <c r="G1031" s="110" t="s">
        <v>114</v>
      </c>
      <c r="H1031" s="111">
        <v>46</v>
      </c>
      <c r="I1031" s="111">
        <v>56</v>
      </c>
      <c r="J1031" s="111">
        <v>50</v>
      </c>
      <c r="K1031" s="111">
        <f t="shared" si="146"/>
        <v>50.666666666666664</v>
      </c>
      <c r="L1031" s="111">
        <v>150000</v>
      </c>
      <c r="M1031" s="111">
        <f t="shared" si="147"/>
        <v>67500</v>
      </c>
      <c r="N1031" s="111">
        <f t="shared" si="148"/>
        <v>67500</v>
      </c>
      <c r="O1031" s="111">
        <f t="shared" si="149"/>
        <v>13500</v>
      </c>
      <c r="P1031" s="111">
        <f t="shared" si="150"/>
        <v>15000</v>
      </c>
      <c r="Q1031" s="111">
        <v>30000</v>
      </c>
      <c r="R1031" s="111">
        <v>3</v>
      </c>
      <c r="S1031" s="111">
        <f t="shared" si="151"/>
        <v>3000</v>
      </c>
      <c r="T1031" s="111">
        <f t="shared" si="152"/>
        <v>180000</v>
      </c>
      <c r="U1031" s="111">
        <f t="shared" si="153"/>
        <v>1800</v>
      </c>
      <c r="V1031" s="111">
        <f t="shared" si="154"/>
        <v>181800</v>
      </c>
      <c r="W1031" t="s">
        <v>3490</v>
      </c>
    </row>
    <row r="1032" spans="1:23" x14ac:dyDescent="0.3">
      <c r="A1032" s="110">
        <v>1500110</v>
      </c>
      <c r="B1032" s="110" t="s">
        <v>1235</v>
      </c>
      <c r="C1032" s="110" t="s">
        <v>1235</v>
      </c>
      <c r="D1032" s="110" t="s">
        <v>1235</v>
      </c>
      <c r="E1032" s="110" t="s">
        <v>399</v>
      </c>
      <c r="F1032" s="110" t="s">
        <v>113</v>
      </c>
      <c r="G1032" s="110" t="s">
        <v>114</v>
      </c>
      <c r="H1032" s="111">
        <v>570</v>
      </c>
      <c r="I1032" s="111">
        <v>617</v>
      </c>
      <c r="J1032" s="111">
        <v>652</v>
      </c>
      <c r="K1032" s="111">
        <f t="shared" si="146"/>
        <v>613</v>
      </c>
      <c r="L1032" s="111">
        <f>300000</f>
        <v>300000</v>
      </c>
      <c r="M1032" s="111">
        <f t="shared" si="147"/>
        <v>135000</v>
      </c>
      <c r="N1032" s="111">
        <f t="shared" si="148"/>
        <v>135000</v>
      </c>
      <c r="O1032" s="111">
        <f t="shared" si="149"/>
        <v>27000</v>
      </c>
      <c r="P1032" s="111">
        <f t="shared" si="150"/>
        <v>30000</v>
      </c>
      <c r="Q1032" s="111">
        <v>60000</v>
      </c>
      <c r="R1032" s="111">
        <v>6</v>
      </c>
      <c r="S1032" s="111">
        <f t="shared" si="151"/>
        <v>6000</v>
      </c>
      <c r="T1032" s="111">
        <f t="shared" si="152"/>
        <v>360000</v>
      </c>
      <c r="U1032" s="111">
        <f t="shared" si="153"/>
        <v>3600</v>
      </c>
      <c r="V1032" s="111">
        <f t="shared" si="154"/>
        <v>363600</v>
      </c>
      <c r="W1032" t="s">
        <v>3491</v>
      </c>
    </row>
    <row r="1033" spans="1:23" x14ac:dyDescent="0.3">
      <c r="A1033" s="110">
        <v>1500112</v>
      </c>
      <c r="B1033" s="110" t="s">
        <v>1235</v>
      </c>
      <c r="C1033" s="110" t="s">
        <v>1235</v>
      </c>
      <c r="D1033" s="110" t="s">
        <v>1235</v>
      </c>
      <c r="E1033" s="110" t="s">
        <v>1242</v>
      </c>
      <c r="F1033" s="110" t="s">
        <v>113</v>
      </c>
      <c r="G1033" s="110" t="s">
        <v>114</v>
      </c>
      <c r="H1033" s="111">
        <v>612</v>
      </c>
      <c r="I1033" s="111">
        <v>628</v>
      </c>
      <c r="J1033" s="111">
        <v>606</v>
      </c>
      <c r="K1033" s="111">
        <f t="shared" si="146"/>
        <v>615.33333333333337</v>
      </c>
      <c r="L1033" s="111">
        <f>300000</f>
        <v>300000</v>
      </c>
      <c r="M1033" s="111">
        <f t="shared" si="147"/>
        <v>135000</v>
      </c>
      <c r="N1033" s="111">
        <f t="shared" si="148"/>
        <v>135000</v>
      </c>
      <c r="O1033" s="111">
        <f t="shared" si="149"/>
        <v>27000</v>
      </c>
      <c r="P1033" s="111">
        <f t="shared" si="150"/>
        <v>30000</v>
      </c>
      <c r="Q1033" s="111">
        <v>60000</v>
      </c>
      <c r="R1033" s="111">
        <v>6</v>
      </c>
      <c r="S1033" s="111">
        <f t="shared" si="151"/>
        <v>6000</v>
      </c>
      <c r="T1033" s="111">
        <f t="shared" si="152"/>
        <v>360000</v>
      </c>
      <c r="U1033" s="111">
        <f t="shared" si="153"/>
        <v>3600</v>
      </c>
      <c r="V1033" s="111">
        <f t="shared" si="154"/>
        <v>363600</v>
      </c>
      <c r="W1033" t="s">
        <v>3492</v>
      </c>
    </row>
    <row r="1034" spans="1:23" x14ac:dyDescent="0.3">
      <c r="A1034" s="110">
        <v>1500113</v>
      </c>
      <c r="B1034" s="110" t="s">
        <v>1235</v>
      </c>
      <c r="C1034" s="110" t="s">
        <v>1235</v>
      </c>
      <c r="D1034" s="110" t="s">
        <v>1235</v>
      </c>
      <c r="E1034" s="110" t="s">
        <v>319</v>
      </c>
      <c r="F1034" s="110" t="s">
        <v>113</v>
      </c>
      <c r="G1034" s="110" t="s">
        <v>114</v>
      </c>
      <c r="H1034" s="111">
        <v>260</v>
      </c>
      <c r="I1034" s="111">
        <v>288</v>
      </c>
      <c r="J1034" s="111">
        <v>334</v>
      </c>
      <c r="K1034" s="111">
        <f t="shared" si="146"/>
        <v>294</v>
      </c>
      <c r="L1034" s="111">
        <v>200000</v>
      </c>
      <c r="M1034" s="111">
        <f t="shared" si="147"/>
        <v>90000</v>
      </c>
      <c r="N1034" s="111">
        <f t="shared" si="148"/>
        <v>90000</v>
      </c>
      <c r="O1034" s="111">
        <f t="shared" si="149"/>
        <v>18000</v>
      </c>
      <c r="P1034" s="111">
        <f t="shared" si="150"/>
        <v>20000</v>
      </c>
      <c r="Q1034" s="111">
        <v>50000</v>
      </c>
      <c r="R1034" s="111">
        <v>5</v>
      </c>
      <c r="S1034" s="111">
        <f t="shared" si="151"/>
        <v>5000</v>
      </c>
      <c r="T1034" s="111">
        <f t="shared" si="152"/>
        <v>250000</v>
      </c>
      <c r="U1034" s="111">
        <f t="shared" si="153"/>
        <v>2500</v>
      </c>
      <c r="V1034" s="111">
        <f t="shared" si="154"/>
        <v>252500</v>
      </c>
      <c r="W1034" t="s">
        <v>3493</v>
      </c>
    </row>
    <row r="1035" spans="1:23" x14ac:dyDescent="0.3">
      <c r="A1035" s="110">
        <v>1500114</v>
      </c>
      <c r="B1035" s="110" t="s">
        <v>1235</v>
      </c>
      <c r="C1035" s="110" t="s">
        <v>1235</v>
      </c>
      <c r="D1035" s="110" t="s">
        <v>1235</v>
      </c>
      <c r="E1035" s="110" t="s">
        <v>552</v>
      </c>
      <c r="F1035" s="110" t="s">
        <v>113</v>
      </c>
      <c r="G1035" s="110" t="s">
        <v>114</v>
      </c>
      <c r="H1035" s="111">
        <v>347</v>
      </c>
      <c r="I1035" s="111">
        <v>308</v>
      </c>
      <c r="J1035" s="111">
        <v>282</v>
      </c>
      <c r="K1035" s="111">
        <f t="shared" si="146"/>
        <v>312.33333333333331</v>
      </c>
      <c r="L1035" s="111">
        <v>200000</v>
      </c>
      <c r="M1035" s="111">
        <f t="shared" si="147"/>
        <v>90000</v>
      </c>
      <c r="N1035" s="111">
        <f t="shared" si="148"/>
        <v>90000</v>
      </c>
      <c r="O1035" s="111">
        <f t="shared" si="149"/>
        <v>18000</v>
      </c>
      <c r="P1035" s="111">
        <f t="shared" si="150"/>
        <v>20000</v>
      </c>
      <c r="Q1035" s="111">
        <v>50000</v>
      </c>
      <c r="R1035" s="111">
        <v>5</v>
      </c>
      <c r="S1035" s="111">
        <f t="shared" si="151"/>
        <v>5000</v>
      </c>
      <c r="T1035" s="111">
        <f t="shared" si="152"/>
        <v>250000</v>
      </c>
      <c r="U1035" s="111">
        <f t="shared" si="153"/>
        <v>2500</v>
      </c>
      <c r="V1035" s="111">
        <f t="shared" si="154"/>
        <v>252500</v>
      </c>
      <c r="W1035" t="s">
        <v>3494</v>
      </c>
    </row>
    <row r="1036" spans="1:23" x14ac:dyDescent="0.3">
      <c r="A1036" s="110">
        <v>1500115</v>
      </c>
      <c r="B1036" s="110" t="s">
        <v>1235</v>
      </c>
      <c r="C1036" s="110" t="s">
        <v>1235</v>
      </c>
      <c r="D1036" s="110" t="s">
        <v>1235</v>
      </c>
      <c r="E1036" s="110" t="s">
        <v>1243</v>
      </c>
      <c r="F1036" s="110" t="s">
        <v>113</v>
      </c>
      <c r="G1036" s="110" t="s">
        <v>114</v>
      </c>
      <c r="H1036" s="111">
        <v>120</v>
      </c>
      <c r="I1036" s="111">
        <v>118</v>
      </c>
      <c r="J1036" s="111">
        <v>127</v>
      </c>
      <c r="K1036" s="111">
        <f t="shared" si="146"/>
        <v>121.66666666666667</v>
      </c>
      <c r="L1036" s="111">
        <v>150000</v>
      </c>
      <c r="M1036" s="111">
        <f t="shared" si="147"/>
        <v>67500</v>
      </c>
      <c r="N1036" s="111">
        <f t="shared" si="148"/>
        <v>67500</v>
      </c>
      <c r="O1036" s="111">
        <f t="shared" si="149"/>
        <v>13500</v>
      </c>
      <c r="P1036" s="111">
        <f t="shared" si="150"/>
        <v>15000</v>
      </c>
      <c r="Q1036" s="111">
        <v>30000</v>
      </c>
      <c r="R1036" s="111">
        <v>3</v>
      </c>
      <c r="S1036" s="111">
        <f t="shared" si="151"/>
        <v>3000</v>
      </c>
      <c r="T1036" s="111">
        <f t="shared" si="152"/>
        <v>180000</v>
      </c>
      <c r="U1036" s="111">
        <f t="shared" si="153"/>
        <v>1800</v>
      </c>
      <c r="V1036" s="111">
        <f t="shared" si="154"/>
        <v>181800</v>
      </c>
      <c r="W1036" t="s">
        <v>3495</v>
      </c>
    </row>
    <row r="1037" spans="1:23" x14ac:dyDescent="0.3">
      <c r="A1037" s="110">
        <v>1500117</v>
      </c>
      <c r="B1037" s="110" t="s">
        <v>1235</v>
      </c>
      <c r="C1037" s="110" t="s">
        <v>1235</v>
      </c>
      <c r="D1037" s="110" t="s">
        <v>1244</v>
      </c>
      <c r="E1037" s="110" t="s">
        <v>172</v>
      </c>
      <c r="F1037" s="110" t="s">
        <v>168</v>
      </c>
      <c r="G1037" s="110" t="s">
        <v>114</v>
      </c>
      <c r="H1037" s="111">
        <v>149</v>
      </c>
      <c r="I1037" s="111">
        <v>153</v>
      </c>
      <c r="J1037" s="111">
        <v>154</v>
      </c>
      <c r="K1037" s="111">
        <f t="shared" si="146"/>
        <v>152</v>
      </c>
      <c r="L1037" s="111">
        <v>150000</v>
      </c>
      <c r="M1037" s="111">
        <f t="shared" si="147"/>
        <v>67500</v>
      </c>
      <c r="N1037" s="111">
        <f t="shared" si="148"/>
        <v>67500</v>
      </c>
      <c r="O1037" s="111">
        <f t="shared" si="149"/>
        <v>13500</v>
      </c>
      <c r="P1037" s="111">
        <f t="shared" si="150"/>
        <v>15000</v>
      </c>
      <c r="Q1037" s="111">
        <v>30000</v>
      </c>
      <c r="R1037" s="111">
        <v>3</v>
      </c>
      <c r="S1037" s="111">
        <f t="shared" si="151"/>
        <v>3000</v>
      </c>
      <c r="T1037" s="111">
        <f t="shared" si="152"/>
        <v>180000</v>
      </c>
      <c r="U1037" s="111">
        <f t="shared" si="153"/>
        <v>1800</v>
      </c>
      <c r="V1037" s="111">
        <f t="shared" si="154"/>
        <v>181800</v>
      </c>
      <c r="W1037" t="s">
        <v>3496</v>
      </c>
    </row>
    <row r="1038" spans="1:23" x14ac:dyDescent="0.3">
      <c r="A1038" s="110">
        <v>1500118</v>
      </c>
      <c r="B1038" s="110" t="s">
        <v>1235</v>
      </c>
      <c r="C1038" s="110" t="s">
        <v>1235</v>
      </c>
      <c r="D1038" s="110" t="s">
        <v>1245</v>
      </c>
      <c r="E1038" s="110" t="s">
        <v>835</v>
      </c>
      <c r="F1038" s="110" t="s">
        <v>113</v>
      </c>
      <c r="G1038" s="110" t="s">
        <v>114</v>
      </c>
      <c r="H1038" s="111">
        <v>60</v>
      </c>
      <c r="I1038" s="111">
        <v>58</v>
      </c>
      <c r="J1038" s="111">
        <v>51</v>
      </c>
      <c r="K1038" s="111">
        <f t="shared" si="146"/>
        <v>56.333333333333336</v>
      </c>
      <c r="L1038" s="111">
        <v>150000</v>
      </c>
      <c r="M1038" s="111">
        <f t="shared" si="147"/>
        <v>67500</v>
      </c>
      <c r="N1038" s="111">
        <f t="shared" si="148"/>
        <v>67500</v>
      </c>
      <c r="O1038" s="111">
        <f t="shared" si="149"/>
        <v>13500</v>
      </c>
      <c r="P1038" s="111">
        <f t="shared" si="150"/>
        <v>15000</v>
      </c>
      <c r="Q1038" s="111">
        <v>30000</v>
      </c>
      <c r="R1038" s="111">
        <v>3</v>
      </c>
      <c r="S1038" s="111">
        <f t="shared" si="151"/>
        <v>3000</v>
      </c>
      <c r="T1038" s="111">
        <f t="shared" si="152"/>
        <v>180000</v>
      </c>
      <c r="U1038" s="111">
        <f t="shared" si="153"/>
        <v>1800</v>
      </c>
      <c r="V1038" s="111">
        <f t="shared" si="154"/>
        <v>181800</v>
      </c>
      <c r="W1038" t="s">
        <v>3497</v>
      </c>
    </row>
    <row r="1039" spans="1:23" x14ac:dyDescent="0.3">
      <c r="A1039" s="110">
        <v>1500119</v>
      </c>
      <c r="B1039" s="110" t="s">
        <v>1235</v>
      </c>
      <c r="C1039" s="110" t="s">
        <v>1235</v>
      </c>
      <c r="D1039" s="110" t="s">
        <v>1246</v>
      </c>
      <c r="E1039" s="110" t="s">
        <v>247</v>
      </c>
      <c r="F1039" s="110" t="s">
        <v>113</v>
      </c>
      <c r="G1039" s="110" t="s">
        <v>114</v>
      </c>
      <c r="H1039" s="111">
        <v>369</v>
      </c>
      <c r="I1039" s="111">
        <v>324</v>
      </c>
      <c r="J1039" s="111">
        <v>315</v>
      </c>
      <c r="K1039" s="111">
        <f t="shared" si="146"/>
        <v>336</v>
      </c>
      <c r="L1039" s="111">
        <v>200000</v>
      </c>
      <c r="M1039" s="111">
        <f t="shared" si="147"/>
        <v>90000</v>
      </c>
      <c r="N1039" s="111">
        <f t="shared" si="148"/>
        <v>90000</v>
      </c>
      <c r="O1039" s="111">
        <f t="shared" si="149"/>
        <v>18000</v>
      </c>
      <c r="P1039" s="111">
        <f t="shared" si="150"/>
        <v>20000</v>
      </c>
      <c r="Q1039" s="111">
        <v>50000</v>
      </c>
      <c r="R1039" s="111">
        <v>5</v>
      </c>
      <c r="S1039" s="111">
        <f t="shared" si="151"/>
        <v>5000</v>
      </c>
      <c r="T1039" s="111">
        <f t="shared" si="152"/>
        <v>250000</v>
      </c>
      <c r="U1039" s="111">
        <f t="shared" si="153"/>
        <v>2500</v>
      </c>
      <c r="V1039" s="111">
        <f t="shared" si="154"/>
        <v>252500</v>
      </c>
      <c r="W1039" t="s">
        <v>3498</v>
      </c>
    </row>
    <row r="1040" spans="1:23" x14ac:dyDescent="0.3">
      <c r="A1040" s="110">
        <v>1500121</v>
      </c>
      <c r="B1040" s="110" t="s">
        <v>1235</v>
      </c>
      <c r="C1040" s="110" t="s">
        <v>1235</v>
      </c>
      <c r="D1040" s="110" t="s">
        <v>1247</v>
      </c>
      <c r="E1040" s="110" t="s">
        <v>319</v>
      </c>
      <c r="F1040" s="110" t="s">
        <v>113</v>
      </c>
      <c r="G1040" s="110" t="s">
        <v>114</v>
      </c>
      <c r="H1040" s="111">
        <v>29</v>
      </c>
      <c r="I1040" s="111">
        <v>39</v>
      </c>
      <c r="J1040" s="111">
        <v>37</v>
      </c>
      <c r="K1040" s="111">
        <f t="shared" si="146"/>
        <v>35</v>
      </c>
      <c r="L1040" s="111">
        <v>50000</v>
      </c>
      <c r="M1040" s="111">
        <f t="shared" si="147"/>
        <v>22500</v>
      </c>
      <c r="N1040" s="111">
        <f t="shared" si="148"/>
        <v>22500</v>
      </c>
      <c r="O1040" s="111">
        <f t="shared" si="149"/>
        <v>4500</v>
      </c>
      <c r="P1040" s="111">
        <f t="shared" si="150"/>
        <v>5000</v>
      </c>
      <c r="Q1040" s="111">
        <v>10000</v>
      </c>
      <c r="R1040" s="111">
        <v>1</v>
      </c>
      <c r="S1040" s="111">
        <f t="shared" si="151"/>
        <v>1000</v>
      </c>
      <c r="T1040" s="111">
        <f t="shared" si="152"/>
        <v>60000</v>
      </c>
      <c r="U1040" s="111">
        <f t="shared" si="153"/>
        <v>600</v>
      </c>
      <c r="V1040" s="111">
        <f t="shared" si="154"/>
        <v>60600</v>
      </c>
      <c r="W1040" t="s">
        <v>3499</v>
      </c>
    </row>
    <row r="1041" spans="1:23" x14ac:dyDescent="0.3">
      <c r="A1041" s="110">
        <v>1500123</v>
      </c>
      <c r="B1041" s="110" t="s">
        <v>1235</v>
      </c>
      <c r="C1041" s="110" t="s">
        <v>1235</v>
      </c>
      <c r="D1041" s="110" t="s">
        <v>1248</v>
      </c>
      <c r="E1041" s="110" t="s">
        <v>184</v>
      </c>
      <c r="F1041" s="110" t="s">
        <v>113</v>
      </c>
      <c r="G1041" s="110" t="s">
        <v>114</v>
      </c>
      <c r="H1041" s="111">
        <v>94</v>
      </c>
      <c r="I1041" s="111">
        <v>87</v>
      </c>
      <c r="J1041" s="111">
        <v>88</v>
      </c>
      <c r="K1041" s="111">
        <f t="shared" si="146"/>
        <v>89.666666666666671</v>
      </c>
      <c r="L1041" s="111">
        <v>150000</v>
      </c>
      <c r="M1041" s="111">
        <f t="shared" si="147"/>
        <v>67500</v>
      </c>
      <c r="N1041" s="111">
        <f t="shared" si="148"/>
        <v>67500</v>
      </c>
      <c r="O1041" s="111">
        <f t="shared" si="149"/>
        <v>13500</v>
      </c>
      <c r="P1041" s="111">
        <f t="shared" si="150"/>
        <v>15000</v>
      </c>
      <c r="Q1041" s="111">
        <v>30000</v>
      </c>
      <c r="R1041" s="111">
        <v>3</v>
      </c>
      <c r="S1041" s="111">
        <f t="shared" si="151"/>
        <v>3000</v>
      </c>
      <c r="T1041" s="111">
        <f t="shared" si="152"/>
        <v>180000</v>
      </c>
      <c r="U1041" s="111">
        <f t="shared" si="153"/>
        <v>1800</v>
      </c>
      <c r="V1041" s="111">
        <f t="shared" si="154"/>
        <v>181800</v>
      </c>
      <c r="W1041" t="s">
        <v>3500</v>
      </c>
    </row>
    <row r="1042" spans="1:23" x14ac:dyDescent="0.3">
      <c r="A1042" s="110">
        <v>1500124</v>
      </c>
      <c r="B1042" s="110" t="s">
        <v>1235</v>
      </c>
      <c r="C1042" s="110" t="s">
        <v>1235</v>
      </c>
      <c r="D1042" s="110" t="s">
        <v>1249</v>
      </c>
      <c r="E1042" s="110" t="s">
        <v>301</v>
      </c>
      <c r="F1042" s="110" t="s">
        <v>113</v>
      </c>
      <c r="G1042" s="110" t="s">
        <v>114</v>
      </c>
      <c r="H1042" s="111">
        <v>68</v>
      </c>
      <c r="I1042" s="111">
        <v>60</v>
      </c>
      <c r="J1042" s="111">
        <v>49</v>
      </c>
      <c r="K1042" s="111">
        <f t="shared" si="146"/>
        <v>59</v>
      </c>
      <c r="L1042" s="111">
        <v>150000</v>
      </c>
      <c r="M1042" s="111">
        <f t="shared" si="147"/>
        <v>67500</v>
      </c>
      <c r="N1042" s="111">
        <f t="shared" si="148"/>
        <v>67500</v>
      </c>
      <c r="O1042" s="111">
        <f t="shared" si="149"/>
        <v>13500</v>
      </c>
      <c r="P1042" s="111">
        <f t="shared" si="150"/>
        <v>15000</v>
      </c>
      <c r="Q1042" s="111">
        <v>30000</v>
      </c>
      <c r="R1042" s="111">
        <v>3</v>
      </c>
      <c r="S1042" s="111">
        <f t="shared" si="151"/>
        <v>3000</v>
      </c>
      <c r="T1042" s="111">
        <f t="shared" si="152"/>
        <v>180000</v>
      </c>
      <c r="U1042" s="111">
        <f t="shared" si="153"/>
        <v>1800</v>
      </c>
      <c r="V1042" s="111">
        <f t="shared" si="154"/>
        <v>181800</v>
      </c>
      <c r="W1042" t="s">
        <v>3501</v>
      </c>
    </row>
    <row r="1043" spans="1:23" x14ac:dyDescent="0.3">
      <c r="A1043" s="110">
        <v>1500125</v>
      </c>
      <c r="B1043" s="110" t="s">
        <v>1235</v>
      </c>
      <c r="C1043" s="110" t="s">
        <v>1235</v>
      </c>
      <c r="D1043" s="110" t="s">
        <v>1250</v>
      </c>
      <c r="E1043" s="110" t="s">
        <v>184</v>
      </c>
      <c r="F1043" s="110" t="s">
        <v>113</v>
      </c>
      <c r="G1043" s="110" t="s">
        <v>114</v>
      </c>
      <c r="H1043" s="111">
        <v>54</v>
      </c>
      <c r="I1043" s="111">
        <v>54</v>
      </c>
      <c r="J1043" s="111">
        <v>52</v>
      </c>
      <c r="K1043" s="111">
        <f t="shared" si="146"/>
        <v>53.333333333333336</v>
      </c>
      <c r="L1043" s="111">
        <v>150000</v>
      </c>
      <c r="M1043" s="111">
        <f t="shared" si="147"/>
        <v>67500</v>
      </c>
      <c r="N1043" s="111">
        <f t="shared" si="148"/>
        <v>67500</v>
      </c>
      <c r="O1043" s="111">
        <f t="shared" si="149"/>
        <v>13500</v>
      </c>
      <c r="P1043" s="111">
        <f t="shared" si="150"/>
        <v>15000</v>
      </c>
      <c r="Q1043" s="111">
        <v>30000</v>
      </c>
      <c r="R1043" s="111">
        <v>3</v>
      </c>
      <c r="S1043" s="111">
        <f t="shared" si="151"/>
        <v>3000</v>
      </c>
      <c r="T1043" s="111">
        <f t="shared" si="152"/>
        <v>180000</v>
      </c>
      <c r="U1043" s="111">
        <f t="shared" si="153"/>
        <v>1800</v>
      </c>
      <c r="V1043" s="111">
        <f t="shared" si="154"/>
        <v>181800</v>
      </c>
      <c r="W1043" t="s">
        <v>3502</v>
      </c>
    </row>
    <row r="1044" spans="1:23" x14ac:dyDescent="0.3">
      <c r="A1044" s="110">
        <v>1500126</v>
      </c>
      <c r="B1044" s="110" t="s">
        <v>1235</v>
      </c>
      <c r="C1044" s="110" t="s">
        <v>1235</v>
      </c>
      <c r="D1044" s="110" t="s">
        <v>1251</v>
      </c>
      <c r="E1044" s="110" t="s">
        <v>312</v>
      </c>
      <c r="F1044" s="110" t="s">
        <v>113</v>
      </c>
      <c r="G1044" s="110" t="s">
        <v>114</v>
      </c>
      <c r="H1044" s="111">
        <v>65</v>
      </c>
      <c r="I1044" s="111">
        <v>73</v>
      </c>
      <c r="J1044" s="111">
        <v>63</v>
      </c>
      <c r="K1044" s="111">
        <f t="shared" si="146"/>
        <v>67</v>
      </c>
      <c r="L1044" s="111">
        <v>150000</v>
      </c>
      <c r="M1044" s="111">
        <f t="shared" si="147"/>
        <v>67500</v>
      </c>
      <c r="N1044" s="111">
        <f t="shared" si="148"/>
        <v>67500</v>
      </c>
      <c r="O1044" s="111">
        <f t="shared" si="149"/>
        <v>13500</v>
      </c>
      <c r="P1044" s="111">
        <f t="shared" si="150"/>
        <v>15000</v>
      </c>
      <c r="Q1044" s="111">
        <v>30000</v>
      </c>
      <c r="R1044" s="111">
        <v>3</v>
      </c>
      <c r="S1044" s="111">
        <f t="shared" si="151"/>
        <v>3000</v>
      </c>
      <c r="T1044" s="111">
        <f t="shared" si="152"/>
        <v>180000</v>
      </c>
      <c r="U1044" s="111">
        <f t="shared" si="153"/>
        <v>1800</v>
      </c>
      <c r="V1044" s="111">
        <f t="shared" si="154"/>
        <v>181800</v>
      </c>
      <c r="W1044" t="s">
        <v>3503</v>
      </c>
    </row>
    <row r="1045" spans="1:23" x14ac:dyDescent="0.3">
      <c r="A1045" s="110">
        <v>1500127</v>
      </c>
      <c r="B1045" s="110" t="s">
        <v>1235</v>
      </c>
      <c r="C1045" s="110" t="s">
        <v>1235</v>
      </c>
      <c r="D1045" s="110" t="s">
        <v>1252</v>
      </c>
      <c r="E1045" s="110" t="s">
        <v>1253</v>
      </c>
      <c r="F1045" s="110" t="s">
        <v>168</v>
      </c>
      <c r="G1045" s="110" t="s">
        <v>114</v>
      </c>
      <c r="H1045" s="111">
        <v>223</v>
      </c>
      <c r="I1045" s="111">
        <v>232</v>
      </c>
      <c r="J1045" s="111">
        <v>218</v>
      </c>
      <c r="K1045" s="111">
        <f t="shared" si="146"/>
        <v>224.33333333333334</v>
      </c>
      <c r="L1045" s="111">
        <f>200000*0.7</f>
        <v>140000</v>
      </c>
      <c r="M1045" s="111">
        <f t="shared" si="147"/>
        <v>63000</v>
      </c>
      <c r="N1045" s="111">
        <f t="shared" si="148"/>
        <v>63000</v>
      </c>
      <c r="O1045" s="111">
        <f t="shared" si="149"/>
        <v>12600</v>
      </c>
      <c r="P1045" s="111">
        <f t="shared" si="150"/>
        <v>14000</v>
      </c>
      <c r="Q1045" s="111">
        <v>50000</v>
      </c>
      <c r="R1045" s="111">
        <v>5</v>
      </c>
      <c r="S1045" s="111">
        <f t="shared" si="151"/>
        <v>5000</v>
      </c>
      <c r="T1045" s="111">
        <f t="shared" si="152"/>
        <v>190000</v>
      </c>
      <c r="U1045" s="111">
        <f t="shared" si="153"/>
        <v>1900</v>
      </c>
      <c r="V1045" s="111">
        <f t="shared" si="154"/>
        <v>191900</v>
      </c>
      <c r="W1045" t="s">
        <v>3504</v>
      </c>
    </row>
    <row r="1046" spans="1:23" x14ac:dyDescent="0.3">
      <c r="A1046" s="110">
        <v>1500128</v>
      </c>
      <c r="B1046" s="110" t="s">
        <v>1235</v>
      </c>
      <c r="C1046" s="110" t="s">
        <v>1235</v>
      </c>
      <c r="D1046" s="110" t="s">
        <v>1254</v>
      </c>
      <c r="E1046" s="110" t="s">
        <v>201</v>
      </c>
      <c r="F1046" s="110" t="s">
        <v>113</v>
      </c>
      <c r="G1046" s="110" t="s">
        <v>114</v>
      </c>
      <c r="H1046" s="111">
        <v>65</v>
      </c>
      <c r="I1046" s="111">
        <v>60</v>
      </c>
      <c r="J1046" s="111">
        <v>53</v>
      </c>
      <c r="K1046" s="111">
        <f t="shared" si="146"/>
        <v>59.333333333333336</v>
      </c>
      <c r="L1046" s="111">
        <v>150000</v>
      </c>
      <c r="M1046" s="111">
        <f t="shared" si="147"/>
        <v>67500</v>
      </c>
      <c r="N1046" s="111">
        <f t="shared" si="148"/>
        <v>67500</v>
      </c>
      <c r="O1046" s="111">
        <f t="shared" si="149"/>
        <v>13500</v>
      </c>
      <c r="P1046" s="111">
        <f t="shared" si="150"/>
        <v>15000</v>
      </c>
      <c r="Q1046" s="111">
        <v>30000</v>
      </c>
      <c r="R1046" s="111">
        <v>3</v>
      </c>
      <c r="S1046" s="111">
        <f t="shared" si="151"/>
        <v>3000</v>
      </c>
      <c r="T1046" s="111">
        <f t="shared" si="152"/>
        <v>180000</v>
      </c>
      <c r="U1046" s="111">
        <f t="shared" si="153"/>
        <v>1800</v>
      </c>
      <c r="V1046" s="111">
        <f t="shared" si="154"/>
        <v>181800</v>
      </c>
      <c r="W1046" t="s">
        <v>3505</v>
      </c>
    </row>
    <row r="1047" spans="1:23" x14ac:dyDescent="0.3">
      <c r="A1047" s="110">
        <v>1500129</v>
      </c>
      <c r="B1047" s="110" t="s">
        <v>1235</v>
      </c>
      <c r="C1047" s="110" t="s">
        <v>1235</v>
      </c>
      <c r="D1047" s="110" t="s">
        <v>1235</v>
      </c>
      <c r="E1047" s="110" t="s">
        <v>1255</v>
      </c>
      <c r="F1047" s="110" t="s">
        <v>113</v>
      </c>
      <c r="G1047" s="110" t="s">
        <v>114</v>
      </c>
      <c r="H1047" s="111">
        <v>405</v>
      </c>
      <c r="I1047" s="111">
        <v>417</v>
      </c>
      <c r="J1047" s="111">
        <v>352</v>
      </c>
      <c r="K1047" s="111">
        <f t="shared" si="146"/>
        <v>391.33333333333331</v>
      </c>
      <c r="L1047" s="111">
        <v>200000</v>
      </c>
      <c r="M1047" s="111">
        <f t="shared" si="147"/>
        <v>90000</v>
      </c>
      <c r="N1047" s="111">
        <f t="shared" si="148"/>
        <v>90000</v>
      </c>
      <c r="O1047" s="111">
        <f t="shared" si="149"/>
        <v>18000</v>
      </c>
      <c r="P1047" s="111">
        <f t="shared" si="150"/>
        <v>20000</v>
      </c>
      <c r="Q1047" s="111">
        <v>50000</v>
      </c>
      <c r="R1047" s="111">
        <v>5</v>
      </c>
      <c r="S1047" s="111">
        <f t="shared" si="151"/>
        <v>5000</v>
      </c>
      <c r="T1047" s="111">
        <f t="shared" si="152"/>
        <v>250000</v>
      </c>
      <c r="U1047" s="111">
        <f t="shared" si="153"/>
        <v>2500</v>
      </c>
      <c r="V1047" s="111">
        <f t="shared" si="154"/>
        <v>252500</v>
      </c>
      <c r="W1047" t="s">
        <v>3506</v>
      </c>
    </row>
    <row r="1048" spans="1:23" x14ac:dyDescent="0.3">
      <c r="A1048" s="110">
        <v>1500130</v>
      </c>
      <c r="B1048" s="110" t="s">
        <v>1235</v>
      </c>
      <c r="C1048" s="110" t="s">
        <v>1235</v>
      </c>
      <c r="D1048" s="110" t="s">
        <v>1235</v>
      </c>
      <c r="E1048" s="110" t="s">
        <v>1256</v>
      </c>
      <c r="F1048" s="110" t="s">
        <v>122</v>
      </c>
      <c r="G1048" s="110" t="s">
        <v>114</v>
      </c>
      <c r="H1048" s="111">
        <v>875</v>
      </c>
      <c r="I1048" s="111">
        <v>862</v>
      </c>
      <c r="J1048" s="111">
        <v>840</v>
      </c>
      <c r="K1048" s="111">
        <f t="shared" si="146"/>
        <v>859</v>
      </c>
      <c r="L1048" s="111">
        <f>300000</f>
        <v>300000</v>
      </c>
      <c r="M1048" s="111">
        <f t="shared" si="147"/>
        <v>135000</v>
      </c>
      <c r="N1048" s="111">
        <f t="shared" si="148"/>
        <v>135000</v>
      </c>
      <c r="O1048" s="111">
        <f t="shared" si="149"/>
        <v>27000</v>
      </c>
      <c r="P1048" s="111">
        <f t="shared" si="150"/>
        <v>30000</v>
      </c>
      <c r="Q1048" s="111">
        <v>60000</v>
      </c>
      <c r="R1048" s="111">
        <v>6</v>
      </c>
      <c r="S1048" s="111">
        <f t="shared" si="151"/>
        <v>6000</v>
      </c>
      <c r="T1048" s="111">
        <f t="shared" si="152"/>
        <v>360000</v>
      </c>
      <c r="U1048" s="111">
        <f t="shared" si="153"/>
        <v>3600</v>
      </c>
      <c r="V1048" s="111">
        <f t="shared" si="154"/>
        <v>363600</v>
      </c>
      <c r="W1048" t="s">
        <v>3507</v>
      </c>
    </row>
    <row r="1049" spans="1:23" x14ac:dyDescent="0.3">
      <c r="A1049" s="110">
        <v>1500131</v>
      </c>
      <c r="B1049" s="110" t="s">
        <v>1235</v>
      </c>
      <c r="C1049" s="110" t="s">
        <v>1235</v>
      </c>
      <c r="D1049" s="110" t="s">
        <v>1235</v>
      </c>
      <c r="E1049" s="110" t="s">
        <v>1257</v>
      </c>
      <c r="F1049" s="110" t="s">
        <v>122</v>
      </c>
      <c r="G1049" s="110" t="s">
        <v>114</v>
      </c>
      <c r="H1049" s="111">
        <v>850</v>
      </c>
      <c r="I1049" s="111">
        <v>880</v>
      </c>
      <c r="J1049" s="111">
        <v>902</v>
      </c>
      <c r="K1049" s="111">
        <f t="shared" si="146"/>
        <v>877.33333333333337</v>
      </c>
      <c r="L1049" s="111">
        <f>300000</f>
        <v>300000</v>
      </c>
      <c r="M1049" s="111">
        <f t="shared" si="147"/>
        <v>135000</v>
      </c>
      <c r="N1049" s="111">
        <f t="shared" si="148"/>
        <v>135000</v>
      </c>
      <c r="O1049" s="111">
        <f t="shared" si="149"/>
        <v>27000</v>
      </c>
      <c r="P1049" s="111">
        <f t="shared" si="150"/>
        <v>30000</v>
      </c>
      <c r="Q1049" s="111">
        <v>60000</v>
      </c>
      <c r="R1049" s="111">
        <v>6</v>
      </c>
      <c r="S1049" s="111">
        <f t="shared" si="151"/>
        <v>6000</v>
      </c>
      <c r="T1049" s="111">
        <f t="shared" si="152"/>
        <v>360000</v>
      </c>
      <c r="U1049" s="111">
        <f t="shared" si="153"/>
        <v>3600</v>
      </c>
      <c r="V1049" s="111">
        <f t="shared" si="154"/>
        <v>363600</v>
      </c>
      <c r="W1049" t="s">
        <v>3508</v>
      </c>
    </row>
    <row r="1050" spans="1:23" x14ac:dyDescent="0.3">
      <c r="A1050" s="110">
        <v>1500132</v>
      </c>
      <c r="B1050" s="110" t="s">
        <v>1235</v>
      </c>
      <c r="C1050" s="110" t="s">
        <v>1235</v>
      </c>
      <c r="D1050" s="110" t="s">
        <v>1235</v>
      </c>
      <c r="E1050" s="110" t="s">
        <v>1258</v>
      </c>
      <c r="F1050" s="110" t="s">
        <v>119</v>
      </c>
      <c r="G1050" s="110" t="s">
        <v>114</v>
      </c>
      <c r="H1050" s="111">
        <v>134</v>
      </c>
      <c r="I1050" s="111">
        <v>137</v>
      </c>
      <c r="J1050" s="111">
        <v>122</v>
      </c>
      <c r="K1050" s="111">
        <f t="shared" si="146"/>
        <v>131</v>
      </c>
      <c r="L1050" s="111">
        <v>150000</v>
      </c>
      <c r="M1050" s="111">
        <f t="shared" si="147"/>
        <v>67500</v>
      </c>
      <c r="N1050" s="111">
        <f t="shared" si="148"/>
        <v>67500</v>
      </c>
      <c r="O1050" s="111">
        <f t="shared" si="149"/>
        <v>13500</v>
      </c>
      <c r="P1050" s="111">
        <f t="shared" si="150"/>
        <v>15000</v>
      </c>
      <c r="Q1050" s="111">
        <v>30000</v>
      </c>
      <c r="R1050" s="111">
        <v>3</v>
      </c>
      <c r="S1050" s="111">
        <f t="shared" si="151"/>
        <v>3000</v>
      </c>
      <c r="T1050" s="111">
        <f t="shared" si="152"/>
        <v>180000</v>
      </c>
      <c r="U1050" s="111">
        <f t="shared" si="153"/>
        <v>1800</v>
      </c>
      <c r="V1050" s="111">
        <f t="shared" si="154"/>
        <v>181800</v>
      </c>
      <c r="W1050" t="s">
        <v>3509</v>
      </c>
    </row>
    <row r="1051" spans="1:23" x14ac:dyDescent="0.3">
      <c r="A1051" s="110">
        <v>1500133</v>
      </c>
      <c r="B1051" s="110" t="s">
        <v>1235</v>
      </c>
      <c r="C1051" s="110" t="s">
        <v>1235</v>
      </c>
      <c r="D1051" s="110" t="s">
        <v>1235</v>
      </c>
      <c r="E1051" s="110" t="s">
        <v>1259</v>
      </c>
      <c r="F1051" s="110" t="s">
        <v>119</v>
      </c>
      <c r="G1051" s="110" t="s">
        <v>114</v>
      </c>
      <c r="H1051" s="111">
        <v>776</v>
      </c>
      <c r="I1051" s="111">
        <v>712</v>
      </c>
      <c r="J1051" s="111">
        <v>660</v>
      </c>
      <c r="K1051" s="111">
        <f t="shared" si="146"/>
        <v>716</v>
      </c>
      <c r="L1051" s="111">
        <f>300000</f>
        <v>300000</v>
      </c>
      <c r="M1051" s="111">
        <f t="shared" si="147"/>
        <v>135000</v>
      </c>
      <c r="N1051" s="111">
        <f t="shared" si="148"/>
        <v>135000</v>
      </c>
      <c r="O1051" s="111">
        <f t="shared" si="149"/>
        <v>27000</v>
      </c>
      <c r="P1051" s="111">
        <f t="shared" si="150"/>
        <v>30000</v>
      </c>
      <c r="Q1051" s="111">
        <v>60000</v>
      </c>
      <c r="R1051" s="111">
        <v>6</v>
      </c>
      <c r="S1051" s="111">
        <f t="shared" si="151"/>
        <v>6000</v>
      </c>
      <c r="T1051" s="111">
        <f t="shared" si="152"/>
        <v>360000</v>
      </c>
      <c r="U1051" s="111">
        <f t="shared" si="153"/>
        <v>3600</v>
      </c>
      <c r="V1051" s="111">
        <f t="shared" si="154"/>
        <v>363600</v>
      </c>
      <c r="W1051" t="s">
        <v>3510</v>
      </c>
    </row>
    <row r="1052" spans="1:23" x14ac:dyDescent="0.3">
      <c r="A1052" s="110">
        <v>1500134</v>
      </c>
      <c r="B1052" s="110" t="s">
        <v>1235</v>
      </c>
      <c r="C1052" s="110" t="s">
        <v>1235</v>
      </c>
      <c r="D1052" s="110" t="s">
        <v>1235</v>
      </c>
      <c r="E1052" s="110" t="s">
        <v>137</v>
      </c>
      <c r="F1052" s="110" t="s">
        <v>119</v>
      </c>
      <c r="G1052" s="110" t="s">
        <v>114</v>
      </c>
      <c r="H1052" s="111">
        <v>1634</v>
      </c>
      <c r="I1052" s="111">
        <v>1665</v>
      </c>
      <c r="J1052" s="111">
        <v>1596</v>
      </c>
      <c r="K1052" s="111">
        <f t="shared" si="146"/>
        <v>1631.6666666666667</v>
      </c>
      <c r="L1052" s="111">
        <f>600000*0.7</f>
        <v>420000</v>
      </c>
      <c r="M1052" s="111">
        <f t="shared" si="147"/>
        <v>189000</v>
      </c>
      <c r="N1052" s="111">
        <f t="shared" si="148"/>
        <v>189000</v>
      </c>
      <c r="O1052" s="111">
        <f t="shared" si="149"/>
        <v>37800</v>
      </c>
      <c r="P1052" s="111">
        <f t="shared" si="150"/>
        <v>42000</v>
      </c>
      <c r="Q1052" s="111">
        <v>80000</v>
      </c>
      <c r="R1052" s="111">
        <v>8</v>
      </c>
      <c r="S1052" s="111">
        <f t="shared" si="151"/>
        <v>8000</v>
      </c>
      <c r="T1052" s="111">
        <f t="shared" si="152"/>
        <v>500000</v>
      </c>
      <c r="U1052" s="111">
        <f t="shared" si="153"/>
        <v>5000</v>
      </c>
      <c r="V1052" s="111">
        <f t="shared" si="154"/>
        <v>505000</v>
      </c>
      <c r="W1052" t="s">
        <v>3511</v>
      </c>
    </row>
    <row r="1053" spans="1:23" x14ac:dyDescent="0.3">
      <c r="A1053" s="110">
        <v>1500135</v>
      </c>
      <c r="B1053" s="110" t="s">
        <v>1235</v>
      </c>
      <c r="C1053" s="110" t="s">
        <v>1235</v>
      </c>
      <c r="D1053" s="110" t="s">
        <v>1235</v>
      </c>
      <c r="E1053" s="110" t="s">
        <v>570</v>
      </c>
      <c r="F1053" s="110" t="s">
        <v>119</v>
      </c>
      <c r="G1053" s="110" t="s">
        <v>114</v>
      </c>
      <c r="H1053" s="111">
        <v>291</v>
      </c>
      <c r="I1053" s="111">
        <v>264</v>
      </c>
      <c r="J1053" s="111">
        <v>263</v>
      </c>
      <c r="K1053" s="111">
        <f t="shared" si="146"/>
        <v>272.66666666666669</v>
      </c>
      <c r="L1053" s="111">
        <f>200000*0.7</f>
        <v>140000</v>
      </c>
      <c r="M1053" s="111">
        <f t="shared" si="147"/>
        <v>63000</v>
      </c>
      <c r="N1053" s="111">
        <f t="shared" si="148"/>
        <v>63000</v>
      </c>
      <c r="O1053" s="111">
        <f t="shared" si="149"/>
        <v>12600</v>
      </c>
      <c r="P1053" s="111">
        <f t="shared" si="150"/>
        <v>14000</v>
      </c>
      <c r="Q1053" s="111">
        <v>50000</v>
      </c>
      <c r="R1053" s="111">
        <v>5</v>
      </c>
      <c r="S1053" s="111">
        <f t="shared" si="151"/>
        <v>5000</v>
      </c>
      <c r="T1053" s="111">
        <f t="shared" si="152"/>
        <v>190000</v>
      </c>
      <c r="U1053" s="111">
        <f t="shared" si="153"/>
        <v>1900</v>
      </c>
      <c r="V1053" s="111">
        <f t="shared" si="154"/>
        <v>191900</v>
      </c>
      <c r="W1053" t="s">
        <v>3512</v>
      </c>
    </row>
    <row r="1054" spans="1:23" x14ac:dyDescent="0.3">
      <c r="A1054" s="110">
        <v>1500136</v>
      </c>
      <c r="B1054" s="110" t="s">
        <v>1235</v>
      </c>
      <c r="C1054" s="110" t="s">
        <v>1235</v>
      </c>
      <c r="D1054" s="110" t="s">
        <v>1235</v>
      </c>
      <c r="E1054" s="110" t="s">
        <v>286</v>
      </c>
      <c r="F1054" s="110" t="s">
        <v>119</v>
      </c>
      <c r="G1054" s="110" t="s">
        <v>114</v>
      </c>
      <c r="H1054" s="111">
        <v>220</v>
      </c>
      <c r="I1054" s="111">
        <v>227</v>
      </c>
      <c r="J1054" s="111">
        <v>222</v>
      </c>
      <c r="K1054" s="111">
        <f t="shared" si="146"/>
        <v>223</v>
      </c>
      <c r="L1054" s="111">
        <f>200000*0.7</f>
        <v>140000</v>
      </c>
      <c r="M1054" s="111">
        <f t="shared" si="147"/>
        <v>63000</v>
      </c>
      <c r="N1054" s="111">
        <f t="shared" si="148"/>
        <v>63000</v>
      </c>
      <c r="O1054" s="111">
        <f t="shared" si="149"/>
        <v>12600</v>
      </c>
      <c r="P1054" s="111">
        <f t="shared" si="150"/>
        <v>14000</v>
      </c>
      <c r="Q1054" s="111">
        <v>50000</v>
      </c>
      <c r="R1054" s="111">
        <v>5</v>
      </c>
      <c r="S1054" s="111">
        <f t="shared" si="151"/>
        <v>5000</v>
      </c>
      <c r="T1054" s="111">
        <f t="shared" si="152"/>
        <v>190000</v>
      </c>
      <c r="U1054" s="111">
        <f t="shared" si="153"/>
        <v>1900</v>
      </c>
      <c r="V1054" s="111">
        <f t="shared" si="154"/>
        <v>191900</v>
      </c>
      <c r="W1054" t="s">
        <v>3513</v>
      </c>
    </row>
    <row r="1055" spans="1:23" x14ac:dyDescent="0.3">
      <c r="A1055" s="110">
        <v>1500137</v>
      </c>
      <c r="B1055" s="110" t="s">
        <v>1235</v>
      </c>
      <c r="C1055" s="110" t="s">
        <v>1235</v>
      </c>
      <c r="D1055" s="110" t="s">
        <v>1238</v>
      </c>
      <c r="E1055" s="110" t="s">
        <v>272</v>
      </c>
      <c r="F1055" s="110" t="s">
        <v>119</v>
      </c>
      <c r="G1055" s="110" t="s">
        <v>114</v>
      </c>
      <c r="H1055" s="111">
        <v>199</v>
      </c>
      <c r="I1055" s="111">
        <v>203</v>
      </c>
      <c r="J1055" s="111">
        <v>195</v>
      </c>
      <c r="K1055" s="111">
        <f t="shared" si="146"/>
        <v>199</v>
      </c>
      <c r="L1055" s="111">
        <v>150000</v>
      </c>
      <c r="M1055" s="111">
        <f t="shared" si="147"/>
        <v>67500</v>
      </c>
      <c r="N1055" s="111">
        <f t="shared" si="148"/>
        <v>67500</v>
      </c>
      <c r="O1055" s="111">
        <f t="shared" si="149"/>
        <v>13500</v>
      </c>
      <c r="P1055" s="111">
        <f t="shared" si="150"/>
        <v>15000</v>
      </c>
      <c r="Q1055" s="111">
        <v>30000</v>
      </c>
      <c r="R1055" s="111">
        <v>3</v>
      </c>
      <c r="S1055" s="111">
        <f t="shared" si="151"/>
        <v>3000</v>
      </c>
      <c r="T1055" s="111">
        <f t="shared" si="152"/>
        <v>180000</v>
      </c>
      <c r="U1055" s="111">
        <f t="shared" si="153"/>
        <v>1800</v>
      </c>
      <c r="V1055" s="111">
        <f t="shared" si="154"/>
        <v>181800</v>
      </c>
      <c r="W1055" t="s">
        <v>3514</v>
      </c>
    </row>
    <row r="1056" spans="1:23" x14ac:dyDescent="0.3">
      <c r="A1056" s="110">
        <v>1500138</v>
      </c>
      <c r="B1056" s="110" t="s">
        <v>1235</v>
      </c>
      <c r="C1056" s="110" t="s">
        <v>1235</v>
      </c>
      <c r="D1056" s="110" t="s">
        <v>1235</v>
      </c>
      <c r="E1056" s="110" t="s">
        <v>568</v>
      </c>
      <c r="F1056" s="110" t="s">
        <v>296</v>
      </c>
      <c r="G1056" s="110" t="s">
        <v>125</v>
      </c>
      <c r="H1056" s="111">
        <v>372</v>
      </c>
      <c r="I1056" s="111">
        <v>385</v>
      </c>
      <c r="J1056" s="111">
        <v>414</v>
      </c>
      <c r="K1056" s="111">
        <f t="shared" si="146"/>
        <v>390.33333333333331</v>
      </c>
      <c r="L1056" s="111">
        <v>200000</v>
      </c>
      <c r="M1056" s="111">
        <f t="shared" si="147"/>
        <v>90000</v>
      </c>
      <c r="N1056" s="111">
        <f t="shared" si="148"/>
        <v>90000</v>
      </c>
      <c r="O1056" s="111">
        <f t="shared" si="149"/>
        <v>18000</v>
      </c>
      <c r="P1056" s="111">
        <f t="shared" si="150"/>
        <v>20000</v>
      </c>
      <c r="Q1056" s="111">
        <v>50000</v>
      </c>
      <c r="R1056" s="111">
        <v>5</v>
      </c>
      <c r="S1056" s="111">
        <f t="shared" si="151"/>
        <v>5000</v>
      </c>
      <c r="T1056" s="111">
        <f t="shared" si="152"/>
        <v>250000</v>
      </c>
      <c r="U1056" s="111">
        <f t="shared" si="153"/>
        <v>2500</v>
      </c>
      <c r="V1056" s="111">
        <f t="shared" si="154"/>
        <v>252500</v>
      </c>
      <c r="W1056" t="s">
        <v>3515</v>
      </c>
    </row>
    <row r="1057" spans="1:23" x14ac:dyDescent="0.3">
      <c r="A1057" s="110">
        <v>1500140</v>
      </c>
      <c r="B1057" s="110" t="s">
        <v>1235</v>
      </c>
      <c r="C1057" s="110" t="s">
        <v>1235</v>
      </c>
      <c r="D1057" s="110" t="s">
        <v>1235</v>
      </c>
      <c r="E1057" s="110" t="s">
        <v>1260</v>
      </c>
      <c r="F1057" s="110" t="s">
        <v>117</v>
      </c>
      <c r="G1057" s="110" t="s">
        <v>114</v>
      </c>
      <c r="H1057" s="111">
        <v>443</v>
      </c>
      <c r="I1057" s="111">
        <v>454</v>
      </c>
      <c r="J1057" s="111">
        <v>499</v>
      </c>
      <c r="K1057" s="111">
        <f t="shared" si="146"/>
        <v>465.33333333333331</v>
      </c>
      <c r="L1057" s="111">
        <f>300000</f>
        <v>300000</v>
      </c>
      <c r="M1057" s="111">
        <f t="shared" si="147"/>
        <v>135000</v>
      </c>
      <c r="N1057" s="111">
        <f t="shared" si="148"/>
        <v>135000</v>
      </c>
      <c r="O1057" s="111">
        <f t="shared" si="149"/>
        <v>27000</v>
      </c>
      <c r="P1057" s="111">
        <f t="shared" si="150"/>
        <v>30000</v>
      </c>
      <c r="Q1057" s="111">
        <v>60000</v>
      </c>
      <c r="R1057" s="111">
        <v>6</v>
      </c>
      <c r="S1057" s="111">
        <f t="shared" si="151"/>
        <v>6000</v>
      </c>
      <c r="T1057" s="111">
        <f t="shared" si="152"/>
        <v>360000</v>
      </c>
      <c r="U1057" s="111">
        <f t="shared" si="153"/>
        <v>3600</v>
      </c>
      <c r="V1057" s="111">
        <f t="shared" si="154"/>
        <v>363600</v>
      </c>
      <c r="W1057" t="s">
        <v>3516</v>
      </c>
    </row>
    <row r="1058" spans="1:23" x14ac:dyDescent="0.3">
      <c r="A1058" s="110">
        <v>1500141</v>
      </c>
      <c r="B1058" s="110" t="s">
        <v>1235</v>
      </c>
      <c r="C1058" s="110" t="s">
        <v>1235</v>
      </c>
      <c r="D1058" s="110" t="s">
        <v>1235</v>
      </c>
      <c r="E1058" s="110" t="s">
        <v>971</v>
      </c>
      <c r="F1058" s="110" t="s">
        <v>117</v>
      </c>
      <c r="G1058" s="110" t="s">
        <v>125</v>
      </c>
      <c r="H1058" s="111">
        <v>184</v>
      </c>
      <c r="I1058" s="111">
        <v>174</v>
      </c>
      <c r="J1058" s="111">
        <v>206</v>
      </c>
      <c r="K1058" s="111">
        <f t="shared" si="146"/>
        <v>188</v>
      </c>
      <c r="L1058" s="111">
        <v>150000</v>
      </c>
      <c r="M1058" s="111">
        <f t="shared" si="147"/>
        <v>67500</v>
      </c>
      <c r="N1058" s="111">
        <f t="shared" si="148"/>
        <v>67500</v>
      </c>
      <c r="O1058" s="111">
        <f t="shared" si="149"/>
        <v>13500</v>
      </c>
      <c r="P1058" s="111">
        <f t="shared" si="150"/>
        <v>15000</v>
      </c>
      <c r="Q1058" s="111">
        <v>30000</v>
      </c>
      <c r="R1058" s="111">
        <v>3</v>
      </c>
      <c r="S1058" s="111">
        <f t="shared" si="151"/>
        <v>3000</v>
      </c>
      <c r="T1058" s="111">
        <f t="shared" si="152"/>
        <v>180000</v>
      </c>
      <c r="U1058" s="111">
        <f t="shared" si="153"/>
        <v>1800</v>
      </c>
      <c r="V1058" s="111">
        <f t="shared" si="154"/>
        <v>181800</v>
      </c>
      <c r="W1058" t="s">
        <v>3517</v>
      </c>
    </row>
    <row r="1059" spans="1:23" x14ac:dyDescent="0.3">
      <c r="A1059" s="110">
        <v>1500142</v>
      </c>
      <c r="B1059" s="110" t="s">
        <v>1235</v>
      </c>
      <c r="C1059" s="110" t="s">
        <v>1235</v>
      </c>
      <c r="D1059" s="110" t="s">
        <v>1235</v>
      </c>
      <c r="E1059" s="110" t="s">
        <v>1261</v>
      </c>
      <c r="F1059" s="110" t="s">
        <v>117</v>
      </c>
      <c r="G1059" s="110" t="s">
        <v>114</v>
      </c>
      <c r="H1059" s="111">
        <v>168</v>
      </c>
      <c r="I1059" s="111">
        <v>152</v>
      </c>
      <c r="J1059" s="111">
        <v>156</v>
      </c>
      <c r="K1059" s="111">
        <f t="shared" si="146"/>
        <v>158.66666666666666</v>
      </c>
      <c r="L1059" s="111">
        <v>150000</v>
      </c>
      <c r="M1059" s="111">
        <f t="shared" si="147"/>
        <v>67500</v>
      </c>
      <c r="N1059" s="111">
        <f t="shared" si="148"/>
        <v>67500</v>
      </c>
      <c r="O1059" s="111">
        <f t="shared" si="149"/>
        <v>13500</v>
      </c>
      <c r="P1059" s="111">
        <f t="shared" si="150"/>
        <v>15000</v>
      </c>
      <c r="Q1059" s="111">
        <v>30000</v>
      </c>
      <c r="R1059" s="111">
        <v>3</v>
      </c>
      <c r="S1059" s="111">
        <f t="shared" si="151"/>
        <v>3000</v>
      </c>
      <c r="T1059" s="111">
        <f t="shared" si="152"/>
        <v>180000</v>
      </c>
      <c r="U1059" s="111">
        <f t="shared" si="153"/>
        <v>1800</v>
      </c>
      <c r="V1059" s="111">
        <f t="shared" si="154"/>
        <v>181800</v>
      </c>
      <c r="W1059" t="s">
        <v>3518</v>
      </c>
    </row>
    <row r="1060" spans="1:23" x14ac:dyDescent="0.3">
      <c r="A1060" s="110">
        <v>1500143</v>
      </c>
      <c r="B1060" s="110" t="s">
        <v>1235</v>
      </c>
      <c r="C1060" s="110" t="s">
        <v>1235</v>
      </c>
      <c r="D1060" s="110" t="s">
        <v>1235</v>
      </c>
      <c r="E1060" s="110" t="s">
        <v>1262</v>
      </c>
      <c r="F1060" s="110" t="s">
        <v>117</v>
      </c>
      <c r="G1060" s="110" t="s">
        <v>114</v>
      </c>
      <c r="H1060" s="111">
        <v>97</v>
      </c>
      <c r="I1060" s="111">
        <v>108</v>
      </c>
      <c r="J1060" s="111">
        <v>138</v>
      </c>
      <c r="K1060" s="111">
        <f t="shared" si="146"/>
        <v>114.33333333333333</v>
      </c>
      <c r="L1060" s="111">
        <f>150000*0.7</f>
        <v>105000</v>
      </c>
      <c r="M1060" s="111">
        <f t="shared" si="147"/>
        <v>47250</v>
      </c>
      <c r="N1060" s="111">
        <f t="shared" si="148"/>
        <v>47250</v>
      </c>
      <c r="O1060" s="111">
        <f t="shared" si="149"/>
        <v>9450</v>
      </c>
      <c r="P1060" s="111">
        <f t="shared" si="150"/>
        <v>10500</v>
      </c>
      <c r="Q1060" s="111">
        <v>30000</v>
      </c>
      <c r="R1060" s="111">
        <v>3</v>
      </c>
      <c r="S1060" s="111">
        <f t="shared" si="151"/>
        <v>3000</v>
      </c>
      <c r="T1060" s="111">
        <f t="shared" si="152"/>
        <v>135000</v>
      </c>
      <c r="U1060" s="111">
        <f t="shared" si="153"/>
        <v>1350</v>
      </c>
      <c r="V1060" s="111">
        <f t="shared" si="154"/>
        <v>136350</v>
      </c>
      <c r="W1060" t="s">
        <v>3519</v>
      </c>
    </row>
    <row r="1061" spans="1:23" x14ac:dyDescent="0.3">
      <c r="A1061" s="110">
        <v>1500144</v>
      </c>
      <c r="B1061" s="110" t="s">
        <v>1235</v>
      </c>
      <c r="C1061" s="110" t="s">
        <v>1235</v>
      </c>
      <c r="D1061" s="110" t="s">
        <v>1235</v>
      </c>
      <c r="E1061" s="110" t="s">
        <v>1263</v>
      </c>
      <c r="F1061" s="110" t="s">
        <v>117</v>
      </c>
      <c r="G1061" s="110" t="s">
        <v>125</v>
      </c>
      <c r="H1061" s="111">
        <v>89</v>
      </c>
      <c r="I1061" s="111">
        <v>90</v>
      </c>
      <c r="J1061" s="111">
        <v>106</v>
      </c>
      <c r="K1061" s="111">
        <f t="shared" si="146"/>
        <v>95</v>
      </c>
      <c r="L1061" s="111">
        <v>150000</v>
      </c>
      <c r="M1061" s="111">
        <f t="shared" si="147"/>
        <v>67500</v>
      </c>
      <c r="N1061" s="111">
        <f t="shared" si="148"/>
        <v>67500</v>
      </c>
      <c r="O1061" s="111">
        <f t="shared" si="149"/>
        <v>13500</v>
      </c>
      <c r="P1061" s="111">
        <f t="shared" si="150"/>
        <v>15000</v>
      </c>
      <c r="Q1061" s="111">
        <v>30000</v>
      </c>
      <c r="R1061" s="111">
        <v>3</v>
      </c>
      <c r="S1061" s="111">
        <f t="shared" si="151"/>
        <v>3000</v>
      </c>
      <c r="T1061" s="111">
        <f t="shared" si="152"/>
        <v>180000</v>
      </c>
      <c r="U1061" s="111">
        <f t="shared" si="153"/>
        <v>1800</v>
      </c>
      <c r="V1061" s="111">
        <f t="shared" si="154"/>
        <v>181800</v>
      </c>
      <c r="W1061" t="s">
        <v>3520</v>
      </c>
    </row>
    <row r="1062" spans="1:23" x14ac:dyDescent="0.3">
      <c r="A1062" s="110">
        <v>1500145</v>
      </c>
      <c r="B1062" s="110" t="s">
        <v>1235</v>
      </c>
      <c r="C1062" s="110" t="s">
        <v>1235</v>
      </c>
      <c r="D1062" s="110" t="s">
        <v>1235</v>
      </c>
      <c r="E1062" s="110" t="s">
        <v>1264</v>
      </c>
      <c r="F1062" s="110" t="s">
        <v>117</v>
      </c>
      <c r="G1062" s="110" t="s">
        <v>125</v>
      </c>
      <c r="H1062" s="111">
        <v>207</v>
      </c>
      <c r="I1062" s="111">
        <v>218</v>
      </c>
      <c r="J1062" s="111">
        <v>215</v>
      </c>
      <c r="K1062" s="111">
        <f t="shared" si="146"/>
        <v>213.33333333333334</v>
      </c>
      <c r="L1062" s="111">
        <v>200000</v>
      </c>
      <c r="M1062" s="111">
        <f t="shared" si="147"/>
        <v>90000</v>
      </c>
      <c r="N1062" s="111">
        <f t="shared" si="148"/>
        <v>90000</v>
      </c>
      <c r="O1062" s="111">
        <f t="shared" si="149"/>
        <v>18000</v>
      </c>
      <c r="P1062" s="111">
        <f t="shared" si="150"/>
        <v>20000</v>
      </c>
      <c r="Q1062" s="111">
        <v>50000</v>
      </c>
      <c r="R1062" s="111">
        <v>5</v>
      </c>
      <c r="S1062" s="111">
        <f t="shared" si="151"/>
        <v>5000</v>
      </c>
      <c r="T1062" s="111">
        <f t="shared" si="152"/>
        <v>250000</v>
      </c>
      <c r="U1062" s="111">
        <f t="shared" si="153"/>
        <v>2500</v>
      </c>
      <c r="V1062" s="111">
        <f t="shared" si="154"/>
        <v>252500</v>
      </c>
      <c r="W1062" t="s">
        <v>3521</v>
      </c>
    </row>
    <row r="1063" spans="1:23" x14ac:dyDescent="0.3">
      <c r="A1063" s="110">
        <v>1500146</v>
      </c>
      <c r="B1063" s="110" t="s">
        <v>1235</v>
      </c>
      <c r="C1063" s="110" t="s">
        <v>1235</v>
      </c>
      <c r="D1063" s="110" t="s">
        <v>1235</v>
      </c>
      <c r="E1063" s="110" t="s">
        <v>1265</v>
      </c>
      <c r="F1063" s="110" t="s">
        <v>117</v>
      </c>
      <c r="G1063" s="110" t="s">
        <v>114</v>
      </c>
      <c r="H1063" s="111">
        <v>96</v>
      </c>
      <c r="I1063" s="111">
        <v>94</v>
      </c>
      <c r="J1063" s="111">
        <v>93</v>
      </c>
      <c r="K1063" s="111">
        <f t="shared" si="146"/>
        <v>94.333333333333329</v>
      </c>
      <c r="L1063" s="111">
        <v>150000</v>
      </c>
      <c r="M1063" s="111">
        <f t="shared" si="147"/>
        <v>67500</v>
      </c>
      <c r="N1063" s="111">
        <f t="shared" si="148"/>
        <v>67500</v>
      </c>
      <c r="O1063" s="111">
        <f t="shared" si="149"/>
        <v>13500</v>
      </c>
      <c r="P1063" s="111">
        <f t="shared" si="150"/>
        <v>15000</v>
      </c>
      <c r="Q1063" s="111">
        <v>30000</v>
      </c>
      <c r="R1063" s="111">
        <v>3</v>
      </c>
      <c r="S1063" s="111">
        <f t="shared" si="151"/>
        <v>3000</v>
      </c>
      <c r="T1063" s="111">
        <f t="shared" si="152"/>
        <v>180000</v>
      </c>
      <c r="U1063" s="111">
        <f t="shared" si="153"/>
        <v>1800</v>
      </c>
      <c r="V1063" s="111">
        <f t="shared" si="154"/>
        <v>181800</v>
      </c>
      <c r="W1063" t="s">
        <v>3522</v>
      </c>
    </row>
    <row r="1064" spans="1:23" x14ac:dyDescent="0.3">
      <c r="A1064" s="110">
        <v>1500147</v>
      </c>
      <c r="B1064" s="110" t="s">
        <v>1235</v>
      </c>
      <c r="C1064" s="110" t="s">
        <v>1235</v>
      </c>
      <c r="D1064" s="110" t="s">
        <v>1235</v>
      </c>
      <c r="E1064" s="110" t="s">
        <v>1266</v>
      </c>
      <c r="F1064" s="110" t="s">
        <v>117</v>
      </c>
      <c r="G1064" s="110" t="s">
        <v>125</v>
      </c>
      <c r="H1064" s="111">
        <v>146</v>
      </c>
      <c r="I1064" s="111">
        <v>124</v>
      </c>
      <c r="J1064" s="111">
        <v>146</v>
      </c>
      <c r="K1064" s="111">
        <f t="shared" si="146"/>
        <v>138.66666666666666</v>
      </c>
      <c r="L1064" s="111">
        <v>150000</v>
      </c>
      <c r="M1064" s="111">
        <f t="shared" si="147"/>
        <v>67500</v>
      </c>
      <c r="N1064" s="111">
        <f t="shared" si="148"/>
        <v>67500</v>
      </c>
      <c r="O1064" s="111">
        <f t="shared" si="149"/>
        <v>13500</v>
      </c>
      <c r="P1064" s="111">
        <f t="shared" si="150"/>
        <v>15000</v>
      </c>
      <c r="Q1064" s="111">
        <v>30000</v>
      </c>
      <c r="R1064" s="111">
        <v>3</v>
      </c>
      <c r="S1064" s="111">
        <f t="shared" si="151"/>
        <v>3000</v>
      </c>
      <c r="T1064" s="111">
        <f t="shared" si="152"/>
        <v>180000</v>
      </c>
      <c r="U1064" s="111">
        <f t="shared" si="153"/>
        <v>1800</v>
      </c>
      <c r="V1064" s="111">
        <f t="shared" si="154"/>
        <v>181800</v>
      </c>
      <c r="W1064" t="s">
        <v>3523</v>
      </c>
    </row>
    <row r="1065" spans="1:23" x14ac:dyDescent="0.3">
      <c r="A1065" s="110">
        <v>1500148</v>
      </c>
      <c r="B1065" s="110" t="s">
        <v>1235</v>
      </c>
      <c r="C1065" s="110" t="s">
        <v>1235</v>
      </c>
      <c r="D1065" s="110" t="s">
        <v>1235</v>
      </c>
      <c r="E1065" s="110" t="s">
        <v>1267</v>
      </c>
      <c r="F1065" s="110" t="s">
        <v>117</v>
      </c>
      <c r="G1065" s="110" t="s">
        <v>125</v>
      </c>
      <c r="H1065" s="111">
        <v>449</v>
      </c>
      <c r="I1065" s="111">
        <v>437</v>
      </c>
      <c r="J1065" s="111">
        <v>459</v>
      </c>
      <c r="K1065" s="111">
        <f t="shared" si="146"/>
        <v>448.33333333333331</v>
      </c>
      <c r="L1065" s="111">
        <f>300000</f>
        <v>300000</v>
      </c>
      <c r="M1065" s="111">
        <f t="shared" si="147"/>
        <v>135000</v>
      </c>
      <c r="N1065" s="111">
        <f t="shared" si="148"/>
        <v>135000</v>
      </c>
      <c r="O1065" s="111">
        <f t="shared" si="149"/>
        <v>27000</v>
      </c>
      <c r="P1065" s="111">
        <f t="shared" si="150"/>
        <v>30000</v>
      </c>
      <c r="Q1065" s="111">
        <v>60000</v>
      </c>
      <c r="R1065" s="111">
        <v>6</v>
      </c>
      <c r="S1065" s="111">
        <f t="shared" si="151"/>
        <v>6000</v>
      </c>
      <c r="T1065" s="111">
        <f t="shared" si="152"/>
        <v>360000</v>
      </c>
      <c r="U1065" s="111">
        <f t="shared" si="153"/>
        <v>3600</v>
      </c>
      <c r="V1065" s="111">
        <f t="shared" si="154"/>
        <v>363600</v>
      </c>
      <c r="W1065" t="s">
        <v>3524</v>
      </c>
    </row>
    <row r="1066" spans="1:23" x14ac:dyDescent="0.3">
      <c r="A1066" s="110">
        <v>1500149</v>
      </c>
      <c r="B1066" s="110" t="s">
        <v>1235</v>
      </c>
      <c r="C1066" s="110" t="s">
        <v>1235</v>
      </c>
      <c r="D1066" s="110" t="s">
        <v>1235</v>
      </c>
      <c r="E1066" s="110" t="s">
        <v>1268</v>
      </c>
      <c r="F1066" s="110" t="s">
        <v>117</v>
      </c>
      <c r="G1066" s="110" t="s">
        <v>125</v>
      </c>
      <c r="H1066" s="111">
        <v>215</v>
      </c>
      <c r="I1066" s="111">
        <v>210</v>
      </c>
      <c r="J1066" s="111">
        <v>214</v>
      </c>
      <c r="K1066" s="111">
        <f t="shared" si="146"/>
        <v>213</v>
      </c>
      <c r="L1066" s="111">
        <v>200000</v>
      </c>
      <c r="M1066" s="111">
        <f t="shared" si="147"/>
        <v>90000</v>
      </c>
      <c r="N1066" s="111">
        <f t="shared" si="148"/>
        <v>90000</v>
      </c>
      <c r="O1066" s="111">
        <f t="shared" si="149"/>
        <v>18000</v>
      </c>
      <c r="P1066" s="111">
        <f t="shared" si="150"/>
        <v>20000</v>
      </c>
      <c r="Q1066" s="111">
        <v>50000</v>
      </c>
      <c r="R1066" s="111">
        <v>5</v>
      </c>
      <c r="S1066" s="111">
        <f t="shared" si="151"/>
        <v>5000</v>
      </c>
      <c r="T1066" s="111">
        <f t="shared" si="152"/>
        <v>250000</v>
      </c>
      <c r="U1066" s="111">
        <f t="shared" si="153"/>
        <v>2500</v>
      </c>
      <c r="V1066" s="111">
        <f t="shared" si="154"/>
        <v>252500</v>
      </c>
      <c r="W1066" t="s">
        <v>3525</v>
      </c>
    </row>
    <row r="1067" spans="1:23" x14ac:dyDescent="0.3">
      <c r="A1067" s="110">
        <v>1500151</v>
      </c>
      <c r="B1067" s="110" t="s">
        <v>1235</v>
      </c>
      <c r="C1067" s="110" t="s">
        <v>1235</v>
      </c>
      <c r="D1067" s="110" t="s">
        <v>1235</v>
      </c>
      <c r="E1067" s="110" t="s">
        <v>1269</v>
      </c>
      <c r="F1067" s="110" t="s">
        <v>117</v>
      </c>
      <c r="G1067" s="110" t="s">
        <v>125</v>
      </c>
      <c r="H1067" s="111">
        <v>117</v>
      </c>
      <c r="I1067" s="111">
        <v>119</v>
      </c>
      <c r="J1067" s="111">
        <v>116</v>
      </c>
      <c r="K1067" s="111">
        <f t="shared" si="146"/>
        <v>117.33333333333333</v>
      </c>
      <c r="L1067" s="111">
        <v>150000</v>
      </c>
      <c r="M1067" s="111">
        <f t="shared" si="147"/>
        <v>67500</v>
      </c>
      <c r="N1067" s="111">
        <f t="shared" si="148"/>
        <v>67500</v>
      </c>
      <c r="O1067" s="111">
        <f t="shared" si="149"/>
        <v>13500</v>
      </c>
      <c r="P1067" s="111">
        <f t="shared" si="150"/>
        <v>15000</v>
      </c>
      <c r="Q1067" s="111">
        <v>30000</v>
      </c>
      <c r="R1067" s="111">
        <v>3</v>
      </c>
      <c r="S1067" s="111">
        <f t="shared" si="151"/>
        <v>3000</v>
      </c>
      <c r="T1067" s="111">
        <f t="shared" si="152"/>
        <v>180000</v>
      </c>
      <c r="U1067" s="111">
        <f t="shared" si="153"/>
        <v>1800</v>
      </c>
      <c r="V1067" s="111">
        <f t="shared" si="154"/>
        <v>181800</v>
      </c>
      <c r="W1067" t="s">
        <v>3526</v>
      </c>
    </row>
    <row r="1068" spans="1:23" x14ac:dyDescent="0.3">
      <c r="A1068" s="110">
        <v>1500152</v>
      </c>
      <c r="B1068" s="110" t="s">
        <v>1235</v>
      </c>
      <c r="C1068" s="110" t="s">
        <v>1235</v>
      </c>
      <c r="D1068" s="110" t="s">
        <v>1235</v>
      </c>
      <c r="E1068" s="110" t="s">
        <v>1270</v>
      </c>
      <c r="F1068" s="110" t="s">
        <v>117</v>
      </c>
      <c r="G1068" s="110" t="s">
        <v>114</v>
      </c>
      <c r="H1068" s="111">
        <v>119</v>
      </c>
      <c r="I1068" s="111">
        <v>95</v>
      </c>
      <c r="J1068" s="111">
        <v>87</v>
      </c>
      <c r="K1068" s="111">
        <f t="shared" si="146"/>
        <v>100.33333333333333</v>
      </c>
      <c r="L1068" s="111">
        <v>150000</v>
      </c>
      <c r="M1068" s="111">
        <f t="shared" si="147"/>
        <v>67500</v>
      </c>
      <c r="N1068" s="111">
        <f t="shared" si="148"/>
        <v>67500</v>
      </c>
      <c r="O1068" s="111">
        <f t="shared" si="149"/>
        <v>13500</v>
      </c>
      <c r="P1068" s="111">
        <f t="shared" si="150"/>
        <v>15000</v>
      </c>
      <c r="Q1068" s="111">
        <v>30000</v>
      </c>
      <c r="R1068" s="111">
        <v>3</v>
      </c>
      <c r="S1068" s="111">
        <f t="shared" si="151"/>
        <v>3000</v>
      </c>
      <c r="T1068" s="111">
        <f t="shared" si="152"/>
        <v>180000</v>
      </c>
      <c r="U1068" s="111">
        <f t="shared" si="153"/>
        <v>1800</v>
      </c>
      <c r="V1068" s="111">
        <f t="shared" si="154"/>
        <v>181800</v>
      </c>
      <c r="W1068" t="s">
        <v>3527</v>
      </c>
    </row>
    <row r="1069" spans="1:23" x14ac:dyDescent="0.3">
      <c r="A1069" s="110">
        <v>1500153</v>
      </c>
      <c r="B1069" s="110" t="s">
        <v>1235</v>
      </c>
      <c r="C1069" s="110" t="s">
        <v>1235</v>
      </c>
      <c r="D1069" s="110" t="s">
        <v>1235</v>
      </c>
      <c r="E1069" s="110" t="s">
        <v>391</v>
      </c>
      <c r="F1069" s="110" t="s">
        <v>117</v>
      </c>
      <c r="G1069" s="110" t="s">
        <v>125</v>
      </c>
      <c r="H1069" s="111">
        <v>434</v>
      </c>
      <c r="I1069" s="111">
        <v>445</v>
      </c>
      <c r="J1069" s="111">
        <v>470</v>
      </c>
      <c r="K1069" s="111">
        <f t="shared" si="146"/>
        <v>449.66666666666669</v>
      </c>
      <c r="L1069" s="111">
        <f>300000</f>
        <v>300000</v>
      </c>
      <c r="M1069" s="111">
        <f t="shared" si="147"/>
        <v>135000</v>
      </c>
      <c r="N1069" s="111">
        <f t="shared" si="148"/>
        <v>135000</v>
      </c>
      <c r="O1069" s="111">
        <f t="shared" si="149"/>
        <v>27000</v>
      </c>
      <c r="P1069" s="111">
        <f t="shared" si="150"/>
        <v>30000</v>
      </c>
      <c r="Q1069" s="111">
        <v>60000</v>
      </c>
      <c r="R1069" s="111">
        <v>6</v>
      </c>
      <c r="S1069" s="111">
        <f t="shared" si="151"/>
        <v>6000</v>
      </c>
      <c r="T1069" s="111">
        <f t="shared" si="152"/>
        <v>360000</v>
      </c>
      <c r="U1069" s="111">
        <f t="shared" si="153"/>
        <v>3600</v>
      </c>
      <c r="V1069" s="111">
        <f t="shared" si="154"/>
        <v>363600</v>
      </c>
      <c r="W1069" t="s">
        <v>3528</v>
      </c>
    </row>
    <row r="1070" spans="1:23" x14ac:dyDescent="0.3">
      <c r="A1070" s="110">
        <v>1500155</v>
      </c>
      <c r="B1070" s="110" t="s">
        <v>1235</v>
      </c>
      <c r="C1070" s="110" t="s">
        <v>1235</v>
      </c>
      <c r="D1070" s="110" t="s">
        <v>1235</v>
      </c>
      <c r="E1070" s="110" t="s">
        <v>1271</v>
      </c>
      <c r="F1070" s="110" t="s">
        <v>135</v>
      </c>
      <c r="G1070" s="110" t="s">
        <v>125</v>
      </c>
      <c r="H1070" s="111">
        <v>93</v>
      </c>
      <c r="I1070" s="111">
        <v>94</v>
      </c>
      <c r="J1070" s="111">
        <v>100</v>
      </c>
      <c r="K1070" s="111">
        <f t="shared" si="146"/>
        <v>95.666666666666671</v>
      </c>
      <c r="L1070" s="111">
        <v>150000</v>
      </c>
      <c r="M1070" s="111">
        <f t="shared" si="147"/>
        <v>67500</v>
      </c>
      <c r="N1070" s="111">
        <f t="shared" si="148"/>
        <v>67500</v>
      </c>
      <c r="O1070" s="111">
        <f t="shared" si="149"/>
        <v>13500</v>
      </c>
      <c r="P1070" s="111">
        <f t="shared" si="150"/>
        <v>15000</v>
      </c>
      <c r="Q1070" s="111">
        <v>30000</v>
      </c>
      <c r="R1070" s="111">
        <v>3</v>
      </c>
      <c r="S1070" s="111">
        <f t="shared" si="151"/>
        <v>3000</v>
      </c>
      <c r="T1070" s="111">
        <f t="shared" si="152"/>
        <v>180000</v>
      </c>
      <c r="U1070" s="111">
        <f t="shared" si="153"/>
        <v>1800</v>
      </c>
      <c r="V1070" s="111">
        <f t="shared" si="154"/>
        <v>181800</v>
      </c>
      <c r="W1070" t="s">
        <v>3529</v>
      </c>
    </row>
    <row r="1071" spans="1:23" x14ac:dyDescent="0.3">
      <c r="A1071" s="110">
        <v>1500201</v>
      </c>
      <c r="B1071" s="110" t="s">
        <v>1235</v>
      </c>
      <c r="C1071" s="110" t="s">
        <v>1235</v>
      </c>
      <c r="D1071" s="110" t="s">
        <v>1235</v>
      </c>
      <c r="E1071" s="110" t="s">
        <v>1272</v>
      </c>
      <c r="F1071" s="110" t="s">
        <v>113</v>
      </c>
      <c r="G1071" s="110" t="s">
        <v>114</v>
      </c>
      <c r="H1071" s="111">
        <v>542</v>
      </c>
      <c r="I1071" s="111">
        <v>531</v>
      </c>
      <c r="J1071" s="111">
        <v>558</v>
      </c>
      <c r="K1071" s="111">
        <f t="shared" si="146"/>
        <v>543.66666666666663</v>
      </c>
      <c r="L1071" s="111">
        <f>300000</f>
        <v>300000</v>
      </c>
      <c r="M1071" s="111">
        <f t="shared" si="147"/>
        <v>135000</v>
      </c>
      <c r="N1071" s="111">
        <f t="shared" si="148"/>
        <v>135000</v>
      </c>
      <c r="O1071" s="111">
        <f t="shared" si="149"/>
        <v>27000</v>
      </c>
      <c r="P1071" s="111">
        <f t="shared" si="150"/>
        <v>30000</v>
      </c>
      <c r="Q1071" s="111">
        <v>60000</v>
      </c>
      <c r="R1071" s="111">
        <v>6</v>
      </c>
      <c r="S1071" s="111">
        <f t="shared" si="151"/>
        <v>6000</v>
      </c>
      <c r="T1071" s="111">
        <f t="shared" si="152"/>
        <v>360000</v>
      </c>
      <c r="U1071" s="111">
        <f t="shared" si="153"/>
        <v>3600</v>
      </c>
      <c r="V1071" s="111">
        <f t="shared" si="154"/>
        <v>363600</v>
      </c>
      <c r="W1071" t="s">
        <v>3530</v>
      </c>
    </row>
    <row r="1072" spans="1:23" x14ac:dyDescent="0.3">
      <c r="A1072" s="110">
        <v>1500203</v>
      </c>
      <c r="B1072" s="110" t="s">
        <v>1235</v>
      </c>
      <c r="C1072" s="110" t="s">
        <v>1273</v>
      </c>
      <c r="D1072" s="110" t="s">
        <v>1273</v>
      </c>
      <c r="E1072" s="110" t="s">
        <v>353</v>
      </c>
      <c r="F1072" s="110" t="s">
        <v>113</v>
      </c>
      <c r="G1072" s="110" t="s">
        <v>114</v>
      </c>
      <c r="H1072" s="111">
        <v>383</v>
      </c>
      <c r="I1072" s="111">
        <v>349</v>
      </c>
      <c r="J1072" s="111">
        <v>348</v>
      </c>
      <c r="K1072" s="111">
        <f t="shared" si="146"/>
        <v>360</v>
      </c>
      <c r="L1072" s="111">
        <v>200000</v>
      </c>
      <c r="M1072" s="111">
        <f t="shared" si="147"/>
        <v>90000</v>
      </c>
      <c r="N1072" s="111">
        <f t="shared" si="148"/>
        <v>90000</v>
      </c>
      <c r="O1072" s="111">
        <f t="shared" si="149"/>
        <v>18000</v>
      </c>
      <c r="P1072" s="111">
        <f t="shared" si="150"/>
        <v>20000</v>
      </c>
      <c r="Q1072" s="111">
        <v>50000</v>
      </c>
      <c r="R1072" s="111">
        <v>5</v>
      </c>
      <c r="S1072" s="111">
        <f t="shared" si="151"/>
        <v>5000</v>
      </c>
      <c r="T1072" s="111">
        <f t="shared" si="152"/>
        <v>250000</v>
      </c>
      <c r="U1072" s="111">
        <f t="shared" si="153"/>
        <v>2500</v>
      </c>
      <c r="V1072" s="111">
        <f t="shared" si="154"/>
        <v>252500</v>
      </c>
      <c r="W1072" t="s">
        <v>3531</v>
      </c>
    </row>
    <row r="1073" spans="1:23" x14ac:dyDescent="0.3">
      <c r="A1073" s="110">
        <v>1500204</v>
      </c>
      <c r="B1073" s="110" t="s">
        <v>1235</v>
      </c>
      <c r="C1073" s="110" t="s">
        <v>1273</v>
      </c>
      <c r="D1073" s="110" t="s">
        <v>1273</v>
      </c>
      <c r="E1073" s="110" t="s">
        <v>1274</v>
      </c>
      <c r="F1073" s="110" t="s">
        <v>113</v>
      </c>
      <c r="G1073" s="110" t="s">
        <v>114</v>
      </c>
      <c r="H1073" s="111">
        <v>102</v>
      </c>
      <c r="I1073" s="111">
        <v>100</v>
      </c>
      <c r="J1073" s="111">
        <v>105</v>
      </c>
      <c r="K1073" s="111">
        <f t="shared" si="146"/>
        <v>102.33333333333333</v>
      </c>
      <c r="L1073" s="111">
        <v>150000</v>
      </c>
      <c r="M1073" s="111">
        <f t="shared" si="147"/>
        <v>67500</v>
      </c>
      <c r="N1073" s="111">
        <f t="shared" si="148"/>
        <v>67500</v>
      </c>
      <c r="O1073" s="111">
        <f t="shared" si="149"/>
        <v>13500</v>
      </c>
      <c r="P1073" s="111">
        <f t="shared" si="150"/>
        <v>15000</v>
      </c>
      <c r="Q1073" s="111">
        <v>30000</v>
      </c>
      <c r="R1073" s="111">
        <v>3</v>
      </c>
      <c r="S1073" s="111">
        <f t="shared" si="151"/>
        <v>3000</v>
      </c>
      <c r="T1073" s="111">
        <f t="shared" si="152"/>
        <v>180000</v>
      </c>
      <c r="U1073" s="111">
        <f t="shared" si="153"/>
        <v>1800</v>
      </c>
      <c r="V1073" s="111">
        <f t="shared" si="154"/>
        <v>181800</v>
      </c>
      <c r="W1073" t="s">
        <v>3532</v>
      </c>
    </row>
    <row r="1074" spans="1:23" x14ac:dyDescent="0.3">
      <c r="A1074" s="110">
        <v>1500206</v>
      </c>
      <c r="B1074" s="110" t="s">
        <v>1235</v>
      </c>
      <c r="C1074" s="110" t="s">
        <v>1273</v>
      </c>
      <c r="D1074" s="110" t="s">
        <v>1275</v>
      </c>
      <c r="E1074" s="110" t="s">
        <v>184</v>
      </c>
      <c r="F1074" s="110" t="s">
        <v>113</v>
      </c>
      <c r="G1074" s="110" t="s">
        <v>114</v>
      </c>
      <c r="H1074" s="111">
        <v>59</v>
      </c>
      <c r="I1074" s="111">
        <v>62</v>
      </c>
      <c r="J1074" s="111">
        <v>69</v>
      </c>
      <c r="K1074" s="111">
        <f t="shared" si="146"/>
        <v>63.333333333333336</v>
      </c>
      <c r="L1074" s="111">
        <v>150000</v>
      </c>
      <c r="M1074" s="111">
        <f t="shared" si="147"/>
        <v>67500</v>
      </c>
      <c r="N1074" s="111">
        <f t="shared" si="148"/>
        <v>67500</v>
      </c>
      <c r="O1074" s="111">
        <f t="shared" si="149"/>
        <v>13500</v>
      </c>
      <c r="P1074" s="111">
        <f t="shared" si="150"/>
        <v>15000</v>
      </c>
      <c r="Q1074" s="111">
        <v>30000</v>
      </c>
      <c r="R1074" s="111">
        <v>3</v>
      </c>
      <c r="S1074" s="111">
        <f t="shared" si="151"/>
        <v>3000</v>
      </c>
      <c r="T1074" s="111">
        <f t="shared" si="152"/>
        <v>180000</v>
      </c>
      <c r="U1074" s="111">
        <f t="shared" si="153"/>
        <v>1800</v>
      </c>
      <c r="V1074" s="111">
        <f t="shared" si="154"/>
        <v>181800</v>
      </c>
      <c r="W1074" t="s">
        <v>3533</v>
      </c>
    </row>
    <row r="1075" spans="1:23" x14ac:dyDescent="0.3">
      <c r="A1075" s="110">
        <v>1500207</v>
      </c>
      <c r="B1075" s="110" t="s">
        <v>1235</v>
      </c>
      <c r="C1075" s="110" t="s">
        <v>1273</v>
      </c>
      <c r="D1075" s="110" t="s">
        <v>1276</v>
      </c>
      <c r="E1075" s="110" t="s">
        <v>184</v>
      </c>
      <c r="F1075" s="110" t="s">
        <v>113</v>
      </c>
      <c r="G1075" s="110" t="s">
        <v>114</v>
      </c>
      <c r="H1075" s="111">
        <v>98</v>
      </c>
      <c r="I1075" s="111">
        <v>86</v>
      </c>
      <c r="J1075" s="111">
        <v>97</v>
      </c>
      <c r="K1075" s="111">
        <f t="shared" si="146"/>
        <v>93.666666666666671</v>
      </c>
      <c r="L1075" s="111">
        <v>150000</v>
      </c>
      <c r="M1075" s="111">
        <f t="shared" si="147"/>
        <v>67500</v>
      </c>
      <c r="N1075" s="111">
        <f t="shared" si="148"/>
        <v>67500</v>
      </c>
      <c r="O1075" s="111">
        <f t="shared" si="149"/>
        <v>13500</v>
      </c>
      <c r="P1075" s="111">
        <f t="shared" si="150"/>
        <v>15000</v>
      </c>
      <c r="Q1075" s="111">
        <v>30000</v>
      </c>
      <c r="R1075" s="111">
        <v>3</v>
      </c>
      <c r="S1075" s="111">
        <f t="shared" si="151"/>
        <v>3000</v>
      </c>
      <c r="T1075" s="111">
        <f t="shared" si="152"/>
        <v>180000</v>
      </c>
      <c r="U1075" s="111">
        <f t="shared" si="153"/>
        <v>1800</v>
      </c>
      <c r="V1075" s="111">
        <f t="shared" si="154"/>
        <v>181800</v>
      </c>
      <c r="W1075" t="s">
        <v>3534</v>
      </c>
    </row>
    <row r="1076" spans="1:23" x14ac:dyDescent="0.3">
      <c r="A1076" s="110">
        <v>1500209</v>
      </c>
      <c r="B1076" s="110" t="s">
        <v>1235</v>
      </c>
      <c r="C1076" s="110" t="s">
        <v>1273</v>
      </c>
      <c r="D1076" s="110" t="s">
        <v>1277</v>
      </c>
      <c r="E1076" s="110" t="s">
        <v>184</v>
      </c>
      <c r="F1076" s="110" t="s">
        <v>113</v>
      </c>
      <c r="G1076" s="110" t="s">
        <v>114</v>
      </c>
      <c r="H1076" s="111">
        <v>77</v>
      </c>
      <c r="I1076" s="111">
        <v>82</v>
      </c>
      <c r="J1076" s="111">
        <v>90</v>
      </c>
      <c r="K1076" s="111">
        <f t="shared" si="146"/>
        <v>83</v>
      </c>
      <c r="L1076" s="111">
        <v>150000</v>
      </c>
      <c r="M1076" s="111">
        <f t="shared" si="147"/>
        <v>67500</v>
      </c>
      <c r="N1076" s="111">
        <f t="shared" si="148"/>
        <v>67500</v>
      </c>
      <c r="O1076" s="111">
        <f t="shared" si="149"/>
        <v>13500</v>
      </c>
      <c r="P1076" s="111">
        <f t="shared" si="150"/>
        <v>15000</v>
      </c>
      <c r="Q1076" s="111">
        <v>30000</v>
      </c>
      <c r="R1076" s="111">
        <v>3</v>
      </c>
      <c r="S1076" s="111">
        <f t="shared" si="151"/>
        <v>3000</v>
      </c>
      <c r="T1076" s="111">
        <f t="shared" si="152"/>
        <v>180000</v>
      </c>
      <c r="U1076" s="111">
        <f t="shared" si="153"/>
        <v>1800</v>
      </c>
      <c r="V1076" s="111">
        <f t="shared" si="154"/>
        <v>181800</v>
      </c>
      <c r="W1076" t="s">
        <v>3535</v>
      </c>
    </row>
    <row r="1077" spans="1:23" x14ac:dyDescent="0.3">
      <c r="A1077" s="110">
        <v>1500210</v>
      </c>
      <c r="B1077" s="110" t="s">
        <v>1235</v>
      </c>
      <c r="C1077" s="110" t="s">
        <v>1273</v>
      </c>
      <c r="D1077" s="110" t="s">
        <v>1278</v>
      </c>
      <c r="E1077" s="110" t="s">
        <v>501</v>
      </c>
      <c r="F1077" s="110" t="s">
        <v>168</v>
      </c>
      <c r="G1077" s="110" t="s">
        <v>114</v>
      </c>
      <c r="H1077" s="111">
        <v>161</v>
      </c>
      <c r="I1077" s="111">
        <v>150</v>
      </c>
      <c r="J1077" s="111">
        <v>147</v>
      </c>
      <c r="K1077" s="111">
        <f t="shared" si="146"/>
        <v>152.66666666666666</v>
      </c>
      <c r="L1077" s="111">
        <v>150000</v>
      </c>
      <c r="M1077" s="111">
        <f t="shared" si="147"/>
        <v>67500</v>
      </c>
      <c r="N1077" s="111">
        <f t="shared" si="148"/>
        <v>67500</v>
      </c>
      <c r="O1077" s="111">
        <f t="shared" si="149"/>
        <v>13500</v>
      </c>
      <c r="P1077" s="111">
        <f t="shared" si="150"/>
        <v>15000</v>
      </c>
      <c r="Q1077" s="111">
        <v>30000</v>
      </c>
      <c r="R1077" s="111">
        <v>3</v>
      </c>
      <c r="S1077" s="111">
        <f t="shared" si="151"/>
        <v>3000</v>
      </c>
      <c r="T1077" s="111">
        <f t="shared" si="152"/>
        <v>180000</v>
      </c>
      <c r="U1077" s="111">
        <f t="shared" si="153"/>
        <v>1800</v>
      </c>
      <c r="V1077" s="111">
        <f t="shared" si="154"/>
        <v>181800</v>
      </c>
      <c r="W1077" t="s">
        <v>3536</v>
      </c>
    </row>
    <row r="1078" spans="1:23" x14ac:dyDescent="0.3">
      <c r="A1078" s="110">
        <v>1500215</v>
      </c>
      <c r="B1078" s="110" t="s">
        <v>1235</v>
      </c>
      <c r="C1078" s="110" t="s">
        <v>1273</v>
      </c>
      <c r="D1078" s="110" t="s">
        <v>1273</v>
      </c>
      <c r="E1078" s="110" t="s">
        <v>1032</v>
      </c>
      <c r="F1078" s="110" t="s">
        <v>119</v>
      </c>
      <c r="G1078" s="110" t="s">
        <v>114</v>
      </c>
      <c r="H1078" s="111">
        <v>714</v>
      </c>
      <c r="I1078" s="111">
        <v>754</v>
      </c>
      <c r="J1078" s="111">
        <v>738</v>
      </c>
      <c r="K1078" s="111">
        <f t="shared" si="146"/>
        <v>735.33333333333337</v>
      </c>
      <c r="L1078" s="111">
        <f>300000</f>
        <v>300000</v>
      </c>
      <c r="M1078" s="111">
        <f t="shared" si="147"/>
        <v>135000</v>
      </c>
      <c r="N1078" s="111">
        <f t="shared" si="148"/>
        <v>135000</v>
      </c>
      <c r="O1078" s="111">
        <f t="shared" si="149"/>
        <v>27000</v>
      </c>
      <c r="P1078" s="111">
        <f t="shared" si="150"/>
        <v>30000</v>
      </c>
      <c r="Q1078" s="111">
        <v>60000</v>
      </c>
      <c r="R1078" s="111">
        <v>6</v>
      </c>
      <c r="S1078" s="111">
        <f t="shared" si="151"/>
        <v>6000</v>
      </c>
      <c r="T1078" s="111">
        <f t="shared" si="152"/>
        <v>360000</v>
      </c>
      <c r="U1078" s="111">
        <f t="shared" si="153"/>
        <v>3600</v>
      </c>
      <c r="V1078" s="111">
        <f t="shared" si="154"/>
        <v>363600</v>
      </c>
      <c r="W1078" t="s">
        <v>3537</v>
      </c>
    </row>
    <row r="1079" spans="1:23" x14ac:dyDescent="0.3">
      <c r="A1079" s="110">
        <v>1500216</v>
      </c>
      <c r="B1079" s="110" t="s">
        <v>1235</v>
      </c>
      <c r="C1079" s="110" t="s">
        <v>1273</v>
      </c>
      <c r="D1079" s="110" t="s">
        <v>1279</v>
      </c>
      <c r="E1079" s="110" t="s">
        <v>1280</v>
      </c>
      <c r="F1079" s="110" t="s">
        <v>119</v>
      </c>
      <c r="G1079" s="110" t="s">
        <v>114</v>
      </c>
      <c r="H1079" s="111">
        <v>324</v>
      </c>
      <c r="I1079" s="111">
        <v>306</v>
      </c>
      <c r="J1079" s="111">
        <v>314</v>
      </c>
      <c r="K1079" s="111">
        <f t="shared" si="146"/>
        <v>314.66666666666669</v>
      </c>
      <c r="L1079" s="111">
        <v>200000</v>
      </c>
      <c r="M1079" s="111">
        <f t="shared" si="147"/>
        <v>90000</v>
      </c>
      <c r="N1079" s="111">
        <f t="shared" si="148"/>
        <v>90000</v>
      </c>
      <c r="O1079" s="111">
        <f t="shared" si="149"/>
        <v>18000</v>
      </c>
      <c r="P1079" s="111">
        <f t="shared" si="150"/>
        <v>20000</v>
      </c>
      <c r="Q1079" s="111">
        <v>50000</v>
      </c>
      <c r="R1079" s="111">
        <v>5</v>
      </c>
      <c r="S1079" s="111">
        <f t="shared" si="151"/>
        <v>5000</v>
      </c>
      <c r="T1079" s="111">
        <f t="shared" si="152"/>
        <v>250000</v>
      </c>
      <c r="U1079" s="111">
        <f t="shared" si="153"/>
        <v>2500</v>
      </c>
      <c r="V1079" s="111">
        <f t="shared" si="154"/>
        <v>252500</v>
      </c>
      <c r="W1079" t="s">
        <v>3538</v>
      </c>
    </row>
    <row r="1080" spans="1:23" x14ac:dyDescent="0.3">
      <c r="A1080" s="110">
        <v>1500217</v>
      </c>
      <c r="B1080" s="110" t="s">
        <v>1235</v>
      </c>
      <c r="C1080" s="110" t="s">
        <v>1273</v>
      </c>
      <c r="D1080" s="110" t="s">
        <v>1273</v>
      </c>
      <c r="E1080" s="110" t="s">
        <v>1281</v>
      </c>
      <c r="F1080" s="110" t="s">
        <v>117</v>
      </c>
      <c r="G1080" s="110" t="s">
        <v>114</v>
      </c>
      <c r="H1080" s="111">
        <v>194</v>
      </c>
      <c r="I1080" s="111">
        <v>187</v>
      </c>
      <c r="J1080" s="111">
        <v>181</v>
      </c>
      <c r="K1080" s="111">
        <f t="shared" si="146"/>
        <v>187.33333333333334</v>
      </c>
      <c r="L1080" s="111">
        <v>150000</v>
      </c>
      <c r="M1080" s="111">
        <f t="shared" si="147"/>
        <v>67500</v>
      </c>
      <c r="N1080" s="111">
        <f t="shared" si="148"/>
        <v>67500</v>
      </c>
      <c r="O1080" s="111">
        <f t="shared" si="149"/>
        <v>13500</v>
      </c>
      <c r="P1080" s="111">
        <f t="shared" si="150"/>
        <v>15000</v>
      </c>
      <c r="Q1080" s="111">
        <v>30000</v>
      </c>
      <c r="R1080" s="111">
        <v>3</v>
      </c>
      <c r="S1080" s="111">
        <f t="shared" si="151"/>
        <v>3000</v>
      </c>
      <c r="T1080" s="111">
        <f t="shared" si="152"/>
        <v>180000</v>
      </c>
      <c r="U1080" s="111">
        <f t="shared" si="153"/>
        <v>1800</v>
      </c>
      <c r="V1080" s="111">
        <f t="shared" si="154"/>
        <v>181800</v>
      </c>
      <c r="W1080" t="s">
        <v>3539</v>
      </c>
    </row>
    <row r="1081" spans="1:23" x14ac:dyDescent="0.3">
      <c r="A1081" s="110">
        <v>1500218</v>
      </c>
      <c r="B1081" s="110" t="s">
        <v>1235</v>
      </c>
      <c r="C1081" s="110" t="s">
        <v>1273</v>
      </c>
      <c r="D1081" s="110" t="s">
        <v>1273</v>
      </c>
      <c r="E1081" s="110" t="s">
        <v>1282</v>
      </c>
      <c r="F1081" s="110" t="s">
        <v>117</v>
      </c>
      <c r="G1081" s="110" t="s">
        <v>125</v>
      </c>
      <c r="H1081" s="111">
        <v>196</v>
      </c>
      <c r="I1081" s="111">
        <v>189</v>
      </c>
      <c r="J1081" s="111">
        <v>193</v>
      </c>
      <c r="K1081" s="111">
        <f t="shared" si="146"/>
        <v>192.66666666666666</v>
      </c>
      <c r="L1081" s="111">
        <v>150000</v>
      </c>
      <c r="M1081" s="111">
        <f t="shared" si="147"/>
        <v>67500</v>
      </c>
      <c r="N1081" s="111">
        <f t="shared" si="148"/>
        <v>67500</v>
      </c>
      <c r="O1081" s="111">
        <f t="shared" si="149"/>
        <v>13500</v>
      </c>
      <c r="P1081" s="111">
        <f t="shared" si="150"/>
        <v>15000</v>
      </c>
      <c r="Q1081" s="111">
        <v>30000</v>
      </c>
      <c r="R1081" s="111">
        <v>3</v>
      </c>
      <c r="S1081" s="111">
        <f t="shared" si="151"/>
        <v>3000</v>
      </c>
      <c r="T1081" s="111">
        <f t="shared" si="152"/>
        <v>180000</v>
      </c>
      <c r="U1081" s="111">
        <f t="shared" si="153"/>
        <v>1800</v>
      </c>
      <c r="V1081" s="111">
        <f t="shared" si="154"/>
        <v>181800</v>
      </c>
      <c r="W1081" t="s">
        <v>3540</v>
      </c>
    </row>
    <row r="1082" spans="1:23" x14ac:dyDescent="0.3">
      <c r="A1082" s="110">
        <v>1500219</v>
      </c>
      <c r="B1082" s="110" t="s">
        <v>1235</v>
      </c>
      <c r="C1082" s="110" t="s">
        <v>1273</v>
      </c>
      <c r="D1082" s="110" t="s">
        <v>1273</v>
      </c>
      <c r="E1082" s="110" t="s">
        <v>1283</v>
      </c>
      <c r="F1082" s="110" t="s">
        <v>117</v>
      </c>
      <c r="G1082" s="110" t="s">
        <v>125</v>
      </c>
      <c r="H1082" s="111">
        <v>103</v>
      </c>
      <c r="I1082" s="111">
        <v>94</v>
      </c>
      <c r="J1082" s="111">
        <v>107</v>
      </c>
      <c r="K1082" s="111">
        <f t="shared" si="146"/>
        <v>101.33333333333333</v>
      </c>
      <c r="L1082" s="111">
        <v>150000</v>
      </c>
      <c r="M1082" s="111">
        <f t="shared" si="147"/>
        <v>67500</v>
      </c>
      <c r="N1082" s="111">
        <f t="shared" si="148"/>
        <v>67500</v>
      </c>
      <c r="O1082" s="111">
        <f t="shared" si="149"/>
        <v>13500</v>
      </c>
      <c r="P1082" s="111">
        <f t="shared" si="150"/>
        <v>15000</v>
      </c>
      <c r="Q1082" s="111">
        <v>30000</v>
      </c>
      <c r="R1082" s="111">
        <v>3</v>
      </c>
      <c r="S1082" s="111">
        <f t="shared" si="151"/>
        <v>3000</v>
      </c>
      <c r="T1082" s="111">
        <f t="shared" si="152"/>
        <v>180000</v>
      </c>
      <c r="U1082" s="111">
        <f t="shared" si="153"/>
        <v>1800</v>
      </c>
      <c r="V1082" s="111">
        <f t="shared" si="154"/>
        <v>181800</v>
      </c>
      <c r="W1082" t="s">
        <v>3541</v>
      </c>
    </row>
    <row r="1083" spans="1:23" x14ac:dyDescent="0.3">
      <c r="A1083" s="110">
        <v>1500220</v>
      </c>
      <c r="B1083" s="110" t="s">
        <v>1235</v>
      </c>
      <c r="C1083" s="110" t="s">
        <v>1273</v>
      </c>
      <c r="D1083" s="110" t="s">
        <v>1276</v>
      </c>
      <c r="E1083" s="110" t="s">
        <v>1284</v>
      </c>
      <c r="F1083" s="110" t="s">
        <v>117</v>
      </c>
      <c r="G1083" s="110" t="s">
        <v>114</v>
      </c>
      <c r="H1083" s="111">
        <v>97</v>
      </c>
      <c r="I1083" s="111">
        <v>101</v>
      </c>
      <c r="J1083" s="111">
        <v>93</v>
      </c>
      <c r="K1083" s="111">
        <f t="shared" si="146"/>
        <v>97</v>
      </c>
      <c r="L1083" s="111">
        <f>150000*0.7</f>
        <v>105000</v>
      </c>
      <c r="M1083" s="111">
        <f t="shared" si="147"/>
        <v>47250</v>
      </c>
      <c r="N1083" s="111">
        <f t="shared" si="148"/>
        <v>47250</v>
      </c>
      <c r="O1083" s="111">
        <f t="shared" si="149"/>
        <v>9450</v>
      </c>
      <c r="P1083" s="111">
        <f t="shared" si="150"/>
        <v>10500</v>
      </c>
      <c r="Q1083" s="111">
        <v>30000</v>
      </c>
      <c r="R1083" s="111">
        <v>3</v>
      </c>
      <c r="S1083" s="111">
        <f t="shared" si="151"/>
        <v>3000</v>
      </c>
      <c r="T1083" s="111">
        <f t="shared" si="152"/>
        <v>135000</v>
      </c>
      <c r="U1083" s="111">
        <f t="shared" si="153"/>
        <v>1350</v>
      </c>
      <c r="V1083" s="111">
        <f t="shared" si="154"/>
        <v>136350</v>
      </c>
      <c r="W1083" t="s">
        <v>3542</v>
      </c>
    </row>
    <row r="1084" spans="1:23" x14ac:dyDescent="0.3">
      <c r="A1084" s="110">
        <v>1500304</v>
      </c>
      <c r="B1084" s="110" t="s">
        <v>1235</v>
      </c>
      <c r="C1084" s="110" t="s">
        <v>1285</v>
      </c>
      <c r="D1084" s="110" t="s">
        <v>1286</v>
      </c>
      <c r="E1084" s="110" t="s">
        <v>1287</v>
      </c>
      <c r="F1084" s="110" t="s">
        <v>168</v>
      </c>
      <c r="G1084" s="110" t="s">
        <v>114</v>
      </c>
      <c r="H1084" s="111">
        <v>149</v>
      </c>
      <c r="I1084" s="111">
        <v>131</v>
      </c>
      <c r="J1084" s="111">
        <v>113</v>
      </c>
      <c r="K1084" s="111">
        <f t="shared" si="146"/>
        <v>131</v>
      </c>
      <c r="L1084" s="111">
        <v>150000</v>
      </c>
      <c r="M1084" s="111">
        <f t="shared" si="147"/>
        <v>67500</v>
      </c>
      <c r="N1084" s="111">
        <f t="shared" si="148"/>
        <v>67500</v>
      </c>
      <c r="O1084" s="111">
        <f t="shared" si="149"/>
        <v>13500</v>
      </c>
      <c r="P1084" s="111">
        <f t="shared" si="150"/>
        <v>15000</v>
      </c>
      <c r="Q1084" s="111">
        <v>30000</v>
      </c>
      <c r="R1084" s="111">
        <v>3</v>
      </c>
      <c r="S1084" s="111">
        <f t="shared" si="151"/>
        <v>3000</v>
      </c>
      <c r="T1084" s="111">
        <f t="shared" si="152"/>
        <v>180000</v>
      </c>
      <c r="U1084" s="111">
        <f t="shared" si="153"/>
        <v>1800</v>
      </c>
      <c r="V1084" s="111">
        <f t="shared" si="154"/>
        <v>181800</v>
      </c>
      <c r="W1084" t="s">
        <v>3543</v>
      </c>
    </row>
    <row r="1085" spans="1:23" x14ac:dyDescent="0.3">
      <c r="A1085" s="110">
        <v>1500305</v>
      </c>
      <c r="B1085" s="110" t="s">
        <v>1235</v>
      </c>
      <c r="C1085" s="110" t="s">
        <v>1285</v>
      </c>
      <c r="D1085" s="110" t="s">
        <v>1285</v>
      </c>
      <c r="E1085" s="110" t="s">
        <v>252</v>
      </c>
      <c r="F1085" s="110" t="s">
        <v>119</v>
      </c>
      <c r="G1085" s="110" t="s">
        <v>114</v>
      </c>
      <c r="H1085" s="111">
        <v>349</v>
      </c>
      <c r="I1085" s="111">
        <v>358</v>
      </c>
      <c r="J1085" s="111">
        <v>364</v>
      </c>
      <c r="K1085" s="111">
        <f t="shared" si="146"/>
        <v>357</v>
      </c>
      <c r="L1085" s="111">
        <v>200000</v>
      </c>
      <c r="M1085" s="111">
        <f t="shared" si="147"/>
        <v>90000</v>
      </c>
      <c r="N1085" s="111">
        <f t="shared" si="148"/>
        <v>90000</v>
      </c>
      <c r="O1085" s="111">
        <f t="shared" si="149"/>
        <v>18000</v>
      </c>
      <c r="P1085" s="111">
        <f t="shared" si="150"/>
        <v>20000</v>
      </c>
      <c r="Q1085" s="111">
        <v>50000</v>
      </c>
      <c r="R1085" s="111">
        <v>5</v>
      </c>
      <c r="S1085" s="111">
        <f t="shared" si="151"/>
        <v>5000</v>
      </c>
      <c r="T1085" s="111">
        <f t="shared" si="152"/>
        <v>250000</v>
      </c>
      <c r="U1085" s="111">
        <f t="shared" si="153"/>
        <v>2500</v>
      </c>
      <c r="V1085" s="111">
        <f t="shared" si="154"/>
        <v>252500</v>
      </c>
      <c r="W1085" t="s">
        <v>3544</v>
      </c>
    </row>
    <row r="1086" spans="1:23" x14ac:dyDescent="0.3">
      <c r="A1086" s="110">
        <v>1500401</v>
      </c>
      <c r="B1086" s="110" t="s">
        <v>1235</v>
      </c>
      <c r="C1086" s="110" t="s">
        <v>1288</v>
      </c>
      <c r="D1086" s="110" t="s">
        <v>1289</v>
      </c>
      <c r="E1086" s="110" t="s">
        <v>319</v>
      </c>
      <c r="F1086" s="110" t="s">
        <v>113</v>
      </c>
      <c r="G1086" s="110" t="s">
        <v>114</v>
      </c>
      <c r="H1086" s="111">
        <v>83</v>
      </c>
      <c r="I1086" s="111">
        <v>94</v>
      </c>
      <c r="J1086" s="111">
        <v>93</v>
      </c>
      <c r="K1086" s="111">
        <f t="shared" si="146"/>
        <v>90</v>
      </c>
      <c r="L1086" s="111">
        <v>150000</v>
      </c>
      <c r="M1086" s="111">
        <f t="shared" si="147"/>
        <v>67500</v>
      </c>
      <c r="N1086" s="111">
        <f t="shared" si="148"/>
        <v>67500</v>
      </c>
      <c r="O1086" s="111">
        <f t="shared" si="149"/>
        <v>13500</v>
      </c>
      <c r="P1086" s="111">
        <f t="shared" si="150"/>
        <v>15000</v>
      </c>
      <c r="Q1086" s="111">
        <v>30000</v>
      </c>
      <c r="R1086" s="111">
        <v>3</v>
      </c>
      <c r="S1086" s="111">
        <f t="shared" si="151"/>
        <v>3000</v>
      </c>
      <c r="T1086" s="111">
        <f t="shared" si="152"/>
        <v>180000</v>
      </c>
      <c r="U1086" s="111">
        <f t="shared" si="153"/>
        <v>1800</v>
      </c>
      <c r="V1086" s="111">
        <f t="shared" si="154"/>
        <v>181800</v>
      </c>
      <c r="W1086" t="s">
        <v>3545</v>
      </c>
    </row>
    <row r="1087" spans="1:23" x14ac:dyDescent="0.3">
      <c r="A1087" s="110">
        <v>1500404</v>
      </c>
      <c r="B1087" s="110" t="s">
        <v>1235</v>
      </c>
      <c r="C1087" s="110" t="s">
        <v>1288</v>
      </c>
      <c r="D1087" s="110" t="s">
        <v>1288</v>
      </c>
      <c r="E1087" s="110" t="s">
        <v>286</v>
      </c>
      <c r="F1087" s="110" t="s">
        <v>119</v>
      </c>
      <c r="G1087" s="110" t="s">
        <v>114</v>
      </c>
      <c r="H1087" s="111">
        <v>367</v>
      </c>
      <c r="I1087" s="111">
        <v>360</v>
      </c>
      <c r="J1087" s="111">
        <v>349</v>
      </c>
      <c r="K1087" s="111">
        <f t="shared" si="146"/>
        <v>358.66666666666669</v>
      </c>
      <c r="L1087" s="111">
        <v>200000</v>
      </c>
      <c r="M1087" s="111">
        <f t="shared" si="147"/>
        <v>90000</v>
      </c>
      <c r="N1087" s="111">
        <f t="shared" si="148"/>
        <v>90000</v>
      </c>
      <c r="O1087" s="111">
        <f t="shared" si="149"/>
        <v>18000</v>
      </c>
      <c r="P1087" s="111">
        <f t="shared" si="150"/>
        <v>20000</v>
      </c>
      <c r="Q1087" s="111">
        <v>50000</v>
      </c>
      <c r="R1087" s="111">
        <v>5</v>
      </c>
      <c r="S1087" s="111">
        <f t="shared" si="151"/>
        <v>5000</v>
      </c>
      <c r="T1087" s="111">
        <f t="shared" si="152"/>
        <v>250000</v>
      </c>
      <c r="U1087" s="111">
        <f t="shared" si="153"/>
        <v>2500</v>
      </c>
      <c r="V1087" s="111">
        <f t="shared" si="154"/>
        <v>252500</v>
      </c>
      <c r="W1087" t="s">
        <v>3546</v>
      </c>
    </row>
    <row r="1088" spans="1:23" x14ac:dyDescent="0.3">
      <c r="A1088" s="110">
        <v>1500501</v>
      </c>
      <c r="B1088" s="110" t="s">
        <v>1235</v>
      </c>
      <c r="C1088" s="110" t="s">
        <v>1290</v>
      </c>
      <c r="D1088" s="110" t="s">
        <v>1290</v>
      </c>
      <c r="E1088" s="110" t="s">
        <v>1239</v>
      </c>
      <c r="F1088" s="110" t="s">
        <v>209</v>
      </c>
      <c r="G1088" s="110" t="s">
        <v>114</v>
      </c>
      <c r="H1088" s="111">
        <v>128</v>
      </c>
      <c r="I1088" s="111">
        <v>117</v>
      </c>
      <c r="J1088" s="111">
        <v>112</v>
      </c>
      <c r="K1088" s="111">
        <f t="shared" si="146"/>
        <v>119</v>
      </c>
      <c r="L1088" s="111">
        <f>150000*0.7</f>
        <v>105000</v>
      </c>
      <c r="M1088" s="111">
        <f t="shared" si="147"/>
        <v>47250</v>
      </c>
      <c r="N1088" s="111">
        <f t="shared" si="148"/>
        <v>47250</v>
      </c>
      <c r="O1088" s="111">
        <f t="shared" si="149"/>
        <v>9450</v>
      </c>
      <c r="P1088" s="111">
        <f t="shared" si="150"/>
        <v>10500</v>
      </c>
      <c r="Q1088" s="111">
        <v>30000</v>
      </c>
      <c r="R1088" s="111">
        <v>3</v>
      </c>
      <c r="S1088" s="111">
        <f t="shared" si="151"/>
        <v>3000</v>
      </c>
      <c r="T1088" s="111">
        <f t="shared" si="152"/>
        <v>135000</v>
      </c>
      <c r="U1088" s="111">
        <f t="shared" si="153"/>
        <v>1350</v>
      </c>
      <c r="V1088" s="111">
        <f t="shared" si="154"/>
        <v>136350</v>
      </c>
      <c r="W1088" t="s">
        <v>3547</v>
      </c>
    </row>
    <row r="1089" spans="1:23" x14ac:dyDescent="0.3">
      <c r="A1089" s="110">
        <v>1500502</v>
      </c>
      <c r="B1089" s="110" t="s">
        <v>1235</v>
      </c>
      <c r="C1089" s="110" t="s">
        <v>1290</v>
      </c>
      <c r="D1089" s="110" t="s">
        <v>735</v>
      </c>
      <c r="E1089" s="110" t="s">
        <v>143</v>
      </c>
      <c r="F1089" s="110" t="s">
        <v>113</v>
      </c>
      <c r="G1089" s="110" t="s">
        <v>114</v>
      </c>
      <c r="H1089" s="111">
        <v>61</v>
      </c>
      <c r="I1089" s="111">
        <v>57</v>
      </c>
      <c r="J1089" s="111">
        <v>59</v>
      </c>
      <c r="K1089" s="111">
        <f t="shared" si="146"/>
        <v>59</v>
      </c>
      <c r="L1089" s="111">
        <v>150000</v>
      </c>
      <c r="M1089" s="111">
        <f t="shared" si="147"/>
        <v>67500</v>
      </c>
      <c r="N1089" s="111">
        <f t="shared" si="148"/>
        <v>67500</v>
      </c>
      <c r="O1089" s="111">
        <f t="shared" si="149"/>
        <v>13500</v>
      </c>
      <c r="P1089" s="111">
        <f t="shared" si="150"/>
        <v>15000</v>
      </c>
      <c r="Q1089" s="111">
        <v>30000</v>
      </c>
      <c r="R1089" s="111">
        <v>3</v>
      </c>
      <c r="S1089" s="111">
        <f t="shared" si="151"/>
        <v>3000</v>
      </c>
      <c r="T1089" s="111">
        <f t="shared" si="152"/>
        <v>180000</v>
      </c>
      <c r="U1089" s="111">
        <f t="shared" si="153"/>
        <v>1800</v>
      </c>
      <c r="V1089" s="111">
        <f t="shared" si="154"/>
        <v>181800</v>
      </c>
      <c r="W1089" t="s">
        <v>3548</v>
      </c>
    </row>
    <row r="1090" spans="1:23" x14ac:dyDescent="0.3">
      <c r="A1090" s="110">
        <v>1500503</v>
      </c>
      <c r="B1090" s="110" t="s">
        <v>1235</v>
      </c>
      <c r="C1090" s="110" t="s">
        <v>1290</v>
      </c>
      <c r="D1090" s="110" t="s">
        <v>1291</v>
      </c>
      <c r="E1090" s="110" t="s">
        <v>184</v>
      </c>
      <c r="F1090" s="110" t="s">
        <v>113</v>
      </c>
      <c r="G1090" s="110" t="s">
        <v>114</v>
      </c>
      <c r="H1090" s="111">
        <v>110</v>
      </c>
      <c r="I1090" s="111">
        <v>99</v>
      </c>
      <c r="J1090" s="111">
        <v>86</v>
      </c>
      <c r="K1090" s="111">
        <f t="shared" ref="K1090:K1153" si="155">+(H1090+I1090+J1090)/3</f>
        <v>98.333333333333329</v>
      </c>
      <c r="L1090" s="111">
        <v>150000</v>
      </c>
      <c r="M1090" s="111">
        <f t="shared" ref="M1090:M1153" si="156">+L1090*0.45</f>
        <v>67500</v>
      </c>
      <c r="N1090" s="111">
        <f t="shared" ref="N1090:N1153" si="157">+L1090*0.45</f>
        <v>67500</v>
      </c>
      <c r="O1090" s="111">
        <f t="shared" ref="O1090:O1153" si="158">+N1090*0.2</f>
        <v>13500</v>
      </c>
      <c r="P1090" s="111">
        <f t="shared" ref="P1090:P1153" si="159">++L1090*0.1</f>
        <v>15000</v>
      </c>
      <c r="Q1090" s="111">
        <v>30000</v>
      </c>
      <c r="R1090" s="111">
        <v>3</v>
      </c>
      <c r="S1090" s="111">
        <f t="shared" ref="S1090:S1153" si="160">+Q1090*0.1</f>
        <v>3000</v>
      </c>
      <c r="T1090" s="111">
        <f t="shared" ref="T1090:T1153" si="161">+L1090+Q1090</f>
        <v>180000</v>
      </c>
      <c r="U1090" s="111">
        <f t="shared" ref="U1090:U1153" si="162">+T1090*0.01</f>
        <v>1800</v>
      </c>
      <c r="V1090" s="111">
        <f t="shared" ref="V1090:V1153" si="163">+T1090+U1090</f>
        <v>181800</v>
      </c>
      <c r="W1090" t="s">
        <v>3549</v>
      </c>
    </row>
    <row r="1091" spans="1:23" x14ac:dyDescent="0.3">
      <c r="A1091" s="110">
        <v>1500504</v>
      </c>
      <c r="B1091" s="110" t="s">
        <v>1235</v>
      </c>
      <c r="C1091" s="110" t="s">
        <v>1290</v>
      </c>
      <c r="D1091" s="110" t="s">
        <v>1292</v>
      </c>
      <c r="E1091" s="110" t="s">
        <v>201</v>
      </c>
      <c r="F1091" s="110" t="s">
        <v>113</v>
      </c>
      <c r="G1091" s="110" t="s">
        <v>114</v>
      </c>
      <c r="H1091" s="111">
        <v>129</v>
      </c>
      <c r="I1091" s="111">
        <v>123</v>
      </c>
      <c r="J1091" s="111">
        <v>134</v>
      </c>
      <c r="K1091" s="111">
        <f t="shared" si="155"/>
        <v>128.66666666666666</v>
      </c>
      <c r="L1091" s="111">
        <v>150000</v>
      </c>
      <c r="M1091" s="111">
        <f t="shared" si="156"/>
        <v>67500</v>
      </c>
      <c r="N1091" s="111">
        <f t="shared" si="157"/>
        <v>67500</v>
      </c>
      <c r="O1091" s="111">
        <f t="shared" si="158"/>
        <v>13500</v>
      </c>
      <c r="P1091" s="111">
        <f t="shared" si="159"/>
        <v>15000</v>
      </c>
      <c r="Q1091" s="111">
        <v>30000</v>
      </c>
      <c r="R1091" s="111">
        <v>3</v>
      </c>
      <c r="S1091" s="111">
        <f t="shared" si="160"/>
        <v>3000</v>
      </c>
      <c r="T1091" s="111">
        <f t="shared" si="161"/>
        <v>180000</v>
      </c>
      <c r="U1091" s="111">
        <f t="shared" si="162"/>
        <v>1800</v>
      </c>
      <c r="V1091" s="111">
        <f t="shared" si="163"/>
        <v>181800</v>
      </c>
      <c r="W1091" t="s">
        <v>3550</v>
      </c>
    </row>
    <row r="1092" spans="1:23" x14ac:dyDescent="0.3">
      <c r="A1092" s="110">
        <v>1500505</v>
      </c>
      <c r="B1092" s="110" t="s">
        <v>1235</v>
      </c>
      <c r="C1092" s="110" t="s">
        <v>1290</v>
      </c>
      <c r="D1092" s="110" t="s">
        <v>1293</v>
      </c>
      <c r="E1092" s="110" t="s">
        <v>201</v>
      </c>
      <c r="F1092" s="110" t="s">
        <v>113</v>
      </c>
      <c r="G1092" s="110" t="s">
        <v>114</v>
      </c>
      <c r="H1092" s="111">
        <v>75</v>
      </c>
      <c r="I1092" s="111">
        <v>73</v>
      </c>
      <c r="J1092" s="111">
        <v>74</v>
      </c>
      <c r="K1092" s="111">
        <f t="shared" si="155"/>
        <v>74</v>
      </c>
      <c r="L1092" s="111">
        <v>150000</v>
      </c>
      <c r="M1092" s="111">
        <f t="shared" si="156"/>
        <v>67500</v>
      </c>
      <c r="N1092" s="111">
        <f t="shared" si="157"/>
        <v>67500</v>
      </c>
      <c r="O1092" s="111">
        <f t="shared" si="158"/>
        <v>13500</v>
      </c>
      <c r="P1092" s="111">
        <f t="shared" si="159"/>
        <v>15000</v>
      </c>
      <c r="Q1092" s="111">
        <v>30000</v>
      </c>
      <c r="R1092" s="111">
        <v>3</v>
      </c>
      <c r="S1092" s="111">
        <f t="shared" si="160"/>
        <v>3000</v>
      </c>
      <c r="T1092" s="111">
        <f t="shared" si="161"/>
        <v>180000</v>
      </c>
      <c r="U1092" s="111">
        <f t="shared" si="162"/>
        <v>1800</v>
      </c>
      <c r="V1092" s="111">
        <f t="shared" si="163"/>
        <v>181800</v>
      </c>
      <c r="W1092" t="s">
        <v>3551</v>
      </c>
    </row>
    <row r="1093" spans="1:23" x14ac:dyDescent="0.3">
      <c r="A1093" s="110">
        <v>1500506</v>
      </c>
      <c r="B1093" s="110" t="s">
        <v>1235</v>
      </c>
      <c r="C1093" s="110" t="s">
        <v>1290</v>
      </c>
      <c r="D1093" s="110" t="s">
        <v>1294</v>
      </c>
      <c r="E1093" s="110" t="s">
        <v>203</v>
      </c>
      <c r="F1093" s="110" t="s">
        <v>113</v>
      </c>
      <c r="G1093" s="110" t="s">
        <v>114</v>
      </c>
      <c r="H1093" s="111">
        <v>71</v>
      </c>
      <c r="I1093" s="111">
        <v>64</v>
      </c>
      <c r="J1093" s="111">
        <v>68</v>
      </c>
      <c r="K1093" s="111">
        <f t="shared" si="155"/>
        <v>67.666666666666671</v>
      </c>
      <c r="L1093" s="111">
        <v>150000</v>
      </c>
      <c r="M1093" s="111">
        <f t="shared" si="156"/>
        <v>67500</v>
      </c>
      <c r="N1093" s="111">
        <f t="shared" si="157"/>
        <v>67500</v>
      </c>
      <c r="O1093" s="111">
        <f t="shared" si="158"/>
        <v>13500</v>
      </c>
      <c r="P1093" s="111">
        <f t="shared" si="159"/>
        <v>15000</v>
      </c>
      <c r="Q1093" s="111">
        <v>30000</v>
      </c>
      <c r="R1093" s="111">
        <v>3</v>
      </c>
      <c r="S1093" s="111">
        <f t="shared" si="160"/>
        <v>3000</v>
      </c>
      <c r="T1093" s="111">
        <f t="shared" si="161"/>
        <v>180000</v>
      </c>
      <c r="U1093" s="111">
        <f t="shared" si="162"/>
        <v>1800</v>
      </c>
      <c r="V1093" s="111">
        <f t="shared" si="163"/>
        <v>181800</v>
      </c>
      <c r="W1093" t="s">
        <v>3552</v>
      </c>
    </row>
    <row r="1094" spans="1:23" x14ac:dyDescent="0.3">
      <c r="A1094" s="110">
        <v>1500507</v>
      </c>
      <c r="B1094" s="110" t="s">
        <v>1235</v>
      </c>
      <c r="C1094" s="110" t="s">
        <v>1290</v>
      </c>
      <c r="D1094" s="110" t="s">
        <v>1290</v>
      </c>
      <c r="E1094" s="110" t="s">
        <v>272</v>
      </c>
      <c r="F1094" s="110" t="s">
        <v>119</v>
      </c>
      <c r="G1094" s="110" t="s">
        <v>114</v>
      </c>
      <c r="H1094" s="111">
        <v>176</v>
      </c>
      <c r="I1094" s="111">
        <v>176</v>
      </c>
      <c r="J1094" s="111">
        <v>169</v>
      </c>
      <c r="K1094" s="111">
        <f t="shared" si="155"/>
        <v>173.66666666666666</v>
      </c>
      <c r="L1094" s="111">
        <v>150000</v>
      </c>
      <c r="M1094" s="111">
        <f t="shared" si="156"/>
        <v>67500</v>
      </c>
      <c r="N1094" s="111">
        <f t="shared" si="157"/>
        <v>67500</v>
      </c>
      <c r="O1094" s="111">
        <f t="shared" si="158"/>
        <v>13500</v>
      </c>
      <c r="P1094" s="111">
        <f t="shared" si="159"/>
        <v>15000</v>
      </c>
      <c r="Q1094" s="111">
        <v>30000</v>
      </c>
      <c r="R1094" s="111">
        <v>3</v>
      </c>
      <c r="S1094" s="111">
        <f t="shared" si="160"/>
        <v>3000</v>
      </c>
      <c r="T1094" s="111">
        <f t="shared" si="161"/>
        <v>180000</v>
      </c>
      <c r="U1094" s="111">
        <f t="shared" si="162"/>
        <v>1800</v>
      </c>
      <c r="V1094" s="111">
        <f t="shared" si="163"/>
        <v>181800</v>
      </c>
      <c r="W1094" t="s">
        <v>3553</v>
      </c>
    </row>
    <row r="1095" spans="1:23" x14ac:dyDescent="0.3">
      <c r="A1095" s="110">
        <v>1500509</v>
      </c>
      <c r="B1095" s="110" t="s">
        <v>1235</v>
      </c>
      <c r="C1095" s="110" t="s">
        <v>1290</v>
      </c>
      <c r="D1095" s="110" t="s">
        <v>1290</v>
      </c>
      <c r="E1095" s="110" t="s">
        <v>1295</v>
      </c>
      <c r="F1095" s="110" t="s">
        <v>117</v>
      </c>
      <c r="G1095" s="110" t="s">
        <v>114</v>
      </c>
      <c r="H1095" s="111">
        <v>291</v>
      </c>
      <c r="I1095" s="111">
        <v>264</v>
      </c>
      <c r="J1095" s="111">
        <v>205</v>
      </c>
      <c r="K1095" s="111">
        <f t="shared" si="155"/>
        <v>253.33333333333334</v>
      </c>
      <c r="L1095" s="111">
        <v>200000</v>
      </c>
      <c r="M1095" s="111">
        <f t="shared" si="156"/>
        <v>90000</v>
      </c>
      <c r="N1095" s="111">
        <f t="shared" si="157"/>
        <v>90000</v>
      </c>
      <c r="O1095" s="111">
        <f t="shared" si="158"/>
        <v>18000</v>
      </c>
      <c r="P1095" s="111">
        <f t="shared" si="159"/>
        <v>20000</v>
      </c>
      <c r="Q1095" s="111">
        <v>50000</v>
      </c>
      <c r="R1095" s="111">
        <v>5</v>
      </c>
      <c r="S1095" s="111">
        <f t="shared" si="160"/>
        <v>5000</v>
      </c>
      <c r="T1095" s="111">
        <f t="shared" si="161"/>
        <v>250000</v>
      </c>
      <c r="U1095" s="111">
        <f t="shared" si="162"/>
        <v>2500</v>
      </c>
      <c r="V1095" s="111">
        <f t="shared" si="163"/>
        <v>252500</v>
      </c>
      <c r="W1095" t="s">
        <v>3554</v>
      </c>
    </row>
    <row r="1096" spans="1:23" x14ac:dyDescent="0.3">
      <c r="A1096" s="110">
        <v>1500510</v>
      </c>
      <c r="B1096" s="110" t="s">
        <v>1235</v>
      </c>
      <c r="C1096" s="110" t="s">
        <v>1290</v>
      </c>
      <c r="D1096" s="110" t="s">
        <v>1290</v>
      </c>
      <c r="E1096" s="110" t="s">
        <v>1296</v>
      </c>
      <c r="F1096" s="110" t="s">
        <v>135</v>
      </c>
      <c r="G1096" s="110" t="s">
        <v>125</v>
      </c>
      <c r="H1096" s="111">
        <v>51</v>
      </c>
      <c r="I1096" s="111">
        <v>47</v>
      </c>
      <c r="J1096" s="111">
        <v>54</v>
      </c>
      <c r="K1096" s="111">
        <f t="shared" si="155"/>
        <v>50.666666666666664</v>
      </c>
      <c r="L1096" s="111">
        <v>150000</v>
      </c>
      <c r="M1096" s="111">
        <f t="shared" si="156"/>
        <v>67500</v>
      </c>
      <c r="N1096" s="111">
        <f t="shared" si="157"/>
        <v>67500</v>
      </c>
      <c r="O1096" s="111">
        <f t="shared" si="158"/>
        <v>13500</v>
      </c>
      <c r="P1096" s="111">
        <f t="shared" si="159"/>
        <v>15000</v>
      </c>
      <c r="Q1096" s="111">
        <v>30000</v>
      </c>
      <c r="R1096" s="111">
        <v>3</v>
      </c>
      <c r="S1096" s="111">
        <f t="shared" si="160"/>
        <v>3000</v>
      </c>
      <c r="T1096" s="111">
        <f t="shared" si="161"/>
        <v>180000</v>
      </c>
      <c r="U1096" s="111">
        <f t="shared" si="162"/>
        <v>1800</v>
      </c>
      <c r="V1096" s="111">
        <f t="shared" si="163"/>
        <v>181800</v>
      </c>
      <c r="W1096" t="s">
        <v>3555</v>
      </c>
    </row>
    <row r="1097" spans="1:23" x14ac:dyDescent="0.3">
      <c r="A1097" s="110">
        <v>1500602</v>
      </c>
      <c r="B1097" s="110" t="s">
        <v>1235</v>
      </c>
      <c r="C1097" s="110" t="s">
        <v>1297</v>
      </c>
      <c r="D1097" s="110" t="s">
        <v>1297</v>
      </c>
      <c r="E1097" s="110" t="s">
        <v>875</v>
      </c>
      <c r="F1097" s="110" t="s">
        <v>113</v>
      </c>
      <c r="G1097" s="110" t="s">
        <v>114</v>
      </c>
      <c r="H1097" s="111">
        <v>308</v>
      </c>
      <c r="I1097" s="111">
        <v>318</v>
      </c>
      <c r="J1097" s="111">
        <v>300</v>
      </c>
      <c r="K1097" s="111">
        <f t="shared" si="155"/>
        <v>308.66666666666669</v>
      </c>
      <c r="L1097" s="111">
        <v>200000</v>
      </c>
      <c r="M1097" s="111">
        <f t="shared" si="156"/>
        <v>90000</v>
      </c>
      <c r="N1097" s="111">
        <f t="shared" si="157"/>
        <v>90000</v>
      </c>
      <c r="O1097" s="111">
        <f t="shared" si="158"/>
        <v>18000</v>
      </c>
      <c r="P1097" s="111">
        <f t="shared" si="159"/>
        <v>20000</v>
      </c>
      <c r="Q1097" s="111">
        <v>50000</v>
      </c>
      <c r="R1097" s="111">
        <v>5</v>
      </c>
      <c r="S1097" s="111">
        <f t="shared" si="160"/>
        <v>5000</v>
      </c>
      <c r="T1097" s="111">
        <f t="shared" si="161"/>
        <v>250000</v>
      </c>
      <c r="U1097" s="111">
        <f t="shared" si="162"/>
        <v>2500</v>
      </c>
      <c r="V1097" s="111">
        <f t="shared" si="163"/>
        <v>252500</v>
      </c>
      <c r="W1097" t="s">
        <v>3556</v>
      </c>
    </row>
    <row r="1098" spans="1:23" x14ac:dyDescent="0.3">
      <c r="A1098" s="110">
        <v>1500603</v>
      </c>
      <c r="B1098" s="110" t="s">
        <v>1235</v>
      </c>
      <c r="C1098" s="110" t="s">
        <v>1297</v>
      </c>
      <c r="D1098" s="110" t="s">
        <v>1298</v>
      </c>
      <c r="E1098" s="110" t="s">
        <v>184</v>
      </c>
      <c r="F1098" s="110" t="s">
        <v>113</v>
      </c>
      <c r="G1098" s="110" t="s">
        <v>114</v>
      </c>
      <c r="H1098" s="111">
        <v>97</v>
      </c>
      <c r="I1098" s="111">
        <v>85</v>
      </c>
      <c r="J1098" s="111">
        <v>82</v>
      </c>
      <c r="K1098" s="111">
        <f t="shared" si="155"/>
        <v>88</v>
      </c>
      <c r="L1098" s="111">
        <v>150000</v>
      </c>
      <c r="M1098" s="111">
        <f t="shared" si="156"/>
        <v>67500</v>
      </c>
      <c r="N1098" s="111">
        <f t="shared" si="157"/>
        <v>67500</v>
      </c>
      <c r="O1098" s="111">
        <f t="shared" si="158"/>
        <v>13500</v>
      </c>
      <c r="P1098" s="111">
        <f t="shared" si="159"/>
        <v>15000</v>
      </c>
      <c r="Q1098" s="111">
        <v>30000</v>
      </c>
      <c r="R1098" s="111">
        <v>3</v>
      </c>
      <c r="S1098" s="111">
        <f t="shared" si="160"/>
        <v>3000</v>
      </c>
      <c r="T1098" s="111">
        <f t="shared" si="161"/>
        <v>180000</v>
      </c>
      <c r="U1098" s="111">
        <f t="shared" si="162"/>
        <v>1800</v>
      </c>
      <c r="V1098" s="111">
        <f t="shared" si="163"/>
        <v>181800</v>
      </c>
      <c r="W1098" t="s">
        <v>3557</v>
      </c>
    </row>
    <row r="1099" spans="1:23" x14ac:dyDescent="0.3">
      <c r="A1099" s="110">
        <v>1500604</v>
      </c>
      <c r="B1099" s="110" t="s">
        <v>1235</v>
      </c>
      <c r="C1099" s="110" t="s">
        <v>1297</v>
      </c>
      <c r="D1099" s="110" t="s">
        <v>1299</v>
      </c>
      <c r="E1099" s="110" t="s">
        <v>184</v>
      </c>
      <c r="F1099" s="110" t="s">
        <v>113</v>
      </c>
      <c r="G1099" s="110" t="s">
        <v>114</v>
      </c>
      <c r="H1099" s="111">
        <v>50</v>
      </c>
      <c r="I1099" s="111">
        <v>48</v>
      </c>
      <c r="J1099" s="111">
        <v>41</v>
      </c>
      <c r="K1099" s="111">
        <f t="shared" si="155"/>
        <v>46.333333333333336</v>
      </c>
      <c r="L1099" s="111">
        <v>50000</v>
      </c>
      <c r="M1099" s="111">
        <f t="shared" si="156"/>
        <v>22500</v>
      </c>
      <c r="N1099" s="111">
        <f t="shared" si="157"/>
        <v>22500</v>
      </c>
      <c r="O1099" s="111">
        <f t="shared" si="158"/>
        <v>4500</v>
      </c>
      <c r="P1099" s="111">
        <f t="shared" si="159"/>
        <v>5000</v>
      </c>
      <c r="Q1099" s="111">
        <v>10000</v>
      </c>
      <c r="R1099" s="111">
        <v>1</v>
      </c>
      <c r="S1099" s="111">
        <f t="shared" si="160"/>
        <v>1000</v>
      </c>
      <c r="T1099" s="111">
        <f t="shared" si="161"/>
        <v>60000</v>
      </c>
      <c r="U1099" s="111">
        <f t="shared" si="162"/>
        <v>600</v>
      </c>
      <c r="V1099" s="111">
        <f t="shared" si="163"/>
        <v>60600</v>
      </c>
      <c r="W1099" t="s">
        <v>3558</v>
      </c>
    </row>
    <row r="1100" spans="1:23" x14ac:dyDescent="0.3">
      <c r="A1100" s="110">
        <v>1500608</v>
      </c>
      <c r="B1100" s="110" t="s">
        <v>1235</v>
      </c>
      <c r="C1100" s="110" t="s">
        <v>1297</v>
      </c>
      <c r="D1100" s="110" t="s">
        <v>1300</v>
      </c>
      <c r="E1100" s="110" t="s">
        <v>203</v>
      </c>
      <c r="F1100" s="110" t="s">
        <v>113</v>
      </c>
      <c r="G1100" s="110" t="s">
        <v>114</v>
      </c>
      <c r="H1100" s="111">
        <v>81</v>
      </c>
      <c r="I1100" s="111">
        <v>74</v>
      </c>
      <c r="J1100" s="111">
        <v>69</v>
      </c>
      <c r="K1100" s="111">
        <f t="shared" si="155"/>
        <v>74.666666666666671</v>
      </c>
      <c r="L1100" s="111">
        <v>150000</v>
      </c>
      <c r="M1100" s="111">
        <f t="shared" si="156"/>
        <v>67500</v>
      </c>
      <c r="N1100" s="111">
        <f t="shared" si="157"/>
        <v>67500</v>
      </c>
      <c r="O1100" s="111">
        <f t="shared" si="158"/>
        <v>13500</v>
      </c>
      <c r="P1100" s="111">
        <f t="shared" si="159"/>
        <v>15000</v>
      </c>
      <c r="Q1100" s="111">
        <v>30000</v>
      </c>
      <c r="R1100" s="111">
        <v>3</v>
      </c>
      <c r="S1100" s="111">
        <f t="shared" si="160"/>
        <v>3000</v>
      </c>
      <c r="T1100" s="111">
        <f t="shared" si="161"/>
        <v>180000</v>
      </c>
      <c r="U1100" s="111">
        <f t="shared" si="162"/>
        <v>1800</v>
      </c>
      <c r="V1100" s="111">
        <f t="shared" si="163"/>
        <v>181800</v>
      </c>
      <c r="W1100" t="s">
        <v>3559</v>
      </c>
    </row>
    <row r="1101" spans="1:23" x14ac:dyDescent="0.3">
      <c r="A1101" s="110">
        <v>1500611</v>
      </c>
      <c r="B1101" s="110" t="s">
        <v>1235</v>
      </c>
      <c r="C1101" s="110" t="s">
        <v>1297</v>
      </c>
      <c r="D1101" s="110" t="s">
        <v>1297</v>
      </c>
      <c r="E1101" s="110" t="s">
        <v>1301</v>
      </c>
      <c r="F1101" s="110" t="s">
        <v>119</v>
      </c>
      <c r="G1101" s="110" t="s">
        <v>114</v>
      </c>
      <c r="H1101" s="111">
        <v>549</v>
      </c>
      <c r="I1101" s="111">
        <v>548</v>
      </c>
      <c r="J1101" s="111">
        <v>512</v>
      </c>
      <c r="K1101" s="111">
        <f t="shared" si="155"/>
        <v>536.33333333333337</v>
      </c>
      <c r="L1101" s="111">
        <f>300000</f>
        <v>300000</v>
      </c>
      <c r="M1101" s="111">
        <f t="shared" si="156"/>
        <v>135000</v>
      </c>
      <c r="N1101" s="111">
        <f t="shared" si="157"/>
        <v>135000</v>
      </c>
      <c r="O1101" s="111">
        <f t="shared" si="158"/>
        <v>27000</v>
      </c>
      <c r="P1101" s="111">
        <f t="shared" si="159"/>
        <v>30000</v>
      </c>
      <c r="Q1101" s="111">
        <v>60000</v>
      </c>
      <c r="R1101" s="111">
        <v>6</v>
      </c>
      <c r="S1101" s="111">
        <f t="shared" si="160"/>
        <v>6000</v>
      </c>
      <c r="T1101" s="111">
        <f t="shared" si="161"/>
        <v>360000</v>
      </c>
      <c r="U1101" s="111">
        <f t="shared" si="162"/>
        <v>3600</v>
      </c>
      <c r="V1101" s="111">
        <f t="shared" si="163"/>
        <v>363600</v>
      </c>
      <c r="W1101" t="s">
        <v>3560</v>
      </c>
    </row>
    <row r="1102" spans="1:23" x14ac:dyDescent="0.3">
      <c r="A1102" s="110">
        <v>1500613</v>
      </c>
      <c r="B1102" s="110" t="s">
        <v>1235</v>
      </c>
      <c r="C1102" s="110" t="s">
        <v>1297</v>
      </c>
      <c r="D1102" s="110" t="s">
        <v>1297</v>
      </c>
      <c r="E1102" s="110" t="s">
        <v>1302</v>
      </c>
      <c r="F1102" s="110" t="s">
        <v>117</v>
      </c>
      <c r="G1102" s="110" t="s">
        <v>114</v>
      </c>
      <c r="H1102" s="111">
        <v>139</v>
      </c>
      <c r="I1102" s="111">
        <v>132</v>
      </c>
      <c r="J1102" s="111">
        <v>143</v>
      </c>
      <c r="K1102" s="111">
        <f t="shared" si="155"/>
        <v>138</v>
      </c>
      <c r="L1102" s="111">
        <v>150000</v>
      </c>
      <c r="M1102" s="111">
        <f t="shared" si="156"/>
        <v>67500</v>
      </c>
      <c r="N1102" s="111">
        <f t="shared" si="157"/>
        <v>67500</v>
      </c>
      <c r="O1102" s="111">
        <f t="shared" si="158"/>
        <v>13500</v>
      </c>
      <c r="P1102" s="111">
        <f t="shared" si="159"/>
        <v>15000</v>
      </c>
      <c r="Q1102" s="111">
        <v>30000</v>
      </c>
      <c r="R1102" s="111">
        <v>3</v>
      </c>
      <c r="S1102" s="111">
        <f t="shared" si="160"/>
        <v>3000</v>
      </c>
      <c r="T1102" s="111">
        <f t="shared" si="161"/>
        <v>180000</v>
      </c>
      <c r="U1102" s="111">
        <f t="shared" si="162"/>
        <v>1800</v>
      </c>
      <c r="V1102" s="111">
        <f t="shared" si="163"/>
        <v>181800</v>
      </c>
      <c r="W1102" t="s">
        <v>3561</v>
      </c>
    </row>
    <row r="1103" spans="1:23" x14ac:dyDescent="0.3">
      <c r="A1103" s="110">
        <v>1500702</v>
      </c>
      <c r="B1103" s="110" t="s">
        <v>1235</v>
      </c>
      <c r="C1103" s="110" t="s">
        <v>1303</v>
      </c>
      <c r="D1103" s="110" t="s">
        <v>1303</v>
      </c>
      <c r="E1103" s="110" t="s">
        <v>319</v>
      </c>
      <c r="F1103" s="110" t="s">
        <v>113</v>
      </c>
      <c r="G1103" s="110" t="s">
        <v>114</v>
      </c>
      <c r="H1103" s="111">
        <v>82</v>
      </c>
      <c r="I1103" s="111">
        <v>82</v>
      </c>
      <c r="J1103" s="111">
        <v>76</v>
      </c>
      <c r="K1103" s="111">
        <f t="shared" si="155"/>
        <v>80</v>
      </c>
      <c r="L1103" s="111">
        <v>150000</v>
      </c>
      <c r="M1103" s="111">
        <f t="shared" si="156"/>
        <v>67500</v>
      </c>
      <c r="N1103" s="111">
        <f t="shared" si="157"/>
        <v>67500</v>
      </c>
      <c r="O1103" s="111">
        <f t="shared" si="158"/>
        <v>13500</v>
      </c>
      <c r="P1103" s="111">
        <f t="shared" si="159"/>
        <v>15000</v>
      </c>
      <c r="Q1103" s="111">
        <v>30000</v>
      </c>
      <c r="R1103" s="111">
        <v>3</v>
      </c>
      <c r="S1103" s="111">
        <f t="shared" si="160"/>
        <v>3000</v>
      </c>
      <c r="T1103" s="111">
        <f t="shared" si="161"/>
        <v>180000</v>
      </c>
      <c r="U1103" s="111">
        <f t="shared" si="162"/>
        <v>1800</v>
      </c>
      <c r="V1103" s="111">
        <f t="shared" si="163"/>
        <v>181800</v>
      </c>
      <c r="W1103" t="s">
        <v>3562</v>
      </c>
    </row>
    <row r="1104" spans="1:23" x14ac:dyDescent="0.3">
      <c r="A1104" s="110">
        <v>1500705</v>
      </c>
      <c r="B1104" s="110" t="s">
        <v>1235</v>
      </c>
      <c r="C1104" s="110" t="s">
        <v>1303</v>
      </c>
      <c r="D1104" s="110" t="s">
        <v>1303</v>
      </c>
      <c r="E1104" s="110" t="s">
        <v>325</v>
      </c>
      <c r="F1104" s="110" t="s">
        <v>119</v>
      </c>
      <c r="G1104" s="110" t="s">
        <v>114</v>
      </c>
      <c r="H1104" s="111">
        <v>393</v>
      </c>
      <c r="I1104" s="111">
        <v>384</v>
      </c>
      <c r="J1104" s="111">
        <v>402</v>
      </c>
      <c r="K1104" s="111">
        <f t="shared" si="155"/>
        <v>393</v>
      </c>
      <c r="L1104" s="111">
        <v>200000</v>
      </c>
      <c r="M1104" s="111">
        <f t="shared" si="156"/>
        <v>90000</v>
      </c>
      <c r="N1104" s="111">
        <f t="shared" si="157"/>
        <v>90000</v>
      </c>
      <c r="O1104" s="111">
        <f t="shared" si="158"/>
        <v>18000</v>
      </c>
      <c r="P1104" s="111">
        <f t="shared" si="159"/>
        <v>20000</v>
      </c>
      <c r="Q1104" s="111">
        <v>50000</v>
      </c>
      <c r="R1104" s="111">
        <v>5</v>
      </c>
      <c r="S1104" s="111">
        <f t="shared" si="160"/>
        <v>5000</v>
      </c>
      <c r="T1104" s="111">
        <f t="shared" si="161"/>
        <v>250000</v>
      </c>
      <c r="U1104" s="111">
        <f t="shared" si="162"/>
        <v>2500</v>
      </c>
      <c r="V1104" s="111">
        <f t="shared" si="163"/>
        <v>252500</v>
      </c>
      <c r="W1104" t="s">
        <v>3563</v>
      </c>
    </row>
    <row r="1105" spans="1:23" x14ac:dyDescent="0.3">
      <c r="A1105" s="110">
        <v>1500706</v>
      </c>
      <c r="B1105" s="110" t="s">
        <v>1235</v>
      </c>
      <c r="C1105" s="110" t="s">
        <v>1303</v>
      </c>
      <c r="D1105" s="110" t="s">
        <v>1303</v>
      </c>
      <c r="E1105" s="110" t="s">
        <v>1304</v>
      </c>
      <c r="F1105" s="110" t="s">
        <v>117</v>
      </c>
      <c r="G1105" s="110" t="s">
        <v>125</v>
      </c>
      <c r="H1105" s="111">
        <v>56</v>
      </c>
      <c r="I1105" s="111">
        <v>45</v>
      </c>
      <c r="J1105" s="111">
        <v>47</v>
      </c>
      <c r="K1105" s="111">
        <f t="shared" si="155"/>
        <v>49.333333333333336</v>
      </c>
      <c r="L1105" s="111">
        <v>50000</v>
      </c>
      <c r="M1105" s="111">
        <f t="shared" si="156"/>
        <v>22500</v>
      </c>
      <c r="N1105" s="111">
        <f t="shared" si="157"/>
        <v>22500</v>
      </c>
      <c r="O1105" s="111">
        <f t="shared" si="158"/>
        <v>4500</v>
      </c>
      <c r="P1105" s="111">
        <f t="shared" si="159"/>
        <v>5000</v>
      </c>
      <c r="Q1105" s="111">
        <v>10000</v>
      </c>
      <c r="R1105" s="111">
        <v>1</v>
      </c>
      <c r="S1105" s="111">
        <f t="shared" si="160"/>
        <v>1000</v>
      </c>
      <c r="T1105" s="111">
        <f t="shared" si="161"/>
        <v>60000</v>
      </c>
      <c r="U1105" s="111">
        <f t="shared" si="162"/>
        <v>600</v>
      </c>
      <c r="V1105" s="111">
        <f t="shared" si="163"/>
        <v>60600</v>
      </c>
      <c r="W1105" t="s">
        <v>3564</v>
      </c>
    </row>
    <row r="1106" spans="1:23" x14ac:dyDescent="0.3">
      <c r="A1106" s="110">
        <v>1500804</v>
      </c>
      <c r="B1106" s="110" t="s">
        <v>1235</v>
      </c>
      <c r="C1106" s="110" t="s">
        <v>1305</v>
      </c>
      <c r="D1106" s="110" t="s">
        <v>1306</v>
      </c>
      <c r="E1106" s="110" t="s">
        <v>184</v>
      </c>
      <c r="F1106" s="110" t="s">
        <v>113</v>
      </c>
      <c r="G1106" s="110" t="s">
        <v>114</v>
      </c>
      <c r="H1106" s="111">
        <v>75</v>
      </c>
      <c r="I1106" s="111">
        <v>83</v>
      </c>
      <c r="J1106" s="111">
        <v>65</v>
      </c>
      <c r="K1106" s="111">
        <f t="shared" si="155"/>
        <v>74.333333333333329</v>
      </c>
      <c r="L1106" s="111">
        <v>150000</v>
      </c>
      <c r="M1106" s="111">
        <f t="shared" si="156"/>
        <v>67500</v>
      </c>
      <c r="N1106" s="111">
        <f t="shared" si="157"/>
        <v>67500</v>
      </c>
      <c r="O1106" s="111">
        <f t="shared" si="158"/>
        <v>13500</v>
      </c>
      <c r="P1106" s="111">
        <f t="shared" si="159"/>
        <v>15000</v>
      </c>
      <c r="Q1106" s="111">
        <v>30000</v>
      </c>
      <c r="R1106" s="111">
        <v>3</v>
      </c>
      <c r="S1106" s="111">
        <f t="shared" si="160"/>
        <v>3000</v>
      </c>
      <c r="T1106" s="111">
        <f t="shared" si="161"/>
        <v>180000</v>
      </c>
      <c r="U1106" s="111">
        <f t="shared" si="162"/>
        <v>1800</v>
      </c>
      <c r="V1106" s="111">
        <f t="shared" si="163"/>
        <v>181800</v>
      </c>
      <c r="W1106" t="s">
        <v>3565</v>
      </c>
    </row>
    <row r="1107" spans="1:23" x14ac:dyDescent="0.3">
      <c r="A1107" s="110">
        <v>1500807</v>
      </c>
      <c r="B1107" s="110" t="s">
        <v>1235</v>
      </c>
      <c r="C1107" s="110" t="s">
        <v>1305</v>
      </c>
      <c r="D1107" s="110" t="s">
        <v>1305</v>
      </c>
      <c r="E1107" s="110" t="s">
        <v>286</v>
      </c>
      <c r="F1107" s="110" t="s">
        <v>119</v>
      </c>
      <c r="G1107" s="110" t="s">
        <v>114</v>
      </c>
      <c r="H1107" s="111">
        <v>475</v>
      </c>
      <c r="I1107" s="111">
        <v>485</v>
      </c>
      <c r="J1107" s="111">
        <v>539</v>
      </c>
      <c r="K1107" s="111">
        <f t="shared" si="155"/>
        <v>499.66666666666669</v>
      </c>
      <c r="L1107" s="111">
        <f>300000</f>
        <v>300000</v>
      </c>
      <c r="M1107" s="111">
        <f t="shared" si="156"/>
        <v>135000</v>
      </c>
      <c r="N1107" s="111">
        <f t="shared" si="157"/>
        <v>135000</v>
      </c>
      <c r="O1107" s="111">
        <f t="shared" si="158"/>
        <v>27000</v>
      </c>
      <c r="P1107" s="111">
        <f t="shared" si="159"/>
        <v>30000</v>
      </c>
      <c r="Q1107" s="111">
        <v>60000</v>
      </c>
      <c r="R1107" s="111">
        <v>6</v>
      </c>
      <c r="S1107" s="111">
        <f t="shared" si="160"/>
        <v>6000</v>
      </c>
      <c r="T1107" s="111">
        <f t="shared" si="161"/>
        <v>360000</v>
      </c>
      <c r="U1107" s="111">
        <f t="shared" si="162"/>
        <v>3600</v>
      </c>
      <c r="V1107" s="111">
        <f t="shared" si="163"/>
        <v>363600</v>
      </c>
      <c r="W1107" t="s">
        <v>3566</v>
      </c>
    </row>
    <row r="1108" spans="1:23" x14ac:dyDescent="0.3">
      <c r="A1108" s="110">
        <v>1500808</v>
      </c>
      <c r="B1108" s="110" t="s">
        <v>1235</v>
      </c>
      <c r="C1108" s="110" t="s">
        <v>1305</v>
      </c>
      <c r="D1108" s="110" t="s">
        <v>1307</v>
      </c>
      <c r="E1108" s="110" t="s">
        <v>848</v>
      </c>
      <c r="F1108" s="110" t="s">
        <v>119</v>
      </c>
      <c r="G1108" s="110" t="s">
        <v>114</v>
      </c>
      <c r="H1108" s="111">
        <v>204</v>
      </c>
      <c r="I1108" s="111">
        <v>189</v>
      </c>
      <c r="J1108" s="111">
        <v>175</v>
      </c>
      <c r="K1108" s="111">
        <f t="shared" si="155"/>
        <v>189.33333333333334</v>
      </c>
      <c r="L1108" s="111">
        <v>150000</v>
      </c>
      <c r="M1108" s="111">
        <f t="shared" si="156"/>
        <v>67500</v>
      </c>
      <c r="N1108" s="111">
        <f t="shared" si="157"/>
        <v>67500</v>
      </c>
      <c r="O1108" s="111">
        <f t="shared" si="158"/>
        <v>13500</v>
      </c>
      <c r="P1108" s="111">
        <f t="shared" si="159"/>
        <v>15000</v>
      </c>
      <c r="Q1108" s="111">
        <v>30000</v>
      </c>
      <c r="R1108" s="111">
        <v>3</v>
      </c>
      <c r="S1108" s="111">
        <f t="shared" si="160"/>
        <v>3000</v>
      </c>
      <c r="T1108" s="111">
        <f t="shared" si="161"/>
        <v>180000</v>
      </c>
      <c r="U1108" s="111">
        <f t="shared" si="162"/>
        <v>1800</v>
      </c>
      <c r="V1108" s="111">
        <f t="shared" si="163"/>
        <v>181800</v>
      </c>
      <c r="W1108" t="s">
        <v>3567</v>
      </c>
    </row>
    <row r="1109" spans="1:23" x14ac:dyDescent="0.3">
      <c r="A1109" s="110">
        <v>1500903</v>
      </c>
      <c r="B1109" s="110" t="s">
        <v>1235</v>
      </c>
      <c r="C1109" s="110" t="s">
        <v>1308</v>
      </c>
      <c r="D1109" s="110" t="s">
        <v>1309</v>
      </c>
      <c r="E1109" s="110" t="s">
        <v>184</v>
      </c>
      <c r="F1109" s="110" t="s">
        <v>113</v>
      </c>
      <c r="G1109" s="110" t="s">
        <v>114</v>
      </c>
      <c r="H1109" s="111">
        <v>73</v>
      </c>
      <c r="I1109" s="111">
        <v>72</v>
      </c>
      <c r="J1109" s="111">
        <v>77</v>
      </c>
      <c r="K1109" s="111">
        <f t="shared" si="155"/>
        <v>74</v>
      </c>
      <c r="L1109" s="111">
        <v>150000</v>
      </c>
      <c r="M1109" s="111">
        <f t="shared" si="156"/>
        <v>67500</v>
      </c>
      <c r="N1109" s="111">
        <f t="shared" si="157"/>
        <v>67500</v>
      </c>
      <c r="O1109" s="111">
        <f t="shared" si="158"/>
        <v>13500</v>
      </c>
      <c r="P1109" s="111">
        <f t="shared" si="159"/>
        <v>15000</v>
      </c>
      <c r="Q1109" s="111">
        <v>30000</v>
      </c>
      <c r="R1109" s="111">
        <v>3</v>
      </c>
      <c r="S1109" s="111">
        <f t="shared" si="160"/>
        <v>3000</v>
      </c>
      <c r="T1109" s="111">
        <f t="shared" si="161"/>
        <v>180000</v>
      </c>
      <c r="U1109" s="111">
        <f t="shared" si="162"/>
        <v>1800</v>
      </c>
      <c r="V1109" s="111">
        <f t="shared" si="163"/>
        <v>181800</v>
      </c>
      <c r="W1109" t="s">
        <v>3568</v>
      </c>
    </row>
    <row r="1110" spans="1:23" x14ac:dyDescent="0.3">
      <c r="A1110" s="110">
        <v>1500905</v>
      </c>
      <c r="B1110" s="110" t="s">
        <v>1235</v>
      </c>
      <c r="C1110" s="110" t="s">
        <v>1308</v>
      </c>
      <c r="D1110" s="110" t="s">
        <v>1310</v>
      </c>
      <c r="E1110" s="110" t="s">
        <v>588</v>
      </c>
      <c r="F1110" s="110" t="s">
        <v>113</v>
      </c>
      <c r="G1110" s="110" t="s">
        <v>114</v>
      </c>
      <c r="H1110" s="111">
        <v>78</v>
      </c>
      <c r="I1110" s="111">
        <v>76</v>
      </c>
      <c r="J1110" s="111">
        <v>77</v>
      </c>
      <c r="K1110" s="111">
        <f t="shared" si="155"/>
        <v>77</v>
      </c>
      <c r="L1110" s="111">
        <v>150000</v>
      </c>
      <c r="M1110" s="111">
        <f t="shared" si="156"/>
        <v>67500</v>
      </c>
      <c r="N1110" s="111">
        <f t="shared" si="157"/>
        <v>67500</v>
      </c>
      <c r="O1110" s="111">
        <f t="shared" si="158"/>
        <v>13500</v>
      </c>
      <c r="P1110" s="111">
        <f t="shared" si="159"/>
        <v>15000</v>
      </c>
      <c r="Q1110" s="111">
        <v>30000</v>
      </c>
      <c r="R1110" s="111">
        <v>3</v>
      </c>
      <c r="S1110" s="111">
        <f t="shared" si="160"/>
        <v>3000</v>
      </c>
      <c r="T1110" s="111">
        <f t="shared" si="161"/>
        <v>180000</v>
      </c>
      <c r="U1110" s="111">
        <f t="shared" si="162"/>
        <v>1800</v>
      </c>
      <c r="V1110" s="111">
        <f t="shared" si="163"/>
        <v>181800</v>
      </c>
      <c r="W1110" t="s">
        <v>3569</v>
      </c>
    </row>
    <row r="1111" spans="1:23" x14ac:dyDescent="0.3">
      <c r="A1111" s="110">
        <v>1500906</v>
      </c>
      <c r="B1111" s="110" t="s">
        <v>1235</v>
      </c>
      <c r="C1111" s="110" t="s">
        <v>1308</v>
      </c>
      <c r="D1111" s="110" t="s">
        <v>1311</v>
      </c>
      <c r="E1111" s="110" t="s">
        <v>184</v>
      </c>
      <c r="F1111" s="110" t="s">
        <v>113</v>
      </c>
      <c r="G1111" s="110" t="s">
        <v>114</v>
      </c>
      <c r="H1111" s="111">
        <v>45</v>
      </c>
      <c r="I1111" s="111">
        <v>42</v>
      </c>
      <c r="J1111" s="111">
        <v>37</v>
      </c>
      <c r="K1111" s="111">
        <f t="shared" si="155"/>
        <v>41.333333333333336</v>
      </c>
      <c r="L1111" s="111">
        <v>50000</v>
      </c>
      <c r="M1111" s="111">
        <f t="shared" si="156"/>
        <v>22500</v>
      </c>
      <c r="N1111" s="111">
        <f t="shared" si="157"/>
        <v>22500</v>
      </c>
      <c r="O1111" s="111">
        <f t="shared" si="158"/>
        <v>4500</v>
      </c>
      <c r="P1111" s="111">
        <f t="shared" si="159"/>
        <v>5000</v>
      </c>
      <c r="Q1111" s="111">
        <v>10000</v>
      </c>
      <c r="R1111" s="111">
        <v>1</v>
      </c>
      <c r="S1111" s="111">
        <f t="shared" si="160"/>
        <v>1000</v>
      </c>
      <c r="T1111" s="111">
        <f t="shared" si="161"/>
        <v>60000</v>
      </c>
      <c r="U1111" s="111">
        <f t="shared" si="162"/>
        <v>600</v>
      </c>
      <c r="V1111" s="111">
        <f t="shared" si="163"/>
        <v>60600</v>
      </c>
      <c r="W1111" t="s">
        <v>3570</v>
      </c>
    </row>
    <row r="1112" spans="1:23" x14ac:dyDescent="0.3">
      <c r="A1112" s="110">
        <v>1500907</v>
      </c>
      <c r="B1112" s="110" t="s">
        <v>1235</v>
      </c>
      <c r="C1112" s="110" t="s">
        <v>1308</v>
      </c>
      <c r="D1112" s="110" t="s">
        <v>1312</v>
      </c>
      <c r="E1112" s="110" t="s">
        <v>404</v>
      </c>
      <c r="F1112" s="110" t="s">
        <v>113</v>
      </c>
      <c r="G1112" s="110" t="s">
        <v>114</v>
      </c>
      <c r="H1112" s="111">
        <v>42</v>
      </c>
      <c r="I1112" s="111">
        <v>36</v>
      </c>
      <c r="J1112" s="111">
        <v>33</v>
      </c>
      <c r="K1112" s="111">
        <f t="shared" si="155"/>
        <v>37</v>
      </c>
      <c r="L1112" s="111">
        <v>50000</v>
      </c>
      <c r="M1112" s="111">
        <f t="shared" si="156"/>
        <v>22500</v>
      </c>
      <c r="N1112" s="111">
        <f t="shared" si="157"/>
        <v>22500</v>
      </c>
      <c r="O1112" s="111">
        <f t="shared" si="158"/>
        <v>4500</v>
      </c>
      <c r="P1112" s="111">
        <f t="shared" si="159"/>
        <v>5000</v>
      </c>
      <c r="Q1112" s="111">
        <v>10000</v>
      </c>
      <c r="R1112" s="111">
        <v>1</v>
      </c>
      <c r="S1112" s="111">
        <f t="shared" si="160"/>
        <v>1000</v>
      </c>
      <c r="T1112" s="111">
        <f t="shared" si="161"/>
        <v>60000</v>
      </c>
      <c r="U1112" s="111">
        <f t="shared" si="162"/>
        <v>600</v>
      </c>
      <c r="V1112" s="111">
        <f t="shared" si="163"/>
        <v>60600</v>
      </c>
      <c r="W1112" t="s">
        <v>3571</v>
      </c>
    </row>
    <row r="1113" spans="1:23" x14ac:dyDescent="0.3">
      <c r="A1113" s="110">
        <v>1500908</v>
      </c>
      <c r="B1113" s="110" t="s">
        <v>1235</v>
      </c>
      <c r="C1113" s="110" t="s">
        <v>1308</v>
      </c>
      <c r="D1113" s="110" t="s">
        <v>1313</v>
      </c>
      <c r="E1113" s="110" t="s">
        <v>353</v>
      </c>
      <c r="F1113" s="110" t="s">
        <v>113</v>
      </c>
      <c r="G1113" s="110" t="s">
        <v>114</v>
      </c>
      <c r="H1113" s="111">
        <v>80</v>
      </c>
      <c r="I1113" s="111">
        <v>71</v>
      </c>
      <c r="J1113" s="111">
        <v>72</v>
      </c>
      <c r="K1113" s="111">
        <f t="shared" si="155"/>
        <v>74.333333333333329</v>
      </c>
      <c r="L1113" s="111">
        <v>150000</v>
      </c>
      <c r="M1113" s="111">
        <f t="shared" si="156"/>
        <v>67500</v>
      </c>
      <c r="N1113" s="111">
        <f t="shared" si="157"/>
        <v>67500</v>
      </c>
      <c r="O1113" s="111">
        <f t="shared" si="158"/>
        <v>13500</v>
      </c>
      <c r="P1113" s="111">
        <f t="shared" si="159"/>
        <v>15000</v>
      </c>
      <c r="Q1113" s="111">
        <v>30000</v>
      </c>
      <c r="R1113" s="111">
        <v>3</v>
      </c>
      <c r="S1113" s="111">
        <f t="shared" si="160"/>
        <v>3000</v>
      </c>
      <c r="T1113" s="111">
        <f t="shared" si="161"/>
        <v>180000</v>
      </c>
      <c r="U1113" s="111">
        <f t="shared" si="162"/>
        <v>1800</v>
      </c>
      <c r="V1113" s="111">
        <f t="shared" si="163"/>
        <v>181800</v>
      </c>
      <c r="W1113" t="s">
        <v>3572</v>
      </c>
    </row>
    <row r="1114" spans="1:23" x14ac:dyDescent="0.3">
      <c r="A1114" s="110">
        <v>1500913</v>
      </c>
      <c r="B1114" s="110" t="s">
        <v>1235</v>
      </c>
      <c r="C1114" s="110" t="s">
        <v>1308</v>
      </c>
      <c r="D1114" s="110" t="s">
        <v>1314</v>
      </c>
      <c r="E1114" s="110" t="s">
        <v>241</v>
      </c>
      <c r="F1114" s="110" t="s">
        <v>113</v>
      </c>
      <c r="G1114" s="110" t="s">
        <v>114</v>
      </c>
      <c r="H1114" s="111">
        <v>112</v>
      </c>
      <c r="I1114" s="111">
        <v>100</v>
      </c>
      <c r="J1114" s="111">
        <v>87</v>
      </c>
      <c r="K1114" s="111">
        <f t="shared" si="155"/>
        <v>99.666666666666671</v>
      </c>
      <c r="L1114" s="111">
        <v>150000</v>
      </c>
      <c r="M1114" s="111">
        <f t="shared" si="156"/>
        <v>67500</v>
      </c>
      <c r="N1114" s="111">
        <f t="shared" si="157"/>
        <v>67500</v>
      </c>
      <c r="O1114" s="111">
        <f t="shared" si="158"/>
        <v>13500</v>
      </c>
      <c r="P1114" s="111">
        <f t="shared" si="159"/>
        <v>15000</v>
      </c>
      <c r="Q1114" s="111">
        <v>30000</v>
      </c>
      <c r="R1114" s="111">
        <v>3</v>
      </c>
      <c r="S1114" s="111">
        <f t="shared" si="160"/>
        <v>3000</v>
      </c>
      <c r="T1114" s="111">
        <f t="shared" si="161"/>
        <v>180000</v>
      </c>
      <c r="U1114" s="111">
        <f t="shared" si="162"/>
        <v>1800</v>
      </c>
      <c r="V1114" s="111">
        <f t="shared" si="163"/>
        <v>181800</v>
      </c>
      <c r="W1114" t="s">
        <v>3573</v>
      </c>
    </row>
    <row r="1115" spans="1:23" x14ac:dyDescent="0.3">
      <c r="A1115" s="110">
        <v>1500914</v>
      </c>
      <c r="B1115" s="110" t="s">
        <v>1235</v>
      </c>
      <c r="C1115" s="110" t="s">
        <v>1308</v>
      </c>
      <c r="D1115" s="110" t="s">
        <v>1308</v>
      </c>
      <c r="E1115" s="110" t="s">
        <v>1315</v>
      </c>
      <c r="F1115" s="110" t="s">
        <v>119</v>
      </c>
      <c r="G1115" s="110" t="s">
        <v>114</v>
      </c>
      <c r="H1115" s="111">
        <v>258</v>
      </c>
      <c r="I1115" s="111">
        <v>244</v>
      </c>
      <c r="J1115" s="111">
        <v>243</v>
      </c>
      <c r="K1115" s="111">
        <f t="shared" si="155"/>
        <v>248.33333333333334</v>
      </c>
      <c r="L1115" s="111">
        <v>200000</v>
      </c>
      <c r="M1115" s="111">
        <f t="shared" si="156"/>
        <v>90000</v>
      </c>
      <c r="N1115" s="111">
        <f t="shared" si="157"/>
        <v>90000</v>
      </c>
      <c r="O1115" s="111">
        <f t="shared" si="158"/>
        <v>18000</v>
      </c>
      <c r="P1115" s="111">
        <f t="shared" si="159"/>
        <v>20000</v>
      </c>
      <c r="Q1115" s="111">
        <v>50000</v>
      </c>
      <c r="R1115" s="111">
        <v>5</v>
      </c>
      <c r="S1115" s="111">
        <f t="shared" si="160"/>
        <v>5000</v>
      </c>
      <c r="T1115" s="111">
        <f t="shared" si="161"/>
        <v>250000</v>
      </c>
      <c r="U1115" s="111">
        <f t="shared" si="162"/>
        <v>2500</v>
      </c>
      <c r="V1115" s="111">
        <f t="shared" si="163"/>
        <v>252500</v>
      </c>
      <c r="W1115" t="s">
        <v>3574</v>
      </c>
    </row>
    <row r="1116" spans="1:23" x14ac:dyDescent="0.3">
      <c r="A1116" s="110">
        <v>1500915</v>
      </c>
      <c r="B1116" s="110" t="s">
        <v>1235</v>
      </c>
      <c r="C1116" s="110" t="s">
        <v>1308</v>
      </c>
      <c r="D1116" s="110" t="s">
        <v>1316</v>
      </c>
      <c r="E1116" s="110" t="s">
        <v>1317</v>
      </c>
      <c r="F1116" s="110" t="s">
        <v>119</v>
      </c>
      <c r="G1116" s="110" t="s">
        <v>114</v>
      </c>
      <c r="H1116" s="111">
        <v>403</v>
      </c>
      <c r="I1116" s="111">
        <v>397</v>
      </c>
      <c r="J1116" s="111">
        <v>407</v>
      </c>
      <c r="K1116" s="111">
        <f t="shared" si="155"/>
        <v>402.33333333333331</v>
      </c>
      <c r="L1116" s="111">
        <f>300000</f>
        <v>300000</v>
      </c>
      <c r="M1116" s="111">
        <f t="shared" si="156"/>
        <v>135000</v>
      </c>
      <c r="N1116" s="111">
        <f t="shared" si="157"/>
        <v>135000</v>
      </c>
      <c r="O1116" s="111">
        <f t="shared" si="158"/>
        <v>27000</v>
      </c>
      <c r="P1116" s="111">
        <f t="shared" si="159"/>
        <v>30000</v>
      </c>
      <c r="Q1116" s="111">
        <v>60000</v>
      </c>
      <c r="R1116" s="111">
        <v>6</v>
      </c>
      <c r="S1116" s="111">
        <f t="shared" si="160"/>
        <v>6000</v>
      </c>
      <c r="T1116" s="111">
        <f t="shared" si="161"/>
        <v>360000</v>
      </c>
      <c r="U1116" s="111">
        <f t="shared" si="162"/>
        <v>3600</v>
      </c>
      <c r="V1116" s="111">
        <f t="shared" si="163"/>
        <v>363600</v>
      </c>
      <c r="W1116" t="s">
        <v>3575</v>
      </c>
    </row>
    <row r="1117" spans="1:23" x14ac:dyDescent="0.3">
      <c r="A1117" s="110">
        <v>1500916</v>
      </c>
      <c r="B1117" s="110" t="s">
        <v>1235</v>
      </c>
      <c r="C1117" s="110" t="s">
        <v>1308</v>
      </c>
      <c r="D1117" s="110" t="s">
        <v>1318</v>
      </c>
      <c r="E1117" s="110" t="s">
        <v>1319</v>
      </c>
      <c r="F1117" s="110" t="s">
        <v>1158</v>
      </c>
      <c r="G1117" s="110" t="s">
        <v>125</v>
      </c>
      <c r="H1117" s="111">
        <v>14</v>
      </c>
      <c r="I1117" s="111">
        <v>14</v>
      </c>
      <c r="J1117" s="111">
        <v>10</v>
      </c>
      <c r="K1117" s="111">
        <f t="shared" si="155"/>
        <v>12.666666666666666</v>
      </c>
      <c r="L1117" s="111">
        <v>50000</v>
      </c>
      <c r="M1117" s="111">
        <f t="shared" si="156"/>
        <v>22500</v>
      </c>
      <c r="N1117" s="111">
        <f t="shared" si="157"/>
        <v>22500</v>
      </c>
      <c r="O1117" s="111">
        <f t="shared" si="158"/>
        <v>4500</v>
      </c>
      <c r="P1117" s="111">
        <f t="shared" si="159"/>
        <v>5000</v>
      </c>
      <c r="Q1117" s="111">
        <v>10000</v>
      </c>
      <c r="R1117" s="111">
        <v>1</v>
      </c>
      <c r="S1117" s="111">
        <f t="shared" si="160"/>
        <v>1000</v>
      </c>
      <c r="T1117" s="111">
        <f t="shared" si="161"/>
        <v>60000</v>
      </c>
      <c r="U1117" s="111">
        <f t="shared" si="162"/>
        <v>600</v>
      </c>
      <c r="V1117" s="111">
        <f t="shared" si="163"/>
        <v>60600</v>
      </c>
      <c r="W1117" t="s">
        <v>3576</v>
      </c>
    </row>
    <row r="1118" spans="1:23" x14ac:dyDescent="0.3">
      <c r="A1118" s="110">
        <v>1501006</v>
      </c>
      <c r="B1118" s="110" t="s">
        <v>1235</v>
      </c>
      <c r="C1118" s="110" t="s">
        <v>1320</v>
      </c>
      <c r="D1118" s="110" t="s">
        <v>1321</v>
      </c>
      <c r="E1118" s="110" t="s">
        <v>1322</v>
      </c>
      <c r="F1118" s="110" t="s">
        <v>113</v>
      </c>
      <c r="G1118" s="110" t="s">
        <v>114</v>
      </c>
      <c r="H1118" s="111">
        <v>109</v>
      </c>
      <c r="I1118" s="111">
        <v>107</v>
      </c>
      <c r="J1118" s="111">
        <v>113</v>
      </c>
      <c r="K1118" s="111">
        <f t="shared" si="155"/>
        <v>109.66666666666667</v>
      </c>
      <c r="L1118" s="111">
        <v>150000</v>
      </c>
      <c r="M1118" s="111">
        <f t="shared" si="156"/>
        <v>67500</v>
      </c>
      <c r="N1118" s="111">
        <f t="shared" si="157"/>
        <v>67500</v>
      </c>
      <c r="O1118" s="111">
        <f t="shared" si="158"/>
        <v>13500</v>
      </c>
      <c r="P1118" s="111">
        <f t="shared" si="159"/>
        <v>15000</v>
      </c>
      <c r="Q1118" s="111">
        <v>30000</v>
      </c>
      <c r="R1118" s="111">
        <v>3</v>
      </c>
      <c r="S1118" s="111">
        <f t="shared" si="160"/>
        <v>3000</v>
      </c>
      <c r="T1118" s="111">
        <f t="shared" si="161"/>
        <v>180000</v>
      </c>
      <c r="U1118" s="111">
        <f t="shared" si="162"/>
        <v>1800</v>
      </c>
      <c r="V1118" s="111">
        <f t="shared" si="163"/>
        <v>181800</v>
      </c>
      <c r="W1118" t="s">
        <v>3577</v>
      </c>
    </row>
    <row r="1119" spans="1:23" x14ac:dyDescent="0.3">
      <c r="A1119" s="110">
        <v>1501007</v>
      </c>
      <c r="B1119" s="110" t="s">
        <v>1235</v>
      </c>
      <c r="C1119" s="110" t="s">
        <v>1320</v>
      </c>
      <c r="D1119" s="110" t="s">
        <v>1320</v>
      </c>
      <c r="E1119" s="110" t="s">
        <v>272</v>
      </c>
      <c r="F1119" s="110" t="s">
        <v>119</v>
      </c>
      <c r="G1119" s="110" t="s">
        <v>114</v>
      </c>
      <c r="H1119" s="111">
        <v>311</v>
      </c>
      <c r="I1119" s="111">
        <v>302</v>
      </c>
      <c r="J1119" s="111">
        <v>277</v>
      </c>
      <c r="K1119" s="111">
        <f t="shared" si="155"/>
        <v>296.66666666666669</v>
      </c>
      <c r="L1119" s="111">
        <v>200000</v>
      </c>
      <c r="M1119" s="111">
        <f t="shared" si="156"/>
        <v>90000</v>
      </c>
      <c r="N1119" s="111">
        <f t="shared" si="157"/>
        <v>90000</v>
      </c>
      <c r="O1119" s="111">
        <f t="shared" si="158"/>
        <v>18000</v>
      </c>
      <c r="P1119" s="111">
        <f t="shared" si="159"/>
        <v>20000</v>
      </c>
      <c r="Q1119" s="111">
        <v>50000</v>
      </c>
      <c r="R1119" s="111">
        <v>5</v>
      </c>
      <c r="S1119" s="111">
        <f t="shared" si="160"/>
        <v>5000</v>
      </c>
      <c r="T1119" s="111">
        <f t="shared" si="161"/>
        <v>250000</v>
      </c>
      <c r="U1119" s="111">
        <f t="shared" si="162"/>
        <v>2500</v>
      </c>
      <c r="V1119" s="111">
        <f t="shared" si="163"/>
        <v>252500</v>
      </c>
      <c r="W1119" t="s">
        <v>3578</v>
      </c>
    </row>
    <row r="1120" spans="1:23" x14ac:dyDescent="0.3">
      <c r="A1120" s="110">
        <v>1501101</v>
      </c>
      <c r="B1120" s="110" t="s">
        <v>1235</v>
      </c>
      <c r="C1120" s="110" t="s">
        <v>1323</v>
      </c>
      <c r="D1120" s="110" t="s">
        <v>1323</v>
      </c>
      <c r="E1120" s="110" t="s">
        <v>1324</v>
      </c>
      <c r="F1120" s="110" t="s">
        <v>209</v>
      </c>
      <c r="G1120" s="110" t="s">
        <v>114</v>
      </c>
      <c r="H1120" s="111">
        <v>133</v>
      </c>
      <c r="I1120" s="111">
        <v>110</v>
      </c>
      <c r="J1120" s="111">
        <v>91</v>
      </c>
      <c r="K1120" s="111">
        <f t="shared" si="155"/>
        <v>111.33333333333333</v>
      </c>
      <c r="L1120" s="111">
        <v>150000</v>
      </c>
      <c r="M1120" s="111">
        <f t="shared" si="156"/>
        <v>67500</v>
      </c>
      <c r="N1120" s="111">
        <f t="shared" si="157"/>
        <v>67500</v>
      </c>
      <c r="O1120" s="111">
        <f t="shared" si="158"/>
        <v>13500</v>
      </c>
      <c r="P1120" s="111">
        <f t="shared" si="159"/>
        <v>15000</v>
      </c>
      <c r="Q1120" s="111">
        <v>30000</v>
      </c>
      <c r="R1120" s="111">
        <v>3</v>
      </c>
      <c r="S1120" s="111">
        <f t="shared" si="160"/>
        <v>3000</v>
      </c>
      <c r="T1120" s="111">
        <f t="shared" si="161"/>
        <v>180000</v>
      </c>
      <c r="U1120" s="111">
        <f t="shared" si="162"/>
        <v>1800</v>
      </c>
      <c r="V1120" s="111">
        <f t="shared" si="163"/>
        <v>181800</v>
      </c>
      <c r="W1120" t="s">
        <v>3579</v>
      </c>
    </row>
    <row r="1121" spans="1:23" x14ac:dyDescent="0.3">
      <c r="A1121" s="110">
        <v>1501102</v>
      </c>
      <c r="B1121" s="110" t="s">
        <v>1235</v>
      </c>
      <c r="C1121" s="110" t="s">
        <v>1323</v>
      </c>
      <c r="D1121" s="110" t="s">
        <v>1323</v>
      </c>
      <c r="E1121" s="110" t="s">
        <v>319</v>
      </c>
      <c r="F1121" s="110" t="s">
        <v>113</v>
      </c>
      <c r="G1121" s="110" t="s">
        <v>114</v>
      </c>
      <c r="H1121" s="111">
        <v>197</v>
      </c>
      <c r="I1121" s="111">
        <v>207</v>
      </c>
      <c r="J1121" s="111">
        <v>234</v>
      </c>
      <c r="K1121" s="111">
        <f t="shared" si="155"/>
        <v>212.66666666666666</v>
      </c>
      <c r="L1121" s="111">
        <f>200000*0.7</f>
        <v>140000</v>
      </c>
      <c r="M1121" s="111">
        <f t="shared" si="156"/>
        <v>63000</v>
      </c>
      <c r="N1121" s="111">
        <f t="shared" si="157"/>
        <v>63000</v>
      </c>
      <c r="O1121" s="111">
        <f t="shared" si="158"/>
        <v>12600</v>
      </c>
      <c r="P1121" s="111">
        <f t="shared" si="159"/>
        <v>14000</v>
      </c>
      <c r="Q1121" s="111">
        <v>50000</v>
      </c>
      <c r="R1121" s="111">
        <v>5</v>
      </c>
      <c r="S1121" s="111">
        <f t="shared" si="160"/>
        <v>5000</v>
      </c>
      <c r="T1121" s="111">
        <f t="shared" si="161"/>
        <v>190000</v>
      </c>
      <c r="U1121" s="111">
        <f t="shared" si="162"/>
        <v>1900</v>
      </c>
      <c r="V1121" s="111">
        <f t="shared" si="163"/>
        <v>191900</v>
      </c>
      <c r="W1121" t="s">
        <v>3580</v>
      </c>
    </row>
    <row r="1122" spans="1:23" x14ac:dyDescent="0.3">
      <c r="A1122" s="110">
        <v>1501103</v>
      </c>
      <c r="B1122" s="110" t="s">
        <v>1235</v>
      </c>
      <c r="C1122" s="110" t="s">
        <v>1323</v>
      </c>
      <c r="D1122" s="110" t="s">
        <v>1323</v>
      </c>
      <c r="E1122" s="110" t="s">
        <v>1325</v>
      </c>
      <c r="F1122" s="110" t="s">
        <v>113</v>
      </c>
      <c r="G1122" s="110" t="s">
        <v>114</v>
      </c>
      <c r="H1122" s="111">
        <v>187</v>
      </c>
      <c r="I1122" s="111">
        <v>168</v>
      </c>
      <c r="J1122" s="111">
        <v>152</v>
      </c>
      <c r="K1122" s="111">
        <f t="shared" si="155"/>
        <v>169</v>
      </c>
      <c r="L1122" s="111">
        <v>150000</v>
      </c>
      <c r="M1122" s="111">
        <f t="shared" si="156"/>
        <v>67500</v>
      </c>
      <c r="N1122" s="111">
        <f t="shared" si="157"/>
        <v>67500</v>
      </c>
      <c r="O1122" s="111">
        <f t="shared" si="158"/>
        <v>13500</v>
      </c>
      <c r="P1122" s="111">
        <f t="shared" si="159"/>
        <v>15000</v>
      </c>
      <c r="Q1122" s="111">
        <v>30000</v>
      </c>
      <c r="R1122" s="111">
        <v>3</v>
      </c>
      <c r="S1122" s="111">
        <f t="shared" si="160"/>
        <v>3000</v>
      </c>
      <c r="T1122" s="111">
        <f t="shared" si="161"/>
        <v>180000</v>
      </c>
      <c r="U1122" s="111">
        <f t="shared" si="162"/>
        <v>1800</v>
      </c>
      <c r="V1122" s="111">
        <f t="shared" si="163"/>
        <v>181800</v>
      </c>
      <c r="W1122" t="s">
        <v>3581</v>
      </c>
    </row>
    <row r="1123" spans="1:23" x14ac:dyDescent="0.3">
      <c r="A1123" s="110">
        <v>1501104</v>
      </c>
      <c r="B1123" s="110" t="s">
        <v>1235</v>
      </c>
      <c r="C1123" s="110" t="s">
        <v>1323</v>
      </c>
      <c r="D1123" s="110" t="s">
        <v>1326</v>
      </c>
      <c r="E1123" s="110" t="s">
        <v>184</v>
      </c>
      <c r="F1123" s="110" t="s">
        <v>113</v>
      </c>
      <c r="G1123" s="110" t="s">
        <v>114</v>
      </c>
      <c r="H1123" s="111">
        <v>129</v>
      </c>
      <c r="I1123" s="111">
        <v>113</v>
      </c>
      <c r="J1123" s="111">
        <v>105</v>
      </c>
      <c r="K1123" s="111">
        <f t="shared" si="155"/>
        <v>115.66666666666667</v>
      </c>
      <c r="L1123" s="111">
        <v>150000</v>
      </c>
      <c r="M1123" s="111">
        <f t="shared" si="156"/>
        <v>67500</v>
      </c>
      <c r="N1123" s="111">
        <f t="shared" si="157"/>
        <v>67500</v>
      </c>
      <c r="O1123" s="111">
        <f t="shared" si="158"/>
        <v>13500</v>
      </c>
      <c r="P1123" s="111">
        <f t="shared" si="159"/>
        <v>15000</v>
      </c>
      <c r="Q1123" s="111">
        <v>30000</v>
      </c>
      <c r="R1123" s="111">
        <v>3</v>
      </c>
      <c r="S1123" s="111">
        <f t="shared" si="160"/>
        <v>3000</v>
      </c>
      <c r="T1123" s="111">
        <f t="shared" si="161"/>
        <v>180000</v>
      </c>
      <c r="U1123" s="111">
        <f t="shared" si="162"/>
        <v>1800</v>
      </c>
      <c r="V1123" s="111">
        <f t="shared" si="163"/>
        <v>181800</v>
      </c>
      <c r="W1123" t="s">
        <v>3582</v>
      </c>
    </row>
    <row r="1124" spans="1:23" x14ac:dyDescent="0.3">
      <c r="A1124" s="110">
        <v>1501105</v>
      </c>
      <c r="B1124" s="110" t="s">
        <v>1235</v>
      </c>
      <c r="C1124" s="110" t="s">
        <v>1323</v>
      </c>
      <c r="D1124" s="110" t="s">
        <v>1327</v>
      </c>
      <c r="E1124" s="110" t="s">
        <v>1328</v>
      </c>
      <c r="F1124" s="110" t="s">
        <v>113</v>
      </c>
      <c r="G1124" s="110" t="s">
        <v>114</v>
      </c>
      <c r="H1124" s="111">
        <v>54</v>
      </c>
      <c r="I1124" s="111">
        <v>57</v>
      </c>
      <c r="J1124" s="111">
        <v>58</v>
      </c>
      <c r="K1124" s="111">
        <f t="shared" si="155"/>
        <v>56.333333333333336</v>
      </c>
      <c r="L1124" s="111">
        <v>150000</v>
      </c>
      <c r="M1124" s="111">
        <f t="shared" si="156"/>
        <v>67500</v>
      </c>
      <c r="N1124" s="111">
        <f t="shared" si="157"/>
        <v>67500</v>
      </c>
      <c r="O1124" s="111">
        <f t="shared" si="158"/>
        <v>13500</v>
      </c>
      <c r="P1124" s="111">
        <f t="shared" si="159"/>
        <v>15000</v>
      </c>
      <c r="Q1124" s="111">
        <v>30000</v>
      </c>
      <c r="R1124" s="111">
        <v>3</v>
      </c>
      <c r="S1124" s="111">
        <f t="shared" si="160"/>
        <v>3000</v>
      </c>
      <c r="T1124" s="111">
        <f t="shared" si="161"/>
        <v>180000</v>
      </c>
      <c r="U1124" s="111">
        <f t="shared" si="162"/>
        <v>1800</v>
      </c>
      <c r="V1124" s="111">
        <f t="shared" si="163"/>
        <v>181800</v>
      </c>
      <c r="W1124" t="s">
        <v>3583</v>
      </c>
    </row>
    <row r="1125" spans="1:23" x14ac:dyDescent="0.3">
      <c r="A1125" s="110">
        <v>1501108</v>
      </c>
      <c r="B1125" s="110" t="s">
        <v>1235</v>
      </c>
      <c r="C1125" s="110" t="s">
        <v>1323</v>
      </c>
      <c r="D1125" s="110" t="s">
        <v>1323</v>
      </c>
      <c r="E1125" s="110" t="s">
        <v>245</v>
      </c>
      <c r="F1125" s="110" t="s">
        <v>119</v>
      </c>
      <c r="G1125" s="110" t="s">
        <v>114</v>
      </c>
      <c r="H1125" s="111">
        <v>222</v>
      </c>
      <c r="I1125" s="111">
        <v>198</v>
      </c>
      <c r="J1125" s="111">
        <v>209</v>
      </c>
      <c r="K1125" s="111">
        <f t="shared" si="155"/>
        <v>209.66666666666666</v>
      </c>
      <c r="L1125" s="111">
        <v>200000</v>
      </c>
      <c r="M1125" s="111">
        <f t="shared" si="156"/>
        <v>90000</v>
      </c>
      <c r="N1125" s="111">
        <f t="shared" si="157"/>
        <v>90000</v>
      </c>
      <c r="O1125" s="111">
        <f t="shared" si="158"/>
        <v>18000</v>
      </c>
      <c r="P1125" s="111">
        <f t="shared" si="159"/>
        <v>20000</v>
      </c>
      <c r="Q1125" s="111">
        <v>50000</v>
      </c>
      <c r="R1125" s="111">
        <v>5</v>
      </c>
      <c r="S1125" s="111">
        <f t="shared" si="160"/>
        <v>5000</v>
      </c>
      <c r="T1125" s="111">
        <f t="shared" si="161"/>
        <v>250000</v>
      </c>
      <c r="U1125" s="111">
        <f t="shared" si="162"/>
        <v>2500</v>
      </c>
      <c r="V1125" s="111">
        <f t="shared" si="163"/>
        <v>252500</v>
      </c>
      <c r="W1125" t="s">
        <v>3584</v>
      </c>
    </row>
    <row r="1126" spans="1:23" x14ac:dyDescent="0.3">
      <c r="A1126" s="110">
        <v>1501109</v>
      </c>
      <c r="B1126" s="110" t="s">
        <v>1235</v>
      </c>
      <c r="C1126" s="110" t="s">
        <v>1323</v>
      </c>
      <c r="D1126" s="110" t="s">
        <v>1323</v>
      </c>
      <c r="E1126" s="110" t="s">
        <v>1329</v>
      </c>
      <c r="F1126" s="110" t="s">
        <v>117</v>
      </c>
      <c r="G1126" s="110" t="s">
        <v>114</v>
      </c>
      <c r="H1126" s="111">
        <v>450</v>
      </c>
      <c r="I1126" s="111">
        <v>450</v>
      </c>
      <c r="J1126" s="111">
        <v>459</v>
      </c>
      <c r="K1126" s="111">
        <f t="shared" si="155"/>
        <v>453</v>
      </c>
      <c r="L1126" s="111">
        <f>300000</f>
        <v>300000</v>
      </c>
      <c r="M1126" s="111">
        <f t="shared" si="156"/>
        <v>135000</v>
      </c>
      <c r="N1126" s="111">
        <f t="shared" si="157"/>
        <v>135000</v>
      </c>
      <c r="O1126" s="111">
        <f t="shared" si="158"/>
        <v>27000</v>
      </c>
      <c r="P1126" s="111">
        <f t="shared" si="159"/>
        <v>30000</v>
      </c>
      <c r="Q1126" s="111">
        <v>60000</v>
      </c>
      <c r="R1126" s="111">
        <v>6</v>
      </c>
      <c r="S1126" s="111">
        <f t="shared" si="160"/>
        <v>6000</v>
      </c>
      <c r="T1126" s="111">
        <f t="shared" si="161"/>
        <v>360000</v>
      </c>
      <c r="U1126" s="111">
        <f t="shared" si="162"/>
        <v>3600</v>
      </c>
      <c r="V1126" s="111">
        <f t="shared" si="163"/>
        <v>363600</v>
      </c>
      <c r="W1126" t="s">
        <v>3585</v>
      </c>
    </row>
    <row r="1127" spans="1:23" x14ac:dyDescent="0.3">
      <c r="A1127" s="110">
        <v>1501110</v>
      </c>
      <c r="B1127" s="110" t="s">
        <v>1235</v>
      </c>
      <c r="C1127" s="110" t="s">
        <v>1323</v>
      </c>
      <c r="D1127" s="110" t="s">
        <v>1323</v>
      </c>
      <c r="E1127" s="110" t="s">
        <v>1330</v>
      </c>
      <c r="F1127" s="110" t="s">
        <v>117</v>
      </c>
      <c r="G1127" s="110" t="s">
        <v>125</v>
      </c>
      <c r="H1127" s="111">
        <v>331</v>
      </c>
      <c r="I1127" s="111">
        <v>299</v>
      </c>
      <c r="J1127" s="111">
        <v>287</v>
      </c>
      <c r="K1127" s="111">
        <f t="shared" si="155"/>
        <v>305.66666666666669</v>
      </c>
      <c r="L1127" s="111">
        <v>200000</v>
      </c>
      <c r="M1127" s="111">
        <f t="shared" si="156"/>
        <v>90000</v>
      </c>
      <c r="N1127" s="111">
        <f t="shared" si="157"/>
        <v>90000</v>
      </c>
      <c r="O1127" s="111">
        <f t="shared" si="158"/>
        <v>18000</v>
      </c>
      <c r="P1127" s="111">
        <f t="shared" si="159"/>
        <v>20000</v>
      </c>
      <c r="Q1127" s="111">
        <v>50000</v>
      </c>
      <c r="R1127" s="111">
        <v>5</v>
      </c>
      <c r="S1127" s="111">
        <f t="shared" si="160"/>
        <v>5000</v>
      </c>
      <c r="T1127" s="111">
        <f t="shared" si="161"/>
        <v>250000</v>
      </c>
      <c r="U1127" s="111">
        <f t="shared" si="162"/>
        <v>2500</v>
      </c>
      <c r="V1127" s="111">
        <f t="shared" si="163"/>
        <v>252500</v>
      </c>
      <c r="W1127" t="s">
        <v>3586</v>
      </c>
    </row>
    <row r="1128" spans="1:23" x14ac:dyDescent="0.3">
      <c r="A1128" s="110">
        <v>1501136</v>
      </c>
      <c r="B1128" s="110" t="s">
        <v>1235</v>
      </c>
      <c r="C1128" s="110" t="s">
        <v>1305</v>
      </c>
      <c r="D1128" s="110" t="s">
        <v>1331</v>
      </c>
      <c r="E1128" s="110" t="s">
        <v>184</v>
      </c>
      <c r="F1128" s="110" t="s">
        <v>113</v>
      </c>
      <c r="G1128" s="110" t="s">
        <v>114</v>
      </c>
      <c r="H1128" s="111">
        <v>55</v>
      </c>
      <c r="I1128" s="111">
        <v>50</v>
      </c>
      <c r="J1128" s="111">
        <v>47</v>
      </c>
      <c r="K1128" s="111">
        <f t="shared" si="155"/>
        <v>50.666666666666664</v>
      </c>
      <c r="L1128" s="111">
        <v>150000</v>
      </c>
      <c r="M1128" s="111">
        <f t="shared" si="156"/>
        <v>67500</v>
      </c>
      <c r="N1128" s="111">
        <f t="shared" si="157"/>
        <v>67500</v>
      </c>
      <c r="O1128" s="111">
        <f t="shared" si="158"/>
        <v>13500</v>
      </c>
      <c r="P1128" s="111">
        <f t="shared" si="159"/>
        <v>15000</v>
      </c>
      <c r="Q1128" s="111">
        <v>30000</v>
      </c>
      <c r="R1128" s="111">
        <v>3</v>
      </c>
      <c r="S1128" s="111">
        <f t="shared" si="160"/>
        <v>3000</v>
      </c>
      <c r="T1128" s="111">
        <f t="shared" si="161"/>
        <v>180000</v>
      </c>
      <c r="U1128" s="111">
        <f t="shared" si="162"/>
        <v>1800</v>
      </c>
      <c r="V1128" s="111">
        <f t="shared" si="163"/>
        <v>181800</v>
      </c>
      <c r="W1128" t="s">
        <v>3587</v>
      </c>
    </row>
    <row r="1129" spans="1:23" x14ac:dyDescent="0.3">
      <c r="A1129" s="110">
        <v>1600101</v>
      </c>
      <c r="B1129" s="110" t="s">
        <v>1332</v>
      </c>
      <c r="C1129" s="110" t="s">
        <v>1333</v>
      </c>
      <c r="D1129" s="110" t="s">
        <v>1333</v>
      </c>
      <c r="E1129" s="110" t="s">
        <v>1334</v>
      </c>
      <c r="F1129" s="110" t="s">
        <v>113</v>
      </c>
      <c r="G1129" s="110" t="s">
        <v>114</v>
      </c>
      <c r="H1129" s="111">
        <v>384</v>
      </c>
      <c r="I1129" s="111">
        <v>399</v>
      </c>
      <c r="J1129" s="111">
        <v>414</v>
      </c>
      <c r="K1129" s="111">
        <f t="shared" si="155"/>
        <v>399</v>
      </c>
      <c r="L1129" s="111">
        <v>200000</v>
      </c>
      <c r="M1129" s="111">
        <f t="shared" si="156"/>
        <v>90000</v>
      </c>
      <c r="N1129" s="111">
        <f t="shared" si="157"/>
        <v>90000</v>
      </c>
      <c r="O1129" s="111">
        <f t="shared" si="158"/>
        <v>18000</v>
      </c>
      <c r="P1129" s="111">
        <f t="shared" si="159"/>
        <v>20000</v>
      </c>
      <c r="Q1129" s="111">
        <v>50000</v>
      </c>
      <c r="R1129" s="111">
        <v>5</v>
      </c>
      <c r="S1129" s="111">
        <f t="shared" si="160"/>
        <v>5000</v>
      </c>
      <c r="T1129" s="111">
        <f t="shared" si="161"/>
        <v>250000</v>
      </c>
      <c r="U1129" s="111">
        <f t="shared" si="162"/>
        <v>2500</v>
      </c>
      <c r="V1129" s="111">
        <f t="shared" si="163"/>
        <v>252500</v>
      </c>
      <c r="W1129" t="s">
        <v>3588</v>
      </c>
    </row>
    <row r="1130" spans="1:23" x14ac:dyDescent="0.3">
      <c r="A1130" s="110">
        <v>1600102</v>
      </c>
      <c r="B1130" s="110" t="s">
        <v>1332</v>
      </c>
      <c r="C1130" s="110" t="s">
        <v>1333</v>
      </c>
      <c r="D1130" s="110" t="s">
        <v>1333</v>
      </c>
      <c r="E1130" s="110" t="s">
        <v>184</v>
      </c>
      <c r="F1130" s="110" t="s">
        <v>113</v>
      </c>
      <c r="G1130" s="110" t="s">
        <v>114</v>
      </c>
      <c r="H1130" s="111">
        <v>466</v>
      </c>
      <c r="I1130" s="111">
        <v>471</v>
      </c>
      <c r="J1130" s="111">
        <v>485</v>
      </c>
      <c r="K1130" s="111">
        <f t="shared" si="155"/>
        <v>474</v>
      </c>
      <c r="L1130" s="111">
        <f>300000</f>
        <v>300000</v>
      </c>
      <c r="M1130" s="111">
        <f t="shared" si="156"/>
        <v>135000</v>
      </c>
      <c r="N1130" s="111">
        <f t="shared" si="157"/>
        <v>135000</v>
      </c>
      <c r="O1130" s="111">
        <f t="shared" si="158"/>
        <v>27000</v>
      </c>
      <c r="P1130" s="111">
        <f t="shared" si="159"/>
        <v>30000</v>
      </c>
      <c r="Q1130" s="111">
        <v>60000</v>
      </c>
      <c r="R1130" s="111">
        <v>6</v>
      </c>
      <c r="S1130" s="111">
        <f t="shared" si="160"/>
        <v>6000</v>
      </c>
      <c r="T1130" s="111">
        <f t="shared" si="161"/>
        <v>360000</v>
      </c>
      <c r="U1130" s="111">
        <f t="shared" si="162"/>
        <v>3600</v>
      </c>
      <c r="V1130" s="111">
        <f t="shared" si="163"/>
        <v>363600</v>
      </c>
      <c r="W1130" t="s">
        <v>3589</v>
      </c>
    </row>
    <row r="1131" spans="1:23" x14ac:dyDescent="0.3">
      <c r="A1131" s="110">
        <v>1600103</v>
      </c>
      <c r="B1131" s="110" t="s">
        <v>1332</v>
      </c>
      <c r="C1131" s="110" t="s">
        <v>1333</v>
      </c>
      <c r="D1131" s="110" t="s">
        <v>1333</v>
      </c>
      <c r="E1131" s="110" t="s">
        <v>1335</v>
      </c>
      <c r="F1131" s="110" t="s">
        <v>113</v>
      </c>
      <c r="G1131" s="110" t="s">
        <v>114</v>
      </c>
      <c r="H1131" s="111">
        <v>316</v>
      </c>
      <c r="I1131" s="111">
        <v>315</v>
      </c>
      <c r="J1131" s="111">
        <v>319</v>
      </c>
      <c r="K1131" s="111">
        <f t="shared" si="155"/>
        <v>316.66666666666669</v>
      </c>
      <c r="L1131" s="111">
        <v>200000</v>
      </c>
      <c r="M1131" s="111">
        <f t="shared" si="156"/>
        <v>90000</v>
      </c>
      <c r="N1131" s="111">
        <f t="shared" si="157"/>
        <v>90000</v>
      </c>
      <c r="O1131" s="111">
        <f t="shared" si="158"/>
        <v>18000</v>
      </c>
      <c r="P1131" s="111">
        <f t="shared" si="159"/>
        <v>20000</v>
      </c>
      <c r="Q1131" s="111">
        <v>50000</v>
      </c>
      <c r="R1131" s="111">
        <v>5</v>
      </c>
      <c r="S1131" s="111">
        <f t="shared" si="160"/>
        <v>5000</v>
      </c>
      <c r="T1131" s="111">
        <f t="shared" si="161"/>
        <v>250000</v>
      </c>
      <c r="U1131" s="111">
        <f t="shared" si="162"/>
        <v>2500</v>
      </c>
      <c r="V1131" s="111">
        <f t="shared" si="163"/>
        <v>252500</v>
      </c>
      <c r="W1131" t="s">
        <v>3590</v>
      </c>
    </row>
    <row r="1132" spans="1:23" x14ac:dyDescent="0.3">
      <c r="A1132" s="110">
        <v>1600104</v>
      </c>
      <c r="B1132" s="110" t="s">
        <v>1332</v>
      </c>
      <c r="C1132" s="110" t="s">
        <v>1333</v>
      </c>
      <c r="D1132" s="110" t="s">
        <v>1333</v>
      </c>
      <c r="E1132" s="110" t="s">
        <v>1336</v>
      </c>
      <c r="F1132" s="110" t="s">
        <v>113</v>
      </c>
      <c r="G1132" s="110" t="s">
        <v>114</v>
      </c>
      <c r="H1132" s="111">
        <v>709</v>
      </c>
      <c r="I1132" s="111">
        <v>682</v>
      </c>
      <c r="J1132" s="111">
        <v>680</v>
      </c>
      <c r="K1132" s="111">
        <f t="shared" si="155"/>
        <v>690.33333333333337</v>
      </c>
      <c r="L1132" s="111">
        <f>300000</f>
        <v>300000</v>
      </c>
      <c r="M1132" s="111">
        <f t="shared" si="156"/>
        <v>135000</v>
      </c>
      <c r="N1132" s="111">
        <f t="shared" si="157"/>
        <v>135000</v>
      </c>
      <c r="O1132" s="111">
        <f t="shared" si="158"/>
        <v>27000</v>
      </c>
      <c r="P1132" s="111">
        <f t="shared" si="159"/>
        <v>30000</v>
      </c>
      <c r="Q1132" s="111">
        <v>60000</v>
      </c>
      <c r="R1132" s="111">
        <v>6</v>
      </c>
      <c r="S1132" s="111">
        <f t="shared" si="160"/>
        <v>6000</v>
      </c>
      <c r="T1132" s="111">
        <f t="shared" si="161"/>
        <v>360000</v>
      </c>
      <c r="U1132" s="111">
        <f t="shared" si="162"/>
        <v>3600</v>
      </c>
      <c r="V1132" s="111">
        <f t="shared" si="163"/>
        <v>363600</v>
      </c>
      <c r="W1132" t="s">
        <v>3591</v>
      </c>
    </row>
    <row r="1133" spans="1:23" x14ac:dyDescent="0.3">
      <c r="A1133" s="110">
        <v>1600105</v>
      </c>
      <c r="B1133" s="110" t="s">
        <v>1332</v>
      </c>
      <c r="C1133" s="110" t="s">
        <v>1333</v>
      </c>
      <c r="D1133" s="110" t="s">
        <v>1333</v>
      </c>
      <c r="E1133" s="110" t="s">
        <v>406</v>
      </c>
      <c r="F1133" s="110" t="s">
        <v>113</v>
      </c>
      <c r="G1133" s="110" t="s">
        <v>114</v>
      </c>
      <c r="H1133" s="111">
        <v>482</v>
      </c>
      <c r="I1133" s="111">
        <v>444</v>
      </c>
      <c r="J1133" s="111">
        <v>412</v>
      </c>
      <c r="K1133" s="111">
        <f t="shared" si="155"/>
        <v>446</v>
      </c>
      <c r="L1133" s="111">
        <f>300000</f>
        <v>300000</v>
      </c>
      <c r="M1133" s="111">
        <f t="shared" si="156"/>
        <v>135000</v>
      </c>
      <c r="N1133" s="111">
        <f t="shared" si="157"/>
        <v>135000</v>
      </c>
      <c r="O1133" s="111">
        <f t="shared" si="158"/>
        <v>27000</v>
      </c>
      <c r="P1133" s="111">
        <f t="shared" si="159"/>
        <v>30000</v>
      </c>
      <c r="Q1133" s="111">
        <v>60000</v>
      </c>
      <c r="R1133" s="111">
        <v>6</v>
      </c>
      <c r="S1133" s="111">
        <f t="shared" si="160"/>
        <v>6000</v>
      </c>
      <c r="T1133" s="111">
        <f t="shared" si="161"/>
        <v>360000</v>
      </c>
      <c r="U1133" s="111">
        <f t="shared" si="162"/>
        <v>3600</v>
      </c>
      <c r="V1133" s="111">
        <f t="shared" si="163"/>
        <v>363600</v>
      </c>
      <c r="W1133" t="s">
        <v>3592</v>
      </c>
    </row>
    <row r="1134" spans="1:23" x14ac:dyDescent="0.3">
      <c r="A1134" s="110">
        <v>1600107</v>
      </c>
      <c r="B1134" s="110" t="s">
        <v>1332</v>
      </c>
      <c r="C1134" s="110" t="s">
        <v>1333</v>
      </c>
      <c r="D1134" s="110" t="s">
        <v>1333</v>
      </c>
      <c r="E1134" s="110" t="s">
        <v>557</v>
      </c>
      <c r="F1134" s="110" t="s">
        <v>113</v>
      </c>
      <c r="G1134" s="110" t="s">
        <v>114</v>
      </c>
      <c r="H1134" s="111">
        <v>175</v>
      </c>
      <c r="I1134" s="111">
        <v>184</v>
      </c>
      <c r="J1134" s="111">
        <v>173</v>
      </c>
      <c r="K1134" s="111">
        <f t="shared" si="155"/>
        <v>177.33333333333334</v>
      </c>
      <c r="L1134" s="111">
        <v>150000</v>
      </c>
      <c r="M1134" s="111">
        <f t="shared" si="156"/>
        <v>67500</v>
      </c>
      <c r="N1134" s="111">
        <f t="shared" si="157"/>
        <v>67500</v>
      </c>
      <c r="O1134" s="111">
        <f t="shared" si="158"/>
        <v>13500</v>
      </c>
      <c r="P1134" s="111">
        <f t="shared" si="159"/>
        <v>15000</v>
      </c>
      <c r="Q1134" s="111">
        <v>30000</v>
      </c>
      <c r="R1134" s="111">
        <v>3</v>
      </c>
      <c r="S1134" s="111">
        <f t="shared" si="160"/>
        <v>3000</v>
      </c>
      <c r="T1134" s="111">
        <f t="shared" si="161"/>
        <v>180000</v>
      </c>
      <c r="U1134" s="111">
        <f t="shared" si="162"/>
        <v>1800</v>
      </c>
      <c r="V1134" s="111">
        <f t="shared" si="163"/>
        <v>181800</v>
      </c>
      <c r="W1134" t="s">
        <v>3593</v>
      </c>
    </row>
    <row r="1135" spans="1:23" x14ac:dyDescent="0.3">
      <c r="A1135" s="110">
        <v>1600108</v>
      </c>
      <c r="B1135" s="110" t="s">
        <v>1332</v>
      </c>
      <c r="C1135" s="110" t="s">
        <v>1333</v>
      </c>
      <c r="D1135" s="110" t="s">
        <v>1337</v>
      </c>
      <c r="E1135" s="110" t="s">
        <v>1338</v>
      </c>
      <c r="F1135" s="110" t="s">
        <v>113</v>
      </c>
      <c r="G1135" s="110" t="s">
        <v>114</v>
      </c>
      <c r="H1135" s="111">
        <v>184</v>
      </c>
      <c r="I1135" s="111">
        <v>199</v>
      </c>
      <c r="J1135" s="111">
        <v>207</v>
      </c>
      <c r="K1135" s="111">
        <f t="shared" si="155"/>
        <v>196.66666666666666</v>
      </c>
      <c r="L1135" s="111">
        <v>150000</v>
      </c>
      <c r="M1135" s="111">
        <f t="shared" si="156"/>
        <v>67500</v>
      </c>
      <c r="N1135" s="111">
        <f t="shared" si="157"/>
        <v>67500</v>
      </c>
      <c r="O1135" s="111">
        <f t="shared" si="158"/>
        <v>13500</v>
      </c>
      <c r="P1135" s="111">
        <f t="shared" si="159"/>
        <v>15000</v>
      </c>
      <c r="Q1135" s="111">
        <v>30000</v>
      </c>
      <c r="R1135" s="111">
        <v>3</v>
      </c>
      <c r="S1135" s="111">
        <f t="shared" si="160"/>
        <v>3000</v>
      </c>
      <c r="T1135" s="111">
        <f t="shared" si="161"/>
        <v>180000</v>
      </c>
      <c r="U1135" s="111">
        <f t="shared" si="162"/>
        <v>1800</v>
      </c>
      <c r="V1135" s="111">
        <f t="shared" si="163"/>
        <v>181800</v>
      </c>
      <c r="W1135" t="s">
        <v>3594</v>
      </c>
    </row>
    <row r="1136" spans="1:23" x14ac:dyDescent="0.3">
      <c r="A1136" s="110">
        <v>1600111</v>
      </c>
      <c r="B1136" s="110" t="s">
        <v>1332</v>
      </c>
      <c r="C1136" s="110" t="s">
        <v>1333</v>
      </c>
      <c r="D1136" s="110" t="s">
        <v>1339</v>
      </c>
      <c r="E1136" s="110" t="s">
        <v>390</v>
      </c>
      <c r="F1136" s="110" t="s">
        <v>113</v>
      </c>
      <c r="G1136" s="110" t="s">
        <v>114</v>
      </c>
      <c r="H1136" s="111">
        <v>46</v>
      </c>
      <c r="I1136" s="111">
        <v>50</v>
      </c>
      <c r="J1136" s="111">
        <v>58</v>
      </c>
      <c r="K1136" s="111">
        <f t="shared" si="155"/>
        <v>51.333333333333336</v>
      </c>
      <c r="L1136" s="111">
        <v>150000</v>
      </c>
      <c r="M1136" s="111">
        <f t="shared" si="156"/>
        <v>67500</v>
      </c>
      <c r="N1136" s="111">
        <f t="shared" si="157"/>
        <v>67500</v>
      </c>
      <c r="O1136" s="111">
        <f t="shared" si="158"/>
        <v>13500</v>
      </c>
      <c r="P1136" s="111">
        <f t="shared" si="159"/>
        <v>15000</v>
      </c>
      <c r="Q1136" s="111">
        <v>30000</v>
      </c>
      <c r="R1136" s="111">
        <v>3</v>
      </c>
      <c r="S1136" s="111">
        <f t="shared" si="160"/>
        <v>3000</v>
      </c>
      <c r="T1136" s="111">
        <f t="shared" si="161"/>
        <v>180000</v>
      </c>
      <c r="U1136" s="111">
        <f t="shared" si="162"/>
        <v>1800</v>
      </c>
      <c r="V1136" s="111">
        <f t="shared" si="163"/>
        <v>181800</v>
      </c>
      <c r="W1136" t="s">
        <v>3595</v>
      </c>
    </row>
    <row r="1137" spans="1:23" x14ac:dyDescent="0.3">
      <c r="A1137" s="110">
        <v>1600113</v>
      </c>
      <c r="B1137" s="110" t="s">
        <v>1332</v>
      </c>
      <c r="C1137" s="110" t="s">
        <v>1333</v>
      </c>
      <c r="D1137" s="110" t="s">
        <v>1340</v>
      </c>
      <c r="E1137" s="110" t="s">
        <v>404</v>
      </c>
      <c r="F1137" s="110" t="s">
        <v>113</v>
      </c>
      <c r="G1137" s="110" t="s">
        <v>114</v>
      </c>
      <c r="H1137" s="111">
        <v>63</v>
      </c>
      <c r="I1137" s="111">
        <v>61</v>
      </c>
      <c r="J1137" s="111">
        <v>58</v>
      </c>
      <c r="K1137" s="111">
        <f t="shared" si="155"/>
        <v>60.666666666666664</v>
      </c>
      <c r="L1137" s="111">
        <v>150000</v>
      </c>
      <c r="M1137" s="111">
        <f t="shared" si="156"/>
        <v>67500</v>
      </c>
      <c r="N1137" s="111">
        <f t="shared" si="157"/>
        <v>67500</v>
      </c>
      <c r="O1137" s="111">
        <f t="shared" si="158"/>
        <v>13500</v>
      </c>
      <c r="P1137" s="111">
        <f t="shared" si="159"/>
        <v>15000</v>
      </c>
      <c r="Q1137" s="111">
        <v>30000</v>
      </c>
      <c r="R1137" s="111">
        <v>3</v>
      </c>
      <c r="S1137" s="111">
        <f t="shared" si="160"/>
        <v>3000</v>
      </c>
      <c r="T1137" s="111">
        <f t="shared" si="161"/>
        <v>180000</v>
      </c>
      <c r="U1137" s="111">
        <f t="shared" si="162"/>
        <v>1800</v>
      </c>
      <c r="V1137" s="111">
        <f t="shared" si="163"/>
        <v>181800</v>
      </c>
      <c r="W1137" t="s">
        <v>3596</v>
      </c>
    </row>
    <row r="1138" spans="1:23" x14ac:dyDescent="0.3">
      <c r="A1138" s="110">
        <v>1600114</v>
      </c>
      <c r="B1138" s="110" t="s">
        <v>1332</v>
      </c>
      <c r="C1138" s="110" t="s">
        <v>1333</v>
      </c>
      <c r="D1138" s="110" t="s">
        <v>1333</v>
      </c>
      <c r="E1138" s="110" t="s">
        <v>1341</v>
      </c>
      <c r="F1138" s="110" t="s">
        <v>119</v>
      </c>
      <c r="G1138" s="110" t="s">
        <v>114</v>
      </c>
      <c r="H1138" s="111">
        <v>662</v>
      </c>
      <c r="I1138" s="111">
        <v>707</v>
      </c>
      <c r="J1138" s="111">
        <v>673</v>
      </c>
      <c r="K1138" s="111">
        <f t="shared" si="155"/>
        <v>680.66666666666663</v>
      </c>
      <c r="L1138" s="111">
        <f>300000</f>
        <v>300000</v>
      </c>
      <c r="M1138" s="111">
        <f t="shared" si="156"/>
        <v>135000</v>
      </c>
      <c r="N1138" s="111">
        <f t="shared" si="157"/>
        <v>135000</v>
      </c>
      <c r="O1138" s="111">
        <f t="shared" si="158"/>
        <v>27000</v>
      </c>
      <c r="P1138" s="111">
        <f t="shared" si="159"/>
        <v>30000</v>
      </c>
      <c r="Q1138" s="111">
        <v>60000</v>
      </c>
      <c r="R1138" s="111">
        <v>6</v>
      </c>
      <c r="S1138" s="111">
        <f t="shared" si="160"/>
        <v>6000</v>
      </c>
      <c r="T1138" s="111">
        <f t="shared" si="161"/>
        <v>360000</v>
      </c>
      <c r="U1138" s="111">
        <f t="shared" si="162"/>
        <v>3600</v>
      </c>
      <c r="V1138" s="111">
        <f t="shared" si="163"/>
        <v>363600</v>
      </c>
      <c r="W1138" t="s">
        <v>3597</v>
      </c>
    </row>
    <row r="1139" spans="1:23" x14ac:dyDescent="0.3">
      <c r="A1139" s="110">
        <v>1600115</v>
      </c>
      <c r="B1139" s="110" t="s">
        <v>1332</v>
      </c>
      <c r="C1139" s="110" t="s">
        <v>1333</v>
      </c>
      <c r="D1139" s="110" t="s">
        <v>1342</v>
      </c>
      <c r="E1139" s="110" t="s">
        <v>390</v>
      </c>
      <c r="F1139" s="110" t="s">
        <v>113</v>
      </c>
      <c r="G1139" s="110" t="s">
        <v>114</v>
      </c>
      <c r="H1139" s="111">
        <v>140</v>
      </c>
      <c r="I1139" s="111">
        <v>138</v>
      </c>
      <c r="J1139" s="111">
        <v>132</v>
      </c>
      <c r="K1139" s="111">
        <f t="shared" si="155"/>
        <v>136.66666666666666</v>
      </c>
      <c r="L1139" s="111">
        <v>150000</v>
      </c>
      <c r="M1139" s="111">
        <f t="shared" si="156"/>
        <v>67500</v>
      </c>
      <c r="N1139" s="111">
        <f t="shared" si="157"/>
        <v>67500</v>
      </c>
      <c r="O1139" s="111">
        <f t="shared" si="158"/>
        <v>13500</v>
      </c>
      <c r="P1139" s="111">
        <f t="shared" si="159"/>
        <v>15000</v>
      </c>
      <c r="Q1139" s="111">
        <v>30000</v>
      </c>
      <c r="R1139" s="111">
        <v>3</v>
      </c>
      <c r="S1139" s="111">
        <f t="shared" si="160"/>
        <v>3000</v>
      </c>
      <c r="T1139" s="111">
        <f t="shared" si="161"/>
        <v>180000</v>
      </c>
      <c r="U1139" s="111">
        <f t="shared" si="162"/>
        <v>1800</v>
      </c>
      <c r="V1139" s="111">
        <f t="shared" si="163"/>
        <v>181800</v>
      </c>
      <c r="W1139" t="s">
        <v>3598</v>
      </c>
    </row>
    <row r="1140" spans="1:23" x14ac:dyDescent="0.3">
      <c r="A1140" s="110">
        <v>1600116</v>
      </c>
      <c r="B1140" s="110" t="s">
        <v>1332</v>
      </c>
      <c r="C1140" s="110" t="s">
        <v>1333</v>
      </c>
      <c r="D1140" s="110" t="s">
        <v>1333</v>
      </c>
      <c r="E1140" s="110" t="s">
        <v>682</v>
      </c>
      <c r="F1140" s="110" t="s">
        <v>119</v>
      </c>
      <c r="G1140" s="110" t="s">
        <v>114</v>
      </c>
      <c r="H1140" s="111">
        <v>985</v>
      </c>
      <c r="I1140" s="111">
        <v>961</v>
      </c>
      <c r="J1140" s="111">
        <v>947</v>
      </c>
      <c r="K1140" s="111">
        <f t="shared" si="155"/>
        <v>964.33333333333337</v>
      </c>
      <c r="L1140" s="111">
        <f>300000</f>
        <v>300000</v>
      </c>
      <c r="M1140" s="111">
        <f t="shared" si="156"/>
        <v>135000</v>
      </c>
      <c r="N1140" s="111">
        <f t="shared" si="157"/>
        <v>135000</v>
      </c>
      <c r="O1140" s="111">
        <f t="shared" si="158"/>
        <v>27000</v>
      </c>
      <c r="P1140" s="111">
        <f t="shared" si="159"/>
        <v>30000</v>
      </c>
      <c r="Q1140" s="111">
        <v>60000</v>
      </c>
      <c r="R1140" s="111">
        <v>6</v>
      </c>
      <c r="S1140" s="111">
        <f t="shared" si="160"/>
        <v>6000</v>
      </c>
      <c r="T1140" s="111">
        <f t="shared" si="161"/>
        <v>360000</v>
      </c>
      <c r="U1140" s="111">
        <f t="shared" si="162"/>
        <v>3600</v>
      </c>
      <c r="V1140" s="111">
        <f t="shared" si="163"/>
        <v>363600</v>
      </c>
      <c r="W1140" t="s">
        <v>3599</v>
      </c>
    </row>
    <row r="1141" spans="1:23" x14ac:dyDescent="0.3">
      <c r="A1141" s="110">
        <v>1600128</v>
      </c>
      <c r="B1141" s="110" t="s">
        <v>1332</v>
      </c>
      <c r="C1141" s="110" t="s">
        <v>1333</v>
      </c>
      <c r="D1141" s="110" t="s">
        <v>1333</v>
      </c>
      <c r="E1141" s="110" t="s">
        <v>1343</v>
      </c>
      <c r="F1141" s="110" t="s">
        <v>117</v>
      </c>
      <c r="G1141" s="110" t="s">
        <v>125</v>
      </c>
      <c r="H1141" s="111">
        <v>247</v>
      </c>
      <c r="I1141" s="111">
        <v>258</v>
      </c>
      <c r="J1141" s="111">
        <v>279</v>
      </c>
      <c r="K1141" s="111">
        <f t="shared" si="155"/>
        <v>261.33333333333331</v>
      </c>
      <c r="L1141" s="111">
        <v>200000</v>
      </c>
      <c r="M1141" s="111">
        <f t="shared" si="156"/>
        <v>90000</v>
      </c>
      <c r="N1141" s="111">
        <f t="shared" si="157"/>
        <v>90000</v>
      </c>
      <c r="O1141" s="111">
        <f t="shared" si="158"/>
        <v>18000</v>
      </c>
      <c r="P1141" s="111">
        <f t="shared" si="159"/>
        <v>20000</v>
      </c>
      <c r="Q1141" s="111">
        <v>50000</v>
      </c>
      <c r="R1141" s="111">
        <v>5</v>
      </c>
      <c r="S1141" s="111">
        <f t="shared" si="160"/>
        <v>5000</v>
      </c>
      <c r="T1141" s="111">
        <f t="shared" si="161"/>
        <v>250000</v>
      </c>
      <c r="U1141" s="111">
        <f t="shared" si="162"/>
        <v>2500</v>
      </c>
      <c r="V1141" s="111">
        <f t="shared" si="163"/>
        <v>252500</v>
      </c>
      <c r="W1141" t="s">
        <v>3600</v>
      </c>
    </row>
    <row r="1142" spans="1:23" x14ac:dyDescent="0.3">
      <c r="A1142" s="110">
        <v>1600617</v>
      </c>
      <c r="B1142" s="110" t="s">
        <v>1332</v>
      </c>
      <c r="C1142" s="110" t="s">
        <v>1333</v>
      </c>
      <c r="D1142" s="110" t="s">
        <v>1333</v>
      </c>
      <c r="E1142" s="110" t="s">
        <v>1344</v>
      </c>
      <c r="F1142" s="110" t="s">
        <v>117</v>
      </c>
      <c r="G1142" s="110" t="s">
        <v>114</v>
      </c>
      <c r="H1142" s="111">
        <v>173</v>
      </c>
      <c r="I1142" s="111">
        <v>193</v>
      </c>
      <c r="J1142" s="111">
        <v>212</v>
      </c>
      <c r="K1142" s="111">
        <f t="shared" si="155"/>
        <v>192.66666666666666</v>
      </c>
      <c r="L1142" s="111">
        <v>150000</v>
      </c>
      <c r="M1142" s="111">
        <f t="shared" si="156"/>
        <v>67500</v>
      </c>
      <c r="N1142" s="111">
        <f t="shared" si="157"/>
        <v>67500</v>
      </c>
      <c r="O1142" s="111">
        <f t="shared" si="158"/>
        <v>13500</v>
      </c>
      <c r="P1142" s="111">
        <f t="shared" si="159"/>
        <v>15000</v>
      </c>
      <c r="Q1142" s="111">
        <v>30000</v>
      </c>
      <c r="R1142" s="111">
        <v>3</v>
      </c>
      <c r="S1142" s="111">
        <f t="shared" si="160"/>
        <v>3000</v>
      </c>
      <c r="T1142" s="111">
        <f t="shared" si="161"/>
        <v>180000</v>
      </c>
      <c r="U1142" s="111">
        <f t="shared" si="162"/>
        <v>1800</v>
      </c>
      <c r="V1142" s="111">
        <f t="shared" si="163"/>
        <v>181800</v>
      </c>
      <c r="W1142" t="s">
        <v>3601</v>
      </c>
    </row>
    <row r="1143" spans="1:23" x14ac:dyDescent="0.3">
      <c r="A1143" s="110">
        <v>1600618</v>
      </c>
      <c r="B1143" s="110" t="s">
        <v>1332</v>
      </c>
      <c r="C1143" s="110" t="s">
        <v>1333</v>
      </c>
      <c r="D1143" s="110" t="s">
        <v>1333</v>
      </c>
      <c r="E1143" s="110" t="s">
        <v>1345</v>
      </c>
      <c r="F1143" s="110" t="s">
        <v>117</v>
      </c>
      <c r="G1143" s="110" t="s">
        <v>125</v>
      </c>
      <c r="H1143" s="111">
        <v>482</v>
      </c>
      <c r="I1143" s="111">
        <v>481</v>
      </c>
      <c r="J1143" s="111">
        <v>492</v>
      </c>
      <c r="K1143" s="111">
        <f t="shared" si="155"/>
        <v>485</v>
      </c>
      <c r="L1143" s="111">
        <f>300000*0.7</f>
        <v>210000</v>
      </c>
      <c r="M1143" s="111">
        <f t="shared" si="156"/>
        <v>94500</v>
      </c>
      <c r="N1143" s="111">
        <f t="shared" si="157"/>
        <v>94500</v>
      </c>
      <c r="O1143" s="111">
        <f t="shared" si="158"/>
        <v>18900</v>
      </c>
      <c r="P1143" s="111">
        <f t="shared" si="159"/>
        <v>21000</v>
      </c>
      <c r="Q1143" s="111">
        <v>60000</v>
      </c>
      <c r="R1143" s="111">
        <v>6</v>
      </c>
      <c r="S1143" s="111">
        <f t="shared" si="160"/>
        <v>6000</v>
      </c>
      <c r="T1143" s="111">
        <f t="shared" si="161"/>
        <v>270000</v>
      </c>
      <c r="U1143" s="111">
        <f t="shared" si="162"/>
        <v>2700</v>
      </c>
      <c r="V1143" s="111">
        <f t="shared" si="163"/>
        <v>272700</v>
      </c>
      <c r="W1143" t="s">
        <v>3602</v>
      </c>
    </row>
    <row r="1144" spans="1:23" x14ac:dyDescent="0.3">
      <c r="A1144" s="110">
        <v>1600623</v>
      </c>
      <c r="B1144" s="110" t="s">
        <v>1332</v>
      </c>
      <c r="C1144" s="110" t="s">
        <v>1346</v>
      </c>
      <c r="D1144" s="110" t="s">
        <v>1347</v>
      </c>
      <c r="E1144" s="110" t="s">
        <v>1348</v>
      </c>
      <c r="F1144" s="110" t="s">
        <v>117</v>
      </c>
      <c r="G1144" s="110" t="s">
        <v>125</v>
      </c>
      <c r="H1144" s="111">
        <v>150</v>
      </c>
      <c r="I1144" s="111">
        <v>162</v>
      </c>
      <c r="J1144" s="111">
        <v>172</v>
      </c>
      <c r="K1144" s="111">
        <f t="shared" si="155"/>
        <v>161.33333333333334</v>
      </c>
      <c r="L1144" s="111">
        <v>150000</v>
      </c>
      <c r="M1144" s="111">
        <f t="shared" si="156"/>
        <v>67500</v>
      </c>
      <c r="N1144" s="111">
        <f t="shared" si="157"/>
        <v>67500</v>
      </c>
      <c r="O1144" s="111">
        <f t="shared" si="158"/>
        <v>13500</v>
      </c>
      <c r="P1144" s="111">
        <f t="shared" si="159"/>
        <v>15000</v>
      </c>
      <c r="Q1144" s="111">
        <v>30000</v>
      </c>
      <c r="R1144" s="111">
        <v>3</v>
      </c>
      <c r="S1144" s="111">
        <f t="shared" si="160"/>
        <v>3000</v>
      </c>
      <c r="T1144" s="111">
        <f t="shared" si="161"/>
        <v>180000</v>
      </c>
      <c r="U1144" s="111">
        <f t="shared" si="162"/>
        <v>1800</v>
      </c>
      <c r="V1144" s="111">
        <f t="shared" si="163"/>
        <v>181800</v>
      </c>
      <c r="W1144" t="s">
        <v>3603</v>
      </c>
    </row>
    <row r="1145" spans="1:23" x14ac:dyDescent="0.3">
      <c r="A1145" s="110">
        <v>1600703</v>
      </c>
      <c r="B1145" s="110" t="s">
        <v>1332</v>
      </c>
      <c r="C1145" s="110" t="s">
        <v>1349</v>
      </c>
      <c r="D1145" s="110" t="s">
        <v>1350</v>
      </c>
      <c r="E1145" s="110" t="s">
        <v>588</v>
      </c>
      <c r="F1145" s="110" t="s">
        <v>113</v>
      </c>
      <c r="G1145" s="110" t="s">
        <v>114</v>
      </c>
      <c r="H1145" s="111">
        <v>61</v>
      </c>
      <c r="I1145" s="111">
        <v>53</v>
      </c>
      <c r="J1145" s="111">
        <v>60</v>
      </c>
      <c r="K1145" s="111">
        <f t="shared" si="155"/>
        <v>58</v>
      </c>
      <c r="L1145" s="111">
        <v>150000</v>
      </c>
      <c r="M1145" s="111">
        <f t="shared" si="156"/>
        <v>67500</v>
      </c>
      <c r="N1145" s="111">
        <f t="shared" si="157"/>
        <v>67500</v>
      </c>
      <c r="O1145" s="111">
        <f t="shared" si="158"/>
        <v>13500</v>
      </c>
      <c r="P1145" s="111">
        <f t="shared" si="159"/>
        <v>15000</v>
      </c>
      <c r="Q1145" s="111">
        <v>30000</v>
      </c>
      <c r="R1145" s="111">
        <v>3</v>
      </c>
      <c r="S1145" s="111">
        <f t="shared" si="160"/>
        <v>3000</v>
      </c>
      <c r="T1145" s="111">
        <f t="shared" si="161"/>
        <v>180000</v>
      </c>
      <c r="U1145" s="111">
        <f t="shared" si="162"/>
        <v>1800</v>
      </c>
      <c r="V1145" s="111">
        <f t="shared" si="163"/>
        <v>181800</v>
      </c>
      <c r="W1145" t="s">
        <v>3604</v>
      </c>
    </row>
    <row r="1146" spans="1:23" x14ac:dyDescent="0.3">
      <c r="A1146" s="110">
        <v>1600704</v>
      </c>
      <c r="B1146" s="110" t="s">
        <v>1332</v>
      </c>
      <c r="C1146" s="110" t="s">
        <v>1349</v>
      </c>
      <c r="D1146" s="110" t="s">
        <v>1351</v>
      </c>
      <c r="E1146" s="110" t="s">
        <v>1352</v>
      </c>
      <c r="F1146" s="110" t="s">
        <v>209</v>
      </c>
      <c r="G1146" s="110" t="s">
        <v>114</v>
      </c>
      <c r="H1146" s="111">
        <v>27</v>
      </c>
      <c r="I1146" s="111">
        <v>25</v>
      </c>
      <c r="J1146" s="111">
        <v>25</v>
      </c>
      <c r="K1146" s="111">
        <f t="shared" si="155"/>
        <v>25.666666666666668</v>
      </c>
      <c r="L1146" s="111">
        <v>50000</v>
      </c>
      <c r="M1146" s="111">
        <f t="shared" si="156"/>
        <v>22500</v>
      </c>
      <c r="N1146" s="111">
        <f t="shared" si="157"/>
        <v>22500</v>
      </c>
      <c r="O1146" s="111">
        <f t="shared" si="158"/>
        <v>4500</v>
      </c>
      <c r="P1146" s="111">
        <f t="shared" si="159"/>
        <v>5000</v>
      </c>
      <c r="Q1146" s="111">
        <v>10000</v>
      </c>
      <c r="R1146" s="111">
        <v>1</v>
      </c>
      <c r="S1146" s="111">
        <f t="shared" si="160"/>
        <v>1000</v>
      </c>
      <c r="T1146" s="111">
        <f t="shared" si="161"/>
        <v>60000</v>
      </c>
      <c r="U1146" s="111">
        <f t="shared" si="162"/>
        <v>600</v>
      </c>
      <c r="V1146" s="111">
        <f t="shared" si="163"/>
        <v>60600</v>
      </c>
      <c r="W1146" t="s">
        <v>3605</v>
      </c>
    </row>
    <row r="1147" spans="1:23" x14ac:dyDescent="0.3">
      <c r="A1147" s="110">
        <v>1600705</v>
      </c>
      <c r="B1147" s="110" t="s">
        <v>1332</v>
      </c>
      <c r="C1147" s="110" t="s">
        <v>1349</v>
      </c>
      <c r="D1147" s="110" t="s">
        <v>1349</v>
      </c>
      <c r="E1147" s="110" t="s">
        <v>286</v>
      </c>
      <c r="F1147" s="110" t="s">
        <v>119</v>
      </c>
      <c r="G1147" s="110" t="s">
        <v>114</v>
      </c>
      <c r="H1147" s="111">
        <v>337</v>
      </c>
      <c r="I1147" s="111">
        <v>308</v>
      </c>
      <c r="J1147" s="111">
        <v>297</v>
      </c>
      <c r="K1147" s="111">
        <f t="shared" si="155"/>
        <v>314</v>
      </c>
      <c r="L1147" s="111">
        <v>200000</v>
      </c>
      <c r="M1147" s="111">
        <f t="shared" si="156"/>
        <v>90000</v>
      </c>
      <c r="N1147" s="111">
        <f t="shared" si="157"/>
        <v>90000</v>
      </c>
      <c r="O1147" s="111">
        <f t="shared" si="158"/>
        <v>18000</v>
      </c>
      <c r="P1147" s="111">
        <f t="shared" si="159"/>
        <v>20000</v>
      </c>
      <c r="Q1147" s="111">
        <v>50000</v>
      </c>
      <c r="R1147" s="111">
        <v>5</v>
      </c>
      <c r="S1147" s="111">
        <f t="shared" si="160"/>
        <v>5000</v>
      </c>
      <c r="T1147" s="111">
        <f t="shared" si="161"/>
        <v>250000</v>
      </c>
      <c r="U1147" s="111">
        <f t="shared" si="162"/>
        <v>2500</v>
      </c>
      <c r="V1147" s="111">
        <f t="shared" si="163"/>
        <v>252500</v>
      </c>
      <c r="W1147" t="s">
        <v>3606</v>
      </c>
    </row>
    <row r="1148" spans="1:23" x14ac:dyDescent="0.3">
      <c r="A1148" s="110">
        <v>1600706</v>
      </c>
      <c r="B1148" s="110" t="s">
        <v>1332</v>
      </c>
      <c r="C1148" s="110" t="s">
        <v>1349</v>
      </c>
      <c r="D1148" s="110" t="s">
        <v>1349</v>
      </c>
      <c r="E1148" s="110" t="s">
        <v>1353</v>
      </c>
      <c r="F1148" s="110" t="s">
        <v>117</v>
      </c>
      <c r="G1148" s="110" t="s">
        <v>114</v>
      </c>
      <c r="H1148" s="111">
        <v>149</v>
      </c>
      <c r="I1148" s="111">
        <v>172</v>
      </c>
      <c r="J1148" s="111">
        <v>201</v>
      </c>
      <c r="K1148" s="111">
        <f t="shared" si="155"/>
        <v>174</v>
      </c>
      <c r="L1148" s="111">
        <v>150000</v>
      </c>
      <c r="M1148" s="111">
        <f t="shared" si="156"/>
        <v>67500</v>
      </c>
      <c r="N1148" s="111">
        <f t="shared" si="157"/>
        <v>67500</v>
      </c>
      <c r="O1148" s="111">
        <f t="shared" si="158"/>
        <v>13500</v>
      </c>
      <c r="P1148" s="111">
        <f t="shared" si="159"/>
        <v>15000</v>
      </c>
      <c r="Q1148" s="111">
        <v>30000</v>
      </c>
      <c r="R1148" s="111">
        <v>3</v>
      </c>
      <c r="S1148" s="111">
        <f t="shared" si="160"/>
        <v>3000</v>
      </c>
      <c r="T1148" s="111">
        <f t="shared" si="161"/>
        <v>180000</v>
      </c>
      <c r="U1148" s="111">
        <f t="shared" si="162"/>
        <v>1800</v>
      </c>
      <c r="V1148" s="111">
        <f t="shared" si="163"/>
        <v>181800</v>
      </c>
      <c r="W1148" t="s">
        <v>3607</v>
      </c>
    </row>
    <row r="1149" spans="1:23" x14ac:dyDescent="0.3">
      <c r="A1149" s="110">
        <v>1601101</v>
      </c>
      <c r="B1149" s="110" t="s">
        <v>1332</v>
      </c>
      <c r="C1149" s="110" t="s">
        <v>1354</v>
      </c>
      <c r="D1149" s="110" t="s">
        <v>1354</v>
      </c>
      <c r="E1149" s="110" t="s">
        <v>746</v>
      </c>
      <c r="F1149" s="110" t="s">
        <v>119</v>
      </c>
      <c r="G1149" s="110" t="s">
        <v>114</v>
      </c>
      <c r="H1149" s="111">
        <v>358</v>
      </c>
      <c r="I1149" s="111">
        <v>369</v>
      </c>
      <c r="J1149" s="111">
        <v>382</v>
      </c>
      <c r="K1149" s="111">
        <f t="shared" si="155"/>
        <v>369.66666666666669</v>
      </c>
      <c r="L1149" s="111">
        <v>200000</v>
      </c>
      <c r="M1149" s="111">
        <f t="shared" si="156"/>
        <v>90000</v>
      </c>
      <c r="N1149" s="111">
        <f t="shared" si="157"/>
        <v>90000</v>
      </c>
      <c r="O1149" s="111">
        <f t="shared" si="158"/>
        <v>18000</v>
      </c>
      <c r="P1149" s="111">
        <f t="shared" si="159"/>
        <v>20000</v>
      </c>
      <c r="Q1149" s="111">
        <v>50000</v>
      </c>
      <c r="R1149" s="111">
        <v>5</v>
      </c>
      <c r="S1149" s="111">
        <f t="shared" si="160"/>
        <v>5000</v>
      </c>
      <c r="T1149" s="111">
        <f t="shared" si="161"/>
        <v>250000</v>
      </c>
      <c r="U1149" s="111">
        <f t="shared" si="162"/>
        <v>2500</v>
      </c>
      <c r="V1149" s="111">
        <f t="shared" si="163"/>
        <v>252500</v>
      </c>
      <c r="W1149" t="s">
        <v>3608</v>
      </c>
    </row>
    <row r="1150" spans="1:23" x14ac:dyDescent="0.3">
      <c r="A1150" s="110">
        <v>1601102</v>
      </c>
      <c r="B1150" s="110" t="s">
        <v>1332</v>
      </c>
      <c r="C1150" s="110" t="s">
        <v>1354</v>
      </c>
      <c r="D1150" s="110" t="s">
        <v>1354</v>
      </c>
      <c r="E1150" s="110" t="s">
        <v>357</v>
      </c>
      <c r="F1150" s="110" t="s">
        <v>117</v>
      </c>
      <c r="G1150" s="110" t="s">
        <v>114</v>
      </c>
      <c r="H1150" s="111">
        <v>147</v>
      </c>
      <c r="I1150" s="111">
        <v>141</v>
      </c>
      <c r="J1150" s="111">
        <v>141</v>
      </c>
      <c r="K1150" s="111">
        <f t="shared" si="155"/>
        <v>143</v>
      </c>
      <c r="L1150" s="111">
        <v>150000</v>
      </c>
      <c r="M1150" s="111">
        <f t="shared" si="156"/>
        <v>67500</v>
      </c>
      <c r="N1150" s="111">
        <f t="shared" si="157"/>
        <v>67500</v>
      </c>
      <c r="O1150" s="111">
        <f t="shared" si="158"/>
        <v>13500</v>
      </c>
      <c r="P1150" s="111">
        <f t="shared" si="159"/>
        <v>15000</v>
      </c>
      <c r="Q1150" s="111">
        <v>30000</v>
      </c>
      <c r="R1150" s="111">
        <v>3</v>
      </c>
      <c r="S1150" s="111">
        <f t="shared" si="160"/>
        <v>3000</v>
      </c>
      <c r="T1150" s="111">
        <f t="shared" si="161"/>
        <v>180000</v>
      </c>
      <c r="U1150" s="111">
        <f t="shared" si="162"/>
        <v>1800</v>
      </c>
      <c r="V1150" s="111">
        <f t="shared" si="163"/>
        <v>181800</v>
      </c>
      <c r="W1150" t="s">
        <v>3609</v>
      </c>
    </row>
    <row r="1151" spans="1:23" x14ac:dyDescent="0.3">
      <c r="A1151" s="110">
        <v>1601201</v>
      </c>
      <c r="B1151" s="110" t="s">
        <v>1332</v>
      </c>
      <c r="C1151" s="110" t="s">
        <v>1355</v>
      </c>
      <c r="D1151" s="110" t="s">
        <v>1355</v>
      </c>
      <c r="E1151" s="110" t="s">
        <v>320</v>
      </c>
      <c r="F1151" s="110" t="s">
        <v>113</v>
      </c>
      <c r="G1151" s="110" t="s">
        <v>114</v>
      </c>
      <c r="H1151" s="111">
        <v>182</v>
      </c>
      <c r="I1151" s="111">
        <v>188</v>
      </c>
      <c r="J1151" s="111">
        <v>189</v>
      </c>
      <c r="K1151" s="111">
        <f t="shared" si="155"/>
        <v>186.33333333333334</v>
      </c>
      <c r="L1151" s="111">
        <v>150000</v>
      </c>
      <c r="M1151" s="111">
        <f t="shared" si="156"/>
        <v>67500</v>
      </c>
      <c r="N1151" s="111">
        <f t="shared" si="157"/>
        <v>67500</v>
      </c>
      <c r="O1151" s="111">
        <f t="shared" si="158"/>
        <v>13500</v>
      </c>
      <c r="P1151" s="111">
        <f t="shared" si="159"/>
        <v>15000</v>
      </c>
      <c r="Q1151" s="111">
        <v>30000</v>
      </c>
      <c r="R1151" s="111">
        <v>3</v>
      </c>
      <c r="S1151" s="111">
        <f t="shared" si="160"/>
        <v>3000</v>
      </c>
      <c r="T1151" s="111">
        <f t="shared" si="161"/>
        <v>180000</v>
      </c>
      <c r="U1151" s="111">
        <f t="shared" si="162"/>
        <v>1800</v>
      </c>
      <c r="V1151" s="111">
        <f t="shared" si="163"/>
        <v>181800</v>
      </c>
      <c r="W1151" t="s">
        <v>3610</v>
      </c>
    </row>
    <row r="1152" spans="1:23" x14ac:dyDescent="0.3">
      <c r="A1152" s="110">
        <v>1601202</v>
      </c>
      <c r="B1152" s="110" t="s">
        <v>1332</v>
      </c>
      <c r="C1152" s="110" t="s">
        <v>1355</v>
      </c>
      <c r="D1152" s="110" t="s">
        <v>642</v>
      </c>
      <c r="E1152" s="110" t="s">
        <v>353</v>
      </c>
      <c r="F1152" s="110" t="s">
        <v>113</v>
      </c>
      <c r="G1152" s="110" t="s">
        <v>114</v>
      </c>
      <c r="H1152" s="111">
        <v>70</v>
      </c>
      <c r="I1152" s="111">
        <v>64</v>
      </c>
      <c r="J1152" s="111">
        <v>67</v>
      </c>
      <c r="K1152" s="111">
        <f t="shared" si="155"/>
        <v>67</v>
      </c>
      <c r="L1152" s="111">
        <v>150000</v>
      </c>
      <c r="M1152" s="111">
        <f t="shared" si="156"/>
        <v>67500</v>
      </c>
      <c r="N1152" s="111">
        <f t="shared" si="157"/>
        <v>67500</v>
      </c>
      <c r="O1152" s="111">
        <f t="shared" si="158"/>
        <v>13500</v>
      </c>
      <c r="P1152" s="111">
        <f t="shared" si="159"/>
        <v>15000</v>
      </c>
      <c r="Q1152" s="111">
        <v>30000</v>
      </c>
      <c r="R1152" s="111">
        <v>3</v>
      </c>
      <c r="S1152" s="111">
        <f t="shared" si="160"/>
        <v>3000</v>
      </c>
      <c r="T1152" s="111">
        <f t="shared" si="161"/>
        <v>180000</v>
      </c>
      <c r="U1152" s="111">
        <f t="shared" si="162"/>
        <v>1800</v>
      </c>
      <c r="V1152" s="111">
        <f t="shared" si="163"/>
        <v>181800</v>
      </c>
      <c r="W1152" t="s">
        <v>3611</v>
      </c>
    </row>
    <row r="1153" spans="1:23" x14ac:dyDescent="0.3">
      <c r="A1153" s="110">
        <v>1601203</v>
      </c>
      <c r="B1153" s="110" t="s">
        <v>1332</v>
      </c>
      <c r="C1153" s="110" t="s">
        <v>1355</v>
      </c>
      <c r="D1153" s="110" t="s">
        <v>1356</v>
      </c>
      <c r="E1153" s="110" t="s">
        <v>1357</v>
      </c>
      <c r="F1153" s="110" t="s">
        <v>168</v>
      </c>
      <c r="G1153" s="110" t="s">
        <v>114</v>
      </c>
      <c r="H1153" s="111">
        <v>115</v>
      </c>
      <c r="I1153" s="111">
        <v>121</v>
      </c>
      <c r="J1153" s="111">
        <v>118</v>
      </c>
      <c r="K1153" s="111">
        <f t="shared" si="155"/>
        <v>118</v>
      </c>
      <c r="L1153" s="111">
        <f>150000*0.7</f>
        <v>105000</v>
      </c>
      <c r="M1153" s="111">
        <f t="shared" si="156"/>
        <v>47250</v>
      </c>
      <c r="N1153" s="111">
        <f t="shared" si="157"/>
        <v>47250</v>
      </c>
      <c r="O1153" s="111">
        <f t="shared" si="158"/>
        <v>9450</v>
      </c>
      <c r="P1153" s="111">
        <f t="shared" si="159"/>
        <v>10500</v>
      </c>
      <c r="Q1153" s="111">
        <v>30000</v>
      </c>
      <c r="R1153" s="111">
        <v>3</v>
      </c>
      <c r="S1153" s="111">
        <f t="shared" si="160"/>
        <v>3000</v>
      </c>
      <c r="T1153" s="111">
        <f t="shared" si="161"/>
        <v>135000</v>
      </c>
      <c r="U1153" s="111">
        <f t="shared" si="162"/>
        <v>1350</v>
      </c>
      <c r="V1153" s="111">
        <f t="shared" si="163"/>
        <v>136350</v>
      </c>
      <c r="W1153" t="s">
        <v>3612</v>
      </c>
    </row>
    <row r="1154" spans="1:23" x14ac:dyDescent="0.3">
      <c r="A1154" s="110">
        <v>1601204</v>
      </c>
      <c r="B1154" s="110" t="s">
        <v>1332</v>
      </c>
      <c r="C1154" s="110" t="s">
        <v>1355</v>
      </c>
      <c r="D1154" s="110" t="s">
        <v>1358</v>
      </c>
      <c r="E1154" s="110" t="s">
        <v>184</v>
      </c>
      <c r="F1154" s="110" t="s">
        <v>113</v>
      </c>
      <c r="G1154" s="110" t="s">
        <v>114</v>
      </c>
      <c r="H1154" s="111">
        <v>84</v>
      </c>
      <c r="I1154" s="111">
        <v>86</v>
      </c>
      <c r="J1154" s="111">
        <v>86</v>
      </c>
      <c r="K1154" s="111">
        <f t="shared" ref="K1154:K1217" si="164">+(H1154+I1154+J1154)/3</f>
        <v>85.333333333333329</v>
      </c>
      <c r="L1154" s="111">
        <v>150000</v>
      </c>
      <c r="M1154" s="111">
        <f t="shared" ref="M1154:M1217" si="165">+L1154*0.45</f>
        <v>67500</v>
      </c>
      <c r="N1154" s="111">
        <f t="shared" ref="N1154:N1217" si="166">+L1154*0.45</f>
        <v>67500</v>
      </c>
      <c r="O1154" s="111">
        <f t="shared" ref="O1154:O1217" si="167">+N1154*0.2</f>
        <v>13500</v>
      </c>
      <c r="P1154" s="111">
        <f t="shared" ref="P1154:P1217" si="168">++L1154*0.1</f>
        <v>15000</v>
      </c>
      <c r="Q1154" s="111">
        <v>30000</v>
      </c>
      <c r="R1154" s="111">
        <v>3</v>
      </c>
      <c r="S1154" s="111">
        <f t="shared" ref="S1154:S1217" si="169">+Q1154*0.1</f>
        <v>3000</v>
      </c>
      <c r="T1154" s="111">
        <f t="shared" ref="T1154:T1217" si="170">+L1154+Q1154</f>
        <v>180000</v>
      </c>
      <c r="U1154" s="111">
        <f t="shared" ref="U1154:U1217" si="171">+T1154*0.01</f>
        <v>1800</v>
      </c>
      <c r="V1154" s="111">
        <f t="shared" ref="V1154:V1217" si="172">+T1154+U1154</f>
        <v>181800</v>
      </c>
      <c r="W1154" t="s">
        <v>3613</v>
      </c>
    </row>
    <row r="1155" spans="1:23" x14ac:dyDescent="0.3">
      <c r="A1155" s="110">
        <v>1601206</v>
      </c>
      <c r="B1155" s="110" t="s">
        <v>1332</v>
      </c>
      <c r="C1155" s="110" t="s">
        <v>1355</v>
      </c>
      <c r="D1155" s="110" t="s">
        <v>1359</v>
      </c>
      <c r="E1155" s="110" t="s">
        <v>1360</v>
      </c>
      <c r="F1155" s="110" t="s">
        <v>113</v>
      </c>
      <c r="G1155" s="110" t="s">
        <v>114</v>
      </c>
      <c r="H1155" s="111">
        <v>61</v>
      </c>
      <c r="I1155" s="111">
        <v>94</v>
      </c>
      <c r="J1155" s="111">
        <v>103</v>
      </c>
      <c r="K1155" s="111">
        <f t="shared" si="164"/>
        <v>86</v>
      </c>
      <c r="L1155" s="111">
        <v>150000</v>
      </c>
      <c r="M1155" s="111">
        <f t="shared" si="165"/>
        <v>67500</v>
      </c>
      <c r="N1155" s="111">
        <f t="shared" si="166"/>
        <v>67500</v>
      </c>
      <c r="O1155" s="111">
        <f t="shared" si="167"/>
        <v>13500</v>
      </c>
      <c r="P1155" s="111">
        <f t="shared" si="168"/>
        <v>15000</v>
      </c>
      <c r="Q1155" s="111">
        <v>30000</v>
      </c>
      <c r="R1155" s="111">
        <v>3</v>
      </c>
      <c r="S1155" s="111">
        <f t="shared" si="169"/>
        <v>3000</v>
      </c>
      <c r="T1155" s="111">
        <f t="shared" si="170"/>
        <v>180000</v>
      </c>
      <c r="U1155" s="111">
        <f t="shared" si="171"/>
        <v>1800</v>
      </c>
      <c r="V1155" s="111">
        <f t="shared" si="172"/>
        <v>181800</v>
      </c>
      <c r="W1155" t="s">
        <v>3614</v>
      </c>
    </row>
    <row r="1156" spans="1:23" x14ac:dyDescent="0.3">
      <c r="A1156" s="110">
        <v>1601301</v>
      </c>
      <c r="B1156" s="110" t="s">
        <v>1332</v>
      </c>
      <c r="C1156" s="110" t="s">
        <v>1346</v>
      </c>
      <c r="D1156" s="110" t="s">
        <v>1346</v>
      </c>
      <c r="E1156" s="110" t="s">
        <v>214</v>
      </c>
      <c r="F1156" s="110" t="s">
        <v>119</v>
      </c>
      <c r="G1156" s="110" t="s">
        <v>114</v>
      </c>
      <c r="H1156" s="111">
        <v>1173</v>
      </c>
      <c r="I1156" s="111">
        <v>1181</v>
      </c>
      <c r="J1156" s="111">
        <v>1186</v>
      </c>
      <c r="K1156" s="111">
        <f t="shared" si="164"/>
        <v>1180</v>
      </c>
      <c r="L1156" s="111">
        <f>600000*0.7</f>
        <v>420000</v>
      </c>
      <c r="M1156" s="111">
        <f t="shared" si="165"/>
        <v>189000</v>
      </c>
      <c r="N1156" s="111">
        <f t="shared" si="166"/>
        <v>189000</v>
      </c>
      <c r="O1156" s="111">
        <f t="shared" si="167"/>
        <v>37800</v>
      </c>
      <c r="P1156" s="111">
        <f t="shared" si="168"/>
        <v>42000</v>
      </c>
      <c r="Q1156" s="111">
        <v>80000</v>
      </c>
      <c r="R1156" s="111">
        <v>8</v>
      </c>
      <c r="S1156" s="111">
        <f t="shared" si="169"/>
        <v>8000</v>
      </c>
      <c r="T1156" s="111">
        <f t="shared" si="170"/>
        <v>500000</v>
      </c>
      <c r="U1156" s="111">
        <f t="shared" si="171"/>
        <v>5000</v>
      </c>
      <c r="V1156" s="111">
        <f t="shared" si="172"/>
        <v>505000</v>
      </c>
      <c r="W1156" t="s">
        <v>3615</v>
      </c>
    </row>
    <row r="1157" spans="1:23" x14ac:dyDescent="0.3">
      <c r="A1157" s="110">
        <v>1601302</v>
      </c>
      <c r="B1157" s="110" t="s">
        <v>1332</v>
      </c>
      <c r="C1157" s="110" t="s">
        <v>1346</v>
      </c>
      <c r="D1157" s="110" t="s">
        <v>1346</v>
      </c>
      <c r="E1157" s="110" t="s">
        <v>1361</v>
      </c>
      <c r="F1157" s="110" t="s">
        <v>119</v>
      </c>
      <c r="G1157" s="110" t="s">
        <v>114</v>
      </c>
      <c r="H1157" s="111">
        <v>712</v>
      </c>
      <c r="I1157" s="111">
        <v>691</v>
      </c>
      <c r="J1157" s="111">
        <v>717</v>
      </c>
      <c r="K1157" s="111">
        <f t="shared" si="164"/>
        <v>706.66666666666663</v>
      </c>
      <c r="L1157" s="111">
        <f>300000</f>
        <v>300000</v>
      </c>
      <c r="M1157" s="111">
        <f t="shared" si="165"/>
        <v>135000</v>
      </c>
      <c r="N1157" s="111">
        <f t="shared" si="166"/>
        <v>135000</v>
      </c>
      <c r="O1157" s="111">
        <f t="shared" si="167"/>
        <v>27000</v>
      </c>
      <c r="P1157" s="111">
        <f t="shared" si="168"/>
        <v>30000</v>
      </c>
      <c r="Q1157" s="111">
        <v>60000</v>
      </c>
      <c r="R1157" s="111">
        <v>6</v>
      </c>
      <c r="S1157" s="111">
        <f t="shared" si="169"/>
        <v>6000</v>
      </c>
      <c r="T1157" s="111">
        <f t="shared" si="170"/>
        <v>360000</v>
      </c>
      <c r="U1157" s="111">
        <f t="shared" si="171"/>
        <v>3600</v>
      </c>
      <c r="V1157" s="111">
        <f t="shared" si="172"/>
        <v>363600</v>
      </c>
      <c r="W1157" t="s">
        <v>3616</v>
      </c>
    </row>
    <row r="1158" spans="1:23" x14ac:dyDescent="0.3">
      <c r="A1158" s="110">
        <v>1601303</v>
      </c>
      <c r="B1158" s="110" t="s">
        <v>1332</v>
      </c>
      <c r="C1158" s="110" t="s">
        <v>1362</v>
      </c>
      <c r="D1158" s="110" t="s">
        <v>1362</v>
      </c>
      <c r="E1158" s="110" t="s">
        <v>137</v>
      </c>
      <c r="F1158" s="110" t="s">
        <v>119</v>
      </c>
      <c r="G1158" s="110" t="s">
        <v>114</v>
      </c>
      <c r="H1158" s="111">
        <v>352</v>
      </c>
      <c r="I1158" s="111">
        <v>352</v>
      </c>
      <c r="J1158" s="111">
        <v>326</v>
      </c>
      <c r="K1158" s="111">
        <f t="shared" si="164"/>
        <v>343.33333333333331</v>
      </c>
      <c r="L1158" s="111">
        <v>200000</v>
      </c>
      <c r="M1158" s="111">
        <f t="shared" si="165"/>
        <v>90000</v>
      </c>
      <c r="N1158" s="111">
        <f t="shared" si="166"/>
        <v>90000</v>
      </c>
      <c r="O1158" s="111">
        <f t="shared" si="167"/>
        <v>18000</v>
      </c>
      <c r="P1158" s="111">
        <f t="shared" si="168"/>
        <v>20000</v>
      </c>
      <c r="Q1158" s="111">
        <v>50000</v>
      </c>
      <c r="R1158" s="111">
        <v>5</v>
      </c>
      <c r="S1158" s="111">
        <f t="shared" si="169"/>
        <v>5000</v>
      </c>
      <c r="T1158" s="111">
        <f t="shared" si="170"/>
        <v>250000</v>
      </c>
      <c r="U1158" s="111">
        <f t="shared" si="171"/>
        <v>2500</v>
      </c>
      <c r="V1158" s="111">
        <f t="shared" si="172"/>
        <v>252500</v>
      </c>
      <c r="W1158" t="s">
        <v>3617</v>
      </c>
    </row>
    <row r="1159" spans="1:23" x14ac:dyDescent="0.3">
      <c r="A1159" s="110">
        <v>1601304</v>
      </c>
      <c r="B1159" s="110" t="s">
        <v>1332</v>
      </c>
      <c r="C1159" s="110" t="s">
        <v>1346</v>
      </c>
      <c r="D1159" s="110" t="s">
        <v>1346</v>
      </c>
      <c r="E1159" s="110" t="s">
        <v>201</v>
      </c>
      <c r="F1159" s="110" t="s">
        <v>113</v>
      </c>
      <c r="G1159" s="110" t="s">
        <v>114</v>
      </c>
      <c r="H1159" s="111">
        <v>676</v>
      </c>
      <c r="I1159" s="111">
        <v>692</v>
      </c>
      <c r="J1159" s="111">
        <v>680</v>
      </c>
      <c r="K1159" s="111">
        <f t="shared" si="164"/>
        <v>682.66666666666663</v>
      </c>
      <c r="L1159" s="111">
        <f>300000</f>
        <v>300000</v>
      </c>
      <c r="M1159" s="111">
        <f t="shared" si="165"/>
        <v>135000</v>
      </c>
      <c r="N1159" s="111">
        <f t="shared" si="166"/>
        <v>135000</v>
      </c>
      <c r="O1159" s="111">
        <f t="shared" si="167"/>
        <v>27000</v>
      </c>
      <c r="P1159" s="111">
        <f t="shared" si="168"/>
        <v>30000</v>
      </c>
      <c r="Q1159" s="111">
        <v>60000</v>
      </c>
      <c r="R1159" s="111">
        <v>6</v>
      </c>
      <c r="S1159" s="111">
        <f t="shared" si="169"/>
        <v>6000</v>
      </c>
      <c r="T1159" s="111">
        <f t="shared" si="170"/>
        <v>360000</v>
      </c>
      <c r="U1159" s="111">
        <f t="shared" si="171"/>
        <v>3600</v>
      </c>
      <c r="V1159" s="111">
        <f t="shared" si="172"/>
        <v>363600</v>
      </c>
      <c r="W1159" t="s">
        <v>3618</v>
      </c>
    </row>
    <row r="1160" spans="1:23" x14ac:dyDescent="0.3">
      <c r="A1160" s="110">
        <v>1601305</v>
      </c>
      <c r="B1160" s="110" t="s">
        <v>1332</v>
      </c>
      <c r="C1160" s="110" t="s">
        <v>1346</v>
      </c>
      <c r="D1160" s="110" t="s">
        <v>1346</v>
      </c>
      <c r="E1160" s="110" t="s">
        <v>1363</v>
      </c>
      <c r="F1160" s="110" t="s">
        <v>113</v>
      </c>
      <c r="G1160" s="110" t="s">
        <v>114</v>
      </c>
      <c r="H1160" s="111">
        <v>341</v>
      </c>
      <c r="I1160" s="111">
        <v>328</v>
      </c>
      <c r="J1160" s="111">
        <v>289</v>
      </c>
      <c r="K1160" s="111">
        <f t="shared" si="164"/>
        <v>319.33333333333331</v>
      </c>
      <c r="L1160" s="111">
        <v>200000</v>
      </c>
      <c r="M1160" s="111">
        <f t="shared" si="165"/>
        <v>90000</v>
      </c>
      <c r="N1160" s="111">
        <f t="shared" si="166"/>
        <v>90000</v>
      </c>
      <c r="O1160" s="111">
        <f t="shared" si="167"/>
        <v>18000</v>
      </c>
      <c r="P1160" s="111">
        <f t="shared" si="168"/>
        <v>20000</v>
      </c>
      <c r="Q1160" s="111">
        <v>50000</v>
      </c>
      <c r="R1160" s="111">
        <v>5</v>
      </c>
      <c r="S1160" s="111">
        <f t="shared" si="169"/>
        <v>5000</v>
      </c>
      <c r="T1160" s="111">
        <f t="shared" si="170"/>
        <v>250000</v>
      </c>
      <c r="U1160" s="111">
        <f t="shared" si="171"/>
        <v>2500</v>
      </c>
      <c r="V1160" s="111">
        <f t="shared" si="172"/>
        <v>252500</v>
      </c>
      <c r="W1160" t="s">
        <v>3619</v>
      </c>
    </row>
    <row r="1161" spans="1:23" x14ac:dyDescent="0.3">
      <c r="A1161" s="110">
        <v>1601306</v>
      </c>
      <c r="B1161" s="110" t="s">
        <v>1332</v>
      </c>
      <c r="C1161" s="110" t="s">
        <v>1346</v>
      </c>
      <c r="D1161" s="110" t="s">
        <v>1364</v>
      </c>
      <c r="E1161" s="110" t="s">
        <v>272</v>
      </c>
      <c r="F1161" s="110" t="s">
        <v>119</v>
      </c>
      <c r="G1161" s="110" t="s">
        <v>114</v>
      </c>
      <c r="H1161" s="111">
        <v>138</v>
      </c>
      <c r="I1161" s="111">
        <v>129</v>
      </c>
      <c r="J1161" s="111">
        <v>127</v>
      </c>
      <c r="K1161" s="111">
        <f t="shared" si="164"/>
        <v>131.33333333333334</v>
      </c>
      <c r="L1161" s="111">
        <v>150000</v>
      </c>
      <c r="M1161" s="111">
        <f t="shared" si="165"/>
        <v>67500</v>
      </c>
      <c r="N1161" s="111">
        <f t="shared" si="166"/>
        <v>67500</v>
      </c>
      <c r="O1161" s="111">
        <f t="shared" si="167"/>
        <v>13500</v>
      </c>
      <c r="P1161" s="111">
        <f t="shared" si="168"/>
        <v>15000</v>
      </c>
      <c r="Q1161" s="111">
        <v>30000</v>
      </c>
      <c r="R1161" s="111">
        <v>3</v>
      </c>
      <c r="S1161" s="111">
        <f t="shared" si="169"/>
        <v>3000</v>
      </c>
      <c r="T1161" s="111">
        <f t="shared" si="170"/>
        <v>180000</v>
      </c>
      <c r="U1161" s="111">
        <f t="shared" si="171"/>
        <v>1800</v>
      </c>
      <c r="V1161" s="111">
        <f t="shared" si="172"/>
        <v>181800</v>
      </c>
      <c r="W1161" t="s">
        <v>3620</v>
      </c>
    </row>
    <row r="1162" spans="1:23" x14ac:dyDescent="0.3">
      <c r="A1162" s="110">
        <v>1601307</v>
      </c>
      <c r="B1162" s="110" t="s">
        <v>1332</v>
      </c>
      <c r="C1162" s="110" t="s">
        <v>1346</v>
      </c>
      <c r="D1162" s="110" t="s">
        <v>1365</v>
      </c>
      <c r="E1162" s="110" t="s">
        <v>1366</v>
      </c>
      <c r="F1162" s="110" t="s">
        <v>113</v>
      </c>
      <c r="G1162" s="110" t="s">
        <v>114</v>
      </c>
      <c r="H1162" s="111">
        <v>329</v>
      </c>
      <c r="I1162" s="111">
        <v>313</v>
      </c>
      <c r="J1162" s="111">
        <v>316</v>
      </c>
      <c r="K1162" s="111">
        <f t="shared" si="164"/>
        <v>319.33333333333331</v>
      </c>
      <c r="L1162" s="111">
        <v>200000</v>
      </c>
      <c r="M1162" s="111">
        <f t="shared" si="165"/>
        <v>90000</v>
      </c>
      <c r="N1162" s="111">
        <f t="shared" si="166"/>
        <v>90000</v>
      </c>
      <c r="O1162" s="111">
        <f t="shared" si="167"/>
        <v>18000</v>
      </c>
      <c r="P1162" s="111">
        <f t="shared" si="168"/>
        <v>20000</v>
      </c>
      <c r="Q1162" s="111">
        <v>50000</v>
      </c>
      <c r="R1162" s="111">
        <v>5</v>
      </c>
      <c r="S1162" s="111">
        <f t="shared" si="169"/>
        <v>5000</v>
      </c>
      <c r="T1162" s="111">
        <f t="shared" si="170"/>
        <v>250000</v>
      </c>
      <c r="U1162" s="111">
        <f t="shared" si="171"/>
        <v>2500</v>
      </c>
      <c r="V1162" s="111">
        <f t="shared" si="172"/>
        <v>252500</v>
      </c>
      <c r="W1162" t="s">
        <v>3621</v>
      </c>
    </row>
    <row r="1163" spans="1:23" x14ac:dyDescent="0.3">
      <c r="A1163" s="110">
        <v>1601308</v>
      </c>
      <c r="B1163" s="110" t="s">
        <v>1332</v>
      </c>
      <c r="C1163" s="110" t="s">
        <v>1346</v>
      </c>
      <c r="D1163" s="110" t="s">
        <v>1367</v>
      </c>
      <c r="E1163" s="110" t="s">
        <v>319</v>
      </c>
      <c r="F1163" s="110" t="s">
        <v>113</v>
      </c>
      <c r="G1163" s="110" t="s">
        <v>114</v>
      </c>
      <c r="H1163" s="111">
        <v>210</v>
      </c>
      <c r="I1163" s="111">
        <v>206</v>
      </c>
      <c r="J1163" s="111">
        <v>199</v>
      </c>
      <c r="K1163" s="111">
        <f t="shared" si="164"/>
        <v>205</v>
      </c>
      <c r="L1163" s="111">
        <v>200000</v>
      </c>
      <c r="M1163" s="111">
        <f t="shared" si="165"/>
        <v>90000</v>
      </c>
      <c r="N1163" s="111">
        <f t="shared" si="166"/>
        <v>90000</v>
      </c>
      <c r="O1163" s="111">
        <f t="shared" si="167"/>
        <v>18000</v>
      </c>
      <c r="P1163" s="111">
        <f t="shared" si="168"/>
        <v>20000</v>
      </c>
      <c r="Q1163" s="111">
        <v>50000</v>
      </c>
      <c r="R1163" s="111">
        <v>5</v>
      </c>
      <c r="S1163" s="111">
        <f t="shared" si="169"/>
        <v>5000</v>
      </c>
      <c r="T1163" s="111">
        <f t="shared" si="170"/>
        <v>250000</v>
      </c>
      <c r="U1163" s="111">
        <f t="shared" si="171"/>
        <v>2500</v>
      </c>
      <c r="V1163" s="111">
        <f t="shared" si="172"/>
        <v>252500</v>
      </c>
      <c r="W1163" t="s">
        <v>3622</v>
      </c>
    </row>
    <row r="1164" spans="1:23" x14ac:dyDescent="0.3">
      <c r="A1164" s="110">
        <v>1601309</v>
      </c>
      <c r="B1164" s="110" t="s">
        <v>1332</v>
      </c>
      <c r="C1164" s="110" t="s">
        <v>1346</v>
      </c>
      <c r="D1164" s="110" t="s">
        <v>1368</v>
      </c>
      <c r="E1164" s="110" t="s">
        <v>588</v>
      </c>
      <c r="F1164" s="110" t="s">
        <v>113</v>
      </c>
      <c r="G1164" s="110" t="s">
        <v>114</v>
      </c>
      <c r="H1164" s="111">
        <v>123</v>
      </c>
      <c r="I1164" s="111">
        <v>120</v>
      </c>
      <c r="J1164" s="111">
        <v>107</v>
      </c>
      <c r="K1164" s="111">
        <f t="shared" si="164"/>
        <v>116.66666666666667</v>
      </c>
      <c r="L1164" s="111">
        <v>150000</v>
      </c>
      <c r="M1164" s="111">
        <f t="shared" si="165"/>
        <v>67500</v>
      </c>
      <c r="N1164" s="111">
        <f t="shared" si="166"/>
        <v>67500</v>
      </c>
      <c r="O1164" s="111">
        <f t="shared" si="167"/>
        <v>13500</v>
      </c>
      <c r="P1164" s="111">
        <f t="shared" si="168"/>
        <v>15000</v>
      </c>
      <c r="Q1164" s="111">
        <v>30000</v>
      </c>
      <c r="R1164" s="111">
        <v>3</v>
      </c>
      <c r="S1164" s="111">
        <f t="shared" si="169"/>
        <v>3000</v>
      </c>
      <c r="T1164" s="111">
        <f t="shared" si="170"/>
        <v>180000</v>
      </c>
      <c r="U1164" s="111">
        <f t="shared" si="171"/>
        <v>1800</v>
      </c>
      <c r="V1164" s="111">
        <f t="shared" si="172"/>
        <v>181800</v>
      </c>
      <c r="W1164" t="s">
        <v>3623</v>
      </c>
    </row>
    <row r="1165" spans="1:23" x14ac:dyDescent="0.3">
      <c r="A1165" s="110">
        <v>1601316</v>
      </c>
      <c r="B1165" s="110" t="s">
        <v>1332</v>
      </c>
      <c r="C1165" s="110" t="s">
        <v>1346</v>
      </c>
      <c r="D1165" s="110" t="s">
        <v>198</v>
      </c>
      <c r="E1165" s="110" t="s">
        <v>203</v>
      </c>
      <c r="F1165" s="110" t="s">
        <v>113</v>
      </c>
      <c r="G1165" s="110" t="s">
        <v>114</v>
      </c>
      <c r="H1165" s="111">
        <v>131</v>
      </c>
      <c r="I1165" s="111">
        <v>128</v>
      </c>
      <c r="J1165" s="111">
        <v>131</v>
      </c>
      <c r="K1165" s="111">
        <f t="shared" si="164"/>
        <v>130</v>
      </c>
      <c r="L1165" s="111">
        <v>150000</v>
      </c>
      <c r="M1165" s="111">
        <f t="shared" si="165"/>
        <v>67500</v>
      </c>
      <c r="N1165" s="111">
        <f t="shared" si="166"/>
        <v>67500</v>
      </c>
      <c r="O1165" s="111">
        <f t="shared" si="167"/>
        <v>13500</v>
      </c>
      <c r="P1165" s="111">
        <f t="shared" si="168"/>
        <v>15000</v>
      </c>
      <c r="Q1165" s="111">
        <v>30000</v>
      </c>
      <c r="R1165" s="111">
        <v>3</v>
      </c>
      <c r="S1165" s="111">
        <f t="shared" si="169"/>
        <v>3000</v>
      </c>
      <c r="T1165" s="111">
        <f t="shared" si="170"/>
        <v>180000</v>
      </c>
      <c r="U1165" s="111">
        <f t="shared" si="171"/>
        <v>1800</v>
      </c>
      <c r="V1165" s="111">
        <f t="shared" si="172"/>
        <v>181800</v>
      </c>
      <c r="W1165" t="s">
        <v>3624</v>
      </c>
    </row>
    <row r="1166" spans="1:23" x14ac:dyDescent="0.3">
      <c r="A1166" s="110">
        <v>1601317</v>
      </c>
      <c r="B1166" s="110" t="s">
        <v>1332</v>
      </c>
      <c r="C1166" s="110" t="s">
        <v>1346</v>
      </c>
      <c r="D1166" s="110" t="s">
        <v>1369</v>
      </c>
      <c r="E1166" s="110" t="s">
        <v>1370</v>
      </c>
      <c r="F1166" s="110" t="s">
        <v>113</v>
      </c>
      <c r="G1166" s="110" t="s">
        <v>114</v>
      </c>
      <c r="H1166" s="111">
        <v>226</v>
      </c>
      <c r="I1166" s="111">
        <v>231</v>
      </c>
      <c r="J1166" s="111">
        <v>209</v>
      </c>
      <c r="K1166" s="111">
        <f t="shared" si="164"/>
        <v>222</v>
      </c>
      <c r="L1166" s="111">
        <v>200000</v>
      </c>
      <c r="M1166" s="111">
        <f t="shared" si="165"/>
        <v>90000</v>
      </c>
      <c r="N1166" s="111">
        <f t="shared" si="166"/>
        <v>90000</v>
      </c>
      <c r="O1166" s="111">
        <f t="shared" si="167"/>
        <v>18000</v>
      </c>
      <c r="P1166" s="111">
        <f t="shared" si="168"/>
        <v>20000</v>
      </c>
      <c r="Q1166" s="111">
        <v>50000</v>
      </c>
      <c r="R1166" s="111">
        <v>5</v>
      </c>
      <c r="S1166" s="111">
        <f t="shared" si="169"/>
        <v>5000</v>
      </c>
      <c r="T1166" s="111">
        <f t="shared" si="170"/>
        <v>250000</v>
      </c>
      <c r="U1166" s="111">
        <f t="shared" si="171"/>
        <v>2500</v>
      </c>
      <c r="V1166" s="111">
        <f t="shared" si="172"/>
        <v>252500</v>
      </c>
      <c r="W1166" t="s">
        <v>3625</v>
      </c>
    </row>
    <row r="1167" spans="1:23" x14ac:dyDescent="0.3">
      <c r="A1167" s="110">
        <v>1601318</v>
      </c>
      <c r="B1167" s="110" t="s">
        <v>1332</v>
      </c>
      <c r="C1167" s="110" t="s">
        <v>1346</v>
      </c>
      <c r="D1167" s="110" t="s">
        <v>1347</v>
      </c>
      <c r="E1167" s="110" t="s">
        <v>1371</v>
      </c>
      <c r="F1167" s="110" t="s">
        <v>113</v>
      </c>
      <c r="G1167" s="110" t="s">
        <v>114</v>
      </c>
      <c r="H1167" s="111">
        <v>152</v>
      </c>
      <c r="I1167" s="111">
        <v>143</v>
      </c>
      <c r="J1167" s="111">
        <v>137</v>
      </c>
      <c r="K1167" s="111">
        <f t="shared" si="164"/>
        <v>144</v>
      </c>
      <c r="L1167" s="111">
        <v>150000</v>
      </c>
      <c r="M1167" s="111">
        <f t="shared" si="165"/>
        <v>67500</v>
      </c>
      <c r="N1167" s="111">
        <f t="shared" si="166"/>
        <v>67500</v>
      </c>
      <c r="O1167" s="111">
        <f t="shared" si="167"/>
        <v>13500</v>
      </c>
      <c r="P1167" s="111">
        <f t="shared" si="168"/>
        <v>15000</v>
      </c>
      <c r="Q1167" s="111">
        <v>30000</v>
      </c>
      <c r="R1167" s="111">
        <v>3</v>
      </c>
      <c r="S1167" s="111">
        <f t="shared" si="169"/>
        <v>3000</v>
      </c>
      <c r="T1167" s="111">
        <f t="shared" si="170"/>
        <v>180000</v>
      </c>
      <c r="U1167" s="111">
        <f t="shared" si="171"/>
        <v>1800</v>
      </c>
      <c r="V1167" s="111">
        <f t="shared" si="172"/>
        <v>181800</v>
      </c>
      <c r="W1167" t="s">
        <v>3626</v>
      </c>
    </row>
    <row r="1168" spans="1:23" x14ac:dyDescent="0.3">
      <c r="A1168" s="110">
        <v>1601320</v>
      </c>
      <c r="B1168" s="110" t="s">
        <v>1332</v>
      </c>
      <c r="C1168" s="110" t="s">
        <v>1362</v>
      </c>
      <c r="D1168" s="110" t="s">
        <v>1362</v>
      </c>
      <c r="E1168" s="110" t="s">
        <v>1372</v>
      </c>
      <c r="F1168" s="110" t="s">
        <v>209</v>
      </c>
      <c r="G1168" s="110" t="s">
        <v>114</v>
      </c>
      <c r="H1168" s="111">
        <v>286</v>
      </c>
      <c r="I1168" s="111">
        <v>277</v>
      </c>
      <c r="J1168" s="111">
        <v>276</v>
      </c>
      <c r="K1168" s="111">
        <f t="shared" si="164"/>
        <v>279.66666666666669</v>
      </c>
      <c r="L1168" s="111">
        <v>200000</v>
      </c>
      <c r="M1168" s="111">
        <f t="shared" si="165"/>
        <v>90000</v>
      </c>
      <c r="N1168" s="111">
        <f t="shared" si="166"/>
        <v>90000</v>
      </c>
      <c r="O1168" s="111">
        <f t="shared" si="167"/>
        <v>18000</v>
      </c>
      <c r="P1168" s="111">
        <f t="shared" si="168"/>
        <v>20000</v>
      </c>
      <c r="Q1168" s="111">
        <v>50000</v>
      </c>
      <c r="R1168" s="111">
        <v>5</v>
      </c>
      <c r="S1168" s="111">
        <f t="shared" si="169"/>
        <v>5000</v>
      </c>
      <c r="T1168" s="111">
        <f t="shared" si="170"/>
        <v>250000</v>
      </c>
      <c r="U1168" s="111">
        <f t="shared" si="171"/>
        <v>2500</v>
      </c>
      <c r="V1168" s="111">
        <f t="shared" si="172"/>
        <v>252500</v>
      </c>
      <c r="W1168" t="s">
        <v>3627</v>
      </c>
    </row>
    <row r="1169" spans="1:23" x14ac:dyDescent="0.3">
      <c r="A1169" s="110">
        <v>1601321</v>
      </c>
      <c r="B1169" s="110" t="s">
        <v>1332</v>
      </c>
      <c r="C1169" s="110" t="s">
        <v>1346</v>
      </c>
      <c r="D1169" s="110" t="s">
        <v>1373</v>
      </c>
      <c r="E1169" s="110" t="s">
        <v>282</v>
      </c>
      <c r="F1169" s="110" t="s">
        <v>209</v>
      </c>
      <c r="G1169" s="110" t="s">
        <v>114</v>
      </c>
      <c r="H1169" s="111">
        <v>51</v>
      </c>
      <c r="I1169" s="111">
        <v>54</v>
      </c>
      <c r="J1169" s="111">
        <v>56</v>
      </c>
      <c r="K1169" s="111">
        <f t="shared" si="164"/>
        <v>53.666666666666664</v>
      </c>
      <c r="L1169" s="111">
        <v>150000</v>
      </c>
      <c r="M1169" s="111">
        <f t="shared" si="165"/>
        <v>67500</v>
      </c>
      <c r="N1169" s="111">
        <f t="shared" si="166"/>
        <v>67500</v>
      </c>
      <c r="O1169" s="111">
        <f t="shared" si="167"/>
        <v>13500</v>
      </c>
      <c r="P1169" s="111">
        <f t="shared" si="168"/>
        <v>15000</v>
      </c>
      <c r="Q1169" s="111">
        <v>30000</v>
      </c>
      <c r="R1169" s="111">
        <v>3</v>
      </c>
      <c r="S1169" s="111">
        <f t="shared" si="169"/>
        <v>3000</v>
      </c>
      <c r="T1169" s="111">
        <f t="shared" si="170"/>
        <v>180000</v>
      </c>
      <c r="U1169" s="111">
        <f t="shared" si="171"/>
        <v>1800</v>
      </c>
      <c r="V1169" s="111">
        <f t="shared" si="172"/>
        <v>181800</v>
      </c>
      <c r="W1169" t="s">
        <v>3628</v>
      </c>
    </row>
    <row r="1170" spans="1:23" x14ac:dyDescent="0.3">
      <c r="A1170" s="110">
        <v>1601361</v>
      </c>
      <c r="B1170" s="110" t="s">
        <v>1332</v>
      </c>
      <c r="C1170" s="110" t="s">
        <v>1346</v>
      </c>
      <c r="D1170" s="110" t="s">
        <v>1346</v>
      </c>
      <c r="E1170" s="110" t="s">
        <v>1374</v>
      </c>
      <c r="F1170" s="110" t="s">
        <v>117</v>
      </c>
      <c r="G1170" s="110" t="s">
        <v>125</v>
      </c>
      <c r="H1170" s="111">
        <v>300</v>
      </c>
      <c r="I1170" s="111">
        <v>322</v>
      </c>
      <c r="J1170" s="111">
        <v>357</v>
      </c>
      <c r="K1170" s="111">
        <f t="shared" si="164"/>
        <v>326.33333333333331</v>
      </c>
      <c r="L1170" s="111">
        <v>200000</v>
      </c>
      <c r="M1170" s="111">
        <f t="shared" si="165"/>
        <v>90000</v>
      </c>
      <c r="N1170" s="111">
        <f t="shared" si="166"/>
        <v>90000</v>
      </c>
      <c r="O1170" s="111">
        <f t="shared" si="167"/>
        <v>18000</v>
      </c>
      <c r="P1170" s="111">
        <f t="shared" si="168"/>
        <v>20000</v>
      </c>
      <c r="Q1170" s="111">
        <v>50000</v>
      </c>
      <c r="R1170" s="111">
        <v>5</v>
      </c>
      <c r="S1170" s="111">
        <f t="shared" si="169"/>
        <v>5000</v>
      </c>
      <c r="T1170" s="111">
        <f t="shared" si="170"/>
        <v>250000</v>
      </c>
      <c r="U1170" s="111">
        <f t="shared" si="171"/>
        <v>2500</v>
      </c>
      <c r="V1170" s="111">
        <f t="shared" si="172"/>
        <v>252500</v>
      </c>
      <c r="W1170" t="s">
        <v>3629</v>
      </c>
    </row>
    <row r="1171" spans="1:23" x14ac:dyDescent="0.3">
      <c r="A1171" s="110">
        <v>1601363</v>
      </c>
      <c r="B1171" s="110" t="s">
        <v>1332</v>
      </c>
      <c r="C1171" s="110" t="s">
        <v>1362</v>
      </c>
      <c r="D1171" s="110" t="s">
        <v>1362</v>
      </c>
      <c r="E1171" s="110" t="s">
        <v>1375</v>
      </c>
      <c r="F1171" s="110" t="s">
        <v>117</v>
      </c>
      <c r="G1171" s="110" t="s">
        <v>125</v>
      </c>
      <c r="H1171" s="111">
        <v>698</v>
      </c>
      <c r="I1171" s="111">
        <v>715</v>
      </c>
      <c r="J1171" s="111">
        <v>737</v>
      </c>
      <c r="K1171" s="111">
        <f t="shared" si="164"/>
        <v>716.66666666666663</v>
      </c>
      <c r="L1171" s="111">
        <f>300000*0.7</f>
        <v>210000</v>
      </c>
      <c r="M1171" s="111">
        <f t="shared" si="165"/>
        <v>94500</v>
      </c>
      <c r="N1171" s="111">
        <f t="shared" si="166"/>
        <v>94500</v>
      </c>
      <c r="O1171" s="111">
        <f t="shared" si="167"/>
        <v>18900</v>
      </c>
      <c r="P1171" s="111">
        <f t="shared" si="168"/>
        <v>21000</v>
      </c>
      <c r="Q1171" s="111">
        <v>60000</v>
      </c>
      <c r="R1171" s="111">
        <v>6</v>
      </c>
      <c r="S1171" s="111">
        <f t="shared" si="169"/>
        <v>6000</v>
      </c>
      <c r="T1171" s="111">
        <f t="shared" si="170"/>
        <v>270000</v>
      </c>
      <c r="U1171" s="111">
        <f t="shared" si="171"/>
        <v>2700</v>
      </c>
      <c r="V1171" s="111">
        <f t="shared" si="172"/>
        <v>272700</v>
      </c>
      <c r="W1171" t="s">
        <v>3630</v>
      </c>
    </row>
    <row r="1172" spans="1:23" x14ac:dyDescent="0.3">
      <c r="A1172" s="110">
        <v>1601364</v>
      </c>
      <c r="B1172" s="110" t="s">
        <v>1332</v>
      </c>
      <c r="C1172" s="110" t="s">
        <v>1346</v>
      </c>
      <c r="D1172" s="110" t="s">
        <v>1346</v>
      </c>
      <c r="E1172" s="110" t="s">
        <v>1376</v>
      </c>
      <c r="F1172" s="110" t="s">
        <v>117</v>
      </c>
      <c r="G1172" s="110" t="s">
        <v>125</v>
      </c>
      <c r="H1172" s="111">
        <v>266</v>
      </c>
      <c r="I1172" s="111">
        <v>277</v>
      </c>
      <c r="J1172" s="111">
        <v>233</v>
      </c>
      <c r="K1172" s="111">
        <f t="shared" si="164"/>
        <v>258.66666666666669</v>
      </c>
      <c r="L1172" s="111">
        <v>200000</v>
      </c>
      <c r="M1172" s="111">
        <f t="shared" si="165"/>
        <v>90000</v>
      </c>
      <c r="N1172" s="111">
        <f t="shared" si="166"/>
        <v>90000</v>
      </c>
      <c r="O1172" s="111">
        <f t="shared" si="167"/>
        <v>18000</v>
      </c>
      <c r="P1172" s="111">
        <f t="shared" si="168"/>
        <v>20000</v>
      </c>
      <c r="Q1172" s="111">
        <v>50000</v>
      </c>
      <c r="R1172" s="111">
        <v>5</v>
      </c>
      <c r="S1172" s="111">
        <f t="shared" si="169"/>
        <v>5000</v>
      </c>
      <c r="T1172" s="111">
        <f t="shared" si="170"/>
        <v>250000</v>
      </c>
      <c r="U1172" s="111">
        <f t="shared" si="171"/>
        <v>2500</v>
      </c>
      <c r="V1172" s="111">
        <f t="shared" si="172"/>
        <v>252500</v>
      </c>
      <c r="W1172" t="s">
        <v>3631</v>
      </c>
    </row>
    <row r="1173" spans="1:23" x14ac:dyDescent="0.3">
      <c r="A1173" s="110">
        <v>1601401</v>
      </c>
      <c r="B1173" s="110" t="s">
        <v>1332</v>
      </c>
      <c r="C1173" s="110" t="s">
        <v>1377</v>
      </c>
      <c r="D1173" s="110" t="s">
        <v>1377</v>
      </c>
      <c r="E1173" s="110" t="s">
        <v>1378</v>
      </c>
      <c r="F1173" s="110" t="s">
        <v>209</v>
      </c>
      <c r="G1173" s="110" t="s">
        <v>114</v>
      </c>
      <c r="H1173" s="111">
        <v>158</v>
      </c>
      <c r="I1173" s="111">
        <v>151</v>
      </c>
      <c r="J1173" s="111">
        <v>139</v>
      </c>
      <c r="K1173" s="111">
        <f t="shared" si="164"/>
        <v>149.33333333333334</v>
      </c>
      <c r="L1173" s="111">
        <v>150000</v>
      </c>
      <c r="M1173" s="111">
        <f t="shared" si="165"/>
        <v>67500</v>
      </c>
      <c r="N1173" s="111">
        <f t="shared" si="166"/>
        <v>67500</v>
      </c>
      <c r="O1173" s="111">
        <f t="shared" si="167"/>
        <v>13500</v>
      </c>
      <c r="P1173" s="111">
        <f t="shared" si="168"/>
        <v>15000</v>
      </c>
      <c r="Q1173" s="111">
        <v>30000</v>
      </c>
      <c r="R1173" s="111">
        <v>3</v>
      </c>
      <c r="S1173" s="111">
        <f t="shared" si="169"/>
        <v>3000</v>
      </c>
      <c r="T1173" s="111">
        <f t="shared" si="170"/>
        <v>180000</v>
      </c>
      <c r="U1173" s="111">
        <f t="shared" si="171"/>
        <v>1800</v>
      </c>
      <c r="V1173" s="111">
        <f t="shared" si="172"/>
        <v>181800</v>
      </c>
      <c r="W1173" t="s">
        <v>3632</v>
      </c>
    </row>
    <row r="1174" spans="1:23" x14ac:dyDescent="0.3">
      <c r="A1174" s="110">
        <v>1601403</v>
      </c>
      <c r="B1174" s="110" t="s">
        <v>1332</v>
      </c>
      <c r="C1174" s="110" t="s">
        <v>1377</v>
      </c>
      <c r="D1174" s="110" t="s">
        <v>1377</v>
      </c>
      <c r="E1174" s="110" t="s">
        <v>691</v>
      </c>
      <c r="F1174" s="110" t="s">
        <v>119</v>
      </c>
      <c r="G1174" s="110" t="s">
        <v>114</v>
      </c>
      <c r="H1174" s="111">
        <v>468</v>
      </c>
      <c r="I1174" s="111">
        <v>440</v>
      </c>
      <c r="J1174" s="111">
        <v>418</v>
      </c>
      <c r="K1174" s="111">
        <f t="shared" si="164"/>
        <v>442</v>
      </c>
      <c r="L1174" s="111">
        <f>300000</f>
        <v>300000</v>
      </c>
      <c r="M1174" s="111">
        <f t="shared" si="165"/>
        <v>135000</v>
      </c>
      <c r="N1174" s="111">
        <f t="shared" si="166"/>
        <v>135000</v>
      </c>
      <c r="O1174" s="111">
        <f t="shared" si="167"/>
        <v>27000</v>
      </c>
      <c r="P1174" s="111">
        <f t="shared" si="168"/>
        <v>30000</v>
      </c>
      <c r="Q1174" s="111">
        <v>60000</v>
      </c>
      <c r="R1174" s="111">
        <v>6</v>
      </c>
      <c r="S1174" s="111">
        <f t="shared" si="169"/>
        <v>6000</v>
      </c>
      <c r="T1174" s="111">
        <f t="shared" si="170"/>
        <v>360000</v>
      </c>
      <c r="U1174" s="111">
        <f t="shared" si="171"/>
        <v>3600</v>
      </c>
      <c r="V1174" s="111">
        <f t="shared" si="172"/>
        <v>363600</v>
      </c>
      <c r="W1174" t="s">
        <v>3633</v>
      </c>
    </row>
    <row r="1175" spans="1:23" x14ac:dyDescent="0.3">
      <c r="A1175" s="110">
        <v>1601501</v>
      </c>
      <c r="B1175" s="110" t="s">
        <v>1332</v>
      </c>
      <c r="C1175" s="110" t="s">
        <v>1379</v>
      </c>
      <c r="D1175" s="110" t="s">
        <v>1379</v>
      </c>
      <c r="E1175" s="110" t="s">
        <v>272</v>
      </c>
      <c r="F1175" s="110" t="s">
        <v>119</v>
      </c>
      <c r="G1175" s="110" t="s">
        <v>114</v>
      </c>
      <c r="H1175" s="111">
        <v>117</v>
      </c>
      <c r="I1175" s="111">
        <v>106</v>
      </c>
      <c r="J1175" s="111">
        <v>95</v>
      </c>
      <c r="K1175" s="111">
        <f t="shared" si="164"/>
        <v>106</v>
      </c>
      <c r="L1175" s="111">
        <v>150000</v>
      </c>
      <c r="M1175" s="111">
        <f t="shared" si="165"/>
        <v>67500</v>
      </c>
      <c r="N1175" s="111">
        <f t="shared" si="166"/>
        <v>67500</v>
      </c>
      <c r="O1175" s="111">
        <f t="shared" si="167"/>
        <v>13500</v>
      </c>
      <c r="P1175" s="111">
        <f t="shared" si="168"/>
        <v>15000</v>
      </c>
      <c r="Q1175" s="111">
        <v>30000</v>
      </c>
      <c r="R1175" s="111">
        <v>3</v>
      </c>
      <c r="S1175" s="111">
        <f t="shared" si="169"/>
        <v>3000</v>
      </c>
      <c r="T1175" s="111">
        <f t="shared" si="170"/>
        <v>180000</v>
      </c>
      <c r="U1175" s="111">
        <f t="shared" si="171"/>
        <v>1800</v>
      </c>
      <c r="V1175" s="111">
        <f t="shared" si="172"/>
        <v>181800</v>
      </c>
      <c r="W1175" t="s">
        <v>3634</v>
      </c>
    </row>
    <row r="1176" spans="1:23" x14ac:dyDescent="0.3">
      <c r="A1176" s="110">
        <v>1601700</v>
      </c>
      <c r="B1176" s="110" t="s">
        <v>1332</v>
      </c>
      <c r="C1176" s="110" t="s">
        <v>1380</v>
      </c>
      <c r="D1176" s="110" t="s">
        <v>1381</v>
      </c>
      <c r="E1176" s="110" t="s">
        <v>540</v>
      </c>
      <c r="F1176" s="110" t="s">
        <v>209</v>
      </c>
      <c r="G1176" s="110" t="s">
        <v>114</v>
      </c>
      <c r="H1176" s="111">
        <v>46</v>
      </c>
      <c r="I1176" s="111">
        <v>45</v>
      </c>
      <c r="J1176" s="111">
        <v>52</v>
      </c>
      <c r="K1176" s="111">
        <f t="shared" si="164"/>
        <v>47.666666666666664</v>
      </c>
      <c r="L1176" s="111">
        <v>50000</v>
      </c>
      <c r="M1176" s="111">
        <f t="shared" si="165"/>
        <v>22500</v>
      </c>
      <c r="N1176" s="111">
        <f t="shared" si="166"/>
        <v>22500</v>
      </c>
      <c r="O1176" s="111">
        <f t="shared" si="167"/>
        <v>4500</v>
      </c>
      <c r="P1176" s="111">
        <f t="shared" si="168"/>
        <v>5000</v>
      </c>
      <c r="Q1176" s="111">
        <v>10000</v>
      </c>
      <c r="R1176" s="111">
        <v>1</v>
      </c>
      <c r="S1176" s="111">
        <f t="shared" si="169"/>
        <v>1000</v>
      </c>
      <c r="T1176" s="111">
        <f t="shared" si="170"/>
        <v>60000</v>
      </c>
      <c r="U1176" s="111">
        <f t="shared" si="171"/>
        <v>600</v>
      </c>
      <c r="V1176" s="111">
        <f t="shared" si="172"/>
        <v>60600</v>
      </c>
      <c r="W1176" t="s">
        <v>3635</v>
      </c>
    </row>
    <row r="1177" spans="1:23" x14ac:dyDescent="0.3">
      <c r="A1177" s="110">
        <v>1601701</v>
      </c>
      <c r="B1177" s="110" t="s">
        <v>1332</v>
      </c>
      <c r="C1177" s="110" t="s">
        <v>1380</v>
      </c>
      <c r="D1177" s="110" t="s">
        <v>1382</v>
      </c>
      <c r="E1177" s="110" t="s">
        <v>186</v>
      </c>
      <c r="F1177" s="110" t="s">
        <v>113</v>
      </c>
      <c r="G1177" s="110" t="s">
        <v>114</v>
      </c>
      <c r="H1177" s="111">
        <v>109</v>
      </c>
      <c r="I1177" s="111">
        <v>106</v>
      </c>
      <c r="J1177" s="111">
        <v>128</v>
      </c>
      <c r="K1177" s="111">
        <f t="shared" si="164"/>
        <v>114.33333333333333</v>
      </c>
      <c r="L1177" s="111">
        <v>150000</v>
      </c>
      <c r="M1177" s="111">
        <f t="shared" si="165"/>
        <v>67500</v>
      </c>
      <c r="N1177" s="111">
        <f t="shared" si="166"/>
        <v>67500</v>
      </c>
      <c r="O1177" s="111">
        <f t="shared" si="167"/>
        <v>13500</v>
      </c>
      <c r="P1177" s="111">
        <f t="shared" si="168"/>
        <v>15000</v>
      </c>
      <c r="Q1177" s="111">
        <v>30000</v>
      </c>
      <c r="R1177" s="111">
        <v>3</v>
      </c>
      <c r="S1177" s="111">
        <f t="shared" si="169"/>
        <v>3000</v>
      </c>
      <c r="T1177" s="111">
        <f t="shared" si="170"/>
        <v>180000</v>
      </c>
      <c r="U1177" s="111">
        <f t="shared" si="171"/>
        <v>1800</v>
      </c>
      <c r="V1177" s="111">
        <f t="shared" si="172"/>
        <v>181800</v>
      </c>
      <c r="W1177" t="s">
        <v>3636</v>
      </c>
    </row>
    <row r="1178" spans="1:23" x14ac:dyDescent="0.3">
      <c r="A1178" s="110">
        <v>1601702</v>
      </c>
      <c r="B1178" s="110" t="s">
        <v>1332</v>
      </c>
      <c r="C1178" s="110" t="s">
        <v>1380</v>
      </c>
      <c r="D1178" s="110" t="s">
        <v>1383</v>
      </c>
      <c r="E1178" s="110" t="s">
        <v>201</v>
      </c>
      <c r="F1178" s="110" t="s">
        <v>113</v>
      </c>
      <c r="G1178" s="110" t="s">
        <v>114</v>
      </c>
      <c r="H1178" s="111">
        <v>118</v>
      </c>
      <c r="I1178" s="111">
        <v>128</v>
      </c>
      <c r="J1178" s="111">
        <v>129</v>
      </c>
      <c r="K1178" s="111">
        <f t="shared" si="164"/>
        <v>125</v>
      </c>
      <c r="L1178" s="111">
        <v>150000</v>
      </c>
      <c r="M1178" s="111">
        <f t="shared" si="165"/>
        <v>67500</v>
      </c>
      <c r="N1178" s="111">
        <f t="shared" si="166"/>
        <v>67500</v>
      </c>
      <c r="O1178" s="111">
        <f t="shared" si="167"/>
        <v>13500</v>
      </c>
      <c r="P1178" s="111">
        <f t="shared" si="168"/>
        <v>15000</v>
      </c>
      <c r="Q1178" s="111">
        <v>30000</v>
      </c>
      <c r="R1178" s="111">
        <v>3</v>
      </c>
      <c r="S1178" s="111">
        <f t="shared" si="169"/>
        <v>3000</v>
      </c>
      <c r="T1178" s="111">
        <f t="shared" si="170"/>
        <v>180000</v>
      </c>
      <c r="U1178" s="111">
        <f t="shared" si="171"/>
        <v>1800</v>
      </c>
      <c r="V1178" s="111">
        <f t="shared" si="172"/>
        <v>181800</v>
      </c>
      <c r="W1178" t="s">
        <v>3637</v>
      </c>
    </row>
    <row r="1179" spans="1:23" x14ac:dyDescent="0.3">
      <c r="A1179" s="110">
        <v>1601703</v>
      </c>
      <c r="B1179" s="110" t="s">
        <v>1332</v>
      </c>
      <c r="C1179" s="110" t="s">
        <v>1380</v>
      </c>
      <c r="D1179" s="110" t="s">
        <v>1384</v>
      </c>
      <c r="E1179" s="110" t="s">
        <v>1385</v>
      </c>
      <c r="F1179" s="110" t="s">
        <v>113</v>
      </c>
      <c r="G1179" s="110" t="s">
        <v>114</v>
      </c>
      <c r="H1179" s="111">
        <v>72</v>
      </c>
      <c r="I1179" s="111">
        <v>75</v>
      </c>
      <c r="J1179" s="111">
        <v>79</v>
      </c>
      <c r="K1179" s="111">
        <f t="shared" si="164"/>
        <v>75.333333333333329</v>
      </c>
      <c r="L1179" s="111">
        <v>150000</v>
      </c>
      <c r="M1179" s="111">
        <f t="shared" si="165"/>
        <v>67500</v>
      </c>
      <c r="N1179" s="111">
        <f t="shared" si="166"/>
        <v>67500</v>
      </c>
      <c r="O1179" s="111">
        <f t="shared" si="167"/>
        <v>13500</v>
      </c>
      <c r="P1179" s="111">
        <f t="shared" si="168"/>
        <v>15000</v>
      </c>
      <c r="Q1179" s="111">
        <v>30000</v>
      </c>
      <c r="R1179" s="111">
        <v>3</v>
      </c>
      <c r="S1179" s="111">
        <f t="shared" si="169"/>
        <v>3000</v>
      </c>
      <c r="T1179" s="111">
        <f t="shared" si="170"/>
        <v>180000</v>
      </c>
      <c r="U1179" s="111">
        <f t="shared" si="171"/>
        <v>1800</v>
      </c>
      <c r="V1179" s="111">
        <f t="shared" si="172"/>
        <v>181800</v>
      </c>
      <c r="W1179" t="s">
        <v>3638</v>
      </c>
    </row>
    <row r="1180" spans="1:23" x14ac:dyDescent="0.3">
      <c r="A1180" s="110">
        <v>1601704</v>
      </c>
      <c r="B1180" s="110" t="s">
        <v>1332</v>
      </c>
      <c r="C1180" s="110" t="s">
        <v>1380</v>
      </c>
      <c r="D1180" s="110" t="s">
        <v>891</v>
      </c>
      <c r="E1180" s="110" t="s">
        <v>313</v>
      </c>
      <c r="F1180" s="110" t="s">
        <v>113</v>
      </c>
      <c r="G1180" s="110" t="s">
        <v>114</v>
      </c>
      <c r="H1180" s="111">
        <v>82</v>
      </c>
      <c r="I1180" s="111">
        <v>77</v>
      </c>
      <c r="J1180" s="111">
        <v>92</v>
      </c>
      <c r="K1180" s="111">
        <f t="shared" si="164"/>
        <v>83.666666666666671</v>
      </c>
      <c r="L1180" s="111">
        <v>150000</v>
      </c>
      <c r="M1180" s="111">
        <f t="shared" si="165"/>
        <v>67500</v>
      </c>
      <c r="N1180" s="111">
        <f t="shared" si="166"/>
        <v>67500</v>
      </c>
      <c r="O1180" s="111">
        <f t="shared" si="167"/>
        <v>13500</v>
      </c>
      <c r="P1180" s="111">
        <f t="shared" si="168"/>
        <v>15000</v>
      </c>
      <c r="Q1180" s="111">
        <v>30000</v>
      </c>
      <c r="R1180" s="111">
        <v>3</v>
      </c>
      <c r="S1180" s="111">
        <f t="shared" si="169"/>
        <v>3000</v>
      </c>
      <c r="T1180" s="111">
        <f t="shared" si="170"/>
        <v>180000</v>
      </c>
      <c r="U1180" s="111">
        <f t="shared" si="171"/>
        <v>1800</v>
      </c>
      <c r="V1180" s="111">
        <f t="shared" si="172"/>
        <v>181800</v>
      </c>
      <c r="W1180" t="s">
        <v>3639</v>
      </c>
    </row>
    <row r="1181" spans="1:23" x14ac:dyDescent="0.3">
      <c r="A1181" s="110">
        <v>1601705</v>
      </c>
      <c r="B1181" s="110" t="s">
        <v>1332</v>
      </c>
      <c r="C1181" s="110" t="s">
        <v>1380</v>
      </c>
      <c r="D1181" s="110" t="s">
        <v>1386</v>
      </c>
      <c r="E1181" s="110" t="s">
        <v>1387</v>
      </c>
      <c r="F1181" s="110" t="s">
        <v>113</v>
      </c>
      <c r="G1181" s="110" t="s">
        <v>114</v>
      </c>
      <c r="H1181" s="111">
        <v>169</v>
      </c>
      <c r="I1181" s="111">
        <v>172</v>
      </c>
      <c r="J1181" s="111">
        <v>175</v>
      </c>
      <c r="K1181" s="111">
        <f t="shared" si="164"/>
        <v>172</v>
      </c>
      <c r="L1181" s="111">
        <f>150000*0.7</f>
        <v>105000</v>
      </c>
      <c r="M1181" s="111">
        <f t="shared" si="165"/>
        <v>47250</v>
      </c>
      <c r="N1181" s="111">
        <f t="shared" si="166"/>
        <v>47250</v>
      </c>
      <c r="O1181" s="111">
        <f t="shared" si="167"/>
        <v>9450</v>
      </c>
      <c r="P1181" s="111">
        <f t="shared" si="168"/>
        <v>10500</v>
      </c>
      <c r="Q1181" s="111">
        <v>30000</v>
      </c>
      <c r="R1181" s="111">
        <v>3</v>
      </c>
      <c r="S1181" s="111">
        <f t="shared" si="169"/>
        <v>3000</v>
      </c>
      <c r="T1181" s="111">
        <f t="shared" si="170"/>
        <v>135000</v>
      </c>
      <c r="U1181" s="111">
        <f t="shared" si="171"/>
        <v>1350</v>
      </c>
      <c r="V1181" s="111">
        <f t="shared" si="172"/>
        <v>136350</v>
      </c>
      <c r="W1181" t="s">
        <v>3640</v>
      </c>
    </row>
    <row r="1182" spans="1:23" x14ac:dyDescent="0.3">
      <c r="A1182" s="110">
        <v>1601706</v>
      </c>
      <c r="B1182" s="110" t="s">
        <v>1332</v>
      </c>
      <c r="C1182" s="110" t="s">
        <v>1380</v>
      </c>
      <c r="D1182" s="110" t="s">
        <v>1388</v>
      </c>
      <c r="E1182" s="110" t="s">
        <v>353</v>
      </c>
      <c r="F1182" s="110" t="s">
        <v>113</v>
      </c>
      <c r="G1182" s="110" t="s">
        <v>114</v>
      </c>
      <c r="H1182" s="111">
        <v>106</v>
      </c>
      <c r="I1182" s="111">
        <v>95</v>
      </c>
      <c r="J1182" s="111">
        <v>94</v>
      </c>
      <c r="K1182" s="111">
        <f t="shared" si="164"/>
        <v>98.333333333333329</v>
      </c>
      <c r="L1182" s="111">
        <v>150000</v>
      </c>
      <c r="M1182" s="111">
        <f t="shared" si="165"/>
        <v>67500</v>
      </c>
      <c r="N1182" s="111">
        <f t="shared" si="166"/>
        <v>67500</v>
      </c>
      <c r="O1182" s="111">
        <f t="shared" si="167"/>
        <v>13500</v>
      </c>
      <c r="P1182" s="111">
        <f t="shared" si="168"/>
        <v>15000</v>
      </c>
      <c r="Q1182" s="111">
        <v>30000</v>
      </c>
      <c r="R1182" s="111">
        <v>3</v>
      </c>
      <c r="S1182" s="111">
        <f t="shared" si="169"/>
        <v>3000</v>
      </c>
      <c r="T1182" s="111">
        <f t="shared" si="170"/>
        <v>180000</v>
      </c>
      <c r="U1182" s="111">
        <f t="shared" si="171"/>
        <v>1800</v>
      </c>
      <c r="V1182" s="111">
        <f t="shared" si="172"/>
        <v>181800</v>
      </c>
      <c r="W1182" t="s">
        <v>3641</v>
      </c>
    </row>
    <row r="1183" spans="1:23" x14ac:dyDescent="0.3">
      <c r="A1183" s="110">
        <v>1601707</v>
      </c>
      <c r="B1183" s="110" t="s">
        <v>1332</v>
      </c>
      <c r="C1183" s="110" t="s">
        <v>1380</v>
      </c>
      <c r="D1183" s="110" t="s">
        <v>1389</v>
      </c>
      <c r="E1183" s="110" t="s">
        <v>588</v>
      </c>
      <c r="F1183" s="110" t="s">
        <v>113</v>
      </c>
      <c r="G1183" s="110" t="s">
        <v>114</v>
      </c>
      <c r="H1183" s="111">
        <v>103</v>
      </c>
      <c r="I1183" s="111">
        <v>99</v>
      </c>
      <c r="J1183" s="111">
        <v>104</v>
      </c>
      <c r="K1183" s="111">
        <f t="shared" si="164"/>
        <v>102</v>
      </c>
      <c r="L1183" s="111">
        <v>150000</v>
      </c>
      <c r="M1183" s="111">
        <f t="shared" si="165"/>
        <v>67500</v>
      </c>
      <c r="N1183" s="111">
        <f t="shared" si="166"/>
        <v>67500</v>
      </c>
      <c r="O1183" s="111">
        <f t="shared" si="167"/>
        <v>13500</v>
      </c>
      <c r="P1183" s="111">
        <f t="shared" si="168"/>
        <v>15000</v>
      </c>
      <c r="Q1183" s="111">
        <v>30000</v>
      </c>
      <c r="R1183" s="111">
        <v>3</v>
      </c>
      <c r="S1183" s="111">
        <f t="shared" si="169"/>
        <v>3000</v>
      </c>
      <c r="T1183" s="111">
        <f t="shared" si="170"/>
        <v>180000</v>
      </c>
      <c r="U1183" s="111">
        <f t="shared" si="171"/>
        <v>1800</v>
      </c>
      <c r="V1183" s="111">
        <f t="shared" si="172"/>
        <v>181800</v>
      </c>
      <c r="W1183" t="s">
        <v>3642</v>
      </c>
    </row>
    <row r="1184" spans="1:23" x14ac:dyDescent="0.3">
      <c r="A1184" s="110">
        <v>1601708</v>
      </c>
      <c r="B1184" s="110" t="s">
        <v>1332</v>
      </c>
      <c r="C1184" s="110" t="s">
        <v>1380</v>
      </c>
      <c r="D1184" s="110" t="s">
        <v>1390</v>
      </c>
      <c r="E1184" s="110" t="s">
        <v>214</v>
      </c>
      <c r="F1184" s="110" t="s">
        <v>119</v>
      </c>
      <c r="G1184" s="110" t="s">
        <v>114</v>
      </c>
      <c r="H1184" s="111">
        <v>266</v>
      </c>
      <c r="I1184" s="111">
        <v>276</v>
      </c>
      <c r="J1184" s="111">
        <v>275</v>
      </c>
      <c r="K1184" s="111">
        <f t="shared" si="164"/>
        <v>272.33333333333331</v>
      </c>
      <c r="L1184" s="111">
        <v>200000</v>
      </c>
      <c r="M1184" s="111">
        <f t="shared" si="165"/>
        <v>90000</v>
      </c>
      <c r="N1184" s="111">
        <f t="shared" si="166"/>
        <v>90000</v>
      </c>
      <c r="O1184" s="111">
        <f t="shared" si="167"/>
        <v>18000</v>
      </c>
      <c r="P1184" s="111">
        <f t="shared" si="168"/>
        <v>20000</v>
      </c>
      <c r="Q1184" s="111">
        <v>50000</v>
      </c>
      <c r="R1184" s="111">
        <v>5</v>
      </c>
      <c r="S1184" s="111">
        <f t="shared" si="169"/>
        <v>5000</v>
      </c>
      <c r="T1184" s="111">
        <f t="shared" si="170"/>
        <v>250000</v>
      </c>
      <c r="U1184" s="111">
        <f t="shared" si="171"/>
        <v>2500</v>
      </c>
      <c r="V1184" s="111">
        <f t="shared" si="172"/>
        <v>252500</v>
      </c>
      <c r="W1184" t="s">
        <v>3643</v>
      </c>
    </row>
    <row r="1185" spans="1:23" x14ac:dyDescent="0.3">
      <c r="A1185" s="110">
        <v>1601709</v>
      </c>
      <c r="B1185" s="110" t="s">
        <v>1332</v>
      </c>
      <c r="C1185" s="110" t="s">
        <v>1380</v>
      </c>
      <c r="D1185" s="110" t="s">
        <v>1391</v>
      </c>
      <c r="E1185" s="110" t="s">
        <v>682</v>
      </c>
      <c r="F1185" s="110" t="s">
        <v>119</v>
      </c>
      <c r="G1185" s="110" t="s">
        <v>114</v>
      </c>
      <c r="H1185" s="111">
        <v>284</v>
      </c>
      <c r="I1185" s="111">
        <v>275</v>
      </c>
      <c r="J1185" s="111">
        <v>275</v>
      </c>
      <c r="K1185" s="111">
        <f t="shared" si="164"/>
        <v>278</v>
      </c>
      <c r="L1185" s="111">
        <v>200000</v>
      </c>
      <c r="M1185" s="111">
        <f t="shared" si="165"/>
        <v>90000</v>
      </c>
      <c r="N1185" s="111">
        <f t="shared" si="166"/>
        <v>90000</v>
      </c>
      <c r="O1185" s="111">
        <f t="shared" si="167"/>
        <v>18000</v>
      </c>
      <c r="P1185" s="111">
        <f t="shared" si="168"/>
        <v>20000</v>
      </c>
      <c r="Q1185" s="111">
        <v>50000</v>
      </c>
      <c r="R1185" s="111">
        <v>5</v>
      </c>
      <c r="S1185" s="111">
        <f t="shared" si="169"/>
        <v>5000</v>
      </c>
      <c r="T1185" s="111">
        <f t="shared" si="170"/>
        <v>250000</v>
      </c>
      <c r="U1185" s="111">
        <f t="shared" si="171"/>
        <v>2500</v>
      </c>
      <c r="V1185" s="111">
        <f t="shared" si="172"/>
        <v>252500</v>
      </c>
      <c r="W1185" t="s">
        <v>3644</v>
      </c>
    </row>
    <row r="1186" spans="1:23" x14ac:dyDescent="0.3">
      <c r="A1186" s="110">
        <v>1601710</v>
      </c>
      <c r="B1186" s="110" t="s">
        <v>1332</v>
      </c>
      <c r="C1186" s="110" t="s">
        <v>1380</v>
      </c>
      <c r="D1186" s="110" t="s">
        <v>1392</v>
      </c>
      <c r="E1186" s="110" t="s">
        <v>319</v>
      </c>
      <c r="F1186" s="110" t="s">
        <v>113</v>
      </c>
      <c r="G1186" s="110" t="s">
        <v>114</v>
      </c>
      <c r="H1186" s="111">
        <v>276</v>
      </c>
      <c r="I1186" s="111">
        <v>257</v>
      </c>
      <c r="J1186" s="111">
        <v>255</v>
      </c>
      <c r="K1186" s="111">
        <f t="shared" si="164"/>
        <v>262.66666666666669</v>
      </c>
      <c r="L1186" s="111">
        <f>200000*0.7</f>
        <v>140000</v>
      </c>
      <c r="M1186" s="111">
        <f t="shared" si="165"/>
        <v>63000</v>
      </c>
      <c r="N1186" s="111">
        <f t="shared" si="166"/>
        <v>63000</v>
      </c>
      <c r="O1186" s="111">
        <f t="shared" si="167"/>
        <v>12600</v>
      </c>
      <c r="P1186" s="111">
        <f t="shared" si="168"/>
        <v>14000</v>
      </c>
      <c r="Q1186" s="111">
        <v>50000</v>
      </c>
      <c r="R1186" s="111">
        <v>5</v>
      </c>
      <c r="S1186" s="111">
        <f t="shared" si="169"/>
        <v>5000</v>
      </c>
      <c r="T1186" s="111">
        <f t="shared" si="170"/>
        <v>190000</v>
      </c>
      <c r="U1186" s="111">
        <f t="shared" si="171"/>
        <v>1900</v>
      </c>
      <c r="V1186" s="111">
        <f t="shared" si="172"/>
        <v>191900</v>
      </c>
      <c r="W1186" t="s">
        <v>3645</v>
      </c>
    </row>
    <row r="1187" spans="1:23" x14ac:dyDescent="0.3">
      <c r="A1187" s="110">
        <v>1601711</v>
      </c>
      <c r="B1187" s="110" t="s">
        <v>1332</v>
      </c>
      <c r="C1187" s="110" t="s">
        <v>1380</v>
      </c>
      <c r="D1187" s="110" t="s">
        <v>1393</v>
      </c>
      <c r="E1187" s="110" t="s">
        <v>1394</v>
      </c>
      <c r="F1187" s="110" t="s">
        <v>113</v>
      </c>
      <c r="G1187" s="110" t="s">
        <v>114</v>
      </c>
      <c r="H1187" s="111">
        <v>209</v>
      </c>
      <c r="I1187" s="111">
        <v>210</v>
      </c>
      <c r="J1187" s="111">
        <v>208</v>
      </c>
      <c r="K1187" s="111">
        <f t="shared" si="164"/>
        <v>209</v>
      </c>
      <c r="L1187" s="111">
        <v>200000</v>
      </c>
      <c r="M1187" s="111">
        <f t="shared" si="165"/>
        <v>90000</v>
      </c>
      <c r="N1187" s="111">
        <f t="shared" si="166"/>
        <v>90000</v>
      </c>
      <c r="O1187" s="111">
        <f t="shared" si="167"/>
        <v>18000</v>
      </c>
      <c r="P1187" s="111">
        <f t="shared" si="168"/>
        <v>20000</v>
      </c>
      <c r="Q1187" s="111">
        <v>50000</v>
      </c>
      <c r="R1187" s="111">
        <v>5</v>
      </c>
      <c r="S1187" s="111">
        <f t="shared" si="169"/>
        <v>5000</v>
      </c>
      <c r="T1187" s="111">
        <f t="shared" si="170"/>
        <v>250000</v>
      </c>
      <c r="U1187" s="111">
        <f t="shared" si="171"/>
        <v>2500</v>
      </c>
      <c r="V1187" s="111">
        <f t="shared" si="172"/>
        <v>252500</v>
      </c>
      <c r="W1187" t="s">
        <v>3646</v>
      </c>
    </row>
    <row r="1188" spans="1:23" x14ac:dyDescent="0.3">
      <c r="A1188" s="110">
        <v>1601721</v>
      </c>
      <c r="B1188" s="110" t="s">
        <v>1332</v>
      </c>
      <c r="C1188" s="110" t="s">
        <v>1380</v>
      </c>
      <c r="D1188" s="110" t="s">
        <v>1395</v>
      </c>
      <c r="E1188" s="110" t="s">
        <v>1396</v>
      </c>
      <c r="F1188" s="110" t="s">
        <v>209</v>
      </c>
      <c r="G1188" s="110" t="s">
        <v>114</v>
      </c>
      <c r="H1188" s="111">
        <v>25</v>
      </c>
      <c r="I1188" s="111">
        <v>25</v>
      </c>
      <c r="J1188" s="111">
        <v>16</v>
      </c>
      <c r="K1188" s="111">
        <f t="shared" si="164"/>
        <v>22</v>
      </c>
      <c r="L1188" s="111">
        <v>50000</v>
      </c>
      <c r="M1188" s="111">
        <f t="shared" si="165"/>
        <v>22500</v>
      </c>
      <c r="N1188" s="111">
        <f t="shared" si="166"/>
        <v>22500</v>
      </c>
      <c r="O1188" s="111">
        <f t="shared" si="167"/>
        <v>4500</v>
      </c>
      <c r="P1188" s="111">
        <f t="shared" si="168"/>
        <v>5000</v>
      </c>
      <c r="Q1188" s="111">
        <v>10000</v>
      </c>
      <c r="R1188" s="111">
        <v>1</v>
      </c>
      <c r="S1188" s="111">
        <f t="shared" si="169"/>
        <v>1000</v>
      </c>
      <c r="T1188" s="111">
        <f t="shared" si="170"/>
        <v>60000</v>
      </c>
      <c r="U1188" s="111">
        <f t="shared" si="171"/>
        <v>600</v>
      </c>
      <c r="V1188" s="111">
        <f t="shared" si="172"/>
        <v>60600</v>
      </c>
      <c r="W1188" t="s">
        <v>3647</v>
      </c>
    </row>
    <row r="1189" spans="1:23" x14ac:dyDescent="0.3">
      <c r="A1189" s="110">
        <v>1602301</v>
      </c>
      <c r="B1189" s="110" t="s">
        <v>1332</v>
      </c>
      <c r="C1189" s="110" t="s">
        <v>215</v>
      </c>
      <c r="D1189" s="110" t="s">
        <v>215</v>
      </c>
      <c r="E1189" s="110" t="s">
        <v>588</v>
      </c>
      <c r="F1189" s="110" t="s">
        <v>113</v>
      </c>
      <c r="G1189" s="110" t="s">
        <v>114</v>
      </c>
      <c r="H1189" s="111">
        <v>121</v>
      </c>
      <c r="I1189" s="111">
        <v>128</v>
      </c>
      <c r="J1189" s="111">
        <v>121</v>
      </c>
      <c r="K1189" s="111">
        <f t="shared" si="164"/>
        <v>123.33333333333333</v>
      </c>
      <c r="L1189" s="111">
        <v>150000</v>
      </c>
      <c r="M1189" s="111">
        <f t="shared" si="165"/>
        <v>67500</v>
      </c>
      <c r="N1189" s="111">
        <f t="shared" si="166"/>
        <v>67500</v>
      </c>
      <c r="O1189" s="111">
        <f t="shared" si="167"/>
        <v>13500</v>
      </c>
      <c r="P1189" s="111">
        <f t="shared" si="168"/>
        <v>15000</v>
      </c>
      <c r="Q1189" s="111">
        <v>30000</v>
      </c>
      <c r="R1189" s="111">
        <v>3</v>
      </c>
      <c r="S1189" s="111">
        <f t="shared" si="169"/>
        <v>3000</v>
      </c>
      <c r="T1189" s="111">
        <f t="shared" si="170"/>
        <v>180000</v>
      </c>
      <c r="U1189" s="111">
        <f t="shared" si="171"/>
        <v>1800</v>
      </c>
      <c r="V1189" s="111">
        <f t="shared" si="172"/>
        <v>181800</v>
      </c>
      <c r="W1189" t="s">
        <v>3648</v>
      </c>
    </row>
    <row r="1190" spans="1:23" x14ac:dyDescent="0.3">
      <c r="A1190" s="110">
        <v>1602302</v>
      </c>
      <c r="B1190" s="110" t="s">
        <v>1332</v>
      </c>
      <c r="C1190" s="110" t="s">
        <v>215</v>
      </c>
      <c r="D1190" s="110" t="s">
        <v>215</v>
      </c>
      <c r="E1190" s="110" t="s">
        <v>1397</v>
      </c>
      <c r="F1190" s="110" t="s">
        <v>113</v>
      </c>
      <c r="G1190" s="110" t="s">
        <v>114</v>
      </c>
      <c r="H1190" s="111">
        <v>189</v>
      </c>
      <c r="I1190" s="111">
        <v>174</v>
      </c>
      <c r="J1190" s="111">
        <v>170</v>
      </c>
      <c r="K1190" s="111">
        <f t="shared" si="164"/>
        <v>177.66666666666666</v>
      </c>
      <c r="L1190" s="111">
        <v>150000</v>
      </c>
      <c r="M1190" s="111">
        <f t="shared" si="165"/>
        <v>67500</v>
      </c>
      <c r="N1190" s="111">
        <f t="shared" si="166"/>
        <v>67500</v>
      </c>
      <c r="O1190" s="111">
        <f t="shared" si="167"/>
        <v>13500</v>
      </c>
      <c r="P1190" s="111">
        <f t="shared" si="168"/>
        <v>15000</v>
      </c>
      <c r="Q1190" s="111">
        <v>30000</v>
      </c>
      <c r="R1190" s="111">
        <v>3</v>
      </c>
      <c r="S1190" s="111">
        <f t="shared" si="169"/>
        <v>3000</v>
      </c>
      <c r="T1190" s="111">
        <f t="shared" si="170"/>
        <v>180000</v>
      </c>
      <c r="U1190" s="111">
        <f t="shared" si="171"/>
        <v>1800</v>
      </c>
      <c r="V1190" s="111">
        <f t="shared" si="172"/>
        <v>181800</v>
      </c>
      <c r="W1190" t="s">
        <v>3649</v>
      </c>
    </row>
    <row r="1191" spans="1:23" x14ac:dyDescent="0.3">
      <c r="A1191" s="110">
        <v>1602303</v>
      </c>
      <c r="B1191" s="110" t="s">
        <v>1332</v>
      </c>
      <c r="C1191" s="110" t="s">
        <v>215</v>
      </c>
      <c r="D1191" s="110" t="s">
        <v>1294</v>
      </c>
      <c r="E1191" s="110" t="s">
        <v>184</v>
      </c>
      <c r="F1191" s="110" t="s">
        <v>113</v>
      </c>
      <c r="G1191" s="110" t="s">
        <v>114</v>
      </c>
      <c r="H1191" s="111">
        <v>210</v>
      </c>
      <c r="I1191" s="111">
        <v>186</v>
      </c>
      <c r="J1191" s="111">
        <v>180</v>
      </c>
      <c r="K1191" s="111">
        <f t="shared" si="164"/>
        <v>192</v>
      </c>
      <c r="L1191" s="111">
        <v>150000</v>
      </c>
      <c r="M1191" s="111">
        <f t="shared" si="165"/>
        <v>67500</v>
      </c>
      <c r="N1191" s="111">
        <f t="shared" si="166"/>
        <v>67500</v>
      </c>
      <c r="O1191" s="111">
        <f t="shared" si="167"/>
        <v>13500</v>
      </c>
      <c r="P1191" s="111">
        <f t="shared" si="168"/>
        <v>15000</v>
      </c>
      <c r="Q1191" s="111">
        <v>30000</v>
      </c>
      <c r="R1191" s="111">
        <v>3</v>
      </c>
      <c r="S1191" s="111">
        <f t="shared" si="169"/>
        <v>3000</v>
      </c>
      <c r="T1191" s="111">
        <f t="shared" si="170"/>
        <v>180000</v>
      </c>
      <c r="U1191" s="111">
        <f t="shared" si="171"/>
        <v>1800</v>
      </c>
      <c r="V1191" s="111">
        <f t="shared" si="172"/>
        <v>181800</v>
      </c>
      <c r="W1191" t="s">
        <v>3650</v>
      </c>
    </row>
    <row r="1192" spans="1:23" x14ac:dyDescent="0.3">
      <c r="A1192" s="110">
        <v>1602304</v>
      </c>
      <c r="B1192" s="110" t="s">
        <v>1332</v>
      </c>
      <c r="C1192" s="110" t="s">
        <v>215</v>
      </c>
      <c r="D1192" s="110" t="s">
        <v>1398</v>
      </c>
      <c r="E1192" s="110" t="s">
        <v>390</v>
      </c>
      <c r="F1192" s="110" t="s">
        <v>113</v>
      </c>
      <c r="G1192" s="110" t="s">
        <v>114</v>
      </c>
      <c r="H1192" s="111">
        <v>70</v>
      </c>
      <c r="I1192" s="111">
        <v>73</v>
      </c>
      <c r="J1192" s="111">
        <v>67</v>
      </c>
      <c r="K1192" s="111">
        <f t="shared" si="164"/>
        <v>70</v>
      </c>
      <c r="L1192" s="111">
        <f>150000*0.7</f>
        <v>105000</v>
      </c>
      <c r="M1192" s="111">
        <f t="shared" si="165"/>
        <v>47250</v>
      </c>
      <c r="N1192" s="111">
        <f t="shared" si="166"/>
        <v>47250</v>
      </c>
      <c r="O1192" s="111">
        <f t="shared" si="167"/>
        <v>9450</v>
      </c>
      <c r="P1192" s="111">
        <f t="shared" si="168"/>
        <v>10500</v>
      </c>
      <c r="Q1192" s="111">
        <v>30000</v>
      </c>
      <c r="R1192" s="111">
        <v>3</v>
      </c>
      <c r="S1192" s="111">
        <f t="shared" si="169"/>
        <v>3000</v>
      </c>
      <c r="T1192" s="111">
        <f t="shared" si="170"/>
        <v>135000</v>
      </c>
      <c r="U1192" s="111">
        <f t="shared" si="171"/>
        <v>1350</v>
      </c>
      <c r="V1192" s="111">
        <f t="shared" si="172"/>
        <v>136350</v>
      </c>
      <c r="W1192" t="s">
        <v>3651</v>
      </c>
    </row>
    <row r="1193" spans="1:23" x14ac:dyDescent="0.3">
      <c r="A1193" s="110">
        <v>1602305</v>
      </c>
      <c r="B1193" s="110" t="s">
        <v>1332</v>
      </c>
      <c r="C1193" s="110" t="s">
        <v>215</v>
      </c>
      <c r="D1193" s="110" t="s">
        <v>1399</v>
      </c>
      <c r="E1193" s="110" t="s">
        <v>588</v>
      </c>
      <c r="F1193" s="110" t="s">
        <v>113</v>
      </c>
      <c r="G1193" s="110" t="s">
        <v>114</v>
      </c>
      <c r="H1193" s="111">
        <v>57</v>
      </c>
      <c r="I1193" s="111">
        <v>50</v>
      </c>
      <c r="J1193" s="111">
        <v>39</v>
      </c>
      <c r="K1193" s="111">
        <f t="shared" si="164"/>
        <v>48.666666666666664</v>
      </c>
      <c r="L1193" s="111">
        <v>50000</v>
      </c>
      <c r="M1193" s="111">
        <f t="shared" si="165"/>
        <v>22500</v>
      </c>
      <c r="N1193" s="111">
        <f t="shared" si="166"/>
        <v>22500</v>
      </c>
      <c r="O1193" s="111">
        <f t="shared" si="167"/>
        <v>4500</v>
      </c>
      <c r="P1193" s="111">
        <f t="shared" si="168"/>
        <v>5000</v>
      </c>
      <c r="Q1193" s="111">
        <v>10000</v>
      </c>
      <c r="R1193" s="111">
        <v>1</v>
      </c>
      <c r="S1193" s="111">
        <f t="shared" si="169"/>
        <v>1000</v>
      </c>
      <c r="T1193" s="111">
        <f t="shared" si="170"/>
        <v>60000</v>
      </c>
      <c r="U1193" s="111">
        <f t="shared" si="171"/>
        <v>600</v>
      </c>
      <c r="V1193" s="111">
        <f t="shared" si="172"/>
        <v>60600</v>
      </c>
      <c r="W1193" t="s">
        <v>3652</v>
      </c>
    </row>
    <row r="1194" spans="1:23" x14ac:dyDescent="0.3">
      <c r="A1194" s="110">
        <v>1602306</v>
      </c>
      <c r="B1194" s="110" t="s">
        <v>1332</v>
      </c>
      <c r="C1194" s="110" t="s">
        <v>215</v>
      </c>
      <c r="D1194" s="110" t="s">
        <v>1400</v>
      </c>
      <c r="E1194" s="110" t="s">
        <v>314</v>
      </c>
      <c r="F1194" s="110" t="s">
        <v>113</v>
      </c>
      <c r="G1194" s="110" t="s">
        <v>114</v>
      </c>
      <c r="H1194" s="111">
        <v>56</v>
      </c>
      <c r="I1194" s="111">
        <v>63</v>
      </c>
      <c r="J1194" s="111">
        <v>65</v>
      </c>
      <c r="K1194" s="111">
        <f t="shared" si="164"/>
        <v>61.333333333333336</v>
      </c>
      <c r="L1194" s="111">
        <v>150000</v>
      </c>
      <c r="M1194" s="111">
        <f t="shared" si="165"/>
        <v>67500</v>
      </c>
      <c r="N1194" s="111">
        <f t="shared" si="166"/>
        <v>67500</v>
      </c>
      <c r="O1194" s="111">
        <f t="shared" si="167"/>
        <v>13500</v>
      </c>
      <c r="P1194" s="111">
        <f t="shared" si="168"/>
        <v>15000</v>
      </c>
      <c r="Q1194" s="111">
        <v>30000</v>
      </c>
      <c r="R1194" s="111">
        <v>3</v>
      </c>
      <c r="S1194" s="111">
        <f t="shared" si="169"/>
        <v>3000</v>
      </c>
      <c r="T1194" s="111">
        <f t="shared" si="170"/>
        <v>180000</v>
      </c>
      <c r="U1194" s="111">
        <f t="shared" si="171"/>
        <v>1800</v>
      </c>
      <c r="V1194" s="111">
        <f t="shared" si="172"/>
        <v>181800</v>
      </c>
      <c r="W1194" t="s">
        <v>3653</v>
      </c>
    </row>
    <row r="1195" spans="1:23" x14ac:dyDescent="0.3">
      <c r="A1195" s="110">
        <v>1602307</v>
      </c>
      <c r="B1195" s="110" t="s">
        <v>1332</v>
      </c>
      <c r="C1195" s="110" t="s">
        <v>215</v>
      </c>
      <c r="D1195" s="110" t="s">
        <v>1401</v>
      </c>
      <c r="E1195" s="110" t="s">
        <v>201</v>
      </c>
      <c r="F1195" s="110" t="s">
        <v>113</v>
      </c>
      <c r="G1195" s="110" t="s">
        <v>114</v>
      </c>
      <c r="H1195" s="111">
        <v>85</v>
      </c>
      <c r="I1195" s="111">
        <v>83</v>
      </c>
      <c r="J1195" s="111">
        <v>75</v>
      </c>
      <c r="K1195" s="111">
        <f t="shared" si="164"/>
        <v>81</v>
      </c>
      <c r="L1195" s="111">
        <v>150000</v>
      </c>
      <c r="M1195" s="111">
        <f t="shared" si="165"/>
        <v>67500</v>
      </c>
      <c r="N1195" s="111">
        <f t="shared" si="166"/>
        <v>67500</v>
      </c>
      <c r="O1195" s="111">
        <f t="shared" si="167"/>
        <v>13500</v>
      </c>
      <c r="P1195" s="111">
        <f t="shared" si="168"/>
        <v>15000</v>
      </c>
      <c r="Q1195" s="111">
        <v>30000</v>
      </c>
      <c r="R1195" s="111">
        <v>3</v>
      </c>
      <c r="S1195" s="111">
        <f t="shared" si="169"/>
        <v>3000</v>
      </c>
      <c r="T1195" s="111">
        <f t="shared" si="170"/>
        <v>180000</v>
      </c>
      <c r="U1195" s="111">
        <f t="shared" si="171"/>
        <v>1800</v>
      </c>
      <c r="V1195" s="111">
        <f t="shared" si="172"/>
        <v>181800</v>
      </c>
      <c r="W1195" t="s">
        <v>3654</v>
      </c>
    </row>
    <row r="1196" spans="1:23" x14ac:dyDescent="0.3">
      <c r="A1196" s="110">
        <v>1602308</v>
      </c>
      <c r="B1196" s="110" t="s">
        <v>1332</v>
      </c>
      <c r="C1196" s="110" t="s">
        <v>215</v>
      </c>
      <c r="D1196" s="110" t="s">
        <v>1402</v>
      </c>
      <c r="E1196" s="110" t="s">
        <v>310</v>
      </c>
      <c r="F1196" s="110" t="s">
        <v>113</v>
      </c>
      <c r="G1196" s="110" t="s">
        <v>114</v>
      </c>
      <c r="H1196" s="111">
        <v>48</v>
      </c>
      <c r="I1196" s="111">
        <v>54</v>
      </c>
      <c r="J1196" s="111">
        <v>55</v>
      </c>
      <c r="K1196" s="111">
        <f t="shared" si="164"/>
        <v>52.333333333333336</v>
      </c>
      <c r="L1196" s="111">
        <v>150000</v>
      </c>
      <c r="M1196" s="111">
        <f t="shared" si="165"/>
        <v>67500</v>
      </c>
      <c r="N1196" s="111">
        <f t="shared" si="166"/>
        <v>67500</v>
      </c>
      <c r="O1196" s="111">
        <f t="shared" si="167"/>
        <v>13500</v>
      </c>
      <c r="P1196" s="111">
        <f t="shared" si="168"/>
        <v>15000</v>
      </c>
      <c r="Q1196" s="111">
        <v>30000</v>
      </c>
      <c r="R1196" s="111">
        <v>3</v>
      </c>
      <c r="S1196" s="111">
        <f t="shared" si="169"/>
        <v>3000</v>
      </c>
      <c r="T1196" s="111">
        <f t="shared" si="170"/>
        <v>180000</v>
      </c>
      <c r="U1196" s="111">
        <f t="shared" si="171"/>
        <v>1800</v>
      </c>
      <c r="V1196" s="111">
        <f t="shared" si="172"/>
        <v>181800</v>
      </c>
      <c r="W1196" t="s">
        <v>3655</v>
      </c>
    </row>
    <row r="1197" spans="1:23" x14ac:dyDescent="0.3">
      <c r="A1197" s="110">
        <v>1602309</v>
      </c>
      <c r="B1197" s="110" t="s">
        <v>1332</v>
      </c>
      <c r="C1197" s="110" t="s">
        <v>215</v>
      </c>
      <c r="D1197" s="110" t="s">
        <v>187</v>
      </c>
      <c r="E1197" s="110" t="s">
        <v>399</v>
      </c>
      <c r="F1197" s="110" t="s">
        <v>113</v>
      </c>
      <c r="G1197" s="110" t="s">
        <v>114</v>
      </c>
      <c r="H1197" s="111">
        <v>22</v>
      </c>
      <c r="I1197" s="111">
        <v>25</v>
      </c>
      <c r="J1197" s="111">
        <v>21</v>
      </c>
      <c r="K1197" s="111">
        <f t="shared" si="164"/>
        <v>22.666666666666668</v>
      </c>
      <c r="L1197" s="111">
        <v>50000</v>
      </c>
      <c r="M1197" s="111">
        <f t="shared" si="165"/>
        <v>22500</v>
      </c>
      <c r="N1197" s="111">
        <f t="shared" si="166"/>
        <v>22500</v>
      </c>
      <c r="O1197" s="111">
        <f t="shared" si="167"/>
        <v>4500</v>
      </c>
      <c r="P1197" s="111">
        <f t="shared" si="168"/>
        <v>5000</v>
      </c>
      <c r="Q1197" s="111">
        <v>10000</v>
      </c>
      <c r="R1197" s="111">
        <v>1</v>
      </c>
      <c r="S1197" s="111">
        <f t="shared" si="169"/>
        <v>1000</v>
      </c>
      <c r="T1197" s="111">
        <f t="shared" si="170"/>
        <v>60000</v>
      </c>
      <c r="U1197" s="111">
        <f t="shared" si="171"/>
        <v>600</v>
      </c>
      <c r="V1197" s="111">
        <f t="shared" si="172"/>
        <v>60600</v>
      </c>
      <c r="W1197" t="s">
        <v>3656</v>
      </c>
    </row>
    <row r="1198" spans="1:23" x14ac:dyDescent="0.3">
      <c r="A1198" s="110">
        <v>1602311</v>
      </c>
      <c r="B1198" s="110" t="s">
        <v>1332</v>
      </c>
      <c r="C1198" s="110" t="s">
        <v>215</v>
      </c>
      <c r="D1198" s="110" t="s">
        <v>215</v>
      </c>
      <c r="E1198" s="110" t="s">
        <v>646</v>
      </c>
      <c r="F1198" s="110" t="s">
        <v>209</v>
      </c>
      <c r="G1198" s="110" t="s">
        <v>114</v>
      </c>
      <c r="H1198" s="111">
        <v>72</v>
      </c>
      <c r="I1198" s="111">
        <v>73</v>
      </c>
      <c r="J1198" s="111">
        <v>66</v>
      </c>
      <c r="K1198" s="111">
        <f t="shared" si="164"/>
        <v>70.333333333333329</v>
      </c>
      <c r="L1198" s="111">
        <v>150000</v>
      </c>
      <c r="M1198" s="111">
        <f t="shared" si="165"/>
        <v>67500</v>
      </c>
      <c r="N1198" s="111">
        <f t="shared" si="166"/>
        <v>67500</v>
      </c>
      <c r="O1198" s="111">
        <f t="shared" si="167"/>
        <v>13500</v>
      </c>
      <c r="P1198" s="111">
        <f t="shared" si="168"/>
        <v>15000</v>
      </c>
      <c r="Q1198" s="111">
        <v>30000</v>
      </c>
      <c r="R1198" s="111">
        <v>3</v>
      </c>
      <c r="S1198" s="111">
        <f t="shared" si="169"/>
        <v>3000</v>
      </c>
      <c r="T1198" s="111">
        <f t="shared" si="170"/>
        <v>180000</v>
      </c>
      <c r="U1198" s="111">
        <f t="shared" si="171"/>
        <v>1800</v>
      </c>
      <c r="V1198" s="111">
        <f t="shared" si="172"/>
        <v>181800</v>
      </c>
      <c r="W1198" t="s">
        <v>3657</v>
      </c>
    </row>
    <row r="1199" spans="1:23" x14ac:dyDescent="0.3">
      <c r="A1199" s="110">
        <v>1602314</v>
      </c>
      <c r="B1199" s="110" t="s">
        <v>1332</v>
      </c>
      <c r="C1199" s="110" t="s">
        <v>215</v>
      </c>
      <c r="D1199" s="110" t="s">
        <v>215</v>
      </c>
      <c r="E1199" s="110" t="s">
        <v>1403</v>
      </c>
      <c r="F1199" s="110" t="s">
        <v>119</v>
      </c>
      <c r="G1199" s="110" t="s">
        <v>114</v>
      </c>
      <c r="H1199" s="111">
        <v>798</v>
      </c>
      <c r="I1199" s="111">
        <v>854</v>
      </c>
      <c r="J1199" s="111">
        <v>877</v>
      </c>
      <c r="K1199" s="111">
        <f t="shared" si="164"/>
        <v>843</v>
      </c>
      <c r="L1199" s="111">
        <f>300000*0.7</f>
        <v>210000</v>
      </c>
      <c r="M1199" s="111">
        <f t="shared" si="165"/>
        <v>94500</v>
      </c>
      <c r="N1199" s="111">
        <f t="shared" si="166"/>
        <v>94500</v>
      </c>
      <c r="O1199" s="111">
        <f t="shared" si="167"/>
        <v>18900</v>
      </c>
      <c r="P1199" s="111">
        <f t="shared" si="168"/>
        <v>21000</v>
      </c>
      <c r="Q1199" s="111">
        <v>60000</v>
      </c>
      <c r="R1199" s="111">
        <v>6</v>
      </c>
      <c r="S1199" s="111">
        <f t="shared" si="169"/>
        <v>6000</v>
      </c>
      <c r="T1199" s="111">
        <f t="shared" si="170"/>
        <v>270000</v>
      </c>
      <c r="U1199" s="111">
        <f t="shared" si="171"/>
        <v>2700</v>
      </c>
      <c r="V1199" s="111">
        <f t="shared" si="172"/>
        <v>272700</v>
      </c>
      <c r="W1199" t="s">
        <v>3658</v>
      </c>
    </row>
    <row r="1200" spans="1:23" x14ac:dyDescent="0.3">
      <c r="A1200" s="110">
        <v>1602315</v>
      </c>
      <c r="B1200" s="110" t="s">
        <v>1332</v>
      </c>
      <c r="C1200" s="110" t="s">
        <v>215</v>
      </c>
      <c r="D1200" s="110" t="s">
        <v>215</v>
      </c>
      <c r="E1200" s="110" t="s">
        <v>1404</v>
      </c>
      <c r="F1200" s="110" t="s">
        <v>117</v>
      </c>
      <c r="G1200" s="110" t="s">
        <v>114</v>
      </c>
      <c r="H1200" s="111">
        <v>400</v>
      </c>
      <c r="I1200" s="111">
        <v>396</v>
      </c>
      <c r="J1200" s="111">
        <v>412</v>
      </c>
      <c r="K1200" s="111">
        <f t="shared" si="164"/>
        <v>402.66666666666669</v>
      </c>
      <c r="L1200" s="111">
        <f>300000</f>
        <v>300000</v>
      </c>
      <c r="M1200" s="111">
        <f t="shared" si="165"/>
        <v>135000</v>
      </c>
      <c r="N1200" s="111">
        <f t="shared" si="166"/>
        <v>135000</v>
      </c>
      <c r="O1200" s="111">
        <f t="shared" si="167"/>
        <v>27000</v>
      </c>
      <c r="P1200" s="111">
        <f t="shared" si="168"/>
        <v>30000</v>
      </c>
      <c r="Q1200" s="111">
        <v>60000</v>
      </c>
      <c r="R1200" s="111">
        <v>6</v>
      </c>
      <c r="S1200" s="111">
        <f t="shared" si="169"/>
        <v>6000</v>
      </c>
      <c r="T1200" s="111">
        <f t="shared" si="170"/>
        <v>360000</v>
      </c>
      <c r="U1200" s="111">
        <f t="shared" si="171"/>
        <v>3600</v>
      </c>
      <c r="V1200" s="111">
        <f t="shared" si="172"/>
        <v>363600</v>
      </c>
      <c r="W1200" t="s">
        <v>3659</v>
      </c>
    </row>
    <row r="1201" spans="1:23" x14ac:dyDescent="0.3">
      <c r="A1201" s="110">
        <v>1602401</v>
      </c>
      <c r="B1201" s="110" t="s">
        <v>1332</v>
      </c>
      <c r="C1201" s="110" t="s">
        <v>1405</v>
      </c>
      <c r="D1201" s="110" t="s">
        <v>1405</v>
      </c>
      <c r="E1201" s="110" t="s">
        <v>1406</v>
      </c>
      <c r="F1201" s="110" t="s">
        <v>113</v>
      </c>
      <c r="G1201" s="110" t="s">
        <v>114</v>
      </c>
      <c r="H1201" s="111">
        <v>261</v>
      </c>
      <c r="I1201" s="111">
        <v>245</v>
      </c>
      <c r="J1201" s="111">
        <v>250</v>
      </c>
      <c r="K1201" s="111">
        <f t="shared" si="164"/>
        <v>252</v>
      </c>
      <c r="L1201" s="111">
        <v>200000</v>
      </c>
      <c r="M1201" s="111">
        <f t="shared" si="165"/>
        <v>90000</v>
      </c>
      <c r="N1201" s="111">
        <f t="shared" si="166"/>
        <v>90000</v>
      </c>
      <c r="O1201" s="111">
        <f t="shared" si="167"/>
        <v>18000</v>
      </c>
      <c r="P1201" s="111">
        <f t="shared" si="168"/>
        <v>20000</v>
      </c>
      <c r="Q1201" s="111">
        <v>50000</v>
      </c>
      <c r="R1201" s="111">
        <v>5</v>
      </c>
      <c r="S1201" s="111">
        <f t="shared" si="169"/>
        <v>5000</v>
      </c>
      <c r="T1201" s="111">
        <f t="shared" si="170"/>
        <v>250000</v>
      </c>
      <c r="U1201" s="111">
        <f t="shared" si="171"/>
        <v>2500</v>
      </c>
      <c r="V1201" s="111">
        <f t="shared" si="172"/>
        <v>252500</v>
      </c>
      <c r="W1201" t="s">
        <v>3660</v>
      </c>
    </row>
    <row r="1202" spans="1:23" x14ac:dyDescent="0.3">
      <c r="A1202" s="110">
        <v>1602402</v>
      </c>
      <c r="B1202" s="110" t="s">
        <v>1332</v>
      </c>
      <c r="C1202" s="110" t="s">
        <v>1405</v>
      </c>
      <c r="D1202" s="110" t="s">
        <v>1405</v>
      </c>
      <c r="E1202" s="110" t="s">
        <v>1407</v>
      </c>
      <c r="F1202" s="110" t="s">
        <v>117</v>
      </c>
      <c r="G1202" s="110" t="s">
        <v>114</v>
      </c>
      <c r="H1202" s="111">
        <v>251</v>
      </c>
      <c r="I1202" s="111">
        <v>243</v>
      </c>
      <c r="J1202" s="111">
        <v>242</v>
      </c>
      <c r="K1202" s="111">
        <f t="shared" si="164"/>
        <v>245.33333333333334</v>
      </c>
      <c r="L1202" s="111">
        <v>200000</v>
      </c>
      <c r="M1202" s="111">
        <f t="shared" si="165"/>
        <v>90000</v>
      </c>
      <c r="N1202" s="111">
        <f t="shared" si="166"/>
        <v>90000</v>
      </c>
      <c r="O1202" s="111">
        <f t="shared" si="167"/>
        <v>18000</v>
      </c>
      <c r="P1202" s="111">
        <f t="shared" si="168"/>
        <v>20000</v>
      </c>
      <c r="Q1202" s="111">
        <v>50000</v>
      </c>
      <c r="R1202" s="111">
        <v>5</v>
      </c>
      <c r="S1202" s="111">
        <f t="shared" si="169"/>
        <v>5000</v>
      </c>
      <c r="T1202" s="111">
        <f t="shared" si="170"/>
        <v>250000</v>
      </c>
      <c r="U1202" s="111">
        <f t="shared" si="171"/>
        <v>2500</v>
      </c>
      <c r="V1202" s="111">
        <f t="shared" si="172"/>
        <v>252500</v>
      </c>
      <c r="W1202" t="s">
        <v>3661</v>
      </c>
    </row>
    <row r="1203" spans="1:23" x14ac:dyDescent="0.3">
      <c r="A1203" s="110">
        <v>1602502</v>
      </c>
      <c r="B1203" s="110" t="s">
        <v>1332</v>
      </c>
      <c r="C1203" s="110" t="s">
        <v>1408</v>
      </c>
      <c r="D1203" s="110" t="s">
        <v>1408</v>
      </c>
      <c r="E1203" s="110" t="s">
        <v>184</v>
      </c>
      <c r="F1203" s="110" t="s">
        <v>113</v>
      </c>
      <c r="G1203" s="110" t="s">
        <v>114</v>
      </c>
      <c r="H1203" s="111">
        <v>628</v>
      </c>
      <c r="I1203" s="111">
        <v>643</v>
      </c>
      <c r="J1203" s="111">
        <v>619</v>
      </c>
      <c r="K1203" s="111">
        <f t="shared" si="164"/>
        <v>630</v>
      </c>
      <c r="L1203" s="111">
        <f>300000</f>
        <v>300000</v>
      </c>
      <c r="M1203" s="111">
        <f t="shared" si="165"/>
        <v>135000</v>
      </c>
      <c r="N1203" s="111">
        <f t="shared" si="166"/>
        <v>135000</v>
      </c>
      <c r="O1203" s="111">
        <f t="shared" si="167"/>
        <v>27000</v>
      </c>
      <c r="P1203" s="111">
        <f t="shared" si="168"/>
        <v>30000</v>
      </c>
      <c r="Q1203" s="111">
        <v>60000</v>
      </c>
      <c r="R1203" s="111">
        <v>6</v>
      </c>
      <c r="S1203" s="111">
        <f t="shared" si="169"/>
        <v>6000</v>
      </c>
      <c r="T1203" s="111">
        <f t="shared" si="170"/>
        <v>360000</v>
      </c>
      <c r="U1203" s="111">
        <f t="shared" si="171"/>
        <v>3600</v>
      </c>
      <c r="V1203" s="111">
        <f t="shared" si="172"/>
        <v>363600</v>
      </c>
      <c r="W1203" t="s">
        <v>3662</v>
      </c>
    </row>
    <row r="1204" spans="1:23" x14ac:dyDescent="0.3">
      <c r="A1204" s="110">
        <v>1602503</v>
      </c>
      <c r="B1204" s="110" t="s">
        <v>1332</v>
      </c>
      <c r="C1204" s="110" t="s">
        <v>1408</v>
      </c>
      <c r="D1204" s="110" t="s">
        <v>1408</v>
      </c>
      <c r="E1204" s="110" t="s">
        <v>353</v>
      </c>
      <c r="F1204" s="110" t="s">
        <v>113</v>
      </c>
      <c r="G1204" s="110" t="s">
        <v>114</v>
      </c>
      <c r="H1204" s="111">
        <v>512</v>
      </c>
      <c r="I1204" s="111">
        <v>503</v>
      </c>
      <c r="J1204" s="111">
        <v>495</v>
      </c>
      <c r="K1204" s="111">
        <f t="shared" si="164"/>
        <v>503.33333333333331</v>
      </c>
      <c r="L1204" s="111">
        <f>300000*0.7</f>
        <v>210000</v>
      </c>
      <c r="M1204" s="111">
        <f t="shared" si="165"/>
        <v>94500</v>
      </c>
      <c r="N1204" s="111">
        <f t="shared" si="166"/>
        <v>94500</v>
      </c>
      <c r="O1204" s="111">
        <f t="shared" si="167"/>
        <v>18900</v>
      </c>
      <c r="P1204" s="111">
        <f t="shared" si="168"/>
        <v>21000</v>
      </c>
      <c r="Q1204" s="111">
        <v>60000</v>
      </c>
      <c r="R1204" s="111">
        <v>6</v>
      </c>
      <c r="S1204" s="111">
        <f t="shared" si="169"/>
        <v>6000</v>
      </c>
      <c r="T1204" s="111">
        <f t="shared" si="170"/>
        <v>270000</v>
      </c>
      <c r="U1204" s="111">
        <f t="shared" si="171"/>
        <v>2700</v>
      </c>
      <c r="V1204" s="111">
        <f t="shared" si="172"/>
        <v>272700</v>
      </c>
      <c r="W1204" t="s">
        <v>3663</v>
      </c>
    </row>
    <row r="1205" spans="1:23" x14ac:dyDescent="0.3">
      <c r="A1205" s="110">
        <v>1602504</v>
      </c>
      <c r="B1205" s="110" t="s">
        <v>1332</v>
      </c>
      <c r="C1205" s="110" t="s">
        <v>1408</v>
      </c>
      <c r="D1205" s="110" t="s">
        <v>1409</v>
      </c>
      <c r="E1205" s="110" t="s">
        <v>390</v>
      </c>
      <c r="F1205" s="110" t="s">
        <v>113</v>
      </c>
      <c r="G1205" s="110" t="s">
        <v>114</v>
      </c>
      <c r="H1205" s="111">
        <v>237</v>
      </c>
      <c r="I1205" s="111">
        <v>236</v>
      </c>
      <c r="J1205" s="111">
        <v>248</v>
      </c>
      <c r="K1205" s="111">
        <f t="shared" si="164"/>
        <v>240.33333333333334</v>
      </c>
      <c r="L1205" s="111">
        <v>200000</v>
      </c>
      <c r="M1205" s="111">
        <f t="shared" si="165"/>
        <v>90000</v>
      </c>
      <c r="N1205" s="111">
        <f t="shared" si="166"/>
        <v>90000</v>
      </c>
      <c r="O1205" s="111">
        <f t="shared" si="167"/>
        <v>18000</v>
      </c>
      <c r="P1205" s="111">
        <f t="shared" si="168"/>
        <v>20000</v>
      </c>
      <c r="Q1205" s="111">
        <v>50000</v>
      </c>
      <c r="R1205" s="111">
        <v>5</v>
      </c>
      <c r="S1205" s="111">
        <f t="shared" si="169"/>
        <v>5000</v>
      </c>
      <c r="T1205" s="111">
        <f t="shared" si="170"/>
        <v>250000</v>
      </c>
      <c r="U1205" s="111">
        <f t="shared" si="171"/>
        <v>2500</v>
      </c>
      <c r="V1205" s="111">
        <f t="shared" si="172"/>
        <v>252500</v>
      </c>
      <c r="W1205" t="s">
        <v>3664</v>
      </c>
    </row>
    <row r="1206" spans="1:23" x14ac:dyDescent="0.3">
      <c r="A1206" s="110">
        <v>1602505</v>
      </c>
      <c r="B1206" s="110" t="s">
        <v>1332</v>
      </c>
      <c r="C1206" s="110" t="s">
        <v>1408</v>
      </c>
      <c r="D1206" s="110" t="s">
        <v>1410</v>
      </c>
      <c r="E1206" s="110" t="s">
        <v>399</v>
      </c>
      <c r="F1206" s="110" t="s">
        <v>113</v>
      </c>
      <c r="G1206" s="110" t="s">
        <v>114</v>
      </c>
      <c r="H1206" s="111">
        <v>137</v>
      </c>
      <c r="I1206" s="111">
        <v>147</v>
      </c>
      <c r="J1206" s="111">
        <v>128</v>
      </c>
      <c r="K1206" s="111">
        <f t="shared" si="164"/>
        <v>137.33333333333334</v>
      </c>
      <c r="L1206" s="111">
        <v>150000</v>
      </c>
      <c r="M1206" s="111">
        <f t="shared" si="165"/>
        <v>67500</v>
      </c>
      <c r="N1206" s="111">
        <f t="shared" si="166"/>
        <v>67500</v>
      </c>
      <c r="O1206" s="111">
        <f t="shared" si="167"/>
        <v>13500</v>
      </c>
      <c r="P1206" s="111">
        <f t="shared" si="168"/>
        <v>15000</v>
      </c>
      <c r="Q1206" s="111">
        <v>30000</v>
      </c>
      <c r="R1206" s="111">
        <v>3</v>
      </c>
      <c r="S1206" s="111">
        <f t="shared" si="169"/>
        <v>3000</v>
      </c>
      <c r="T1206" s="111">
        <f t="shared" si="170"/>
        <v>180000</v>
      </c>
      <c r="U1206" s="111">
        <f t="shared" si="171"/>
        <v>1800</v>
      </c>
      <c r="V1206" s="111">
        <f t="shared" si="172"/>
        <v>181800</v>
      </c>
      <c r="W1206" t="s">
        <v>3665</v>
      </c>
    </row>
    <row r="1207" spans="1:23" x14ac:dyDescent="0.3">
      <c r="A1207" s="110">
        <v>1602507</v>
      </c>
      <c r="B1207" s="110" t="s">
        <v>1332</v>
      </c>
      <c r="C1207" s="110" t="s">
        <v>1408</v>
      </c>
      <c r="D1207" s="110" t="s">
        <v>1411</v>
      </c>
      <c r="E1207" s="110" t="s">
        <v>1412</v>
      </c>
      <c r="F1207" s="110" t="s">
        <v>113</v>
      </c>
      <c r="G1207" s="110" t="s">
        <v>114</v>
      </c>
      <c r="H1207" s="111">
        <v>442</v>
      </c>
      <c r="I1207" s="111">
        <v>415</v>
      </c>
      <c r="J1207" s="111">
        <v>422</v>
      </c>
      <c r="K1207" s="111">
        <f t="shared" si="164"/>
        <v>426.33333333333331</v>
      </c>
      <c r="L1207" s="111">
        <f>300000</f>
        <v>300000</v>
      </c>
      <c r="M1207" s="111">
        <f t="shared" si="165"/>
        <v>135000</v>
      </c>
      <c r="N1207" s="111">
        <f t="shared" si="166"/>
        <v>135000</v>
      </c>
      <c r="O1207" s="111">
        <f t="shared" si="167"/>
        <v>27000</v>
      </c>
      <c r="P1207" s="111">
        <f t="shared" si="168"/>
        <v>30000</v>
      </c>
      <c r="Q1207" s="111">
        <v>60000</v>
      </c>
      <c r="R1207" s="111">
        <v>6</v>
      </c>
      <c r="S1207" s="111">
        <f t="shared" si="169"/>
        <v>6000</v>
      </c>
      <c r="T1207" s="111">
        <f t="shared" si="170"/>
        <v>360000</v>
      </c>
      <c r="U1207" s="111">
        <f t="shared" si="171"/>
        <v>3600</v>
      </c>
      <c r="V1207" s="111">
        <f t="shared" si="172"/>
        <v>363600</v>
      </c>
      <c r="W1207" t="s">
        <v>3666</v>
      </c>
    </row>
    <row r="1208" spans="1:23" x14ac:dyDescent="0.3">
      <c r="A1208" s="110">
        <v>1602510</v>
      </c>
      <c r="B1208" s="110" t="s">
        <v>1332</v>
      </c>
      <c r="C1208" s="110" t="s">
        <v>1408</v>
      </c>
      <c r="D1208" s="110" t="s">
        <v>1411</v>
      </c>
      <c r="E1208" s="110" t="s">
        <v>357</v>
      </c>
      <c r="F1208" s="110" t="s">
        <v>117</v>
      </c>
      <c r="G1208" s="110" t="s">
        <v>114</v>
      </c>
      <c r="H1208" s="111">
        <v>221</v>
      </c>
      <c r="I1208" s="111">
        <v>232</v>
      </c>
      <c r="J1208" s="111">
        <v>217</v>
      </c>
      <c r="K1208" s="111">
        <f t="shared" si="164"/>
        <v>223.33333333333334</v>
      </c>
      <c r="L1208" s="111">
        <f>200000*0.7</f>
        <v>140000</v>
      </c>
      <c r="M1208" s="111">
        <f t="shared" si="165"/>
        <v>63000</v>
      </c>
      <c r="N1208" s="111">
        <f t="shared" si="166"/>
        <v>63000</v>
      </c>
      <c r="O1208" s="111">
        <f t="shared" si="167"/>
        <v>12600</v>
      </c>
      <c r="P1208" s="111">
        <f t="shared" si="168"/>
        <v>14000</v>
      </c>
      <c r="Q1208" s="111">
        <v>50000</v>
      </c>
      <c r="R1208" s="111">
        <v>5</v>
      </c>
      <c r="S1208" s="111">
        <f t="shared" si="169"/>
        <v>5000</v>
      </c>
      <c r="T1208" s="111">
        <f t="shared" si="170"/>
        <v>190000</v>
      </c>
      <c r="U1208" s="111">
        <f t="shared" si="171"/>
        <v>1900</v>
      </c>
      <c r="V1208" s="111">
        <f t="shared" si="172"/>
        <v>191900</v>
      </c>
      <c r="W1208" t="s">
        <v>3667</v>
      </c>
    </row>
    <row r="1209" spans="1:23" x14ac:dyDescent="0.3">
      <c r="A1209" s="110">
        <v>1602511</v>
      </c>
      <c r="B1209" s="110" t="s">
        <v>1332</v>
      </c>
      <c r="C1209" s="110" t="s">
        <v>1408</v>
      </c>
      <c r="D1209" s="110" t="s">
        <v>1408</v>
      </c>
      <c r="E1209" s="110" t="s">
        <v>1413</v>
      </c>
      <c r="F1209" s="110" t="s">
        <v>117</v>
      </c>
      <c r="G1209" s="110" t="s">
        <v>114</v>
      </c>
      <c r="H1209" s="111">
        <v>453</v>
      </c>
      <c r="I1209" s="111">
        <v>480</v>
      </c>
      <c r="J1209" s="111">
        <v>509</v>
      </c>
      <c r="K1209" s="111">
        <f t="shared" si="164"/>
        <v>480.66666666666669</v>
      </c>
      <c r="L1209" s="111">
        <f>300000</f>
        <v>300000</v>
      </c>
      <c r="M1209" s="111">
        <f t="shared" si="165"/>
        <v>135000</v>
      </c>
      <c r="N1209" s="111">
        <f t="shared" si="166"/>
        <v>135000</v>
      </c>
      <c r="O1209" s="111">
        <f t="shared" si="167"/>
        <v>27000</v>
      </c>
      <c r="P1209" s="111">
        <f t="shared" si="168"/>
        <v>30000</v>
      </c>
      <c r="Q1209" s="111">
        <v>60000</v>
      </c>
      <c r="R1209" s="111">
        <v>6</v>
      </c>
      <c r="S1209" s="111">
        <f t="shared" si="169"/>
        <v>6000</v>
      </c>
      <c r="T1209" s="111">
        <f t="shared" si="170"/>
        <v>360000</v>
      </c>
      <c r="U1209" s="111">
        <f t="shared" si="171"/>
        <v>3600</v>
      </c>
      <c r="V1209" s="111">
        <f t="shared" si="172"/>
        <v>363600</v>
      </c>
      <c r="W1209" t="s">
        <v>3668</v>
      </c>
    </row>
    <row r="1210" spans="1:23" x14ac:dyDescent="0.3">
      <c r="A1210" s="110">
        <v>1602602</v>
      </c>
      <c r="B1210" s="110" t="s">
        <v>1332</v>
      </c>
      <c r="C1210" s="110" t="s">
        <v>1414</v>
      </c>
      <c r="D1210" s="110" t="s">
        <v>1415</v>
      </c>
      <c r="E1210" s="110" t="s">
        <v>1416</v>
      </c>
      <c r="F1210" s="110" t="s">
        <v>113</v>
      </c>
      <c r="G1210" s="110" t="s">
        <v>114</v>
      </c>
      <c r="H1210" s="111">
        <v>115</v>
      </c>
      <c r="I1210" s="111">
        <v>113</v>
      </c>
      <c r="J1210" s="111">
        <v>123</v>
      </c>
      <c r="K1210" s="111">
        <f t="shared" si="164"/>
        <v>117</v>
      </c>
      <c r="L1210" s="111">
        <v>150000</v>
      </c>
      <c r="M1210" s="111">
        <f t="shared" si="165"/>
        <v>67500</v>
      </c>
      <c r="N1210" s="111">
        <f t="shared" si="166"/>
        <v>67500</v>
      </c>
      <c r="O1210" s="111">
        <f t="shared" si="167"/>
        <v>13500</v>
      </c>
      <c r="P1210" s="111">
        <f t="shared" si="168"/>
        <v>15000</v>
      </c>
      <c r="Q1210" s="111">
        <v>30000</v>
      </c>
      <c r="R1210" s="111">
        <v>3</v>
      </c>
      <c r="S1210" s="111">
        <f t="shared" si="169"/>
        <v>3000</v>
      </c>
      <c r="T1210" s="111">
        <f t="shared" si="170"/>
        <v>180000</v>
      </c>
      <c r="U1210" s="111">
        <f t="shared" si="171"/>
        <v>1800</v>
      </c>
      <c r="V1210" s="111">
        <f t="shared" si="172"/>
        <v>181800</v>
      </c>
      <c r="W1210" t="s">
        <v>3669</v>
      </c>
    </row>
    <row r="1211" spans="1:23" x14ac:dyDescent="0.3">
      <c r="A1211" s="110">
        <v>1602603</v>
      </c>
      <c r="B1211" s="110" t="s">
        <v>1332</v>
      </c>
      <c r="C1211" s="110" t="s">
        <v>1414</v>
      </c>
      <c r="D1211" s="110" t="s">
        <v>1417</v>
      </c>
      <c r="E1211" s="110" t="s">
        <v>482</v>
      </c>
      <c r="F1211" s="110" t="s">
        <v>113</v>
      </c>
      <c r="G1211" s="110" t="s">
        <v>114</v>
      </c>
      <c r="H1211" s="111">
        <v>223</v>
      </c>
      <c r="I1211" s="111">
        <v>210</v>
      </c>
      <c r="J1211" s="111">
        <v>201</v>
      </c>
      <c r="K1211" s="111">
        <f t="shared" si="164"/>
        <v>211.33333333333334</v>
      </c>
      <c r="L1211" s="111">
        <v>200000</v>
      </c>
      <c r="M1211" s="111">
        <f t="shared" si="165"/>
        <v>90000</v>
      </c>
      <c r="N1211" s="111">
        <f t="shared" si="166"/>
        <v>90000</v>
      </c>
      <c r="O1211" s="111">
        <f t="shared" si="167"/>
        <v>18000</v>
      </c>
      <c r="P1211" s="111">
        <f t="shared" si="168"/>
        <v>20000</v>
      </c>
      <c r="Q1211" s="111">
        <v>50000</v>
      </c>
      <c r="R1211" s="111">
        <v>5</v>
      </c>
      <c r="S1211" s="111">
        <f t="shared" si="169"/>
        <v>5000</v>
      </c>
      <c r="T1211" s="111">
        <f t="shared" si="170"/>
        <v>250000</v>
      </c>
      <c r="U1211" s="111">
        <f t="shared" si="171"/>
        <v>2500</v>
      </c>
      <c r="V1211" s="111">
        <f t="shared" si="172"/>
        <v>252500</v>
      </c>
      <c r="W1211" t="s">
        <v>3670</v>
      </c>
    </row>
    <row r="1212" spans="1:23" x14ac:dyDescent="0.3">
      <c r="A1212" s="110">
        <v>1602604</v>
      </c>
      <c r="B1212" s="110" t="s">
        <v>1332</v>
      </c>
      <c r="C1212" s="110" t="s">
        <v>1414</v>
      </c>
      <c r="D1212" s="110" t="s">
        <v>1418</v>
      </c>
      <c r="E1212" s="110" t="s">
        <v>319</v>
      </c>
      <c r="F1212" s="110" t="s">
        <v>113</v>
      </c>
      <c r="G1212" s="110" t="s">
        <v>114</v>
      </c>
      <c r="H1212" s="111">
        <v>87</v>
      </c>
      <c r="I1212" s="111">
        <v>100</v>
      </c>
      <c r="J1212" s="111">
        <v>107</v>
      </c>
      <c r="K1212" s="111">
        <f t="shared" si="164"/>
        <v>98</v>
      </c>
      <c r="L1212" s="111">
        <v>150000</v>
      </c>
      <c r="M1212" s="111">
        <f t="shared" si="165"/>
        <v>67500</v>
      </c>
      <c r="N1212" s="111">
        <f t="shared" si="166"/>
        <v>67500</v>
      </c>
      <c r="O1212" s="111">
        <f t="shared" si="167"/>
        <v>13500</v>
      </c>
      <c r="P1212" s="111">
        <f t="shared" si="168"/>
        <v>15000</v>
      </c>
      <c r="Q1212" s="111">
        <v>30000</v>
      </c>
      <c r="R1212" s="111">
        <v>3</v>
      </c>
      <c r="S1212" s="111">
        <f t="shared" si="169"/>
        <v>3000</v>
      </c>
      <c r="T1212" s="111">
        <f t="shared" si="170"/>
        <v>180000</v>
      </c>
      <c r="U1212" s="111">
        <f t="shared" si="171"/>
        <v>1800</v>
      </c>
      <c r="V1212" s="111">
        <f t="shared" si="172"/>
        <v>181800</v>
      </c>
      <c r="W1212" t="s">
        <v>3671</v>
      </c>
    </row>
    <row r="1213" spans="1:23" x14ac:dyDescent="0.3">
      <c r="A1213" s="110">
        <v>1602605</v>
      </c>
      <c r="B1213" s="110" t="s">
        <v>1332</v>
      </c>
      <c r="C1213" s="110" t="s">
        <v>1414</v>
      </c>
      <c r="D1213" s="110" t="s">
        <v>1419</v>
      </c>
      <c r="E1213" s="110" t="s">
        <v>184</v>
      </c>
      <c r="F1213" s="110" t="s">
        <v>113</v>
      </c>
      <c r="G1213" s="110" t="s">
        <v>114</v>
      </c>
      <c r="H1213" s="111">
        <v>133</v>
      </c>
      <c r="I1213" s="111">
        <v>133</v>
      </c>
      <c r="J1213" s="111">
        <v>137</v>
      </c>
      <c r="K1213" s="111">
        <f t="shared" si="164"/>
        <v>134.33333333333334</v>
      </c>
      <c r="L1213" s="111">
        <v>150000</v>
      </c>
      <c r="M1213" s="111">
        <f t="shared" si="165"/>
        <v>67500</v>
      </c>
      <c r="N1213" s="111">
        <f t="shared" si="166"/>
        <v>67500</v>
      </c>
      <c r="O1213" s="111">
        <f t="shared" si="167"/>
        <v>13500</v>
      </c>
      <c r="P1213" s="111">
        <f t="shared" si="168"/>
        <v>15000</v>
      </c>
      <c r="Q1213" s="111">
        <v>30000</v>
      </c>
      <c r="R1213" s="111">
        <v>3</v>
      </c>
      <c r="S1213" s="111">
        <f t="shared" si="169"/>
        <v>3000</v>
      </c>
      <c r="T1213" s="111">
        <f t="shared" si="170"/>
        <v>180000</v>
      </c>
      <c r="U1213" s="111">
        <f t="shared" si="171"/>
        <v>1800</v>
      </c>
      <c r="V1213" s="111">
        <f t="shared" si="172"/>
        <v>181800</v>
      </c>
      <c r="W1213" t="s">
        <v>3672</v>
      </c>
    </row>
    <row r="1214" spans="1:23" x14ac:dyDescent="0.3">
      <c r="A1214" s="110">
        <v>1602606</v>
      </c>
      <c r="B1214" s="110" t="s">
        <v>1332</v>
      </c>
      <c r="C1214" s="110" t="s">
        <v>1414</v>
      </c>
      <c r="D1214" s="110" t="s">
        <v>1420</v>
      </c>
      <c r="E1214" s="110" t="s">
        <v>1421</v>
      </c>
      <c r="F1214" s="110" t="s">
        <v>113</v>
      </c>
      <c r="G1214" s="110" t="s">
        <v>114</v>
      </c>
      <c r="H1214" s="111">
        <v>58</v>
      </c>
      <c r="I1214" s="111">
        <v>54</v>
      </c>
      <c r="J1214" s="111">
        <v>54</v>
      </c>
      <c r="K1214" s="111">
        <f t="shared" si="164"/>
        <v>55.333333333333336</v>
      </c>
      <c r="L1214" s="111">
        <v>150000</v>
      </c>
      <c r="M1214" s="111">
        <f t="shared" si="165"/>
        <v>67500</v>
      </c>
      <c r="N1214" s="111">
        <f t="shared" si="166"/>
        <v>67500</v>
      </c>
      <c r="O1214" s="111">
        <f t="shared" si="167"/>
        <v>13500</v>
      </c>
      <c r="P1214" s="111">
        <f t="shared" si="168"/>
        <v>15000</v>
      </c>
      <c r="Q1214" s="111">
        <v>30000</v>
      </c>
      <c r="R1214" s="111">
        <v>3</v>
      </c>
      <c r="S1214" s="111">
        <f t="shared" si="169"/>
        <v>3000</v>
      </c>
      <c r="T1214" s="111">
        <f t="shared" si="170"/>
        <v>180000</v>
      </c>
      <c r="U1214" s="111">
        <f t="shared" si="171"/>
        <v>1800</v>
      </c>
      <c r="V1214" s="111">
        <f t="shared" si="172"/>
        <v>181800</v>
      </c>
      <c r="W1214" t="s">
        <v>3673</v>
      </c>
    </row>
    <row r="1215" spans="1:23" x14ac:dyDescent="0.3">
      <c r="A1215" s="110">
        <v>1602607</v>
      </c>
      <c r="B1215" s="110" t="s">
        <v>1332</v>
      </c>
      <c r="C1215" s="110" t="s">
        <v>1414</v>
      </c>
      <c r="D1215" s="110" t="s">
        <v>1422</v>
      </c>
      <c r="E1215" s="110" t="s">
        <v>482</v>
      </c>
      <c r="F1215" s="110" t="s">
        <v>113</v>
      </c>
      <c r="G1215" s="110" t="s">
        <v>114</v>
      </c>
      <c r="H1215" s="111">
        <v>140</v>
      </c>
      <c r="I1215" s="111">
        <v>154</v>
      </c>
      <c r="J1215" s="111">
        <v>184</v>
      </c>
      <c r="K1215" s="111">
        <f t="shared" si="164"/>
        <v>159.33333333333334</v>
      </c>
      <c r="L1215" s="111">
        <v>150000</v>
      </c>
      <c r="M1215" s="111">
        <f t="shared" si="165"/>
        <v>67500</v>
      </c>
      <c r="N1215" s="111">
        <f t="shared" si="166"/>
        <v>67500</v>
      </c>
      <c r="O1215" s="111">
        <f t="shared" si="167"/>
        <v>13500</v>
      </c>
      <c r="P1215" s="111">
        <f t="shared" si="168"/>
        <v>15000</v>
      </c>
      <c r="Q1215" s="111">
        <v>30000</v>
      </c>
      <c r="R1215" s="111">
        <v>3</v>
      </c>
      <c r="S1215" s="111">
        <f t="shared" si="169"/>
        <v>3000</v>
      </c>
      <c r="T1215" s="111">
        <f t="shared" si="170"/>
        <v>180000</v>
      </c>
      <c r="U1215" s="111">
        <f t="shared" si="171"/>
        <v>1800</v>
      </c>
      <c r="V1215" s="111">
        <f t="shared" si="172"/>
        <v>181800</v>
      </c>
      <c r="W1215" t="s">
        <v>3674</v>
      </c>
    </row>
    <row r="1216" spans="1:23" x14ac:dyDescent="0.3">
      <c r="A1216" s="110">
        <v>1602608</v>
      </c>
      <c r="B1216" s="110" t="s">
        <v>1332</v>
      </c>
      <c r="C1216" s="110" t="s">
        <v>1414</v>
      </c>
      <c r="D1216" s="110" t="s">
        <v>1423</v>
      </c>
      <c r="E1216" s="110" t="s">
        <v>1424</v>
      </c>
      <c r="F1216" s="110" t="s">
        <v>113</v>
      </c>
      <c r="G1216" s="110" t="s">
        <v>114</v>
      </c>
      <c r="H1216" s="111">
        <v>123</v>
      </c>
      <c r="I1216" s="111">
        <v>130</v>
      </c>
      <c r="J1216" s="111">
        <v>136</v>
      </c>
      <c r="K1216" s="111">
        <f t="shared" si="164"/>
        <v>129.66666666666666</v>
      </c>
      <c r="L1216" s="111">
        <v>150000</v>
      </c>
      <c r="M1216" s="111">
        <f t="shared" si="165"/>
        <v>67500</v>
      </c>
      <c r="N1216" s="111">
        <f t="shared" si="166"/>
        <v>67500</v>
      </c>
      <c r="O1216" s="111">
        <f t="shared" si="167"/>
        <v>13500</v>
      </c>
      <c r="P1216" s="111">
        <f t="shared" si="168"/>
        <v>15000</v>
      </c>
      <c r="Q1216" s="111">
        <v>30000</v>
      </c>
      <c r="R1216" s="111">
        <v>3</v>
      </c>
      <c r="S1216" s="111">
        <f t="shared" si="169"/>
        <v>3000</v>
      </c>
      <c r="T1216" s="111">
        <f t="shared" si="170"/>
        <v>180000</v>
      </c>
      <c r="U1216" s="111">
        <f t="shared" si="171"/>
        <v>1800</v>
      </c>
      <c r="V1216" s="111">
        <f t="shared" si="172"/>
        <v>181800</v>
      </c>
      <c r="W1216" t="s">
        <v>3675</v>
      </c>
    </row>
    <row r="1217" spans="1:23" x14ac:dyDescent="0.3">
      <c r="A1217" s="110">
        <v>1602609</v>
      </c>
      <c r="B1217" s="110" t="s">
        <v>1332</v>
      </c>
      <c r="C1217" s="110" t="s">
        <v>1414</v>
      </c>
      <c r="D1217" s="110" t="s">
        <v>1425</v>
      </c>
      <c r="E1217" s="110" t="s">
        <v>143</v>
      </c>
      <c r="F1217" s="110" t="s">
        <v>113</v>
      </c>
      <c r="G1217" s="110" t="s">
        <v>114</v>
      </c>
      <c r="H1217" s="111">
        <v>113</v>
      </c>
      <c r="I1217" s="111">
        <v>112</v>
      </c>
      <c r="J1217" s="111">
        <v>105</v>
      </c>
      <c r="K1217" s="111">
        <f t="shared" si="164"/>
        <v>110</v>
      </c>
      <c r="L1217" s="111">
        <v>150000</v>
      </c>
      <c r="M1217" s="111">
        <f t="shared" si="165"/>
        <v>67500</v>
      </c>
      <c r="N1217" s="111">
        <f t="shared" si="166"/>
        <v>67500</v>
      </c>
      <c r="O1217" s="111">
        <f t="shared" si="167"/>
        <v>13500</v>
      </c>
      <c r="P1217" s="111">
        <f t="shared" si="168"/>
        <v>15000</v>
      </c>
      <c r="Q1217" s="111">
        <v>30000</v>
      </c>
      <c r="R1217" s="111">
        <v>3</v>
      </c>
      <c r="S1217" s="111">
        <f t="shared" si="169"/>
        <v>3000</v>
      </c>
      <c r="T1217" s="111">
        <f t="shared" si="170"/>
        <v>180000</v>
      </c>
      <c r="U1217" s="111">
        <f t="shared" si="171"/>
        <v>1800</v>
      </c>
      <c r="V1217" s="111">
        <f t="shared" si="172"/>
        <v>181800</v>
      </c>
      <c r="W1217" t="s">
        <v>3676</v>
      </c>
    </row>
    <row r="1218" spans="1:23" x14ac:dyDescent="0.3">
      <c r="A1218" s="110">
        <v>1602611</v>
      </c>
      <c r="B1218" s="110" t="s">
        <v>1332</v>
      </c>
      <c r="C1218" s="110" t="s">
        <v>1414</v>
      </c>
      <c r="D1218" s="110" t="s">
        <v>1426</v>
      </c>
      <c r="E1218" s="110" t="s">
        <v>1427</v>
      </c>
      <c r="F1218" s="110" t="s">
        <v>113</v>
      </c>
      <c r="G1218" s="110" t="s">
        <v>114</v>
      </c>
      <c r="H1218" s="111">
        <v>178</v>
      </c>
      <c r="I1218" s="111">
        <v>160</v>
      </c>
      <c r="J1218" s="111">
        <v>146</v>
      </c>
      <c r="K1218" s="111">
        <f t="shared" ref="K1218:K1281" si="173">+(H1218+I1218+J1218)/3</f>
        <v>161.33333333333334</v>
      </c>
      <c r="L1218" s="111">
        <v>150000</v>
      </c>
      <c r="M1218" s="111">
        <f t="shared" ref="M1218:M1281" si="174">+L1218*0.45</f>
        <v>67500</v>
      </c>
      <c r="N1218" s="111">
        <f t="shared" ref="N1218:N1281" si="175">+L1218*0.45</f>
        <v>67500</v>
      </c>
      <c r="O1218" s="111">
        <f t="shared" ref="O1218:O1281" si="176">+N1218*0.2</f>
        <v>13500</v>
      </c>
      <c r="P1218" s="111">
        <f t="shared" ref="P1218:P1281" si="177">++L1218*0.1</f>
        <v>15000</v>
      </c>
      <c r="Q1218" s="111">
        <v>30000</v>
      </c>
      <c r="R1218" s="111">
        <v>3</v>
      </c>
      <c r="S1218" s="111">
        <f t="shared" ref="S1218:S1281" si="178">+Q1218*0.1</f>
        <v>3000</v>
      </c>
      <c r="T1218" s="111">
        <f t="shared" ref="T1218:T1281" si="179">+L1218+Q1218</f>
        <v>180000</v>
      </c>
      <c r="U1218" s="111">
        <f t="shared" ref="U1218:U1281" si="180">+T1218*0.01</f>
        <v>1800</v>
      </c>
      <c r="V1218" s="111">
        <f t="shared" ref="V1218:V1281" si="181">+T1218+U1218</f>
        <v>181800</v>
      </c>
      <c r="W1218" t="s">
        <v>3677</v>
      </c>
    </row>
    <row r="1219" spans="1:23" x14ac:dyDescent="0.3">
      <c r="A1219" s="110">
        <v>1602612</v>
      </c>
      <c r="B1219" s="110" t="s">
        <v>1332</v>
      </c>
      <c r="C1219" s="110" t="s">
        <v>1414</v>
      </c>
      <c r="D1219" s="110" t="s">
        <v>1428</v>
      </c>
      <c r="E1219" s="110" t="s">
        <v>203</v>
      </c>
      <c r="F1219" s="110" t="s">
        <v>113</v>
      </c>
      <c r="G1219" s="110" t="s">
        <v>114</v>
      </c>
      <c r="H1219" s="111">
        <v>124</v>
      </c>
      <c r="I1219" s="111">
        <v>125</v>
      </c>
      <c r="J1219" s="111">
        <v>126</v>
      </c>
      <c r="K1219" s="111">
        <f t="shared" si="173"/>
        <v>125</v>
      </c>
      <c r="L1219" s="111">
        <v>150000</v>
      </c>
      <c r="M1219" s="111">
        <f t="shared" si="174"/>
        <v>67500</v>
      </c>
      <c r="N1219" s="111">
        <f t="shared" si="175"/>
        <v>67500</v>
      </c>
      <c r="O1219" s="111">
        <f t="shared" si="176"/>
        <v>13500</v>
      </c>
      <c r="P1219" s="111">
        <f t="shared" si="177"/>
        <v>15000</v>
      </c>
      <c r="Q1219" s="111">
        <v>30000</v>
      </c>
      <c r="R1219" s="111">
        <v>3</v>
      </c>
      <c r="S1219" s="111">
        <f t="shared" si="178"/>
        <v>3000</v>
      </c>
      <c r="T1219" s="111">
        <f t="shared" si="179"/>
        <v>180000</v>
      </c>
      <c r="U1219" s="111">
        <f t="shared" si="180"/>
        <v>1800</v>
      </c>
      <c r="V1219" s="111">
        <f t="shared" si="181"/>
        <v>181800</v>
      </c>
      <c r="W1219" t="s">
        <v>3678</v>
      </c>
    </row>
    <row r="1220" spans="1:23" x14ac:dyDescent="0.3">
      <c r="A1220" s="110">
        <v>1602613</v>
      </c>
      <c r="B1220" s="110" t="s">
        <v>1332</v>
      </c>
      <c r="C1220" s="110" t="s">
        <v>1414</v>
      </c>
      <c r="D1220" s="110" t="s">
        <v>1429</v>
      </c>
      <c r="E1220" s="110" t="s">
        <v>184</v>
      </c>
      <c r="F1220" s="110" t="s">
        <v>113</v>
      </c>
      <c r="G1220" s="110" t="s">
        <v>114</v>
      </c>
      <c r="H1220" s="111">
        <v>110</v>
      </c>
      <c r="I1220" s="111">
        <v>104</v>
      </c>
      <c r="J1220" s="111">
        <v>108</v>
      </c>
      <c r="K1220" s="111">
        <f t="shared" si="173"/>
        <v>107.33333333333333</v>
      </c>
      <c r="L1220" s="111">
        <v>150000</v>
      </c>
      <c r="M1220" s="111">
        <f t="shared" si="174"/>
        <v>67500</v>
      </c>
      <c r="N1220" s="111">
        <f t="shared" si="175"/>
        <v>67500</v>
      </c>
      <c r="O1220" s="111">
        <f t="shared" si="176"/>
        <v>13500</v>
      </c>
      <c r="P1220" s="111">
        <f t="shared" si="177"/>
        <v>15000</v>
      </c>
      <c r="Q1220" s="111">
        <v>30000</v>
      </c>
      <c r="R1220" s="111">
        <v>3</v>
      </c>
      <c r="S1220" s="111">
        <f t="shared" si="178"/>
        <v>3000</v>
      </c>
      <c r="T1220" s="111">
        <f t="shared" si="179"/>
        <v>180000</v>
      </c>
      <c r="U1220" s="111">
        <f t="shared" si="180"/>
        <v>1800</v>
      </c>
      <c r="V1220" s="111">
        <f t="shared" si="181"/>
        <v>181800</v>
      </c>
      <c r="W1220" t="s">
        <v>3679</v>
      </c>
    </row>
    <row r="1221" spans="1:23" x14ac:dyDescent="0.3">
      <c r="A1221" s="110">
        <v>1602801</v>
      </c>
      <c r="B1221" s="110" t="s">
        <v>1332</v>
      </c>
      <c r="C1221" s="110" t="s">
        <v>1430</v>
      </c>
      <c r="D1221" s="110" t="s">
        <v>1431</v>
      </c>
      <c r="E1221" s="110" t="s">
        <v>184</v>
      </c>
      <c r="F1221" s="110" t="s">
        <v>113</v>
      </c>
      <c r="G1221" s="110" t="s">
        <v>114</v>
      </c>
      <c r="H1221" s="111">
        <v>140</v>
      </c>
      <c r="I1221" s="111">
        <v>140</v>
      </c>
      <c r="J1221" s="111">
        <v>143</v>
      </c>
      <c r="K1221" s="111">
        <f t="shared" si="173"/>
        <v>141</v>
      </c>
      <c r="L1221" s="111">
        <v>150000</v>
      </c>
      <c r="M1221" s="111">
        <f t="shared" si="174"/>
        <v>67500</v>
      </c>
      <c r="N1221" s="111">
        <f t="shared" si="175"/>
        <v>67500</v>
      </c>
      <c r="O1221" s="111">
        <f t="shared" si="176"/>
        <v>13500</v>
      </c>
      <c r="P1221" s="111">
        <f t="shared" si="177"/>
        <v>15000</v>
      </c>
      <c r="Q1221" s="111">
        <v>30000</v>
      </c>
      <c r="R1221" s="111">
        <v>3</v>
      </c>
      <c r="S1221" s="111">
        <f t="shared" si="178"/>
        <v>3000</v>
      </c>
      <c r="T1221" s="111">
        <f t="shared" si="179"/>
        <v>180000</v>
      </c>
      <c r="U1221" s="111">
        <f t="shared" si="180"/>
        <v>1800</v>
      </c>
      <c r="V1221" s="111">
        <f t="shared" si="181"/>
        <v>181800</v>
      </c>
      <c r="W1221" t="s">
        <v>3680</v>
      </c>
    </row>
    <row r="1222" spans="1:23" x14ac:dyDescent="0.3">
      <c r="A1222" s="110">
        <v>1602803</v>
      </c>
      <c r="B1222" s="110" t="s">
        <v>1332</v>
      </c>
      <c r="C1222" s="110" t="s">
        <v>1430</v>
      </c>
      <c r="D1222" s="110" t="s">
        <v>1430</v>
      </c>
      <c r="E1222" s="110" t="s">
        <v>867</v>
      </c>
      <c r="F1222" s="110" t="s">
        <v>113</v>
      </c>
      <c r="G1222" s="110" t="s">
        <v>114</v>
      </c>
      <c r="H1222" s="111">
        <v>174</v>
      </c>
      <c r="I1222" s="111">
        <v>161</v>
      </c>
      <c r="J1222" s="111">
        <v>164</v>
      </c>
      <c r="K1222" s="111">
        <f t="shared" si="173"/>
        <v>166.33333333333334</v>
      </c>
      <c r="L1222" s="111">
        <v>150000</v>
      </c>
      <c r="M1222" s="111">
        <f t="shared" si="174"/>
        <v>67500</v>
      </c>
      <c r="N1222" s="111">
        <f t="shared" si="175"/>
        <v>67500</v>
      </c>
      <c r="O1222" s="111">
        <f t="shared" si="176"/>
        <v>13500</v>
      </c>
      <c r="P1222" s="111">
        <f t="shared" si="177"/>
        <v>15000</v>
      </c>
      <c r="Q1222" s="111">
        <v>30000</v>
      </c>
      <c r="R1222" s="111">
        <v>3</v>
      </c>
      <c r="S1222" s="111">
        <f t="shared" si="178"/>
        <v>3000</v>
      </c>
      <c r="T1222" s="111">
        <f t="shared" si="179"/>
        <v>180000</v>
      </c>
      <c r="U1222" s="111">
        <f t="shared" si="180"/>
        <v>1800</v>
      </c>
      <c r="V1222" s="111">
        <f t="shared" si="181"/>
        <v>181800</v>
      </c>
      <c r="W1222" t="s">
        <v>3681</v>
      </c>
    </row>
    <row r="1223" spans="1:23" x14ac:dyDescent="0.3">
      <c r="A1223" s="110">
        <v>1602804</v>
      </c>
      <c r="B1223" s="110" t="s">
        <v>1332</v>
      </c>
      <c r="C1223" s="110" t="s">
        <v>1430</v>
      </c>
      <c r="D1223" s="110" t="s">
        <v>1432</v>
      </c>
      <c r="E1223" s="110" t="s">
        <v>588</v>
      </c>
      <c r="F1223" s="110" t="s">
        <v>113</v>
      </c>
      <c r="G1223" s="110" t="s">
        <v>114</v>
      </c>
      <c r="H1223" s="111">
        <v>89</v>
      </c>
      <c r="I1223" s="111">
        <v>90</v>
      </c>
      <c r="J1223" s="111">
        <v>89</v>
      </c>
      <c r="K1223" s="111">
        <f t="shared" si="173"/>
        <v>89.333333333333329</v>
      </c>
      <c r="L1223" s="111">
        <f>150000*0.7</f>
        <v>105000</v>
      </c>
      <c r="M1223" s="111">
        <f t="shared" si="174"/>
        <v>47250</v>
      </c>
      <c r="N1223" s="111">
        <f t="shared" si="175"/>
        <v>47250</v>
      </c>
      <c r="O1223" s="111">
        <f t="shared" si="176"/>
        <v>9450</v>
      </c>
      <c r="P1223" s="111">
        <f t="shared" si="177"/>
        <v>10500</v>
      </c>
      <c r="Q1223" s="111">
        <v>30000</v>
      </c>
      <c r="R1223" s="111">
        <v>3</v>
      </c>
      <c r="S1223" s="111">
        <f t="shared" si="178"/>
        <v>3000</v>
      </c>
      <c r="T1223" s="111">
        <f t="shared" si="179"/>
        <v>135000</v>
      </c>
      <c r="U1223" s="111">
        <f t="shared" si="180"/>
        <v>1350</v>
      </c>
      <c r="V1223" s="111">
        <f t="shared" si="181"/>
        <v>136350</v>
      </c>
      <c r="W1223" t="s">
        <v>3682</v>
      </c>
    </row>
    <row r="1224" spans="1:23" x14ac:dyDescent="0.3">
      <c r="A1224" s="110">
        <v>1602805</v>
      </c>
      <c r="B1224" s="110" t="s">
        <v>1332</v>
      </c>
      <c r="C1224" s="110" t="s">
        <v>1430</v>
      </c>
      <c r="D1224" s="110" t="s">
        <v>1433</v>
      </c>
      <c r="E1224" s="110" t="s">
        <v>381</v>
      </c>
      <c r="F1224" s="110" t="s">
        <v>113</v>
      </c>
      <c r="G1224" s="110" t="s">
        <v>114</v>
      </c>
      <c r="H1224" s="111">
        <v>167</v>
      </c>
      <c r="I1224" s="111">
        <v>159</v>
      </c>
      <c r="J1224" s="111">
        <v>147</v>
      </c>
      <c r="K1224" s="111">
        <f t="shared" si="173"/>
        <v>157.66666666666666</v>
      </c>
      <c r="L1224" s="111">
        <v>150000</v>
      </c>
      <c r="M1224" s="111">
        <f t="shared" si="174"/>
        <v>67500</v>
      </c>
      <c r="N1224" s="111">
        <f t="shared" si="175"/>
        <v>67500</v>
      </c>
      <c r="O1224" s="111">
        <f t="shared" si="176"/>
        <v>13500</v>
      </c>
      <c r="P1224" s="111">
        <f t="shared" si="177"/>
        <v>15000</v>
      </c>
      <c r="Q1224" s="111">
        <v>30000</v>
      </c>
      <c r="R1224" s="111">
        <v>3</v>
      </c>
      <c r="S1224" s="111">
        <f t="shared" si="178"/>
        <v>3000</v>
      </c>
      <c r="T1224" s="111">
        <f t="shared" si="179"/>
        <v>180000</v>
      </c>
      <c r="U1224" s="111">
        <f t="shared" si="180"/>
        <v>1800</v>
      </c>
      <c r="V1224" s="111">
        <f t="shared" si="181"/>
        <v>181800</v>
      </c>
      <c r="W1224" t="s">
        <v>3683</v>
      </c>
    </row>
    <row r="1225" spans="1:23" x14ac:dyDescent="0.3">
      <c r="A1225" s="110">
        <v>1602806</v>
      </c>
      <c r="B1225" s="110" t="s">
        <v>1332</v>
      </c>
      <c r="C1225" s="110" t="s">
        <v>1430</v>
      </c>
      <c r="D1225" s="110" t="s">
        <v>1434</v>
      </c>
      <c r="E1225" s="110" t="s">
        <v>1435</v>
      </c>
      <c r="F1225" s="110" t="s">
        <v>113</v>
      </c>
      <c r="G1225" s="110" t="s">
        <v>114</v>
      </c>
      <c r="H1225" s="111">
        <v>107</v>
      </c>
      <c r="I1225" s="111">
        <v>109</v>
      </c>
      <c r="J1225" s="111">
        <v>92</v>
      </c>
      <c r="K1225" s="111">
        <f t="shared" si="173"/>
        <v>102.66666666666667</v>
      </c>
      <c r="L1225" s="111">
        <v>150000</v>
      </c>
      <c r="M1225" s="111">
        <f t="shared" si="174"/>
        <v>67500</v>
      </c>
      <c r="N1225" s="111">
        <f t="shared" si="175"/>
        <v>67500</v>
      </c>
      <c r="O1225" s="111">
        <f t="shared" si="176"/>
        <v>13500</v>
      </c>
      <c r="P1225" s="111">
        <f t="shared" si="177"/>
        <v>15000</v>
      </c>
      <c r="Q1225" s="111">
        <v>30000</v>
      </c>
      <c r="R1225" s="111">
        <v>3</v>
      </c>
      <c r="S1225" s="111">
        <f t="shared" si="178"/>
        <v>3000</v>
      </c>
      <c r="T1225" s="111">
        <f t="shared" si="179"/>
        <v>180000</v>
      </c>
      <c r="U1225" s="111">
        <f t="shared" si="180"/>
        <v>1800</v>
      </c>
      <c r="V1225" s="111">
        <f t="shared" si="181"/>
        <v>181800</v>
      </c>
      <c r="W1225" t="s">
        <v>3684</v>
      </c>
    </row>
    <row r="1226" spans="1:23" x14ac:dyDescent="0.3">
      <c r="A1226" s="110">
        <v>1602807</v>
      </c>
      <c r="B1226" s="110" t="s">
        <v>1332</v>
      </c>
      <c r="C1226" s="110" t="s">
        <v>1430</v>
      </c>
      <c r="D1226" s="110" t="s">
        <v>1436</v>
      </c>
      <c r="E1226" s="110" t="s">
        <v>319</v>
      </c>
      <c r="F1226" s="110" t="s">
        <v>113</v>
      </c>
      <c r="G1226" s="110" t="s">
        <v>114</v>
      </c>
      <c r="H1226" s="111">
        <v>145</v>
      </c>
      <c r="I1226" s="111">
        <v>127</v>
      </c>
      <c r="J1226" s="111">
        <v>123</v>
      </c>
      <c r="K1226" s="111">
        <f t="shared" si="173"/>
        <v>131.66666666666666</v>
      </c>
      <c r="L1226" s="111">
        <v>150000</v>
      </c>
      <c r="M1226" s="111">
        <f t="shared" si="174"/>
        <v>67500</v>
      </c>
      <c r="N1226" s="111">
        <f t="shared" si="175"/>
        <v>67500</v>
      </c>
      <c r="O1226" s="111">
        <f t="shared" si="176"/>
        <v>13500</v>
      </c>
      <c r="P1226" s="111">
        <f t="shared" si="177"/>
        <v>15000</v>
      </c>
      <c r="Q1226" s="111">
        <v>30000</v>
      </c>
      <c r="R1226" s="111">
        <v>3</v>
      </c>
      <c r="S1226" s="111">
        <f t="shared" si="178"/>
        <v>3000</v>
      </c>
      <c r="T1226" s="111">
        <f t="shared" si="179"/>
        <v>180000</v>
      </c>
      <c r="U1226" s="111">
        <f t="shared" si="180"/>
        <v>1800</v>
      </c>
      <c r="V1226" s="111">
        <f t="shared" si="181"/>
        <v>181800</v>
      </c>
      <c r="W1226" t="s">
        <v>3685</v>
      </c>
    </row>
    <row r="1227" spans="1:23" x14ac:dyDescent="0.3">
      <c r="A1227" s="110">
        <v>1602808</v>
      </c>
      <c r="B1227" s="110" t="s">
        <v>1332</v>
      </c>
      <c r="C1227" s="110" t="s">
        <v>1430</v>
      </c>
      <c r="D1227" s="110" t="s">
        <v>1437</v>
      </c>
      <c r="E1227" s="110" t="s">
        <v>1438</v>
      </c>
      <c r="F1227" s="110" t="s">
        <v>113</v>
      </c>
      <c r="G1227" s="110" t="s">
        <v>114</v>
      </c>
      <c r="H1227" s="111">
        <v>190</v>
      </c>
      <c r="I1227" s="111">
        <v>185</v>
      </c>
      <c r="J1227" s="111">
        <v>186</v>
      </c>
      <c r="K1227" s="111">
        <f t="shared" si="173"/>
        <v>187</v>
      </c>
      <c r="L1227" s="111">
        <v>150000</v>
      </c>
      <c r="M1227" s="111">
        <f t="shared" si="174"/>
        <v>67500</v>
      </c>
      <c r="N1227" s="111">
        <f t="shared" si="175"/>
        <v>67500</v>
      </c>
      <c r="O1227" s="111">
        <f t="shared" si="176"/>
        <v>13500</v>
      </c>
      <c r="P1227" s="111">
        <f t="shared" si="177"/>
        <v>15000</v>
      </c>
      <c r="Q1227" s="111">
        <v>30000</v>
      </c>
      <c r="R1227" s="111">
        <v>3</v>
      </c>
      <c r="S1227" s="111">
        <f t="shared" si="178"/>
        <v>3000</v>
      </c>
      <c r="T1227" s="111">
        <f t="shared" si="179"/>
        <v>180000</v>
      </c>
      <c r="U1227" s="111">
        <f t="shared" si="180"/>
        <v>1800</v>
      </c>
      <c r="V1227" s="111">
        <f t="shared" si="181"/>
        <v>181800</v>
      </c>
      <c r="W1227" t="s">
        <v>3686</v>
      </c>
    </row>
    <row r="1228" spans="1:23" x14ac:dyDescent="0.3">
      <c r="A1228" s="110">
        <v>1602810</v>
      </c>
      <c r="B1228" s="110" t="s">
        <v>1332</v>
      </c>
      <c r="C1228" s="110" t="s">
        <v>1430</v>
      </c>
      <c r="D1228" s="110" t="s">
        <v>1430</v>
      </c>
      <c r="E1228" s="110" t="s">
        <v>1439</v>
      </c>
      <c r="F1228" s="110" t="s">
        <v>117</v>
      </c>
      <c r="G1228" s="110" t="s">
        <v>114</v>
      </c>
      <c r="H1228" s="111">
        <v>303</v>
      </c>
      <c r="I1228" s="111">
        <v>318</v>
      </c>
      <c r="J1228" s="111">
        <v>311</v>
      </c>
      <c r="K1228" s="111">
        <f t="shared" si="173"/>
        <v>310.66666666666669</v>
      </c>
      <c r="L1228" s="111">
        <v>200000</v>
      </c>
      <c r="M1228" s="111">
        <f t="shared" si="174"/>
        <v>90000</v>
      </c>
      <c r="N1228" s="111">
        <f t="shared" si="175"/>
        <v>90000</v>
      </c>
      <c r="O1228" s="111">
        <f t="shared" si="176"/>
        <v>18000</v>
      </c>
      <c r="P1228" s="111">
        <f t="shared" si="177"/>
        <v>20000</v>
      </c>
      <c r="Q1228" s="111">
        <v>50000</v>
      </c>
      <c r="R1228" s="111">
        <v>5</v>
      </c>
      <c r="S1228" s="111">
        <f t="shared" si="178"/>
        <v>5000</v>
      </c>
      <c r="T1228" s="111">
        <f t="shared" si="179"/>
        <v>250000</v>
      </c>
      <c r="U1228" s="111">
        <f t="shared" si="180"/>
        <v>2500</v>
      </c>
      <c r="V1228" s="111">
        <f t="shared" si="181"/>
        <v>252500</v>
      </c>
      <c r="W1228" t="s">
        <v>3687</v>
      </c>
    </row>
    <row r="1229" spans="1:23" x14ac:dyDescent="0.3">
      <c r="A1229" s="110">
        <v>1602901</v>
      </c>
      <c r="B1229" s="110" t="s">
        <v>1332</v>
      </c>
      <c r="C1229" s="110" t="s">
        <v>1440</v>
      </c>
      <c r="D1229" s="110" t="s">
        <v>1441</v>
      </c>
      <c r="E1229" s="110" t="s">
        <v>1442</v>
      </c>
      <c r="F1229" s="110" t="s">
        <v>113</v>
      </c>
      <c r="G1229" s="110" t="s">
        <v>114</v>
      </c>
      <c r="H1229" s="111">
        <v>119</v>
      </c>
      <c r="I1229" s="111">
        <v>130</v>
      </c>
      <c r="J1229" s="111">
        <v>119</v>
      </c>
      <c r="K1229" s="111">
        <f t="shared" si="173"/>
        <v>122.66666666666667</v>
      </c>
      <c r="L1229" s="111">
        <v>150000</v>
      </c>
      <c r="M1229" s="111">
        <f t="shared" si="174"/>
        <v>67500</v>
      </c>
      <c r="N1229" s="111">
        <f t="shared" si="175"/>
        <v>67500</v>
      </c>
      <c r="O1229" s="111">
        <f t="shared" si="176"/>
        <v>13500</v>
      </c>
      <c r="P1229" s="111">
        <f t="shared" si="177"/>
        <v>15000</v>
      </c>
      <c r="Q1229" s="111">
        <v>30000</v>
      </c>
      <c r="R1229" s="111">
        <v>3</v>
      </c>
      <c r="S1229" s="111">
        <f t="shared" si="178"/>
        <v>3000</v>
      </c>
      <c r="T1229" s="111">
        <f t="shared" si="179"/>
        <v>180000</v>
      </c>
      <c r="U1229" s="111">
        <f t="shared" si="180"/>
        <v>1800</v>
      </c>
      <c r="V1229" s="111">
        <f t="shared" si="181"/>
        <v>181800</v>
      </c>
      <c r="W1229" t="s">
        <v>3688</v>
      </c>
    </row>
    <row r="1230" spans="1:23" x14ac:dyDescent="0.3">
      <c r="A1230" s="110">
        <v>1602902</v>
      </c>
      <c r="B1230" s="110" t="s">
        <v>1332</v>
      </c>
      <c r="C1230" s="110" t="s">
        <v>1440</v>
      </c>
      <c r="D1230" s="110" t="s">
        <v>1443</v>
      </c>
      <c r="E1230" s="110" t="s">
        <v>201</v>
      </c>
      <c r="F1230" s="110" t="s">
        <v>113</v>
      </c>
      <c r="G1230" s="110" t="s">
        <v>114</v>
      </c>
      <c r="H1230" s="111">
        <v>110</v>
      </c>
      <c r="I1230" s="111">
        <v>109</v>
      </c>
      <c r="J1230" s="111">
        <v>100</v>
      </c>
      <c r="K1230" s="111">
        <f t="shared" si="173"/>
        <v>106.33333333333333</v>
      </c>
      <c r="L1230" s="111">
        <v>150000</v>
      </c>
      <c r="M1230" s="111">
        <f t="shared" si="174"/>
        <v>67500</v>
      </c>
      <c r="N1230" s="111">
        <f t="shared" si="175"/>
        <v>67500</v>
      </c>
      <c r="O1230" s="111">
        <f t="shared" si="176"/>
        <v>13500</v>
      </c>
      <c r="P1230" s="111">
        <f t="shared" si="177"/>
        <v>15000</v>
      </c>
      <c r="Q1230" s="111">
        <v>30000</v>
      </c>
      <c r="R1230" s="111">
        <v>3</v>
      </c>
      <c r="S1230" s="111">
        <f t="shared" si="178"/>
        <v>3000</v>
      </c>
      <c r="T1230" s="111">
        <f t="shared" si="179"/>
        <v>180000</v>
      </c>
      <c r="U1230" s="111">
        <f t="shared" si="180"/>
        <v>1800</v>
      </c>
      <c r="V1230" s="111">
        <f t="shared" si="181"/>
        <v>181800</v>
      </c>
      <c r="W1230" t="s">
        <v>3689</v>
      </c>
    </row>
    <row r="1231" spans="1:23" x14ac:dyDescent="0.3">
      <c r="A1231" s="110">
        <v>1602903</v>
      </c>
      <c r="B1231" s="110" t="s">
        <v>1332</v>
      </c>
      <c r="C1231" s="110" t="s">
        <v>1440</v>
      </c>
      <c r="D1231" s="110" t="s">
        <v>466</v>
      </c>
      <c r="E1231" s="110" t="s">
        <v>1444</v>
      </c>
      <c r="F1231" s="110" t="s">
        <v>113</v>
      </c>
      <c r="G1231" s="110" t="s">
        <v>114</v>
      </c>
      <c r="H1231" s="111">
        <v>93</v>
      </c>
      <c r="I1231" s="111">
        <v>81</v>
      </c>
      <c r="J1231" s="111">
        <v>84</v>
      </c>
      <c r="K1231" s="111">
        <f t="shared" si="173"/>
        <v>86</v>
      </c>
      <c r="L1231" s="111">
        <v>150000</v>
      </c>
      <c r="M1231" s="111">
        <f t="shared" si="174"/>
        <v>67500</v>
      </c>
      <c r="N1231" s="111">
        <f t="shared" si="175"/>
        <v>67500</v>
      </c>
      <c r="O1231" s="111">
        <f t="shared" si="176"/>
        <v>13500</v>
      </c>
      <c r="P1231" s="111">
        <f t="shared" si="177"/>
        <v>15000</v>
      </c>
      <c r="Q1231" s="111">
        <v>30000</v>
      </c>
      <c r="R1231" s="111">
        <v>3</v>
      </c>
      <c r="S1231" s="111">
        <f t="shared" si="178"/>
        <v>3000</v>
      </c>
      <c r="T1231" s="111">
        <f t="shared" si="179"/>
        <v>180000</v>
      </c>
      <c r="U1231" s="111">
        <f t="shared" si="180"/>
        <v>1800</v>
      </c>
      <c r="V1231" s="111">
        <f t="shared" si="181"/>
        <v>181800</v>
      </c>
      <c r="W1231" t="s">
        <v>3690</v>
      </c>
    </row>
    <row r="1232" spans="1:23" x14ac:dyDescent="0.3">
      <c r="A1232" s="110">
        <v>1602904</v>
      </c>
      <c r="B1232" s="110" t="s">
        <v>1332</v>
      </c>
      <c r="C1232" s="110" t="s">
        <v>1440</v>
      </c>
      <c r="D1232" s="110" t="s">
        <v>1440</v>
      </c>
      <c r="E1232" s="110" t="s">
        <v>1445</v>
      </c>
      <c r="F1232" s="110" t="s">
        <v>168</v>
      </c>
      <c r="G1232" s="110" t="s">
        <v>114</v>
      </c>
      <c r="H1232" s="111">
        <v>150</v>
      </c>
      <c r="I1232" s="111">
        <v>160</v>
      </c>
      <c r="J1232" s="111">
        <v>183</v>
      </c>
      <c r="K1232" s="111">
        <f t="shared" si="173"/>
        <v>164.33333333333334</v>
      </c>
      <c r="L1232" s="111">
        <v>150000</v>
      </c>
      <c r="M1232" s="111">
        <f t="shared" si="174"/>
        <v>67500</v>
      </c>
      <c r="N1232" s="111">
        <f t="shared" si="175"/>
        <v>67500</v>
      </c>
      <c r="O1232" s="111">
        <f t="shared" si="176"/>
        <v>13500</v>
      </c>
      <c r="P1232" s="111">
        <f t="shared" si="177"/>
        <v>15000</v>
      </c>
      <c r="Q1232" s="111">
        <v>30000</v>
      </c>
      <c r="R1232" s="111">
        <v>3</v>
      </c>
      <c r="S1232" s="111">
        <f t="shared" si="178"/>
        <v>3000</v>
      </c>
      <c r="T1232" s="111">
        <f t="shared" si="179"/>
        <v>180000</v>
      </c>
      <c r="U1232" s="111">
        <f t="shared" si="180"/>
        <v>1800</v>
      </c>
      <c r="V1232" s="111">
        <f t="shared" si="181"/>
        <v>181800</v>
      </c>
      <c r="W1232" t="s">
        <v>3691</v>
      </c>
    </row>
    <row r="1233" spans="1:23" x14ac:dyDescent="0.3">
      <c r="A1233" s="110">
        <v>1602905</v>
      </c>
      <c r="B1233" s="110" t="s">
        <v>1332</v>
      </c>
      <c r="C1233" s="110" t="s">
        <v>1440</v>
      </c>
      <c r="D1233" s="110" t="s">
        <v>1440</v>
      </c>
      <c r="E1233" s="110" t="s">
        <v>353</v>
      </c>
      <c r="F1233" s="110" t="s">
        <v>113</v>
      </c>
      <c r="G1233" s="110" t="s">
        <v>114</v>
      </c>
      <c r="H1233" s="111">
        <v>222</v>
      </c>
      <c r="I1233" s="111">
        <v>244</v>
      </c>
      <c r="J1233" s="111">
        <v>245</v>
      </c>
      <c r="K1233" s="111">
        <f t="shared" si="173"/>
        <v>237</v>
      </c>
      <c r="L1233" s="111">
        <v>200000</v>
      </c>
      <c r="M1233" s="111">
        <f t="shared" si="174"/>
        <v>90000</v>
      </c>
      <c r="N1233" s="111">
        <f t="shared" si="175"/>
        <v>90000</v>
      </c>
      <c r="O1233" s="111">
        <f t="shared" si="176"/>
        <v>18000</v>
      </c>
      <c r="P1233" s="111">
        <f t="shared" si="177"/>
        <v>20000</v>
      </c>
      <c r="Q1233" s="111">
        <v>50000</v>
      </c>
      <c r="R1233" s="111">
        <v>5</v>
      </c>
      <c r="S1233" s="111">
        <f t="shared" si="178"/>
        <v>5000</v>
      </c>
      <c r="T1233" s="111">
        <f t="shared" si="179"/>
        <v>250000</v>
      </c>
      <c r="U1233" s="111">
        <f t="shared" si="180"/>
        <v>2500</v>
      </c>
      <c r="V1233" s="111">
        <f t="shared" si="181"/>
        <v>252500</v>
      </c>
      <c r="W1233" t="s">
        <v>3692</v>
      </c>
    </row>
    <row r="1234" spans="1:23" x14ac:dyDescent="0.3">
      <c r="A1234" s="110">
        <v>1602906</v>
      </c>
      <c r="B1234" s="110" t="s">
        <v>1332</v>
      </c>
      <c r="C1234" s="110" t="s">
        <v>1440</v>
      </c>
      <c r="D1234" s="110" t="s">
        <v>1446</v>
      </c>
      <c r="E1234" s="110" t="s">
        <v>319</v>
      </c>
      <c r="F1234" s="110" t="s">
        <v>113</v>
      </c>
      <c r="G1234" s="110" t="s">
        <v>114</v>
      </c>
      <c r="H1234" s="111">
        <v>110</v>
      </c>
      <c r="I1234" s="111">
        <v>107</v>
      </c>
      <c r="J1234" s="111">
        <v>107</v>
      </c>
      <c r="K1234" s="111">
        <f t="shared" si="173"/>
        <v>108</v>
      </c>
      <c r="L1234" s="111">
        <v>150000</v>
      </c>
      <c r="M1234" s="111">
        <f t="shared" si="174"/>
        <v>67500</v>
      </c>
      <c r="N1234" s="111">
        <f t="shared" si="175"/>
        <v>67500</v>
      </c>
      <c r="O1234" s="111">
        <f t="shared" si="176"/>
        <v>13500</v>
      </c>
      <c r="P1234" s="111">
        <f t="shared" si="177"/>
        <v>15000</v>
      </c>
      <c r="Q1234" s="111">
        <v>30000</v>
      </c>
      <c r="R1234" s="111">
        <v>3</v>
      </c>
      <c r="S1234" s="111">
        <f t="shared" si="178"/>
        <v>3000</v>
      </c>
      <c r="T1234" s="111">
        <f t="shared" si="179"/>
        <v>180000</v>
      </c>
      <c r="U1234" s="111">
        <f t="shared" si="180"/>
        <v>1800</v>
      </c>
      <c r="V1234" s="111">
        <f t="shared" si="181"/>
        <v>181800</v>
      </c>
      <c r="W1234" t="s">
        <v>3693</v>
      </c>
    </row>
    <row r="1235" spans="1:23" x14ac:dyDescent="0.3">
      <c r="A1235" s="110">
        <v>1602907</v>
      </c>
      <c r="B1235" s="110" t="s">
        <v>1332</v>
      </c>
      <c r="C1235" s="110" t="s">
        <v>1440</v>
      </c>
      <c r="D1235" s="110" t="s">
        <v>1440</v>
      </c>
      <c r="E1235" s="110" t="s">
        <v>1447</v>
      </c>
      <c r="F1235" s="110" t="s">
        <v>119</v>
      </c>
      <c r="G1235" s="110" t="s">
        <v>114</v>
      </c>
      <c r="H1235" s="111">
        <v>478</v>
      </c>
      <c r="I1235" s="111">
        <v>443</v>
      </c>
      <c r="J1235" s="111">
        <v>413</v>
      </c>
      <c r="K1235" s="111">
        <f t="shared" si="173"/>
        <v>444.66666666666669</v>
      </c>
      <c r="L1235" s="111">
        <f>300000</f>
        <v>300000</v>
      </c>
      <c r="M1235" s="111">
        <f t="shared" si="174"/>
        <v>135000</v>
      </c>
      <c r="N1235" s="111">
        <f t="shared" si="175"/>
        <v>135000</v>
      </c>
      <c r="O1235" s="111">
        <f t="shared" si="176"/>
        <v>27000</v>
      </c>
      <c r="P1235" s="111">
        <f t="shared" si="177"/>
        <v>30000</v>
      </c>
      <c r="Q1235" s="111">
        <v>60000</v>
      </c>
      <c r="R1235" s="111">
        <v>6</v>
      </c>
      <c r="S1235" s="111">
        <f t="shared" si="178"/>
        <v>6000</v>
      </c>
      <c r="T1235" s="111">
        <f t="shared" si="179"/>
        <v>360000</v>
      </c>
      <c r="U1235" s="111">
        <f t="shared" si="180"/>
        <v>3600</v>
      </c>
      <c r="V1235" s="111">
        <f t="shared" si="181"/>
        <v>363600</v>
      </c>
      <c r="W1235" t="s">
        <v>3694</v>
      </c>
    </row>
    <row r="1236" spans="1:23" x14ac:dyDescent="0.3">
      <c r="A1236" s="110">
        <v>1603301</v>
      </c>
      <c r="B1236" s="110" t="s">
        <v>1332</v>
      </c>
      <c r="C1236" s="110" t="s">
        <v>447</v>
      </c>
      <c r="D1236" s="110" t="s">
        <v>447</v>
      </c>
      <c r="E1236" s="110" t="s">
        <v>272</v>
      </c>
      <c r="F1236" s="110" t="s">
        <v>119</v>
      </c>
      <c r="G1236" s="110" t="s">
        <v>114</v>
      </c>
      <c r="H1236" s="111">
        <v>325</v>
      </c>
      <c r="I1236" s="111">
        <v>348</v>
      </c>
      <c r="J1236" s="111">
        <v>344</v>
      </c>
      <c r="K1236" s="111">
        <f t="shared" si="173"/>
        <v>339</v>
      </c>
      <c r="L1236" s="111">
        <v>200000</v>
      </c>
      <c r="M1236" s="111">
        <f t="shared" si="174"/>
        <v>90000</v>
      </c>
      <c r="N1236" s="111">
        <f t="shared" si="175"/>
        <v>90000</v>
      </c>
      <c r="O1236" s="111">
        <f t="shared" si="176"/>
        <v>18000</v>
      </c>
      <c r="P1236" s="111">
        <f t="shared" si="177"/>
        <v>20000</v>
      </c>
      <c r="Q1236" s="111">
        <v>50000</v>
      </c>
      <c r="R1236" s="111">
        <v>5</v>
      </c>
      <c r="S1236" s="111">
        <f t="shared" si="178"/>
        <v>5000</v>
      </c>
      <c r="T1236" s="111">
        <f t="shared" si="179"/>
        <v>250000</v>
      </c>
      <c r="U1236" s="111">
        <f t="shared" si="180"/>
        <v>2500</v>
      </c>
      <c r="V1236" s="111">
        <f t="shared" si="181"/>
        <v>252500</v>
      </c>
      <c r="W1236" t="s">
        <v>3695</v>
      </c>
    </row>
    <row r="1237" spans="1:23" x14ac:dyDescent="0.3">
      <c r="A1237" s="110">
        <v>1603302</v>
      </c>
      <c r="B1237" s="110" t="s">
        <v>1332</v>
      </c>
      <c r="C1237" s="110" t="s">
        <v>447</v>
      </c>
      <c r="D1237" s="110" t="s">
        <v>447</v>
      </c>
      <c r="E1237" s="110" t="s">
        <v>1448</v>
      </c>
      <c r="F1237" s="110" t="s">
        <v>209</v>
      </c>
      <c r="G1237" s="110" t="s">
        <v>114</v>
      </c>
      <c r="H1237" s="111">
        <v>112</v>
      </c>
      <c r="I1237" s="111">
        <v>111</v>
      </c>
      <c r="J1237" s="111">
        <v>125</v>
      </c>
      <c r="K1237" s="111">
        <f t="shared" si="173"/>
        <v>116</v>
      </c>
      <c r="L1237" s="111">
        <f>150000*0.7</f>
        <v>105000</v>
      </c>
      <c r="M1237" s="111">
        <f t="shared" si="174"/>
        <v>47250</v>
      </c>
      <c r="N1237" s="111">
        <f t="shared" si="175"/>
        <v>47250</v>
      </c>
      <c r="O1237" s="111">
        <f t="shared" si="176"/>
        <v>9450</v>
      </c>
      <c r="P1237" s="111">
        <f t="shared" si="177"/>
        <v>10500</v>
      </c>
      <c r="Q1237" s="111">
        <v>30000</v>
      </c>
      <c r="R1237" s="111">
        <v>3</v>
      </c>
      <c r="S1237" s="111">
        <f t="shared" si="178"/>
        <v>3000</v>
      </c>
      <c r="T1237" s="111">
        <f t="shared" si="179"/>
        <v>135000</v>
      </c>
      <c r="U1237" s="111">
        <f t="shared" si="180"/>
        <v>1350</v>
      </c>
      <c r="V1237" s="111">
        <f t="shared" si="181"/>
        <v>136350</v>
      </c>
      <c r="W1237" t="s">
        <v>3696</v>
      </c>
    </row>
    <row r="1238" spans="1:23" x14ac:dyDescent="0.3">
      <c r="A1238" s="110">
        <v>1603703</v>
      </c>
      <c r="B1238" s="110" t="s">
        <v>1332</v>
      </c>
      <c r="C1238" s="110" t="s">
        <v>1449</v>
      </c>
      <c r="D1238" s="110" t="s">
        <v>1450</v>
      </c>
      <c r="E1238" s="110" t="s">
        <v>381</v>
      </c>
      <c r="F1238" s="110" t="s">
        <v>113</v>
      </c>
      <c r="G1238" s="110" t="s">
        <v>114</v>
      </c>
      <c r="H1238" s="111">
        <v>78</v>
      </c>
      <c r="I1238" s="111">
        <v>50</v>
      </c>
      <c r="J1238" s="111">
        <v>60</v>
      </c>
      <c r="K1238" s="111">
        <f t="shared" si="173"/>
        <v>62.666666666666664</v>
      </c>
      <c r="L1238" s="111">
        <v>150000</v>
      </c>
      <c r="M1238" s="111">
        <f t="shared" si="174"/>
        <v>67500</v>
      </c>
      <c r="N1238" s="111">
        <f t="shared" si="175"/>
        <v>67500</v>
      </c>
      <c r="O1238" s="111">
        <f t="shared" si="176"/>
        <v>13500</v>
      </c>
      <c r="P1238" s="111">
        <f t="shared" si="177"/>
        <v>15000</v>
      </c>
      <c r="Q1238" s="111">
        <v>30000</v>
      </c>
      <c r="R1238" s="111">
        <v>3</v>
      </c>
      <c r="S1238" s="111">
        <f t="shared" si="178"/>
        <v>3000</v>
      </c>
      <c r="T1238" s="111">
        <f t="shared" si="179"/>
        <v>180000</v>
      </c>
      <c r="U1238" s="111">
        <f t="shared" si="180"/>
        <v>1800</v>
      </c>
      <c r="V1238" s="111">
        <f t="shared" si="181"/>
        <v>181800</v>
      </c>
      <c r="W1238" t="s">
        <v>3697</v>
      </c>
    </row>
    <row r="1239" spans="1:23" x14ac:dyDescent="0.3">
      <c r="A1239" s="110">
        <v>1603704</v>
      </c>
      <c r="B1239" s="110" t="s">
        <v>1332</v>
      </c>
      <c r="C1239" s="110" t="s">
        <v>1449</v>
      </c>
      <c r="D1239" s="110" t="s">
        <v>1449</v>
      </c>
      <c r="E1239" s="110" t="s">
        <v>319</v>
      </c>
      <c r="F1239" s="110" t="s">
        <v>113</v>
      </c>
      <c r="G1239" s="110" t="s">
        <v>114</v>
      </c>
      <c r="H1239" s="111">
        <v>95</v>
      </c>
      <c r="I1239" s="111">
        <v>87</v>
      </c>
      <c r="J1239" s="111">
        <v>68</v>
      </c>
      <c r="K1239" s="111">
        <f t="shared" si="173"/>
        <v>83.333333333333329</v>
      </c>
      <c r="L1239" s="111">
        <v>150000</v>
      </c>
      <c r="M1239" s="111">
        <f t="shared" si="174"/>
        <v>67500</v>
      </c>
      <c r="N1239" s="111">
        <f t="shared" si="175"/>
        <v>67500</v>
      </c>
      <c r="O1239" s="111">
        <f t="shared" si="176"/>
        <v>13500</v>
      </c>
      <c r="P1239" s="111">
        <f t="shared" si="177"/>
        <v>15000</v>
      </c>
      <c r="Q1239" s="111">
        <v>30000</v>
      </c>
      <c r="R1239" s="111">
        <v>3</v>
      </c>
      <c r="S1239" s="111">
        <f t="shared" si="178"/>
        <v>3000</v>
      </c>
      <c r="T1239" s="111">
        <f t="shared" si="179"/>
        <v>180000</v>
      </c>
      <c r="U1239" s="111">
        <f t="shared" si="180"/>
        <v>1800</v>
      </c>
      <c r="V1239" s="111">
        <f t="shared" si="181"/>
        <v>181800</v>
      </c>
      <c r="W1239" t="s">
        <v>3698</v>
      </c>
    </row>
    <row r="1240" spans="1:23" x14ac:dyDescent="0.3">
      <c r="A1240" s="110">
        <v>1603705</v>
      </c>
      <c r="B1240" s="110" t="s">
        <v>1332</v>
      </c>
      <c r="C1240" s="110" t="s">
        <v>1449</v>
      </c>
      <c r="D1240" s="110" t="s">
        <v>1449</v>
      </c>
      <c r="E1240" s="110" t="s">
        <v>1451</v>
      </c>
      <c r="F1240" s="110" t="s">
        <v>113</v>
      </c>
      <c r="G1240" s="110" t="s">
        <v>114</v>
      </c>
      <c r="H1240" s="111">
        <v>130</v>
      </c>
      <c r="I1240" s="111">
        <v>138</v>
      </c>
      <c r="J1240" s="111">
        <v>119</v>
      </c>
      <c r="K1240" s="111">
        <f t="shared" si="173"/>
        <v>129</v>
      </c>
      <c r="L1240" s="111">
        <v>150000</v>
      </c>
      <c r="M1240" s="111">
        <f t="shared" si="174"/>
        <v>67500</v>
      </c>
      <c r="N1240" s="111">
        <f t="shared" si="175"/>
        <v>67500</v>
      </c>
      <c r="O1240" s="111">
        <f t="shared" si="176"/>
        <v>13500</v>
      </c>
      <c r="P1240" s="111">
        <f t="shared" si="177"/>
        <v>15000</v>
      </c>
      <c r="Q1240" s="111">
        <v>30000</v>
      </c>
      <c r="R1240" s="111">
        <v>3</v>
      </c>
      <c r="S1240" s="111">
        <f t="shared" si="178"/>
        <v>3000</v>
      </c>
      <c r="T1240" s="111">
        <f t="shared" si="179"/>
        <v>180000</v>
      </c>
      <c r="U1240" s="111">
        <f t="shared" si="180"/>
        <v>1800</v>
      </c>
      <c r="V1240" s="111">
        <f t="shared" si="181"/>
        <v>181800</v>
      </c>
      <c r="W1240" t="s">
        <v>3699</v>
      </c>
    </row>
    <row r="1241" spans="1:23" x14ac:dyDescent="0.3">
      <c r="A1241" s="110">
        <v>1603706</v>
      </c>
      <c r="B1241" s="110" t="s">
        <v>1332</v>
      </c>
      <c r="C1241" s="110" t="s">
        <v>1449</v>
      </c>
      <c r="D1241" s="110" t="s">
        <v>1452</v>
      </c>
      <c r="E1241" s="110" t="s">
        <v>1453</v>
      </c>
      <c r="F1241" s="110" t="s">
        <v>168</v>
      </c>
      <c r="G1241" s="110" t="s">
        <v>114</v>
      </c>
      <c r="H1241" s="111">
        <v>102</v>
      </c>
      <c r="I1241" s="111">
        <v>116</v>
      </c>
      <c r="J1241" s="111">
        <v>119</v>
      </c>
      <c r="K1241" s="111">
        <f t="shared" si="173"/>
        <v>112.33333333333333</v>
      </c>
      <c r="L1241" s="111">
        <v>150000</v>
      </c>
      <c r="M1241" s="111">
        <f t="shared" si="174"/>
        <v>67500</v>
      </c>
      <c r="N1241" s="111">
        <f t="shared" si="175"/>
        <v>67500</v>
      </c>
      <c r="O1241" s="111">
        <f t="shared" si="176"/>
        <v>13500</v>
      </c>
      <c r="P1241" s="111">
        <f t="shared" si="177"/>
        <v>15000</v>
      </c>
      <c r="Q1241" s="111">
        <v>30000</v>
      </c>
      <c r="R1241" s="111">
        <v>3</v>
      </c>
      <c r="S1241" s="111">
        <f t="shared" si="178"/>
        <v>3000</v>
      </c>
      <c r="T1241" s="111">
        <f t="shared" si="179"/>
        <v>180000</v>
      </c>
      <c r="U1241" s="111">
        <f t="shared" si="180"/>
        <v>1800</v>
      </c>
      <c r="V1241" s="111">
        <f t="shared" si="181"/>
        <v>181800</v>
      </c>
      <c r="W1241" t="s">
        <v>3700</v>
      </c>
    </row>
    <row r="1242" spans="1:23" x14ac:dyDescent="0.3">
      <c r="A1242" s="110">
        <v>1603708</v>
      </c>
      <c r="B1242" s="110" t="s">
        <v>1332</v>
      </c>
      <c r="C1242" s="110" t="s">
        <v>1449</v>
      </c>
      <c r="D1242" s="110" t="s">
        <v>1449</v>
      </c>
      <c r="E1242" s="110" t="s">
        <v>286</v>
      </c>
      <c r="F1242" s="110" t="s">
        <v>119</v>
      </c>
      <c r="G1242" s="110" t="s">
        <v>114</v>
      </c>
      <c r="H1242" s="111">
        <v>408</v>
      </c>
      <c r="I1242" s="111">
        <v>388</v>
      </c>
      <c r="J1242" s="111">
        <v>420</v>
      </c>
      <c r="K1242" s="111">
        <f t="shared" si="173"/>
        <v>405.33333333333331</v>
      </c>
      <c r="L1242" s="111">
        <f>300000</f>
        <v>300000</v>
      </c>
      <c r="M1242" s="111">
        <f t="shared" si="174"/>
        <v>135000</v>
      </c>
      <c r="N1242" s="111">
        <f t="shared" si="175"/>
        <v>135000</v>
      </c>
      <c r="O1242" s="111">
        <f t="shared" si="176"/>
        <v>27000</v>
      </c>
      <c r="P1242" s="111">
        <f t="shared" si="177"/>
        <v>30000</v>
      </c>
      <c r="Q1242" s="111">
        <v>60000</v>
      </c>
      <c r="R1242" s="111">
        <v>6</v>
      </c>
      <c r="S1242" s="111">
        <f t="shared" si="178"/>
        <v>6000</v>
      </c>
      <c r="T1242" s="111">
        <f t="shared" si="179"/>
        <v>360000</v>
      </c>
      <c r="U1242" s="111">
        <f t="shared" si="180"/>
        <v>3600</v>
      </c>
      <c r="V1242" s="111">
        <f t="shared" si="181"/>
        <v>363600</v>
      </c>
      <c r="W1242" t="s">
        <v>3701</v>
      </c>
    </row>
    <row r="1243" spans="1:23" x14ac:dyDescent="0.3">
      <c r="A1243" s="110">
        <v>1690142</v>
      </c>
      <c r="B1243" s="110" t="s">
        <v>1332</v>
      </c>
      <c r="C1243" s="110" t="s">
        <v>1332</v>
      </c>
      <c r="D1243" s="110" t="s">
        <v>1332</v>
      </c>
      <c r="E1243" s="110" t="s">
        <v>1274</v>
      </c>
      <c r="F1243" s="110" t="s">
        <v>113</v>
      </c>
      <c r="G1243" s="110" t="s">
        <v>114</v>
      </c>
      <c r="H1243" s="111">
        <v>594</v>
      </c>
      <c r="I1243" s="111">
        <v>610</v>
      </c>
      <c r="J1243" s="111">
        <v>595</v>
      </c>
      <c r="K1243" s="111">
        <f t="shared" si="173"/>
        <v>599.66666666666663</v>
      </c>
      <c r="L1243" s="111">
        <f>300000</f>
        <v>300000</v>
      </c>
      <c r="M1243" s="111">
        <f t="shared" si="174"/>
        <v>135000</v>
      </c>
      <c r="N1243" s="111">
        <f t="shared" si="175"/>
        <v>135000</v>
      </c>
      <c r="O1243" s="111">
        <f t="shared" si="176"/>
        <v>27000</v>
      </c>
      <c r="P1243" s="111">
        <f t="shared" si="177"/>
        <v>30000</v>
      </c>
      <c r="Q1243" s="111">
        <v>60000</v>
      </c>
      <c r="R1243" s="111">
        <v>6</v>
      </c>
      <c r="S1243" s="111">
        <f t="shared" si="178"/>
        <v>6000</v>
      </c>
      <c r="T1243" s="111">
        <f t="shared" si="179"/>
        <v>360000</v>
      </c>
      <c r="U1243" s="111">
        <f t="shared" si="180"/>
        <v>3600</v>
      </c>
      <c r="V1243" s="111">
        <f t="shared" si="181"/>
        <v>363600</v>
      </c>
      <c r="W1243" t="s">
        <v>3702</v>
      </c>
    </row>
    <row r="1244" spans="1:23" x14ac:dyDescent="0.3">
      <c r="A1244" s="110">
        <v>1690143</v>
      </c>
      <c r="B1244" s="110" t="s">
        <v>1332</v>
      </c>
      <c r="C1244" s="110" t="s">
        <v>1332</v>
      </c>
      <c r="D1244" s="110" t="s">
        <v>1332</v>
      </c>
      <c r="E1244" s="110" t="s">
        <v>1454</v>
      </c>
      <c r="F1244" s="110" t="s">
        <v>113</v>
      </c>
      <c r="G1244" s="110" t="s">
        <v>114</v>
      </c>
      <c r="H1244" s="111">
        <v>295</v>
      </c>
      <c r="I1244" s="111">
        <v>286</v>
      </c>
      <c r="J1244" s="111">
        <v>271</v>
      </c>
      <c r="K1244" s="111">
        <f t="shared" si="173"/>
        <v>284</v>
      </c>
      <c r="L1244" s="111">
        <v>200000</v>
      </c>
      <c r="M1244" s="111">
        <f t="shared" si="174"/>
        <v>90000</v>
      </c>
      <c r="N1244" s="111">
        <f t="shared" si="175"/>
        <v>90000</v>
      </c>
      <c r="O1244" s="111">
        <f t="shared" si="176"/>
        <v>18000</v>
      </c>
      <c r="P1244" s="111">
        <f t="shared" si="177"/>
        <v>20000</v>
      </c>
      <c r="Q1244" s="111">
        <v>50000</v>
      </c>
      <c r="R1244" s="111">
        <v>5</v>
      </c>
      <c r="S1244" s="111">
        <f t="shared" si="178"/>
        <v>5000</v>
      </c>
      <c r="T1244" s="111">
        <f t="shared" si="179"/>
        <v>250000</v>
      </c>
      <c r="U1244" s="111">
        <f t="shared" si="180"/>
        <v>2500</v>
      </c>
      <c r="V1244" s="111">
        <f t="shared" si="181"/>
        <v>252500</v>
      </c>
      <c r="W1244" t="s">
        <v>3703</v>
      </c>
    </row>
    <row r="1245" spans="1:23" x14ac:dyDescent="0.3">
      <c r="A1245" s="110">
        <v>1690144</v>
      </c>
      <c r="B1245" s="110" t="s">
        <v>1332</v>
      </c>
      <c r="C1245" s="110" t="s">
        <v>1332</v>
      </c>
      <c r="D1245" s="110" t="s">
        <v>1332</v>
      </c>
      <c r="E1245" s="110" t="s">
        <v>1412</v>
      </c>
      <c r="F1245" s="110" t="s">
        <v>113</v>
      </c>
      <c r="G1245" s="110" t="s">
        <v>114</v>
      </c>
      <c r="H1245" s="111">
        <v>91</v>
      </c>
      <c r="I1245" s="111">
        <v>100</v>
      </c>
      <c r="J1245" s="111">
        <v>106</v>
      </c>
      <c r="K1245" s="111">
        <f t="shared" si="173"/>
        <v>99</v>
      </c>
      <c r="L1245" s="111">
        <v>150000</v>
      </c>
      <c r="M1245" s="111">
        <f t="shared" si="174"/>
        <v>67500</v>
      </c>
      <c r="N1245" s="111">
        <f t="shared" si="175"/>
        <v>67500</v>
      </c>
      <c r="O1245" s="111">
        <f t="shared" si="176"/>
        <v>13500</v>
      </c>
      <c r="P1245" s="111">
        <f t="shared" si="177"/>
        <v>15000</v>
      </c>
      <c r="Q1245" s="111">
        <v>30000</v>
      </c>
      <c r="R1245" s="111">
        <v>3</v>
      </c>
      <c r="S1245" s="111">
        <f t="shared" si="178"/>
        <v>3000</v>
      </c>
      <c r="T1245" s="111">
        <f t="shared" si="179"/>
        <v>180000</v>
      </c>
      <c r="U1245" s="111">
        <f t="shared" si="180"/>
        <v>1800</v>
      </c>
      <c r="V1245" s="111">
        <f t="shared" si="181"/>
        <v>181800</v>
      </c>
      <c r="W1245" t="s">
        <v>3704</v>
      </c>
    </row>
    <row r="1246" spans="1:23" x14ac:dyDescent="0.3">
      <c r="A1246" s="110">
        <v>1690146</v>
      </c>
      <c r="B1246" s="110" t="s">
        <v>1332</v>
      </c>
      <c r="C1246" s="110" t="s">
        <v>1332</v>
      </c>
      <c r="D1246" s="110" t="s">
        <v>1332</v>
      </c>
      <c r="E1246" s="110" t="s">
        <v>411</v>
      </c>
      <c r="F1246" s="110" t="s">
        <v>113</v>
      </c>
      <c r="G1246" s="110" t="s">
        <v>114</v>
      </c>
      <c r="H1246" s="111">
        <v>393</v>
      </c>
      <c r="I1246" s="111">
        <v>372</v>
      </c>
      <c r="J1246" s="111">
        <v>391</v>
      </c>
      <c r="K1246" s="111">
        <f t="shared" si="173"/>
        <v>385.33333333333331</v>
      </c>
      <c r="L1246" s="111">
        <v>200000</v>
      </c>
      <c r="M1246" s="111">
        <f t="shared" si="174"/>
        <v>90000</v>
      </c>
      <c r="N1246" s="111">
        <f t="shared" si="175"/>
        <v>90000</v>
      </c>
      <c r="O1246" s="111">
        <f t="shared" si="176"/>
        <v>18000</v>
      </c>
      <c r="P1246" s="111">
        <f t="shared" si="177"/>
        <v>20000</v>
      </c>
      <c r="Q1246" s="111">
        <v>50000</v>
      </c>
      <c r="R1246" s="111">
        <v>5</v>
      </c>
      <c r="S1246" s="111">
        <f t="shared" si="178"/>
        <v>5000</v>
      </c>
      <c r="T1246" s="111">
        <f t="shared" si="179"/>
        <v>250000</v>
      </c>
      <c r="U1246" s="111">
        <f t="shared" si="180"/>
        <v>2500</v>
      </c>
      <c r="V1246" s="111">
        <f t="shared" si="181"/>
        <v>252500</v>
      </c>
      <c r="W1246" t="s">
        <v>3705</v>
      </c>
    </row>
    <row r="1247" spans="1:23" x14ac:dyDescent="0.3">
      <c r="A1247" s="110">
        <v>1690147</v>
      </c>
      <c r="B1247" s="110" t="s">
        <v>1332</v>
      </c>
      <c r="C1247" s="110" t="s">
        <v>1332</v>
      </c>
      <c r="D1247" s="110" t="s">
        <v>1332</v>
      </c>
      <c r="E1247" s="110" t="s">
        <v>1455</v>
      </c>
      <c r="F1247" s="110" t="s">
        <v>113</v>
      </c>
      <c r="G1247" s="110" t="s">
        <v>114</v>
      </c>
      <c r="H1247" s="111">
        <v>920</v>
      </c>
      <c r="I1247" s="111">
        <v>878</v>
      </c>
      <c r="J1247" s="111">
        <v>886</v>
      </c>
      <c r="K1247" s="111">
        <f t="shared" si="173"/>
        <v>894.66666666666663</v>
      </c>
      <c r="L1247" s="111">
        <f t="shared" ref="L1247:L1252" si="182">300000</f>
        <v>300000</v>
      </c>
      <c r="M1247" s="111">
        <f t="shared" si="174"/>
        <v>135000</v>
      </c>
      <c r="N1247" s="111">
        <f t="shared" si="175"/>
        <v>135000</v>
      </c>
      <c r="O1247" s="111">
        <f t="shared" si="176"/>
        <v>27000</v>
      </c>
      <c r="P1247" s="111">
        <f t="shared" si="177"/>
        <v>30000</v>
      </c>
      <c r="Q1247" s="111">
        <v>60000</v>
      </c>
      <c r="R1247" s="111">
        <v>6</v>
      </c>
      <c r="S1247" s="111">
        <f t="shared" si="178"/>
        <v>6000</v>
      </c>
      <c r="T1247" s="111">
        <f t="shared" si="179"/>
        <v>360000</v>
      </c>
      <c r="U1247" s="111">
        <f t="shared" si="180"/>
        <v>3600</v>
      </c>
      <c r="V1247" s="111">
        <f t="shared" si="181"/>
        <v>363600</v>
      </c>
      <c r="W1247" t="s">
        <v>3706</v>
      </c>
    </row>
    <row r="1248" spans="1:23" x14ac:dyDescent="0.3">
      <c r="A1248" s="110">
        <v>1690148</v>
      </c>
      <c r="B1248" s="110" t="s">
        <v>1332</v>
      </c>
      <c r="C1248" s="110" t="s">
        <v>1332</v>
      </c>
      <c r="D1248" s="110" t="s">
        <v>1332</v>
      </c>
      <c r="E1248" s="110" t="s">
        <v>1456</v>
      </c>
      <c r="F1248" s="110" t="s">
        <v>113</v>
      </c>
      <c r="G1248" s="110" t="s">
        <v>114</v>
      </c>
      <c r="H1248" s="111">
        <v>485</v>
      </c>
      <c r="I1248" s="111">
        <v>509</v>
      </c>
      <c r="J1248" s="111">
        <v>537</v>
      </c>
      <c r="K1248" s="111">
        <f t="shared" si="173"/>
        <v>510.33333333333331</v>
      </c>
      <c r="L1248" s="111">
        <f t="shared" si="182"/>
        <v>300000</v>
      </c>
      <c r="M1248" s="111">
        <f t="shared" si="174"/>
        <v>135000</v>
      </c>
      <c r="N1248" s="111">
        <f t="shared" si="175"/>
        <v>135000</v>
      </c>
      <c r="O1248" s="111">
        <f t="shared" si="176"/>
        <v>27000</v>
      </c>
      <c r="P1248" s="111">
        <f t="shared" si="177"/>
        <v>30000</v>
      </c>
      <c r="Q1248" s="111">
        <v>60000</v>
      </c>
      <c r="R1248" s="111">
        <v>6</v>
      </c>
      <c r="S1248" s="111">
        <f t="shared" si="178"/>
        <v>6000</v>
      </c>
      <c r="T1248" s="111">
        <f t="shared" si="179"/>
        <v>360000</v>
      </c>
      <c r="U1248" s="111">
        <f t="shared" si="180"/>
        <v>3600</v>
      </c>
      <c r="V1248" s="111">
        <f t="shared" si="181"/>
        <v>363600</v>
      </c>
      <c r="W1248" t="s">
        <v>3707</v>
      </c>
    </row>
    <row r="1249" spans="1:23" x14ac:dyDescent="0.3">
      <c r="A1249" s="110">
        <v>1690149</v>
      </c>
      <c r="B1249" s="110" t="s">
        <v>1332</v>
      </c>
      <c r="C1249" s="110" t="s">
        <v>1332</v>
      </c>
      <c r="D1249" s="110" t="s">
        <v>1332</v>
      </c>
      <c r="E1249" s="110" t="s">
        <v>1457</v>
      </c>
      <c r="F1249" s="110" t="s">
        <v>113</v>
      </c>
      <c r="G1249" s="110" t="s">
        <v>114</v>
      </c>
      <c r="H1249" s="111">
        <v>550</v>
      </c>
      <c r="I1249" s="111">
        <v>560</v>
      </c>
      <c r="J1249" s="111">
        <v>558</v>
      </c>
      <c r="K1249" s="111">
        <f t="shared" si="173"/>
        <v>556</v>
      </c>
      <c r="L1249" s="111">
        <f t="shared" si="182"/>
        <v>300000</v>
      </c>
      <c r="M1249" s="111">
        <f t="shared" si="174"/>
        <v>135000</v>
      </c>
      <c r="N1249" s="111">
        <f t="shared" si="175"/>
        <v>135000</v>
      </c>
      <c r="O1249" s="111">
        <f t="shared" si="176"/>
        <v>27000</v>
      </c>
      <c r="P1249" s="111">
        <f t="shared" si="177"/>
        <v>30000</v>
      </c>
      <c r="Q1249" s="111">
        <v>60000</v>
      </c>
      <c r="R1249" s="111">
        <v>6</v>
      </c>
      <c r="S1249" s="111">
        <f t="shared" si="178"/>
        <v>6000</v>
      </c>
      <c r="T1249" s="111">
        <f t="shared" si="179"/>
        <v>360000</v>
      </c>
      <c r="U1249" s="111">
        <f t="shared" si="180"/>
        <v>3600</v>
      </c>
      <c r="V1249" s="111">
        <f t="shared" si="181"/>
        <v>363600</v>
      </c>
      <c r="W1249" t="s">
        <v>3708</v>
      </c>
    </row>
    <row r="1250" spans="1:23" x14ac:dyDescent="0.3">
      <c r="A1250" s="110">
        <v>1690150</v>
      </c>
      <c r="B1250" s="110" t="s">
        <v>1332</v>
      </c>
      <c r="C1250" s="110" t="s">
        <v>1332</v>
      </c>
      <c r="D1250" s="110" t="s">
        <v>1332</v>
      </c>
      <c r="E1250" s="110" t="s">
        <v>374</v>
      </c>
      <c r="F1250" s="110" t="s">
        <v>119</v>
      </c>
      <c r="G1250" s="110" t="s">
        <v>114</v>
      </c>
      <c r="H1250" s="111">
        <v>364</v>
      </c>
      <c r="I1250" s="111">
        <v>412</v>
      </c>
      <c r="J1250" s="111">
        <v>434</v>
      </c>
      <c r="K1250" s="111">
        <f t="shared" si="173"/>
        <v>403.33333333333331</v>
      </c>
      <c r="L1250" s="111">
        <f t="shared" si="182"/>
        <v>300000</v>
      </c>
      <c r="M1250" s="111">
        <f t="shared" si="174"/>
        <v>135000</v>
      </c>
      <c r="N1250" s="111">
        <f t="shared" si="175"/>
        <v>135000</v>
      </c>
      <c r="O1250" s="111">
        <f t="shared" si="176"/>
        <v>27000</v>
      </c>
      <c r="P1250" s="111">
        <f t="shared" si="177"/>
        <v>30000</v>
      </c>
      <c r="Q1250" s="111">
        <v>60000</v>
      </c>
      <c r="R1250" s="111">
        <v>6</v>
      </c>
      <c r="S1250" s="111">
        <f t="shared" si="178"/>
        <v>6000</v>
      </c>
      <c r="T1250" s="111">
        <f t="shared" si="179"/>
        <v>360000</v>
      </c>
      <c r="U1250" s="111">
        <f t="shared" si="180"/>
        <v>3600</v>
      </c>
      <c r="V1250" s="111">
        <f t="shared" si="181"/>
        <v>363600</v>
      </c>
      <c r="W1250" t="s">
        <v>3709</v>
      </c>
    </row>
    <row r="1251" spans="1:23" x14ac:dyDescent="0.3">
      <c r="A1251" s="110">
        <v>1690152</v>
      </c>
      <c r="B1251" s="110" t="s">
        <v>1332</v>
      </c>
      <c r="C1251" s="110" t="s">
        <v>1332</v>
      </c>
      <c r="D1251" s="110" t="s">
        <v>1332</v>
      </c>
      <c r="E1251" s="110" t="s">
        <v>1458</v>
      </c>
      <c r="F1251" s="110" t="s">
        <v>113</v>
      </c>
      <c r="G1251" s="110" t="s">
        <v>114</v>
      </c>
      <c r="H1251" s="111">
        <v>941</v>
      </c>
      <c r="I1251" s="111">
        <v>968</v>
      </c>
      <c r="J1251" s="111">
        <v>1009</v>
      </c>
      <c r="K1251" s="111">
        <f t="shared" si="173"/>
        <v>972.66666666666663</v>
      </c>
      <c r="L1251" s="111">
        <f t="shared" si="182"/>
        <v>300000</v>
      </c>
      <c r="M1251" s="111">
        <f t="shared" si="174"/>
        <v>135000</v>
      </c>
      <c r="N1251" s="111">
        <f t="shared" si="175"/>
        <v>135000</v>
      </c>
      <c r="O1251" s="111">
        <f t="shared" si="176"/>
        <v>27000</v>
      </c>
      <c r="P1251" s="111">
        <f t="shared" si="177"/>
        <v>30000</v>
      </c>
      <c r="Q1251" s="111">
        <v>60000</v>
      </c>
      <c r="R1251" s="111">
        <v>6</v>
      </c>
      <c r="S1251" s="111">
        <f t="shared" si="178"/>
        <v>6000</v>
      </c>
      <c r="T1251" s="111">
        <f t="shared" si="179"/>
        <v>360000</v>
      </c>
      <c r="U1251" s="111">
        <f t="shared" si="180"/>
        <v>3600</v>
      </c>
      <c r="V1251" s="111">
        <f t="shared" si="181"/>
        <v>363600</v>
      </c>
      <c r="W1251" t="s">
        <v>3710</v>
      </c>
    </row>
    <row r="1252" spans="1:23" x14ac:dyDescent="0.3">
      <c r="A1252" s="110">
        <v>1690153</v>
      </c>
      <c r="B1252" s="110" t="s">
        <v>1332</v>
      </c>
      <c r="C1252" s="110" t="s">
        <v>1332</v>
      </c>
      <c r="D1252" s="110" t="s">
        <v>1332</v>
      </c>
      <c r="E1252" s="110" t="s">
        <v>1459</v>
      </c>
      <c r="F1252" s="110" t="s">
        <v>122</v>
      </c>
      <c r="G1252" s="110" t="s">
        <v>114</v>
      </c>
      <c r="H1252" s="111">
        <v>931</v>
      </c>
      <c r="I1252" s="111">
        <v>939</v>
      </c>
      <c r="J1252" s="111">
        <v>934</v>
      </c>
      <c r="K1252" s="111">
        <f t="shared" si="173"/>
        <v>934.66666666666663</v>
      </c>
      <c r="L1252" s="111">
        <f t="shared" si="182"/>
        <v>300000</v>
      </c>
      <c r="M1252" s="111">
        <f t="shared" si="174"/>
        <v>135000</v>
      </c>
      <c r="N1252" s="111">
        <f t="shared" si="175"/>
        <v>135000</v>
      </c>
      <c r="O1252" s="111">
        <f t="shared" si="176"/>
        <v>27000</v>
      </c>
      <c r="P1252" s="111">
        <f t="shared" si="177"/>
        <v>30000</v>
      </c>
      <c r="Q1252" s="111">
        <v>60000</v>
      </c>
      <c r="R1252" s="111">
        <v>6</v>
      </c>
      <c r="S1252" s="111">
        <f t="shared" si="178"/>
        <v>6000</v>
      </c>
      <c r="T1252" s="111">
        <f t="shared" si="179"/>
        <v>360000</v>
      </c>
      <c r="U1252" s="111">
        <f t="shared" si="180"/>
        <v>3600</v>
      </c>
      <c r="V1252" s="111">
        <f t="shared" si="181"/>
        <v>363600</v>
      </c>
      <c r="W1252" t="s">
        <v>3711</v>
      </c>
    </row>
    <row r="1253" spans="1:23" x14ac:dyDescent="0.3">
      <c r="A1253" s="110">
        <v>1690154</v>
      </c>
      <c r="B1253" s="110" t="s">
        <v>1332</v>
      </c>
      <c r="C1253" s="110" t="s">
        <v>1332</v>
      </c>
      <c r="D1253" s="110" t="s">
        <v>1332</v>
      </c>
      <c r="E1253" s="110" t="s">
        <v>1460</v>
      </c>
      <c r="F1253" s="110" t="s">
        <v>119</v>
      </c>
      <c r="G1253" s="110" t="s">
        <v>114</v>
      </c>
      <c r="H1253" s="111">
        <v>1116</v>
      </c>
      <c r="I1253" s="111">
        <v>1072</v>
      </c>
      <c r="J1253" s="111">
        <v>1010</v>
      </c>
      <c r="K1253" s="111">
        <f t="shared" si="173"/>
        <v>1066</v>
      </c>
      <c r="L1253" s="111">
        <f>600000</f>
        <v>600000</v>
      </c>
      <c r="M1253" s="111">
        <f t="shared" si="174"/>
        <v>270000</v>
      </c>
      <c r="N1253" s="111">
        <f t="shared" si="175"/>
        <v>270000</v>
      </c>
      <c r="O1253" s="111">
        <f t="shared" si="176"/>
        <v>54000</v>
      </c>
      <c r="P1253" s="111">
        <f t="shared" si="177"/>
        <v>60000</v>
      </c>
      <c r="Q1253" s="111">
        <v>80000</v>
      </c>
      <c r="R1253" s="111">
        <v>8</v>
      </c>
      <c r="S1253" s="111">
        <f t="shared" si="178"/>
        <v>8000</v>
      </c>
      <c r="T1253" s="111">
        <f t="shared" si="179"/>
        <v>680000</v>
      </c>
      <c r="U1253" s="111">
        <f t="shared" si="180"/>
        <v>6800</v>
      </c>
      <c r="V1253" s="111">
        <f t="shared" si="181"/>
        <v>686800</v>
      </c>
      <c r="W1253" t="s">
        <v>3712</v>
      </c>
    </row>
    <row r="1254" spans="1:23" x14ac:dyDescent="0.3">
      <c r="A1254" s="110">
        <v>1690155</v>
      </c>
      <c r="B1254" s="110" t="s">
        <v>1332</v>
      </c>
      <c r="C1254" s="110" t="s">
        <v>1332</v>
      </c>
      <c r="D1254" s="110" t="s">
        <v>1332</v>
      </c>
      <c r="E1254" s="110" t="s">
        <v>274</v>
      </c>
      <c r="F1254" s="110" t="s">
        <v>119</v>
      </c>
      <c r="G1254" s="110" t="s">
        <v>114</v>
      </c>
      <c r="H1254" s="111">
        <v>464</v>
      </c>
      <c r="I1254" s="111">
        <v>416</v>
      </c>
      <c r="J1254" s="111">
        <v>468</v>
      </c>
      <c r="K1254" s="111">
        <f t="shared" si="173"/>
        <v>449.33333333333331</v>
      </c>
      <c r="L1254" s="111">
        <f>300000</f>
        <v>300000</v>
      </c>
      <c r="M1254" s="111">
        <f t="shared" si="174"/>
        <v>135000</v>
      </c>
      <c r="N1254" s="111">
        <f t="shared" si="175"/>
        <v>135000</v>
      </c>
      <c r="O1254" s="111">
        <f t="shared" si="176"/>
        <v>27000</v>
      </c>
      <c r="P1254" s="111">
        <f t="shared" si="177"/>
        <v>30000</v>
      </c>
      <c r="Q1254" s="111">
        <v>60000</v>
      </c>
      <c r="R1254" s="111">
        <v>6</v>
      </c>
      <c r="S1254" s="111">
        <f t="shared" si="178"/>
        <v>6000</v>
      </c>
      <c r="T1254" s="111">
        <f t="shared" si="179"/>
        <v>360000</v>
      </c>
      <c r="U1254" s="111">
        <f t="shared" si="180"/>
        <v>3600</v>
      </c>
      <c r="V1254" s="111">
        <f t="shared" si="181"/>
        <v>363600</v>
      </c>
      <c r="W1254" t="s">
        <v>3713</v>
      </c>
    </row>
    <row r="1255" spans="1:23" x14ac:dyDescent="0.3">
      <c r="A1255" s="110">
        <v>1690156</v>
      </c>
      <c r="B1255" s="110" t="s">
        <v>1332</v>
      </c>
      <c r="C1255" s="110" t="s">
        <v>1332</v>
      </c>
      <c r="D1255" s="110" t="s">
        <v>1332</v>
      </c>
      <c r="E1255" s="110" t="s">
        <v>1461</v>
      </c>
      <c r="F1255" s="110" t="s">
        <v>119</v>
      </c>
      <c r="G1255" s="110" t="s">
        <v>114</v>
      </c>
      <c r="H1255" s="111">
        <v>1608</v>
      </c>
      <c r="I1255" s="111">
        <v>1544</v>
      </c>
      <c r="J1255" s="111">
        <v>1513</v>
      </c>
      <c r="K1255" s="111">
        <f t="shared" si="173"/>
        <v>1555</v>
      </c>
      <c r="L1255" s="111">
        <f>600000*0.7</f>
        <v>420000</v>
      </c>
      <c r="M1255" s="111">
        <f t="shared" si="174"/>
        <v>189000</v>
      </c>
      <c r="N1255" s="111">
        <f t="shared" si="175"/>
        <v>189000</v>
      </c>
      <c r="O1255" s="111">
        <f t="shared" si="176"/>
        <v>37800</v>
      </c>
      <c r="P1255" s="111">
        <f t="shared" si="177"/>
        <v>42000</v>
      </c>
      <c r="Q1255" s="111">
        <v>80000</v>
      </c>
      <c r="R1255" s="111">
        <v>8</v>
      </c>
      <c r="S1255" s="111">
        <f t="shared" si="178"/>
        <v>8000</v>
      </c>
      <c r="T1255" s="111">
        <f t="shared" si="179"/>
        <v>500000</v>
      </c>
      <c r="U1255" s="111">
        <f t="shared" si="180"/>
        <v>5000</v>
      </c>
      <c r="V1255" s="111">
        <f t="shared" si="181"/>
        <v>505000</v>
      </c>
      <c r="W1255" t="s">
        <v>3714</v>
      </c>
    </row>
    <row r="1256" spans="1:23" x14ac:dyDescent="0.3">
      <c r="A1256" s="110">
        <v>1690157</v>
      </c>
      <c r="B1256" s="110" t="s">
        <v>1332</v>
      </c>
      <c r="C1256" s="110" t="s">
        <v>1332</v>
      </c>
      <c r="D1256" s="110" t="s">
        <v>1332</v>
      </c>
      <c r="E1256" s="110" t="s">
        <v>690</v>
      </c>
      <c r="F1256" s="110" t="s">
        <v>119</v>
      </c>
      <c r="G1256" s="110" t="s">
        <v>114</v>
      </c>
      <c r="H1256" s="111">
        <v>365</v>
      </c>
      <c r="I1256" s="111">
        <v>375</v>
      </c>
      <c r="J1256" s="111">
        <v>405</v>
      </c>
      <c r="K1256" s="111">
        <f t="shared" si="173"/>
        <v>381.66666666666669</v>
      </c>
      <c r="L1256" s="111">
        <v>200000</v>
      </c>
      <c r="M1256" s="111">
        <f t="shared" si="174"/>
        <v>90000</v>
      </c>
      <c r="N1256" s="111">
        <f t="shared" si="175"/>
        <v>90000</v>
      </c>
      <c r="O1256" s="111">
        <f t="shared" si="176"/>
        <v>18000</v>
      </c>
      <c r="P1256" s="111">
        <f t="shared" si="177"/>
        <v>20000</v>
      </c>
      <c r="Q1256" s="111">
        <v>50000</v>
      </c>
      <c r="R1256" s="111">
        <v>5</v>
      </c>
      <c r="S1256" s="111">
        <f t="shared" si="178"/>
        <v>5000</v>
      </c>
      <c r="T1256" s="111">
        <f t="shared" si="179"/>
        <v>250000</v>
      </c>
      <c r="U1256" s="111">
        <f t="shared" si="180"/>
        <v>2500</v>
      </c>
      <c r="V1256" s="111">
        <f t="shared" si="181"/>
        <v>252500</v>
      </c>
      <c r="W1256" t="s">
        <v>3715</v>
      </c>
    </row>
    <row r="1257" spans="1:23" x14ac:dyDescent="0.3">
      <c r="A1257" s="110">
        <v>1690174</v>
      </c>
      <c r="B1257" s="110" t="s">
        <v>1332</v>
      </c>
      <c r="C1257" s="110" t="s">
        <v>1332</v>
      </c>
      <c r="D1257" s="110" t="s">
        <v>1332</v>
      </c>
      <c r="E1257" s="110" t="s">
        <v>1462</v>
      </c>
      <c r="F1257" s="110" t="s">
        <v>117</v>
      </c>
      <c r="G1257" s="110" t="s">
        <v>125</v>
      </c>
      <c r="H1257" s="111">
        <v>1073</v>
      </c>
      <c r="I1257" s="111">
        <v>1071</v>
      </c>
      <c r="J1257" s="111">
        <v>1107</v>
      </c>
      <c r="K1257" s="111">
        <f t="shared" si="173"/>
        <v>1083.6666666666667</v>
      </c>
      <c r="L1257" s="111">
        <f>600000*0.7</f>
        <v>420000</v>
      </c>
      <c r="M1257" s="111">
        <f t="shared" si="174"/>
        <v>189000</v>
      </c>
      <c r="N1257" s="111">
        <f t="shared" si="175"/>
        <v>189000</v>
      </c>
      <c r="O1257" s="111">
        <f t="shared" si="176"/>
        <v>37800</v>
      </c>
      <c r="P1257" s="111">
        <f t="shared" si="177"/>
        <v>42000</v>
      </c>
      <c r="Q1257" s="111">
        <v>80000</v>
      </c>
      <c r="R1257" s="111">
        <v>8</v>
      </c>
      <c r="S1257" s="111">
        <f t="shared" si="178"/>
        <v>8000</v>
      </c>
      <c r="T1257" s="111">
        <f t="shared" si="179"/>
        <v>500000</v>
      </c>
      <c r="U1257" s="111">
        <f t="shared" si="180"/>
        <v>5000</v>
      </c>
      <c r="V1257" s="111">
        <f t="shared" si="181"/>
        <v>505000</v>
      </c>
      <c r="W1257" t="s">
        <v>3716</v>
      </c>
    </row>
    <row r="1258" spans="1:23" x14ac:dyDescent="0.3">
      <c r="A1258" s="110">
        <v>1690175</v>
      </c>
      <c r="B1258" s="110" t="s">
        <v>1332</v>
      </c>
      <c r="C1258" s="110" t="s">
        <v>1332</v>
      </c>
      <c r="D1258" s="110" t="s">
        <v>1332</v>
      </c>
      <c r="E1258" s="110" t="s">
        <v>1463</v>
      </c>
      <c r="F1258" s="110" t="s">
        <v>117</v>
      </c>
      <c r="G1258" s="110" t="s">
        <v>125</v>
      </c>
      <c r="H1258" s="111">
        <v>972</v>
      </c>
      <c r="I1258" s="111">
        <v>943</v>
      </c>
      <c r="J1258" s="111">
        <v>944</v>
      </c>
      <c r="K1258" s="111">
        <f t="shared" si="173"/>
        <v>953</v>
      </c>
      <c r="L1258" s="111">
        <f>300000</f>
        <v>300000</v>
      </c>
      <c r="M1258" s="111">
        <f t="shared" si="174"/>
        <v>135000</v>
      </c>
      <c r="N1258" s="111">
        <f t="shared" si="175"/>
        <v>135000</v>
      </c>
      <c r="O1258" s="111">
        <f t="shared" si="176"/>
        <v>27000</v>
      </c>
      <c r="P1258" s="111">
        <f t="shared" si="177"/>
        <v>30000</v>
      </c>
      <c r="Q1258" s="111">
        <v>60000</v>
      </c>
      <c r="R1258" s="111">
        <v>6</v>
      </c>
      <c r="S1258" s="111">
        <f t="shared" si="178"/>
        <v>6000</v>
      </c>
      <c r="T1258" s="111">
        <f t="shared" si="179"/>
        <v>360000</v>
      </c>
      <c r="U1258" s="111">
        <f t="shared" si="180"/>
        <v>3600</v>
      </c>
      <c r="V1258" s="111">
        <f t="shared" si="181"/>
        <v>363600</v>
      </c>
      <c r="W1258" t="s">
        <v>3717</v>
      </c>
    </row>
    <row r="1259" spans="1:23" x14ac:dyDescent="0.3">
      <c r="A1259" s="110">
        <v>1690176</v>
      </c>
      <c r="B1259" s="110" t="s">
        <v>1332</v>
      </c>
      <c r="C1259" s="110" t="s">
        <v>1332</v>
      </c>
      <c r="D1259" s="110" t="s">
        <v>1332</v>
      </c>
      <c r="E1259" s="110" t="s">
        <v>1464</v>
      </c>
      <c r="F1259" s="110" t="s">
        <v>117</v>
      </c>
      <c r="G1259" s="110" t="s">
        <v>125</v>
      </c>
      <c r="H1259" s="111">
        <v>374</v>
      </c>
      <c r="I1259" s="111">
        <v>428</v>
      </c>
      <c r="J1259" s="111">
        <v>434</v>
      </c>
      <c r="K1259" s="111">
        <f t="shared" si="173"/>
        <v>412</v>
      </c>
      <c r="L1259" s="111">
        <f>300000</f>
        <v>300000</v>
      </c>
      <c r="M1259" s="111">
        <f t="shared" si="174"/>
        <v>135000</v>
      </c>
      <c r="N1259" s="111">
        <f t="shared" si="175"/>
        <v>135000</v>
      </c>
      <c r="O1259" s="111">
        <f t="shared" si="176"/>
        <v>27000</v>
      </c>
      <c r="P1259" s="111">
        <f t="shared" si="177"/>
        <v>30000</v>
      </c>
      <c r="Q1259" s="111">
        <v>60000</v>
      </c>
      <c r="R1259" s="111">
        <v>6</v>
      </c>
      <c r="S1259" s="111">
        <f t="shared" si="178"/>
        <v>6000</v>
      </c>
      <c r="T1259" s="111">
        <f t="shared" si="179"/>
        <v>360000</v>
      </c>
      <c r="U1259" s="111">
        <f t="shared" si="180"/>
        <v>3600</v>
      </c>
      <c r="V1259" s="111">
        <f t="shared" si="181"/>
        <v>363600</v>
      </c>
      <c r="W1259" t="s">
        <v>3718</v>
      </c>
    </row>
    <row r="1260" spans="1:23" x14ac:dyDescent="0.3">
      <c r="A1260" s="110">
        <v>1690177</v>
      </c>
      <c r="B1260" s="110" t="s">
        <v>1332</v>
      </c>
      <c r="C1260" s="110" t="s">
        <v>1332</v>
      </c>
      <c r="D1260" s="110" t="s">
        <v>1332</v>
      </c>
      <c r="E1260" s="110" t="s">
        <v>1465</v>
      </c>
      <c r="F1260" s="110" t="s">
        <v>117</v>
      </c>
      <c r="G1260" s="110" t="s">
        <v>114</v>
      </c>
      <c r="H1260" s="111">
        <v>345</v>
      </c>
      <c r="I1260" s="111">
        <v>421</v>
      </c>
      <c r="J1260" s="111">
        <v>483</v>
      </c>
      <c r="K1260" s="111">
        <f t="shared" si="173"/>
        <v>416.33333333333331</v>
      </c>
      <c r="L1260" s="111">
        <f>300000</f>
        <v>300000</v>
      </c>
      <c r="M1260" s="111">
        <f t="shared" si="174"/>
        <v>135000</v>
      </c>
      <c r="N1260" s="111">
        <f t="shared" si="175"/>
        <v>135000</v>
      </c>
      <c r="O1260" s="111">
        <f t="shared" si="176"/>
        <v>27000</v>
      </c>
      <c r="P1260" s="111">
        <f t="shared" si="177"/>
        <v>30000</v>
      </c>
      <c r="Q1260" s="111">
        <v>60000</v>
      </c>
      <c r="R1260" s="111">
        <v>6</v>
      </c>
      <c r="S1260" s="111">
        <f t="shared" si="178"/>
        <v>6000</v>
      </c>
      <c r="T1260" s="111">
        <f t="shared" si="179"/>
        <v>360000</v>
      </c>
      <c r="U1260" s="111">
        <f t="shared" si="180"/>
        <v>3600</v>
      </c>
      <c r="V1260" s="111">
        <f t="shared" si="181"/>
        <v>363600</v>
      </c>
      <c r="W1260" t="s">
        <v>3719</v>
      </c>
    </row>
    <row r="1261" spans="1:23" x14ac:dyDescent="0.3">
      <c r="A1261" s="110">
        <v>1690178</v>
      </c>
      <c r="B1261" s="110" t="s">
        <v>1332</v>
      </c>
      <c r="C1261" s="110" t="s">
        <v>1332</v>
      </c>
      <c r="D1261" s="110" t="s">
        <v>1332</v>
      </c>
      <c r="E1261" s="110" t="s">
        <v>337</v>
      </c>
      <c r="F1261" s="110" t="s">
        <v>117</v>
      </c>
      <c r="G1261" s="110" t="s">
        <v>125</v>
      </c>
      <c r="H1261" s="111">
        <v>709</v>
      </c>
      <c r="I1261" s="111">
        <v>716</v>
      </c>
      <c r="J1261" s="111">
        <v>769</v>
      </c>
      <c r="K1261" s="111">
        <f t="shared" si="173"/>
        <v>731.33333333333337</v>
      </c>
      <c r="L1261" s="111">
        <f>300000</f>
        <v>300000</v>
      </c>
      <c r="M1261" s="111">
        <f t="shared" si="174"/>
        <v>135000</v>
      </c>
      <c r="N1261" s="111">
        <f t="shared" si="175"/>
        <v>135000</v>
      </c>
      <c r="O1261" s="111">
        <f t="shared" si="176"/>
        <v>27000</v>
      </c>
      <c r="P1261" s="111">
        <f t="shared" si="177"/>
        <v>30000</v>
      </c>
      <c r="Q1261" s="111">
        <v>60000</v>
      </c>
      <c r="R1261" s="111">
        <v>6</v>
      </c>
      <c r="S1261" s="111">
        <f t="shared" si="178"/>
        <v>6000</v>
      </c>
      <c r="T1261" s="111">
        <f t="shared" si="179"/>
        <v>360000</v>
      </c>
      <c r="U1261" s="111">
        <f t="shared" si="180"/>
        <v>3600</v>
      </c>
      <c r="V1261" s="111">
        <f t="shared" si="181"/>
        <v>363600</v>
      </c>
      <c r="W1261" t="s">
        <v>3720</v>
      </c>
    </row>
    <row r="1262" spans="1:23" x14ac:dyDescent="0.3">
      <c r="A1262" s="110">
        <v>1690179</v>
      </c>
      <c r="B1262" s="110" t="s">
        <v>1332</v>
      </c>
      <c r="C1262" s="110" t="s">
        <v>1332</v>
      </c>
      <c r="D1262" s="110" t="s">
        <v>1332</v>
      </c>
      <c r="E1262" s="110" t="s">
        <v>1466</v>
      </c>
      <c r="F1262" s="110" t="s">
        <v>117</v>
      </c>
      <c r="G1262" s="110" t="s">
        <v>125</v>
      </c>
      <c r="H1262" s="111">
        <v>534</v>
      </c>
      <c r="I1262" s="111">
        <v>575</v>
      </c>
      <c r="J1262" s="111">
        <v>622</v>
      </c>
      <c r="K1262" s="111">
        <f t="shared" si="173"/>
        <v>577</v>
      </c>
      <c r="L1262" s="111">
        <f>300000</f>
        <v>300000</v>
      </c>
      <c r="M1262" s="111">
        <f t="shared" si="174"/>
        <v>135000</v>
      </c>
      <c r="N1262" s="111">
        <f t="shared" si="175"/>
        <v>135000</v>
      </c>
      <c r="O1262" s="111">
        <f t="shared" si="176"/>
        <v>27000</v>
      </c>
      <c r="P1262" s="111">
        <f t="shared" si="177"/>
        <v>30000</v>
      </c>
      <c r="Q1262" s="111">
        <v>60000</v>
      </c>
      <c r="R1262" s="111">
        <v>6</v>
      </c>
      <c r="S1262" s="111">
        <f t="shared" si="178"/>
        <v>6000</v>
      </c>
      <c r="T1262" s="111">
        <f t="shared" si="179"/>
        <v>360000</v>
      </c>
      <c r="U1262" s="111">
        <f t="shared" si="180"/>
        <v>3600</v>
      </c>
      <c r="V1262" s="111">
        <f t="shared" si="181"/>
        <v>363600</v>
      </c>
      <c r="W1262" t="s">
        <v>3721</v>
      </c>
    </row>
    <row r="1263" spans="1:23" x14ac:dyDescent="0.3">
      <c r="A1263" s="110">
        <v>1690242</v>
      </c>
      <c r="B1263" s="110" t="s">
        <v>1332</v>
      </c>
      <c r="C1263" s="110" t="s">
        <v>1332</v>
      </c>
      <c r="D1263" s="110" t="s">
        <v>1332</v>
      </c>
      <c r="E1263" s="110" t="s">
        <v>1467</v>
      </c>
      <c r="F1263" s="110" t="s">
        <v>209</v>
      </c>
      <c r="G1263" s="110" t="s">
        <v>114</v>
      </c>
      <c r="H1263" s="111">
        <v>247</v>
      </c>
      <c r="I1263" s="111">
        <v>227</v>
      </c>
      <c r="J1263" s="111">
        <v>215</v>
      </c>
      <c r="K1263" s="111">
        <f t="shared" si="173"/>
        <v>229.66666666666666</v>
      </c>
      <c r="L1263" s="111">
        <v>200000</v>
      </c>
      <c r="M1263" s="111">
        <f t="shared" si="174"/>
        <v>90000</v>
      </c>
      <c r="N1263" s="111">
        <f t="shared" si="175"/>
        <v>90000</v>
      </c>
      <c r="O1263" s="111">
        <f t="shared" si="176"/>
        <v>18000</v>
      </c>
      <c r="P1263" s="111">
        <f t="shared" si="177"/>
        <v>20000</v>
      </c>
      <c r="Q1263" s="111">
        <v>50000</v>
      </c>
      <c r="R1263" s="111">
        <v>5</v>
      </c>
      <c r="S1263" s="111">
        <f t="shared" si="178"/>
        <v>5000</v>
      </c>
      <c r="T1263" s="111">
        <f t="shared" si="179"/>
        <v>250000</v>
      </c>
      <c r="U1263" s="111">
        <f t="shared" si="180"/>
        <v>2500</v>
      </c>
      <c r="V1263" s="111">
        <f t="shared" si="181"/>
        <v>252500</v>
      </c>
      <c r="W1263" t="s">
        <v>3722</v>
      </c>
    </row>
    <row r="1264" spans="1:23" x14ac:dyDescent="0.3">
      <c r="A1264" s="110">
        <v>1690243</v>
      </c>
      <c r="B1264" s="110" t="s">
        <v>1332</v>
      </c>
      <c r="C1264" s="110" t="s">
        <v>1332</v>
      </c>
      <c r="D1264" s="110" t="s">
        <v>1332</v>
      </c>
      <c r="E1264" s="110" t="s">
        <v>1468</v>
      </c>
      <c r="F1264" s="110" t="s">
        <v>209</v>
      </c>
      <c r="G1264" s="110" t="s">
        <v>114</v>
      </c>
      <c r="H1264" s="111">
        <v>353</v>
      </c>
      <c r="I1264" s="111">
        <v>340</v>
      </c>
      <c r="J1264" s="111">
        <v>345</v>
      </c>
      <c r="K1264" s="111">
        <f t="shared" si="173"/>
        <v>346</v>
      </c>
      <c r="L1264" s="111">
        <v>200000</v>
      </c>
      <c r="M1264" s="111">
        <f t="shared" si="174"/>
        <v>90000</v>
      </c>
      <c r="N1264" s="111">
        <f t="shared" si="175"/>
        <v>90000</v>
      </c>
      <c r="O1264" s="111">
        <f t="shared" si="176"/>
        <v>18000</v>
      </c>
      <c r="P1264" s="111">
        <f t="shared" si="177"/>
        <v>20000</v>
      </c>
      <c r="Q1264" s="111">
        <v>50000</v>
      </c>
      <c r="R1264" s="111">
        <v>5</v>
      </c>
      <c r="S1264" s="111">
        <f t="shared" si="178"/>
        <v>5000</v>
      </c>
      <c r="T1264" s="111">
        <f t="shared" si="179"/>
        <v>250000</v>
      </c>
      <c r="U1264" s="111">
        <f t="shared" si="180"/>
        <v>2500</v>
      </c>
      <c r="V1264" s="111">
        <f t="shared" si="181"/>
        <v>252500</v>
      </c>
      <c r="W1264" t="s">
        <v>3723</v>
      </c>
    </row>
    <row r="1265" spans="1:23" x14ac:dyDescent="0.3">
      <c r="A1265" s="110">
        <v>1690244</v>
      </c>
      <c r="B1265" s="110" t="s">
        <v>1332</v>
      </c>
      <c r="C1265" s="110" t="s">
        <v>1332</v>
      </c>
      <c r="D1265" s="110" t="s">
        <v>1332</v>
      </c>
      <c r="E1265" s="110" t="s">
        <v>319</v>
      </c>
      <c r="F1265" s="110" t="s">
        <v>113</v>
      </c>
      <c r="G1265" s="110" t="s">
        <v>114</v>
      </c>
      <c r="H1265" s="111">
        <v>611</v>
      </c>
      <c r="I1265" s="111">
        <v>635</v>
      </c>
      <c r="J1265" s="111">
        <v>628</v>
      </c>
      <c r="K1265" s="111">
        <f t="shared" si="173"/>
        <v>624.66666666666663</v>
      </c>
      <c r="L1265" s="111">
        <f>300000</f>
        <v>300000</v>
      </c>
      <c r="M1265" s="111">
        <f t="shared" si="174"/>
        <v>135000</v>
      </c>
      <c r="N1265" s="111">
        <f t="shared" si="175"/>
        <v>135000</v>
      </c>
      <c r="O1265" s="111">
        <f t="shared" si="176"/>
        <v>27000</v>
      </c>
      <c r="P1265" s="111">
        <f t="shared" si="177"/>
        <v>30000</v>
      </c>
      <c r="Q1265" s="111">
        <v>60000</v>
      </c>
      <c r="R1265" s="111">
        <v>6</v>
      </c>
      <c r="S1265" s="111">
        <f t="shared" si="178"/>
        <v>6000</v>
      </c>
      <c r="T1265" s="111">
        <f t="shared" si="179"/>
        <v>360000</v>
      </c>
      <c r="U1265" s="111">
        <f t="shared" si="180"/>
        <v>3600</v>
      </c>
      <c r="V1265" s="111">
        <f t="shared" si="181"/>
        <v>363600</v>
      </c>
      <c r="W1265" t="s">
        <v>3724</v>
      </c>
    </row>
    <row r="1266" spans="1:23" x14ac:dyDescent="0.3">
      <c r="A1266" s="110">
        <v>1690245</v>
      </c>
      <c r="B1266" s="110" t="s">
        <v>1332</v>
      </c>
      <c r="C1266" s="110" t="s">
        <v>1332</v>
      </c>
      <c r="D1266" s="110" t="s">
        <v>1332</v>
      </c>
      <c r="E1266" s="110" t="s">
        <v>1469</v>
      </c>
      <c r="F1266" s="110" t="s">
        <v>113</v>
      </c>
      <c r="G1266" s="110" t="s">
        <v>114</v>
      </c>
      <c r="H1266" s="111">
        <v>670</v>
      </c>
      <c r="I1266" s="111">
        <v>608</v>
      </c>
      <c r="J1266" s="111">
        <v>582</v>
      </c>
      <c r="K1266" s="111">
        <f t="shared" si="173"/>
        <v>620</v>
      </c>
      <c r="L1266" s="111">
        <f>300000</f>
        <v>300000</v>
      </c>
      <c r="M1266" s="111">
        <f t="shared" si="174"/>
        <v>135000</v>
      </c>
      <c r="N1266" s="111">
        <f t="shared" si="175"/>
        <v>135000</v>
      </c>
      <c r="O1266" s="111">
        <f t="shared" si="176"/>
        <v>27000</v>
      </c>
      <c r="P1266" s="111">
        <f t="shared" si="177"/>
        <v>30000</v>
      </c>
      <c r="Q1266" s="111">
        <v>60000</v>
      </c>
      <c r="R1266" s="111">
        <v>6</v>
      </c>
      <c r="S1266" s="111">
        <f t="shared" si="178"/>
        <v>6000</v>
      </c>
      <c r="T1266" s="111">
        <f t="shared" si="179"/>
        <v>360000</v>
      </c>
      <c r="U1266" s="111">
        <f t="shared" si="180"/>
        <v>3600</v>
      </c>
      <c r="V1266" s="111">
        <f t="shared" si="181"/>
        <v>363600</v>
      </c>
      <c r="W1266" t="s">
        <v>3725</v>
      </c>
    </row>
    <row r="1267" spans="1:23" x14ac:dyDescent="0.3">
      <c r="A1267" s="110">
        <v>1690246</v>
      </c>
      <c r="B1267" s="110" t="s">
        <v>1332</v>
      </c>
      <c r="C1267" s="110" t="s">
        <v>1332</v>
      </c>
      <c r="D1267" s="110" t="s">
        <v>1332</v>
      </c>
      <c r="E1267" s="110" t="s">
        <v>1470</v>
      </c>
      <c r="F1267" s="110" t="s">
        <v>168</v>
      </c>
      <c r="G1267" s="110" t="s">
        <v>114</v>
      </c>
      <c r="H1267" s="111">
        <v>763</v>
      </c>
      <c r="I1267" s="111">
        <v>735</v>
      </c>
      <c r="J1267" s="111">
        <v>801</v>
      </c>
      <c r="K1267" s="111">
        <f t="shared" si="173"/>
        <v>766.33333333333337</v>
      </c>
      <c r="L1267" s="111">
        <f>300000</f>
        <v>300000</v>
      </c>
      <c r="M1267" s="111">
        <f t="shared" si="174"/>
        <v>135000</v>
      </c>
      <c r="N1267" s="111">
        <f t="shared" si="175"/>
        <v>135000</v>
      </c>
      <c r="O1267" s="111">
        <f t="shared" si="176"/>
        <v>27000</v>
      </c>
      <c r="P1267" s="111">
        <f t="shared" si="177"/>
        <v>30000</v>
      </c>
      <c r="Q1267" s="111">
        <v>60000</v>
      </c>
      <c r="R1267" s="111">
        <v>6</v>
      </c>
      <c r="S1267" s="111">
        <f t="shared" si="178"/>
        <v>6000</v>
      </c>
      <c r="T1267" s="111">
        <f t="shared" si="179"/>
        <v>360000</v>
      </c>
      <c r="U1267" s="111">
        <f t="shared" si="180"/>
        <v>3600</v>
      </c>
      <c r="V1267" s="111">
        <f t="shared" si="181"/>
        <v>363600</v>
      </c>
      <c r="W1267" t="s">
        <v>3726</v>
      </c>
    </row>
    <row r="1268" spans="1:23" x14ac:dyDescent="0.3">
      <c r="A1268" s="110">
        <v>1690247</v>
      </c>
      <c r="B1268" s="110" t="s">
        <v>1332</v>
      </c>
      <c r="C1268" s="110" t="s">
        <v>1332</v>
      </c>
      <c r="D1268" s="110" t="s">
        <v>1332</v>
      </c>
      <c r="E1268" s="110" t="s">
        <v>1471</v>
      </c>
      <c r="F1268" s="110" t="s">
        <v>119</v>
      </c>
      <c r="G1268" s="110" t="s">
        <v>114</v>
      </c>
      <c r="H1268" s="111">
        <v>1149</v>
      </c>
      <c r="I1268" s="111">
        <v>1087</v>
      </c>
      <c r="J1268" s="111">
        <v>1072</v>
      </c>
      <c r="K1268" s="111">
        <f t="shared" si="173"/>
        <v>1102.6666666666667</v>
      </c>
      <c r="L1268" s="111">
        <f>600000</f>
        <v>600000</v>
      </c>
      <c r="M1268" s="111">
        <f t="shared" si="174"/>
        <v>270000</v>
      </c>
      <c r="N1268" s="111">
        <f t="shared" si="175"/>
        <v>270000</v>
      </c>
      <c r="O1268" s="111">
        <f t="shared" si="176"/>
        <v>54000</v>
      </c>
      <c r="P1268" s="111">
        <f t="shared" si="177"/>
        <v>60000</v>
      </c>
      <c r="Q1268" s="111">
        <v>80000</v>
      </c>
      <c r="R1268" s="111">
        <v>8</v>
      </c>
      <c r="S1268" s="111">
        <f t="shared" si="178"/>
        <v>8000</v>
      </c>
      <c r="T1268" s="111">
        <f t="shared" si="179"/>
        <v>680000</v>
      </c>
      <c r="U1268" s="111">
        <f t="shared" si="180"/>
        <v>6800</v>
      </c>
      <c r="V1268" s="111">
        <f t="shared" si="181"/>
        <v>686800</v>
      </c>
      <c r="W1268" t="s">
        <v>3727</v>
      </c>
    </row>
    <row r="1269" spans="1:23" x14ac:dyDescent="0.3">
      <c r="A1269" s="110">
        <v>1690248</v>
      </c>
      <c r="B1269" s="110" t="s">
        <v>1332</v>
      </c>
      <c r="C1269" s="110" t="s">
        <v>1332</v>
      </c>
      <c r="D1269" s="110" t="s">
        <v>1332</v>
      </c>
      <c r="E1269" s="110" t="s">
        <v>1472</v>
      </c>
      <c r="F1269" s="110" t="s">
        <v>119</v>
      </c>
      <c r="G1269" s="110" t="s">
        <v>114</v>
      </c>
      <c r="H1269" s="111">
        <v>281</v>
      </c>
      <c r="I1269" s="111">
        <v>292</v>
      </c>
      <c r="J1269" s="111">
        <v>305</v>
      </c>
      <c r="K1269" s="111">
        <f t="shared" si="173"/>
        <v>292.66666666666669</v>
      </c>
      <c r="L1269" s="111">
        <v>200000</v>
      </c>
      <c r="M1269" s="111">
        <f t="shared" si="174"/>
        <v>90000</v>
      </c>
      <c r="N1269" s="111">
        <f t="shared" si="175"/>
        <v>90000</v>
      </c>
      <c r="O1269" s="111">
        <f t="shared" si="176"/>
        <v>18000</v>
      </c>
      <c r="P1269" s="111">
        <f t="shared" si="177"/>
        <v>20000</v>
      </c>
      <c r="Q1269" s="111">
        <v>50000</v>
      </c>
      <c r="R1269" s="111">
        <v>5</v>
      </c>
      <c r="S1269" s="111">
        <f t="shared" si="178"/>
        <v>5000</v>
      </c>
      <c r="T1269" s="111">
        <f t="shared" si="179"/>
        <v>250000</v>
      </c>
      <c r="U1269" s="111">
        <f t="shared" si="180"/>
        <v>2500</v>
      </c>
      <c r="V1269" s="111">
        <f t="shared" si="181"/>
        <v>252500</v>
      </c>
      <c r="W1269" t="s">
        <v>3728</v>
      </c>
    </row>
    <row r="1270" spans="1:23" x14ac:dyDescent="0.3">
      <c r="A1270" s="110">
        <v>1690271</v>
      </c>
      <c r="B1270" s="110" t="s">
        <v>1332</v>
      </c>
      <c r="C1270" s="110" t="s">
        <v>1332</v>
      </c>
      <c r="D1270" s="110" t="s">
        <v>1332</v>
      </c>
      <c r="E1270" s="110" t="s">
        <v>1473</v>
      </c>
      <c r="F1270" s="110" t="s">
        <v>1474</v>
      </c>
      <c r="G1270" s="110" t="s">
        <v>125</v>
      </c>
      <c r="H1270" s="111">
        <v>90</v>
      </c>
      <c r="I1270" s="111">
        <v>81</v>
      </c>
      <c r="J1270" s="111">
        <v>84</v>
      </c>
      <c r="K1270" s="111">
        <f t="shared" si="173"/>
        <v>85</v>
      </c>
      <c r="L1270" s="111">
        <f>150000*0.7</f>
        <v>105000</v>
      </c>
      <c r="M1270" s="111">
        <f t="shared" si="174"/>
        <v>47250</v>
      </c>
      <c r="N1270" s="111">
        <f t="shared" si="175"/>
        <v>47250</v>
      </c>
      <c r="O1270" s="111">
        <f t="shared" si="176"/>
        <v>9450</v>
      </c>
      <c r="P1270" s="111">
        <f t="shared" si="177"/>
        <v>10500</v>
      </c>
      <c r="Q1270" s="111">
        <v>30000</v>
      </c>
      <c r="R1270" s="111">
        <v>3</v>
      </c>
      <c r="S1270" s="111">
        <f t="shared" si="178"/>
        <v>3000</v>
      </c>
      <c r="T1270" s="111">
        <f t="shared" si="179"/>
        <v>135000</v>
      </c>
      <c r="U1270" s="111">
        <f t="shared" si="180"/>
        <v>1350</v>
      </c>
      <c r="V1270" s="111">
        <f t="shared" si="181"/>
        <v>136350</v>
      </c>
      <c r="W1270" t="s">
        <v>3729</v>
      </c>
    </row>
    <row r="1271" spans="1:23" x14ac:dyDescent="0.3">
      <c r="A1271" s="110">
        <v>1690272</v>
      </c>
      <c r="B1271" s="110" t="s">
        <v>1332</v>
      </c>
      <c r="C1271" s="110" t="s">
        <v>1332</v>
      </c>
      <c r="D1271" s="110" t="s">
        <v>1332</v>
      </c>
      <c r="E1271" s="110" t="s">
        <v>1475</v>
      </c>
      <c r="F1271" s="110" t="s">
        <v>117</v>
      </c>
      <c r="G1271" s="110" t="s">
        <v>125</v>
      </c>
      <c r="H1271" s="111">
        <v>1008</v>
      </c>
      <c r="I1271" s="111">
        <v>1019</v>
      </c>
      <c r="J1271" s="111">
        <v>1039</v>
      </c>
      <c r="K1271" s="111">
        <f t="shared" si="173"/>
        <v>1022</v>
      </c>
      <c r="L1271" s="111">
        <f>600000</f>
        <v>600000</v>
      </c>
      <c r="M1271" s="111">
        <f t="shared" si="174"/>
        <v>270000</v>
      </c>
      <c r="N1271" s="111">
        <f t="shared" si="175"/>
        <v>270000</v>
      </c>
      <c r="O1271" s="111">
        <f t="shared" si="176"/>
        <v>54000</v>
      </c>
      <c r="P1271" s="111">
        <f t="shared" si="177"/>
        <v>60000</v>
      </c>
      <c r="Q1271" s="111">
        <v>80000</v>
      </c>
      <c r="R1271" s="111">
        <v>8</v>
      </c>
      <c r="S1271" s="111">
        <f t="shared" si="178"/>
        <v>8000</v>
      </c>
      <c r="T1271" s="111">
        <f t="shared" si="179"/>
        <v>680000</v>
      </c>
      <c r="U1271" s="111">
        <f t="shared" si="180"/>
        <v>6800</v>
      </c>
      <c r="V1271" s="111">
        <f t="shared" si="181"/>
        <v>686800</v>
      </c>
      <c r="W1271" t="s">
        <v>3730</v>
      </c>
    </row>
    <row r="1272" spans="1:23" x14ac:dyDescent="0.3">
      <c r="A1272" s="110">
        <v>1690273</v>
      </c>
      <c r="B1272" s="110" t="s">
        <v>1332</v>
      </c>
      <c r="C1272" s="110" t="s">
        <v>1332</v>
      </c>
      <c r="D1272" s="110" t="s">
        <v>1332</v>
      </c>
      <c r="E1272" s="110" t="s">
        <v>1476</v>
      </c>
      <c r="F1272" s="110" t="s">
        <v>117</v>
      </c>
      <c r="G1272" s="110" t="s">
        <v>125</v>
      </c>
      <c r="H1272" s="111">
        <v>459</v>
      </c>
      <c r="I1272" s="111">
        <v>458</v>
      </c>
      <c r="J1272" s="111">
        <v>461</v>
      </c>
      <c r="K1272" s="111">
        <f t="shared" si="173"/>
        <v>459.33333333333331</v>
      </c>
      <c r="L1272" s="111">
        <f>300000</f>
        <v>300000</v>
      </c>
      <c r="M1272" s="111">
        <f t="shared" si="174"/>
        <v>135000</v>
      </c>
      <c r="N1272" s="111">
        <f t="shared" si="175"/>
        <v>135000</v>
      </c>
      <c r="O1272" s="111">
        <f t="shared" si="176"/>
        <v>27000</v>
      </c>
      <c r="P1272" s="111">
        <f t="shared" si="177"/>
        <v>30000</v>
      </c>
      <c r="Q1272" s="111">
        <v>60000</v>
      </c>
      <c r="R1272" s="111">
        <v>6</v>
      </c>
      <c r="S1272" s="111">
        <f t="shared" si="178"/>
        <v>6000</v>
      </c>
      <c r="T1272" s="111">
        <f t="shared" si="179"/>
        <v>360000</v>
      </c>
      <c r="U1272" s="111">
        <f t="shared" si="180"/>
        <v>3600</v>
      </c>
      <c r="V1272" s="111">
        <f t="shared" si="181"/>
        <v>363600</v>
      </c>
      <c r="W1272" t="s">
        <v>3731</v>
      </c>
    </row>
    <row r="1273" spans="1:23" x14ac:dyDescent="0.3">
      <c r="A1273" s="110">
        <v>1690341</v>
      </c>
      <c r="B1273" s="110" t="s">
        <v>1332</v>
      </c>
      <c r="C1273" s="110" t="s">
        <v>1332</v>
      </c>
      <c r="D1273" s="110" t="s">
        <v>1332</v>
      </c>
      <c r="E1273" s="110" t="s">
        <v>1477</v>
      </c>
      <c r="F1273" s="110" t="s">
        <v>113</v>
      </c>
      <c r="G1273" s="110" t="s">
        <v>114</v>
      </c>
      <c r="H1273" s="111">
        <v>389</v>
      </c>
      <c r="I1273" s="111">
        <v>424</v>
      </c>
      <c r="J1273" s="111">
        <v>430</v>
      </c>
      <c r="K1273" s="111">
        <f t="shared" si="173"/>
        <v>414.33333333333331</v>
      </c>
      <c r="L1273" s="111">
        <f>300000</f>
        <v>300000</v>
      </c>
      <c r="M1273" s="111">
        <f t="shared" si="174"/>
        <v>135000</v>
      </c>
      <c r="N1273" s="111">
        <f t="shared" si="175"/>
        <v>135000</v>
      </c>
      <c r="O1273" s="111">
        <f t="shared" si="176"/>
        <v>27000</v>
      </c>
      <c r="P1273" s="111">
        <f t="shared" si="177"/>
        <v>30000</v>
      </c>
      <c r="Q1273" s="111">
        <v>60000</v>
      </c>
      <c r="R1273" s="111">
        <v>6</v>
      </c>
      <c r="S1273" s="111">
        <f t="shared" si="178"/>
        <v>6000</v>
      </c>
      <c r="T1273" s="111">
        <f t="shared" si="179"/>
        <v>360000</v>
      </c>
      <c r="U1273" s="111">
        <f t="shared" si="180"/>
        <v>3600</v>
      </c>
      <c r="V1273" s="111">
        <f t="shared" si="181"/>
        <v>363600</v>
      </c>
      <c r="W1273" t="s">
        <v>3732</v>
      </c>
    </row>
    <row r="1274" spans="1:23" x14ac:dyDescent="0.3">
      <c r="A1274" s="110">
        <v>1690342</v>
      </c>
      <c r="B1274" s="110" t="s">
        <v>1332</v>
      </c>
      <c r="C1274" s="110" t="s">
        <v>1332</v>
      </c>
      <c r="D1274" s="110" t="s">
        <v>1332</v>
      </c>
      <c r="E1274" s="110" t="s">
        <v>1478</v>
      </c>
      <c r="F1274" s="110" t="s">
        <v>113</v>
      </c>
      <c r="G1274" s="110" t="s">
        <v>114</v>
      </c>
      <c r="H1274" s="111">
        <v>539</v>
      </c>
      <c r="I1274" s="111">
        <v>531</v>
      </c>
      <c r="J1274" s="111">
        <v>544</v>
      </c>
      <c r="K1274" s="111">
        <f t="shared" si="173"/>
        <v>538</v>
      </c>
      <c r="L1274" s="111">
        <f>300000</f>
        <v>300000</v>
      </c>
      <c r="M1274" s="111">
        <f t="shared" si="174"/>
        <v>135000</v>
      </c>
      <c r="N1274" s="111">
        <f t="shared" si="175"/>
        <v>135000</v>
      </c>
      <c r="O1274" s="111">
        <f t="shared" si="176"/>
        <v>27000</v>
      </c>
      <c r="P1274" s="111">
        <f t="shared" si="177"/>
        <v>30000</v>
      </c>
      <c r="Q1274" s="111">
        <v>60000</v>
      </c>
      <c r="R1274" s="111">
        <v>6</v>
      </c>
      <c r="S1274" s="111">
        <f t="shared" si="178"/>
        <v>6000</v>
      </c>
      <c r="T1274" s="111">
        <f t="shared" si="179"/>
        <v>360000</v>
      </c>
      <c r="U1274" s="111">
        <f t="shared" si="180"/>
        <v>3600</v>
      </c>
      <c r="V1274" s="111">
        <f t="shared" si="181"/>
        <v>363600</v>
      </c>
      <c r="W1274" t="s">
        <v>3733</v>
      </c>
    </row>
    <row r="1275" spans="1:23" x14ac:dyDescent="0.3">
      <c r="A1275" s="110">
        <v>1690343</v>
      </c>
      <c r="B1275" s="110" t="s">
        <v>1332</v>
      </c>
      <c r="C1275" s="110" t="s">
        <v>1332</v>
      </c>
      <c r="D1275" s="110" t="s">
        <v>1332</v>
      </c>
      <c r="E1275" s="110" t="s">
        <v>315</v>
      </c>
      <c r="F1275" s="110" t="s">
        <v>113</v>
      </c>
      <c r="G1275" s="110" t="s">
        <v>114</v>
      </c>
      <c r="H1275" s="111">
        <v>394</v>
      </c>
      <c r="I1275" s="111">
        <v>372</v>
      </c>
      <c r="J1275" s="111">
        <v>384</v>
      </c>
      <c r="K1275" s="111">
        <f t="shared" si="173"/>
        <v>383.33333333333331</v>
      </c>
      <c r="L1275" s="111">
        <v>200000</v>
      </c>
      <c r="M1275" s="111">
        <f t="shared" si="174"/>
        <v>90000</v>
      </c>
      <c r="N1275" s="111">
        <f t="shared" si="175"/>
        <v>90000</v>
      </c>
      <c r="O1275" s="111">
        <f t="shared" si="176"/>
        <v>18000</v>
      </c>
      <c r="P1275" s="111">
        <f t="shared" si="177"/>
        <v>20000</v>
      </c>
      <c r="Q1275" s="111">
        <v>50000</v>
      </c>
      <c r="R1275" s="111">
        <v>5</v>
      </c>
      <c r="S1275" s="111">
        <f t="shared" si="178"/>
        <v>5000</v>
      </c>
      <c r="T1275" s="111">
        <f t="shared" si="179"/>
        <v>250000</v>
      </c>
      <c r="U1275" s="111">
        <f t="shared" si="180"/>
        <v>2500</v>
      </c>
      <c r="V1275" s="111">
        <f t="shared" si="181"/>
        <v>252500</v>
      </c>
      <c r="W1275" t="s">
        <v>3734</v>
      </c>
    </row>
    <row r="1276" spans="1:23" x14ac:dyDescent="0.3">
      <c r="A1276" s="110">
        <v>1690344</v>
      </c>
      <c r="B1276" s="110" t="s">
        <v>1332</v>
      </c>
      <c r="C1276" s="110" t="s">
        <v>1332</v>
      </c>
      <c r="D1276" s="110" t="s">
        <v>1332</v>
      </c>
      <c r="E1276" s="110" t="s">
        <v>1479</v>
      </c>
      <c r="F1276" s="110" t="s">
        <v>113</v>
      </c>
      <c r="G1276" s="110" t="s">
        <v>114</v>
      </c>
      <c r="H1276" s="111">
        <v>174</v>
      </c>
      <c r="I1276" s="111">
        <v>187</v>
      </c>
      <c r="J1276" s="111">
        <v>185</v>
      </c>
      <c r="K1276" s="111">
        <f t="shared" si="173"/>
        <v>182</v>
      </c>
      <c r="L1276" s="111">
        <v>150000</v>
      </c>
      <c r="M1276" s="111">
        <f t="shared" si="174"/>
        <v>67500</v>
      </c>
      <c r="N1276" s="111">
        <f t="shared" si="175"/>
        <v>67500</v>
      </c>
      <c r="O1276" s="111">
        <f t="shared" si="176"/>
        <v>13500</v>
      </c>
      <c r="P1276" s="111">
        <f t="shared" si="177"/>
        <v>15000</v>
      </c>
      <c r="Q1276" s="111">
        <v>30000</v>
      </c>
      <c r="R1276" s="111">
        <v>3</v>
      </c>
      <c r="S1276" s="111">
        <f t="shared" si="178"/>
        <v>3000</v>
      </c>
      <c r="T1276" s="111">
        <f t="shared" si="179"/>
        <v>180000</v>
      </c>
      <c r="U1276" s="111">
        <f t="shared" si="180"/>
        <v>1800</v>
      </c>
      <c r="V1276" s="111">
        <f t="shared" si="181"/>
        <v>181800</v>
      </c>
      <c r="W1276" t="s">
        <v>3735</v>
      </c>
    </row>
    <row r="1277" spans="1:23" x14ac:dyDescent="0.3">
      <c r="A1277" s="110">
        <v>1690345</v>
      </c>
      <c r="B1277" s="110" t="s">
        <v>1332</v>
      </c>
      <c r="C1277" s="110" t="s">
        <v>1332</v>
      </c>
      <c r="D1277" s="110" t="s">
        <v>1332</v>
      </c>
      <c r="E1277" s="110" t="s">
        <v>682</v>
      </c>
      <c r="F1277" s="110" t="s">
        <v>119</v>
      </c>
      <c r="G1277" s="110" t="s">
        <v>114</v>
      </c>
      <c r="H1277" s="111">
        <v>522</v>
      </c>
      <c r="I1277" s="111">
        <v>561</v>
      </c>
      <c r="J1277" s="111">
        <v>603</v>
      </c>
      <c r="K1277" s="111">
        <f t="shared" si="173"/>
        <v>562</v>
      </c>
      <c r="L1277" s="111">
        <f>300000</f>
        <v>300000</v>
      </c>
      <c r="M1277" s="111">
        <f t="shared" si="174"/>
        <v>135000</v>
      </c>
      <c r="N1277" s="111">
        <f t="shared" si="175"/>
        <v>135000</v>
      </c>
      <c r="O1277" s="111">
        <f t="shared" si="176"/>
        <v>27000</v>
      </c>
      <c r="P1277" s="111">
        <f t="shared" si="177"/>
        <v>30000</v>
      </c>
      <c r="Q1277" s="111">
        <v>60000</v>
      </c>
      <c r="R1277" s="111">
        <v>6</v>
      </c>
      <c r="S1277" s="111">
        <f t="shared" si="178"/>
        <v>6000</v>
      </c>
      <c r="T1277" s="111">
        <f t="shared" si="179"/>
        <v>360000</v>
      </c>
      <c r="U1277" s="111">
        <f t="shared" si="180"/>
        <v>3600</v>
      </c>
      <c r="V1277" s="111">
        <f t="shared" si="181"/>
        <v>363600</v>
      </c>
      <c r="W1277" t="s">
        <v>3736</v>
      </c>
    </row>
    <row r="1278" spans="1:23" x14ac:dyDescent="0.3">
      <c r="A1278" s="110">
        <v>1690346</v>
      </c>
      <c r="B1278" s="110" t="s">
        <v>1332</v>
      </c>
      <c r="C1278" s="110" t="s">
        <v>1332</v>
      </c>
      <c r="D1278" s="110" t="s">
        <v>1332</v>
      </c>
      <c r="E1278" s="110" t="s">
        <v>1480</v>
      </c>
      <c r="F1278" s="110" t="s">
        <v>122</v>
      </c>
      <c r="G1278" s="110" t="s">
        <v>114</v>
      </c>
      <c r="H1278" s="111">
        <v>1246</v>
      </c>
      <c r="I1278" s="111">
        <v>1242</v>
      </c>
      <c r="J1278" s="111">
        <v>1239</v>
      </c>
      <c r="K1278" s="111">
        <f t="shared" si="173"/>
        <v>1242.3333333333333</v>
      </c>
      <c r="L1278" s="111">
        <f>600000*0.7</f>
        <v>420000</v>
      </c>
      <c r="M1278" s="111">
        <f t="shared" si="174"/>
        <v>189000</v>
      </c>
      <c r="N1278" s="111">
        <f t="shared" si="175"/>
        <v>189000</v>
      </c>
      <c r="O1278" s="111">
        <f t="shared" si="176"/>
        <v>37800</v>
      </c>
      <c r="P1278" s="111">
        <f t="shared" si="177"/>
        <v>42000</v>
      </c>
      <c r="Q1278" s="111">
        <v>80000</v>
      </c>
      <c r="R1278" s="111">
        <v>8</v>
      </c>
      <c r="S1278" s="111">
        <f t="shared" si="178"/>
        <v>8000</v>
      </c>
      <c r="T1278" s="111">
        <f t="shared" si="179"/>
        <v>500000</v>
      </c>
      <c r="U1278" s="111">
        <f t="shared" si="180"/>
        <v>5000</v>
      </c>
      <c r="V1278" s="111">
        <f t="shared" si="181"/>
        <v>505000</v>
      </c>
      <c r="W1278" t="s">
        <v>3737</v>
      </c>
    </row>
    <row r="1279" spans="1:23" x14ac:dyDescent="0.3">
      <c r="A1279" s="110">
        <v>1690347</v>
      </c>
      <c r="B1279" s="110" t="s">
        <v>1332</v>
      </c>
      <c r="C1279" s="110" t="s">
        <v>1332</v>
      </c>
      <c r="D1279" s="110" t="s">
        <v>1332</v>
      </c>
      <c r="E1279" s="110" t="s">
        <v>950</v>
      </c>
      <c r="F1279" s="110" t="s">
        <v>296</v>
      </c>
      <c r="G1279" s="110" t="s">
        <v>125</v>
      </c>
      <c r="H1279" s="111">
        <v>615</v>
      </c>
      <c r="I1279" s="111">
        <v>665</v>
      </c>
      <c r="J1279" s="111">
        <v>672</v>
      </c>
      <c r="K1279" s="111">
        <f t="shared" si="173"/>
        <v>650.66666666666663</v>
      </c>
      <c r="L1279" s="111">
        <f>300000</f>
        <v>300000</v>
      </c>
      <c r="M1279" s="111">
        <f t="shared" si="174"/>
        <v>135000</v>
      </c>
      <c r="N1279" s="111">
        <f t="shared" si="175"/>
        <v>135000</v>
      </c>
      <c r="O1279" s="111">
        <f t="shared" si="176"/>
        <v>27000</v>
      </c>
      <c r="P1279" s="111">
        <f t="shared" si="177"/>
        <v>30000</v>
      </c>
      <c r="Q1279" s="111">
        <v>60000</v>
      </c>
      <c r="R1279" s="111">
        <v>6</v>
      </c>
      <c r="S1279" s="111">
        <f t="shared" si="178"/>
        <v>6000</v>
      </c>
      <c r="T1279" s="111">
        <f t="shared" si="179"/>
        <v>360000</v>
      </c>
      <c r="U1279" s="111">
        <f t="shared" si="180"/>
        <v>3600</v>
      </c>
      <c r="V1279" s="111">
        <f t="shared" si="181"/>
        <v>363600</v>
      </c>
      <c r="W1279" t="s">
        <v>3738</v>
      </c>
    </row>
    <row r="1280" spans="1:23" x14ac:dyDescent="0.3">
      <c r="A1280" s="110">
        <v>1690441</v>
      </c>
      <c r="B1280" s="110" t="s">
        <v>1332</v>
      </c>
      <c r="C1280" s="110" t="s">
        <v>1332</v>
      </c>
      <c r="D1280" s="110" t="s">
        <v>1332</v>
      </c>
      <c r="E1280" s="110" t="s">
        <v>646</v>
      </c>
      <c r="F1280" s="110" t="s">
        <v>209</v>
      </c>
      <c r="G1280" s="110" t="s">
        <v>114</v>
      </c>
      <c r="H1280" s="111">
        <v>409</v>
      </c>
      <c r="I1280" s="111">
        <v>439</v>
      </c>
      <c r="J1280" s="111">
        <v>440</v>
      </c>
      <c r="K1280" s="111">
        <f t="shared" si="173"/>
        <v>429.33333333333331</v>
      </c>
      <c r="L1280" s="111">
        <f>300000</f>
        <v>300000</v>
      </c>
      <c r="M1280" s="111">
        <f t="shared" si="174"/>
        <v>135000</v>
      </c>
      <c r="N1280" s="111">
        <f t="shared" si="175"/>
        <v>135000</v>
      </c>
      <c r="O1280" s="111">
        <f t="shared" si="176"/>
        <v>27000</v>
      </c>
      <c r="P1280" s="111">
        <f t="shared" si="177"/>
        <v>30000</v>
      </c>
      <c r="Q1280" s="111">
        <v>60000</v>
      </c>
      <c r="R1280" s="111">
        <v>6</v>
      </c>
      <c r="S1280" s="111">
        <f t="shared" si="178"/>
        <v>6000</v>
      </c>
      <c r="T1280" s="111">
        <f t="shared" si="179"/>
        <v>360000</v>
      </c>
      <c r="U1280" s="111">
        <f t="shared" si="180"/>
        <v>3600</v>
      </c>
      <c r="V1280" s="111">
        <f t="shared" si="181"/>
        <v>363600</v>
      </c>
      <c r="W1280" t="s">
        <v>3739</v>
      </c>
    </row>
    <row r="1281" spans="1:23" x14ac:dyDescent="0.3">
      <c r="A1281" s="110">
        <v>1690442</v>
      </c>
      <c r="B1281" s="110" t="s">
        <v>1332</v>
      </c>
      <c r="C1281" s="110" t="s">
        <v>1332</v>
      </c>
      <c r="D1281" s="110" t="s">
        <v>1332</v>
      </c>
      <c r="E1281" s="110" t="s">
        <v>1481</v>
      </c>
      <c r="F1281" s="110" t="s">
        <v>113</v>
      </c>
      <c r="G1281" s="110" t="s">
        <v>114</v>
      </c>
      <c r="H1281" s="111">
        <v>221</v>
      </c>
      <c r="I1281" s="111">
        <v>249</v>
      </c>
      <c r="J1281" s="111">
        <v>263</v>
      </c>
      <c r="K1281" s="111">
        <f t="shared" si="173"/>
        <v>244.33333333333334</v>
      </c>
      <c r="L1281" s="111">
        <v>200000</v>
      </c>
      <c r="M1281" s="111">
        <f t="shared" si="174"/>
        <v>90000</v>
      </c>
      <c r="N1281" s="111">
        <f t="shared" si="175"/>
        <v>90000</v>
      </c>
      <c r="O1281" s="111">
        <f t="shared" si="176"/>
        <v>18000</v>
      </c>
      <c r="P1281" s="111">
        <f t="shared" si="177"/>
        <v>20000</v>
      </c>
      <c r="Q1281" s="111">
        <v>50000</v>
      </c>
      <c r="R1281" s="111">
        <v>5</v>
      </c>
      <c r="S1281" s="111">
        <f t="shared" si="178"/>
        <v>5000</v>
      </c>
      <c r="T1281" s="111">
        <f t="shared" si="179"/>
        <v>250000</v>
      </c>
      <c r="U1281" s="111">
        <f t="shared" si="180"/>
        <v>2500</v>
      </c>
      <c r="V1281" s="111">
        <f t="shared" si="181"/>
        <v>252500</v>
      </c>
      <c r="W1281" t="s">
        <v>3740</v>
      </c>
    </row>
    <row r="1282" spans="1:23" x14ac:dyDescent="0.3">
      <c r="A1282" s="110">
        <v>1690443</v>
      </c>
      <c r="B1282" s="110" t="s">
        <v>1332</v>
      </c>
      <c r="C1282" s="110" t="s">
        <v>1332</v>
      </c>
      <c r="D1282" s="110" t="s">
        <v>1332</v>
      </c>
      <c r="E1282" s="110" t="s">
        <v>786</v>
      </c>
      <c r="F1282" s="110" t="s">
        <v>168</v>
      </c>
      <c r="G1282" s="110" t="s">
        <v>114</v>
      </c>
      <c r="H1282" s="111">
        <v>211</v>
      </c>
      <c r="I1282" s="111">
        <v>198</v>
      </c>
      <c r="J1282" s="111">
        <v>205</v>
      </c>
      <c r="K1282" s="111">
        <f t="shared" ref="K1282:K1345" si="183">+(H1282+I1282+J1282)/3</f>
        <v>204.66666666666666</v>
      </c>
      <c r="L1282" s="111">
        <v>200000</v>
      </c>
      <c r="M1282" s="111">
        <f t="shared" ref="M1282:M1345" si="184">+L1282*0.45</f>
        <v>90000</v>
      </c>
      <c r="N1282" s="111">
        <f t="shared" ref="N1282:N1345" si="185">+L1282*0.45</f>
        <v>90000</v>
      </c>
      <c r="O1282" s="111">
        <f t="shared" ref="O1282:O1345" si="186">+N1282*0.2</f>
        <v>18000</v>
      </c>
      <c r="P1282" s="111">
        <f t="shared" ref="P1282:P1345" si="187">++L1282*0.1</f>
        <v>20000</v>
      </c>
      <c r="Q1282" s="111">
        <v>50000</v>
      </c>
      <c r="R1282" s="111">
        <v>5</v>
      </c>
      <c r="S1282" s="111">
        <f t="shared" ref="S1282:S1345" si="188">+Q1282*0.1</f>
        <v>5000</v>
      </c>
      <c r="T1282" s="111">
        <f t="shared" ref="T1282:T1345" si="189">+L1282+Q1282</f>
        <v>250000</v>
      </c>
      <c r="U1282" s="111">
        <f t="shared" ref="U1282:U1345" si="190">+T1282*0.01</f>
        <v>2500</v>
      </c>
      <c r="V1282" s="111">
        <f t="shared" ref="V1282:V1345" si="191">+T1282+U1282</f>
        <v>252500</v>
      </c>
      <c r="W1282" t="s">
        <v>3741</v>
      </c>
    </row>
    <row r="1283" spans="1:23" x14ac:dyDescent="0.3">
      <c r="A1283" s="110">
        <v>1690444</v>
      </c>
      <c r="B1283" s="110" t="s">
        <v>1332</v>
      </c>
      <c r="C1283" s="110" t="s">
        <v>1332</v>
      </c>
      <c r="D1283" s="110" t="s">
        <v>1332</v>
      </c>
      <c r="E1283" s="110" t="s">
        <v>557</v>
      </c>
      <c r="F1283" s="110" t="s">
        <v>113</v>
      </c>
      <c r="G1283" s="110" t="s">
        <v>114</v>
      </c>
      <c r="H1283" s="111">
        <v>358</v>
      </c>
      <c r="I1283" s="111">
        <v>338</v>
      </c>
      <c r="J1283" s="111">
        <v>312</v>
      </c>
      <c r="K1283" s="111">
        <f t="shared" si="183"/>
        <v>336</v>
      </c>
      <c r="L1283" s="111">
        <v>200000</v>
      </c>
      <c r="M1283" s="111">
        <f t="shared" si="184"/>
        <v>90000</v>
      </c>
      <c r="N1283" s="111">
        <f t="shared" si="185"/>
        <v>90000</v>
      </c>
      <c r="O1283" s="111">
        <f t="shared" si="186"/>
        <v>18000</v>
      </c>
      <c r="P1283" s="111">
        <f t="shared" si="187"/>
        <v>20000</v>
      </c>
      <c r="Q1283" s="111">
        <v>50000</v>
      </c>
      <c r="R1283" s="111">
        <v>5</v>
      </c>
      <c r="S1283" s="111">
        <f t="shared" si="188"/>
        <v>5000</v>
      </c>
      <c r="T1283" s="111">
        <f t="shared" si="189"/>
        <v>250000</v>
      </c>
      <c r="U1283" s="111">
        <f t="shared" si="190"/>
        <v>2500</v>
      </c>
      <c r="V1283" s="111">
        <f t="shared" si="191"/>
        <v>252500</v>
      </c>
      <c r="W1283" t="s">
        <v>3742</v>
      </c>
    </row>
    <row r="1284" spans="1:23" x14ac:dyDescent="0.3">
      <c r="A1284" s="110">
        <v>1690445</v>
      </c>
      <c r="B1284" s="110" t="s">
        <v>1332</v>
      </c>
      <c r="C1284" s="110" t="s">
        <v>1332</v>
      </c>
      <c r="D1284" s="110" t="s">
        <v>1332</v>
      </c>
      <c r="E1284" s="110" t="s">
        <v>1482</v>
      </c>
      <c r="F1284" s="110" t="s">
        <v>113</v>
      </c>
      <c r="G1284" s="110" t="s">
        <v>114</v>
      </c>
      <c r="H1284" s="111">
        <v>876</v>
      </c>
      <c r="I1284" s="111">
        <v>849</v>
      </c>
      <c r="J1284" s="111">
        <v>837</v>
      </c>
      <c r="K1284" s="111">
        <f t="shared" si="183"/>
        <v>854</v>
      </c>
      <c r="L1284" s="111">
        <f>300000*0.7</f>
        <v>210000</v>
      </c>
      <c r="M1284" s="111">
        <f t="shared" si="184"/>
        <v>94500</v>
      </c>
      <c r="N1284" s="111">
        <f t="shared" si="185"/>
        <v>94500</v>
      </c>
      <c r="O1284" s="111">
        <f t="shared" si="186"/>
        <v>18900</v>
      </c>
      <c r="P1284" s="111">
        <f t="shared" si="187"/>
        <v>21000</v>
      </c>
      <c r="Q1284" s="111">
        <v>60000</v>
      </c>
      <c r="R1284" s="111">
        <v>6</v>
      </c>
      <c r="S1284" s="111">
        <f t="shared" si="188"/>
        <v>6000</v>
      </c>
      <c r="T1284" s="111">
        <f t="shared" si="189"/>
        <v>270000</v>
      </c>
      <c r="U1284" s="111">
        <f t="shared" si="190"/>
        <v>2700</v>
      </c>
      <c r="V1284" s="111">
        <f t="shared" si="191"/>
        <v>272700</v>
      </c>
      <c r="W1284" t="s">
        <v>3743</v>
      </c>
    </row>
    <row r="1285" spans="1:23" x14ac:dyDescent="0.3">
      <c r="A1285" s="110">
        <v>1690446</v>
      </c>
      <c r="B1285" s="110" t="s">
        <v>1332</v>
      </c>
      <c r="C1285" s="110" t="s">
        <v>1332</v>
      </c>
      <c r="D1285" s="110" t="s">
        <v>1332</v>
      </c>
      <c r="E1285" s="110" t="s">
        <v>803</v>
      </c>
      <c r="F1285" s="110" t="s">
        <v>119</v>
      </c>
      <c r="G1285" s="110" t="s">
        <v>114</v>
      </c>
      <c r="H1285" s="111">
        <v>416</v>
      </c>
      <c r="I1285" s="111">
        <v>457</v>
      </c>
      <c r="J1285" s="111">
        <v>496</v>
      </c>
      <c r="K1285" s="111">
        <f t="shared" si="183"/>
        <v>456.33333333333331</v>
      </c>
      <c r="L1285" s="111">
        <f>300000</f>
        <v>300000</v>
      </c>
      <c r="M1285" s="111">
        <f t="shared" si="184"/>
        <v>135000</v>
      </c>
      <c r="N1285" s="111">
        <f t="shared" si="185"/>
        <v>135000</v>
      </c>
      <c r="O1285" s="111">
        <f t="shared" si="186"/>
        <v>27000</v>
      </c>
      <c r="P1285" s="111">
        <f t="shared" si="187"/>
        <v>30000</v>
      </c>
      <c r="Q1285" s="111">
        <v>60000</v>
      </c>
      <c r="R1285" s="111">
        <v>6</v>
      </c>
      <c r="S1285" s="111">
        <f t="shared" si="188"/>
        <v>6000</v>
      </c>
      <c r="T1285" s="111">
        <f t="shared" si="189"/>
        <v>360000</v>
      </c>
      <c r="U1285" s="111">
        <f t="shared" si="190"/>
        <v>3600</v>
      </c>
      <c r="V1285" s="111">
        <f t="shared" si="191"/>
        <v>363600</v>
      </c>
      <c r="W1285" t="s">
        <v>3744</v>
      </c>
    </row>
    <row r="1286" spans="1:23" x14ac:dyDescent="0.3">
      <c r="A1286" s="110">
        <v>1690447</v>
      </c>
      <c r="B1286" s="110" t="s">
        <v>1332</v>
      </c>
      <c r="C1286" s="110" t="s">
        <v>1332</v>
      </c>
      <c r="D1286" s="110" t="s">
        <v>1332</v>
      </c>
      <c r="E1286" s="110" t="s">
        <v>570</v>
      </c>
      <c r="F1286" s="110" t="s">
        <v>119</v>
      </c>
      <c r="G1286" s="110" t="s">
        <v>114</v>
      </c>
      <c r="H1286" s="111">
        <v>965</v>
      </c>
      <c r="I1286" s="111">
        <v>905</v>
      </c>
      <c r="J1286" s="111">
        <v>927</v>
      </c>
      <c r="K1286" s="111">
        <f t="shared" si="183"/>
        <v>932.33333333333337</v>
      </c>
      <c r="L1286" s="111">
        <f>300000</f>
        <v>300000</v>
      </c>
      <c r="M1286" s="111">
        <f t="shared" si="184"/>
        <v>135000</v>
      </c>
      <c r="N1286" s="111">
        <f t="shared" si="185"/>
        <v>135000</v>
      </c>
      <c r="O1286" s="111">
        <f t="shared" si="186"/>
        <v>27000</v>
      </c>
      <c r="P1286" s="111">
        <f t="shared" si="187"/>
        <v>30000</v>
      </c>
      <c r="Q1286" s="111">
        <v>60000</v>
      </c>
      <c r="R1286" s="111">
        <v>6</v>
      </c>
      <c r="S1286" s="111">
        <f t="shared" si="188"/>
        <v>6000</v>
      </c>
      <c r="T1286" s="111">
        <f t="shared" si="189"/>
        <v>360000</v>
      </c>
      <c r="U1286" s="111">
        <f t="shared" si="190"/>
        <v>3600</v>
      </c>
      <c r="V1286" s="111">
        <f t="shared" si="191"/>
        <v>363600</v>
      </c>
      <c r="W1286" t="s">
        <v>3745</v>
      </c>
    </row>
    <row r="1287" spans="1:23" x14ac:dyDescent="0.3">
      <c r="A1287" s="110">
        <v>1690448</v>
      </c>
      <c r="B1287" s="110" t="s">
        <v>1332</v>
      </c>
      <c r="C1287" s="110" t="s">
        <v>1332</v>
      </c>
      <c r="D1287" s="110" t="s">
        <v>1332</v>
      </c>
      <c r="E1287" s="110" t="s">
        <v>1483</v>
      </c>
      <c r="F1287" s="110" t="s">
        <v>119</v>
      </c>
      <c r="G1287" s="110" t="s">
        <v>114</v>
      </c>
      <c r="H1287" s="111">
        <v>505</v>
      </c>
      <c r="I1287" s="111">
        <v>563</v>
      </c>
      <c r="J1287" s="111">
        <v>552</v>
      </c>
      <c r="K1287" s="111">
        <f t="shared" si="183"/>
        <v>540</v>
      </c>
      <c r="L1287" s="111">
        <f>300000</f>
        <v>300000</v>
      </c>
      <c r="M1287" s="111">
        <f t="shared" si="184"/>
        <v>135000</v>
      </c>
      <c r="N1287" s="111">
        <f t="shared" si="185"/>
        <v>135000</v>
      </c>
      <c r="O1287" s="111">
        <f t="shared" si="186"/>
        <v>27000</v>
      </c>
      <c r="P1287" s="111">
        <f t="shared" si="187"/>
        <v>30000</v>
      </c>
      <c r="Q1287" s="111">
        <v>60000</v>
      </c>
      <c r="R1287" s="111">
        <v>6</v>
      </c>
      <c r="S1287" s="111">
        <f t="shared" si="188"/>
        <v>6000</v>
      </c>
      <c r="T1287" s="111">
        <f t="shared" si="189"/>
        <v>360000</v>
      </c>
      <c r="U1287" s="111">
        <f t="shared" si="190"/>
        <v>3600</v>
      </c>
      <c r="V1287" s="111">
        <f t="shared" si="191"/>
        <v>363600</v>
      </c>
      <c r="W1287" t="s">
        <v>3746</v>
      </c>
    </row>
    <row r="1288" spans="1:23" x14ac:dyDescent="0.3">
      <c r="A1288" s="110">
        <v>1690449</v>
      </c>
      <c r="B1288" s="110" t="s">
        <v>1332</v>
      </c>
      <c r="C1288" s="110" t="s">
        <v>1332</v>
      </c>
      <c r="D1288" s="110" t="s">
        <v>1332</v>
      </c>
      <c r="E1288" s="110" t="s">
        <v>1484</v>
      </c>
      <c r="F1288" s="110" t="s">
        <v>122</v>
      </c>
      <c r="G1288" s="110" t="s">
        <v>114</v>
      </c>
      <c r="H1288" s="111">
        <v>1337</v>
      </c>
      <c r="I1288" s="111">
        <v>1325</v>
      </c>
      <c r="J1288" s="111">
        <v>1326</v>
      </c>
      <c r="K1288" s="111">
        <f t="shared" si="183"/>
        <v>1329.3333333333333</v>
      </c>
      <c r="L1288" s="111">
        <f>600000*0.7</f>
        <v>420000</v>
      </c>
      <c r="M1288" s="111">
        <f t="shared" si="184"/>
        <v>189000</v>
      </c>
      <c r="N1288" s="111">
        <f t="shared" si="185"/>
        <v>189000</v>
      </c>
      <c r="O1288" s="111">
        <f t="shared" si="186"/>
        <v>37800</v>
      </c>
      <c r="P1288" s="111">
        <f t="shared" si="187"/>
        <v>42000</v>
      </c>
      <c r="Q1288" s="111">
        <v>80000</v>
      </c>
      <c r="R1288" s="111">
        <v>8</v>
      </c>
      <c r="S1288" s="111">
        <f t="shared" si="188"/>
        <v>8000</v>
      </c>
      <c r="T1288" s="111">
        <f t="shared" si="189"/>
        <v>500000</v>
      </c>
      <c r="U1288" s="111">
        <f t="shared" si="190"/>
        <v>5000</v>
      </c>
      <c r="V1288" s="111">
        <f t="shared" si="191"/>
        <v>505000</v>
      </c>
      <c r="W1288" t="s">
        <v>3747</v>
      </c>
    </row>
    <row r="1289" spans="1:23" x14ac:dyDescent="0.3">
      <c r="A1289" s="110">
        <v>1690450</v>
      </c>
      <c r="B1289" s="110" t="s">
        <v>1332</v>
      </c>
      <c r="C1289" s="110" t="s">
        <v>1332</v>
      </c>
      <c r="D1289" s="110" t="s">
        <v>1332</v>
      </c>
      <c r="E1289" s="110" t="s">
        <v>1485</v>
      </c>
      <c r="F1289" s="110" t="s">
        <v>122</v>
      </c>
      <c r="G1289" s="110" t="s">
        <v>114</v>
      </c>
      <c r="H1289" s="111">
        <v>1189</v>
      </c>
      <c r="I1289" s="111">
        <v>1185</v>
      </c>
      <c r="J1289" s="111">
        <v>1186</v>
      </c>
      <c r="K1289" s="111">
        <f t="shared" si="183"/>
        <v>1186.6666666666667</v>
      </c>
      <c r="L1289" s="111">
        <f>600000*0.7</f>
        <v>420000</v>
      </c>
      <c r="M1289" s="111">
        <f t="shared" si="184"/>
        <v>189000</v>
      </c>
      <c r="N1289" s="111">
        <f t="shared" si="185"/>
        <v>189000</v>
      </c>
      <c r="O1289" s="111">
        <f t="shared" si="186"/>
        <v>37800</v>
      </c>
      <c r="P1289" s="111">
        <f t="shared" si="187"/>
        <v>42000</v>
      </c>
      <c r="Q1289" s="111">
        <v>80000</v>
      </c>
      <c r="R1289" s="111">
        <v>8</v>
      </c>
      <c r="S1289" s="111">
        <f t="shared" si="188"/>
        <v>8000</v>
      </c>
      <c r="T1289" s="111">
        <f t="shared" si="189"/>
        <v>500000</v>
      </c>
      <c r="U1289" s="111">
        <f t="shared" si="190"/>
        <v>5000</v>
      </c>
      <c r="V1289" s="111">
        <f t="shared" si="191"/>
        <v>505000</v>
      </c>
      <c r="W1289" t="s">
        <v>3748</v>
      </c>
    </row>
    <row r="1290" spans="1:23" x14ac:dyDescent="0.3">
      <c r="A1290" s="110">
        <v>1690451</v>
      </c>
      <c r="B1290" s="110" t="s">
        <v>1332</v>
      </c>
      <c r="C1290" s="110" t="s">
        <v>1332</v>
      </c>
      <c r="D1290" s="110" t="s">
        <v>1332</v>
      </c>
      <c r="E1290" s="110" t="s">
        <v>1486</v>
      </c>
      <c r="F1290" s="110" t="s">
        <v>122</v>
      </c>
      <c r="G1290" s="110" t="s">
        <v>114</v>
      </c>
      <c r="H1290" s="111">
        <v>1021</v>
      </c>
      <c r="I1290" s="111">
        <v>1020</v>
      </c>
      <c r="J1290" s="111">
        <v>1039</v>
      </c>
      <c r="K1290" s="111">
        <f t="shared" si="183"/>
        <v>1026.6666666666667</v>
      </c>
      <c r="L1290" s="111">
        <f>600000</f>
        <v>600000</v>
      </c>
      <c r="M1290" s="111">
        <f t="shared" si="184"/>
        <v>270000</v>
      </c>
      <c r="N1290" s="111">
        <f t="shared" si="185"/>
        <v>270000</v>
      </c>
      <c r="O1290" s="111">
        <f t="shared" si="186"/>
        <v>54000</v>
      </c>
      <c r="P1290" s="111">
        <f t="shared" si="187"/>
        <v>60000</v>
      </c>
      <c r="Q1290" s="111">
        <v>80000</v>
      </c>
      <c r="R1290" s="111">
        <v>8</v>
      </c>
      <c r="S1290" s="111">
        <f t="shared" si="188"/>
        <v>8000</v>
      </c>
      <c r="T1290" s="111">
        <f t="shared" si="189"/>
        <v>680000</v>
      </c>
      <c r="U1290" s="111">
        <f t="shared" si="190"/>
        <v>6800</v>
      </c>
      <c r="V1290" s="111">
        <f t="shared" si="191"/>
        <v>686800</v>
      </c>
      <c r="W1290" t="s">
        <v>3749</v>
      </c>
    </row>
    <row r="1291" spans="1:23" x14ac:dyDescent="0.3">
      <c r="A1291" s="110">
        <v>1690472</v>
      </c>
      <c r="B1291" s="110" t="s">
        <v>1332</v>
      </c>
      <c r="C1291" s="110" t="s">
        <v>1332</v>
      </c>
      <c r="D1291" s="110" t="s">
        <v>1332</v>
      </c>
      <c r="E1291" s="110" t="s">
        <v>1487</v>
      </c>
      <c r="F1291" s="110" t="s">
        <v>117</v>
      </c>
      <c r="G1291" s="110" t="s">
        <v>114</v>
      </c>
      <c r="H1291" s="111">
        <v>727</v>
      </c>
      <c r="I1291" s="111">
        <v>779</v>
      </c>
      <c r="J1291" s="111">
        <v>833</v>
      </c>
      <c r="K1291" s="111">
        <f t="shared" si="183"/>
        <v>779.66666666666663</v>
      </c>
      <c r="L1291" s="111">
        <f>300000*0.7</f>
        <v>210000</v>
      </c>
      <c r="M1291" s="111">
        <f t="shared" si="184"/>
        <v>94500</v>
      </c>
      <c r="N1291" s="111">
        <f t="shared" si="185"/>
        <v>94500</v>
      </c>
      <c r="O1291" s="111">
        <f t="shared" si="186"/>
        <v>18900</v>
      </c>
      <c r="P1291" s="111">
        <f t="shared" si="187"/>
        <v>21000</v>
      </c>
      <c r="Q1291" s="111">
        <v>60000</v>
      </c>
      <c r="R1291" s="111">
        <v>6</v>
      </c>
      <c r="S1291" s="111">
        <f t="shared" si="188"/>
        <v>6000</v>
      </c>
      <c r="T1291" s="111">
        <f t="shared" si="189"/>
        <v>270000</v>
      </c>
      <c r="U1291" s="111">
        <f t="shared" si="190"/>
        <v>2700</v>
      </c>
      <c r="V1291" s="111">
        <f t="shared" si="191"/>
        <v>272700</v>
      </c>
      <c r="W1291" t="s">
        <v>3750</v>
      </c>
    </row>
    <row r="1292" spans="1:23" x14ac:dyDescent="0.3">
      <c r="A1292" s="110">
        <v>1690473</v>
      </c>
      <c r="B1292" s="110" t="s">
        <v>1332</v>
      </c>
      <c r="C1292" s="110" t="s">
        <v>1332</v>
      </c>
      <c r="D1292" s="110" t="s">
        <v>1332</v>
      </c>
      <c r="E1292" s="110" t="s">
        <v>1488</v>
      </c>
      <c r="F1292" s="110" t="s">
        <v>117</v>
      </c>
      <c r="G1292" s="110" t="s">
        <v>125</v>
      </c>
      <c r="H1292" s="111">
        <v>287</v>
      </c>
      <c r="I1292" s="111">
        <v>288</v>
      </c>
      <c r="J1292" s="111">
        <v>316</v>
      </c>
      <c r="K1292" s="111">
        <f t="shared" si="183"/>
        <v>297</v>
      </c>
      <c r="L1292" s="111">
        <f>200000*0.7</f>
        <v>140000</v>
      </c>
      <c r="M1292" s="111">
        <f t="shared" si="184"/>
        <v>63000</v>
      </c>
      <c r="N1292" s="111">
        <f t="shared" si="185"/>
        <v>63000</v>
      </c>
      <c r="O1292" s="111">
        <f t="shared" si="186"/>
        <v>12600</v>
      </c>
      <c r="P1292" s="111">
        <f t="shared" si="187"/>
        <v>14000</v>
      </c>
      <c r="Q1292" s="111">
        <v>50000</v>
      </c>
      <c r="R1292" s="111">
        <v>5</v>
      </c>
      <c r="S1292" s="111">
        <f t="shared" si="188"/>
        <v>5000</v>
      </c>
      <c r="T1292" s="111">
        <f t="shared" si="189"/>
        <v>190000</v>
      </c>
      <c r="U1292" s="111">
        <f t="shared" si="190"/>
        <v>1900</v>
      </c>
      <c r="V1292" s="111">
        <f t="shared" si="191"/>
        <v>191900</v>
      </c>
      <c r="W1292" t="s">
        <v>3751</v>
      </c>
    </row>
    <row r="1293" spans="1:23" x14ac:dyDescent="0.3">
      <c r="A1293" s="110">
        <v>1690542</v>
      </c>
      <c r="B1293" s="110" t="s">
        <v>1332</v>
      </c>
      <c r="C1293" s="110" t="s">
        <v>1332</v>
      </c>
      <c r="D1293" s="110" t="s">
        <v>1332</v>
      </c>
      <c r="E1293" s="110" t="s">
        <v>1489</v>
      </c>
      <c r="F1293" s="110" t="s">
        <v>119</v>
      </c>
      <c r="G1293" s="110" t="s">
        <v>114</v>
      </c>
      <c r="H1293" s="111">
        <v>457</v>
      </c>
      <c r="I1293" s="111">
        <v>446</v>
      </c>
      <c r="J1293" s="111">
        <v>460</v>
      </c>
      <c r="K1293" s="111">
        <f t="shared" si="183"/>
        <v>454.33333333333331</v>
      </c>
      <c r="L1293" s="111">
        <f>300000</f>
        <v>300000</v>
      </c>
      <c r="M1293" s="111">
        <f t="shared" si="184"/>
        <v>135000</v>
      </c>
      <c r="N1293" s="111">
        <f t="shared" si="185"/>
        <v>135000</v>
      </c>
      <c r="O1293" s="111">
        <f t="shared" si="186"/>
        <v>27000</v>
      </c>
      <c r="P1293" s="111">
        <f t="shared" si="187"/>
        <v>30000</v>
      </c>
      <c r="Q1293" s="111">
        <v>60000</v>
      </c>
      <c r="R1293" s="111">
        <v>6</v>
      </c>
      <c r="S1293" s="111">
        <f t="shared" si="188"/>
        <v>6000</v>
      </c>
      <c r="T1293" s="111">
        <f t="shared" si="189"/>
        <v>360000</v>
      </c>
      <c r="U1293" s="111">
        <f t="shared" si="190"/>
        <v>3600</v>
      </c>
      <c r="V1293" s="111">
        <f t="shared" si="191"/>
        <v>363600</v>
      </c>
      <c r="W1293" t="s">
        <v>3752</v>
      </c>
    </row>
    <row r="1294" spans="1:23" x14ac:dyDescent="0.3">
      <c r="A1294" s="110">
        <v>1690543</v>
      </c>
      <c r="B1294" s="110" t="s">
        <v>1332</v>
      </c>
      <c r="C1294" s="110" t="s">
        <v>1332</v>
      </c>
      <c r="D1294" s="110" t="s">
        <v>1332</v>
      </c>
      <c r="E1294" s="110" t="s">
        <v>1490</v>
      </c>
      <c r="F1294" s="110" t="s">
        <v>209</v>
      </c>
      <c r="G1294" s="110" t="s">
        <v>114</v>
      </c>
      <c r="H1294" s="111">
        <v>261</v>
      </c>
      <c r="I1294" s="111">
        <v>264</v>
      </c>
      <c r="J1294" s="111">
        <v>260</v>
      </c>
      <c r="K1294" s="111">
        <f t="shared" si="183"/>
        <v>261.66666666666669</v>
      </c>
      <c r="L1294" s="111">
        <v>200000</v>
      </c>
      <c r="M1294" s="111">
        <f t="shared" si="184"/>
        <v>90000</v>
      </c>
      <c r="N1294" s="111">
        <f t="shared" si="185"/>
        <v>90000</v>
      </c>
      <c r="O1294" s="111">
        <f t="shared" si="186"/>
        <v>18000</v>
      </c>
      <c r="P1294" s="111">
        <f t="shared" si="187"/>
        <v>20000</v>
      </c>
      <c r="Q1294" s="111">
        <v>50000</v>
      </c>
      <c r="R1294" s="111">
        <v>5</v>
      </c>
      <c r="S1294" s="111">
        <f t="shared" si="188"/>
        <v>5000</v>
      </c>
      <c r="T1294" s="111">
        <f t="shared" si="189"/>
        <v>250000</v>
      </c>
      <c r="U1294" s="111">
        <f t="shared" si="190"/>
        <v>2500</v>
      </c>
      <c r="V1294" s="111">
        <f t="shared" si="191"/>
        <v>252500</v>
      </c>
      <c r="W1294" t="s">
        <v>3753</v>
      </c>
    </row>
    <row r="1295" spans="1:23" x14ac:dyDescent="0.3">
      <c r="A1295" s="110">
        <v>1690544</v>
      </c>
      <c r="B1295" s="110" t="s">
        <v>1332</v>
      </c>
      <c r="C1295" s="110" t="s">
        <v>1332</v>
      </c>
      <c r="D1295" s="110" t="s">
        <v>1332</v>
      </c>
      <c r="E1295" s="110" t="s">
        <v>1491</v>
      </c>
      <c r="F1295" s="110" t="s">
        <v>113</v>
      </c>
      <c r="G1295" s="110" t="s">
        <v>114</v>
      </c>
      <c r="H1295" s="111">
        <v>955</v>
      </c>
      <c r="I1295" s="111">
        <v>948</v>
      </c>
      <c r="J1295" s="111">
        <v>983</v>
      </c>
      <c r="K1295" s="111">
        <f t="shared" si="183"/>
        <v>962</v>
      </c>
      <c r="L1295" s="111">
        <f>300000</f>
        <v>300000</v>
      </c>
      <c r="M1295" s="111">
        <f t="shared" si="184"/>
        <v>135000</v>
      </c>
      <c r="N1295" s="111">
        <f t="shared" si="185"/>
        <v>135000</v>
      </c>
      <c r="O1295" s="111">
        <f t="shared" si="186"/>
        <v>27000</v>
      </c>
      <c r="P1295" s="111">
        <f t="shared" si="187"/>
        <v>30000</v>
      </c>
      <c r="Q1295" s="111">
        <v>60000</v>
      </c>
      <c r="R1295" s="111">
        <v>6</v>
      </c>
      <c r="S1295" s="111">
        <f t="shared" si="188"/>
        <v>6000</v>
      </c>
      <c r="T1295" s="111">
        <f t="shared" si="189"/>
        <v>360000</v>
      </c>
      <c r="U1295" s="111">
        <f t="shared" si="190"/>
        <v>3600</v>
      </c>
      <c r="V1295" s="111">
        <f t="shared" si="191"/>
        <v>363600</v>
      </c>
      <c r="W1295" t="s">
        <v>3754</v>
      </c>
    </row>
    <row r="1296" spans="1:23" x14ac:dyDescent="0.3">
      <c r="A1296" s="110">
        <v>1690545</v>
      </c>
      <c r="B1296" s="110" t="s">
        <v>1332</v>
      </c>
      <c r="C1296" s="110" t="s">
        <v>1332</v>
      </c>
      <c r="D1296" s="110" t="s">
        <v>1332</v>
      </c>
      <c r="E1296" s="110" t="s">
        <v>551</v>
      </c>
      <c r="F1296" s="110" t="s">
        <v>113</v>
      </c>
      <c r="G1296" s="110" t="s">
        <v>114</v>
      </c>
      <c r="H1296" s="111">
        <v>213</v>
      </c>
      <c r="I1296" s="111">
        <v>230</v>
      </c>
      <c r="J1296" s="111">
        <v>223</v>
      </c>
      <c r="K1296" s="111">
        <f t="shared" si="183"/>
        <v>222</v>
      </c>
      <c r="L1296" s="111">
        <v>200000</v>
      </c>
      <c r="M1296" s="111">
        <f t="shared" si="184"/>
        <v>90000</v>
      </c>
      <c r="N1296" s="111">
        <f t="shared" si="185"/>
        <v>90000</v>
      </c>
      <c r="O1296" s="111">
        <f t="shared" si="186"/>
        <v>18000</v>
      </c>
      <c r="P1296" s="111">
        <f t="shared" si="187"/>
        <v>20000</v>
      </c>
      <c r="Q1296" s="111">
        <v>50000</v>
      </c>
      <c r="R1296" s="111">
        <v>5</v>
      </c>
      <c r="S1296" s="111">
        <f t="shared" si="188"/>
        <v>5000</v>
      </c>
      <c r="T1296" s="111">
        <f t="shared" si="189"/>
        <v>250000</v>
      </c>
      <c r="U1296" s="111">
        <f t="shared" si="190"/>
        <v>2500</v>
      </c>
      <c r="V1296" s="111">
        <f t="shared" si="191"/>
        <v>252500</v>
      </c>
      <c r="W1296" t="s">
        <v>3755</v>
      </c>
    </row>
    <row r="1297" spans="1:23" x14ac:dyDescent="0.3">
      <c r="A1297" s="110">
        <v>1690546</v>
      </c>
      <c r="B1297" s="110" t="s">
        <v>1332</v>
      </c>
      <c r="C1297" s="110" t="s">
        <v>1332</v>
      </c>
      <c r="D1297" s="110" t="s">
        <v>1332</v>
      </c>
      <c r="E1297" s="110" t="s">
        <v>561</v>
      </c>
      <c r="F1297" s="110" t="s">
        <v>113</v>
      </c>
      <c r="G1297" s="110" t="s">
        <v>114</v>
      </c>
      <c r="H1297" s="111">
        <v>472</v>
      </c>
      <c r="I1297" s="111">
        <v>472</v>
      </c>
      <c r="J1297" s="111">
        <v>478</v>
      </c>
      <c r="K1297" s="111">
        <f t="shared" si="183"/>
        <v>474</v>
      </c>
      <c r="L1297" s="111">
        <f>300000</f>
        <v>300000</v>
      </c>
      <c r="M1297" s="111">
        <f t="shared" si="184"/>
        <v>135000</v>
      </c>
      <c r="N1297" s="111">
        <f t="shared" si="185"/>
        <v>135000</v>
      </c>
      <c r="O1297" s="111">
        <f t="shared" si="186"/>
        <v>27000</v>
      </c>
      <c r="P1297" s="111">
        <f t="shared" si="187"/>
        <v>30000</v>
      </c>
      <c r="Q1297" s="111">
        <v>60000</v>
      </c>
      <c r="R1297" s="111">
        <v>6</v>
      </c>
      <c r="S1297" s="111">
        <f t="shared" si="188"/>
        <v>6000</v>
      </c>
      <c r="T1297" s="111">
        <f t="shared" si="189"/>
        <v>360000</v>
      </c>
      <c r="U1297" s="111">
        <f t="shared" si="190"/>
        <v>3600</v>
      </c>
      <c r="V1297" s="111">
        <f t="shared" si="191"/>
        <v>363600</v>
      </c>
      <c r="W1297" t="s">
        <v>3756</v>
      </c>
    </row>
    <row r="1298" spans="1:23" x14ac:dyDescent="0.3">
      <c r="A1298" s="110">
        <v>1690547</v>
      </c>
      <c r="B1298" s="110" t="s">
        <v>1332</v>
      </c>
      <c r="C1298" s="110" t="s">
        <v>1332</v>
      </c>
      <c r="D1298" s="110" t="s">
        <v>1332</v>
      </c>
      <c r="E1298" s="110" t="s">
        <v>1492</v>
      </c>
      <c r="F1298" s="110" t="s">
        <v>113</v>
      </c>
      <c r="G1298" s="110" t="s">
        <v>114</v>
      </c>
      <c r="H1298" s="111">
        <v>698</v>
      </c>
      <c r="I1298" s="111">
        <v>671</v>
      </c>
      <c r="J1298" s="111">
        <v>656</v>
      </c>
      <c r="K1298" s="111">
        <f t="shared" si="183"/>
        <v>675</v>
      </c>
      <c r="L1298" s="111">
        <f>300000</f>
        <v>300000</v>
      </c>
      <c r="M1298" s="111">
        <f t="shared" si="184"/>
        <v>135000</v>
      </c>
      <c r="N1298" s="111">
        <f t="shared" si="185"/>
        <v>135000</v>
      </c>
      <c r="O1298" s="111">
        <f t="shared" si="186"/>
        <v>27000</v>
      </c>
      <c r="P1298" s="111">
        <f t="shared" si="187"/>
        <v>30000</v>
      </c>
      <c r="Q1298" s="111">
        <v>60000</v>
      </c>
      <c r="R1298" s="111">
        <v>6</v>
      </c>
      <c r="S1298" s="111">
        <f t="shared" si="188"/>
        <v>6000</v>
      </c>
      <c r="T1298" s="111">
        <f t="shared" si="189"/>
        <v>360000</v>
      </c>
      <c r="U1298" s="111">
        <f t="shared" si="190"/>
        <v>3600</v>
      </c>
      <c r="V1298" s="111">
        <f t="shared" si="191"/>
        <v>363600</v>
      </c>
      <c r="W1298" t="s">
        <v>3757</v>
      </c>
    </row>
    <row r="1299" spans="1:23" x14ac:dyDescent="0.3">
      <c r="A1299" s="110">
        <v>1690549</v>
      </c>
      <c r="B1299" s="110" t="s">
        <v>1332</v>
      </c>
      <c r="C1299" s="110" t="s">
        <v>1332</v>
      </c>
      <c r="D1299" s="110" t="s">
        <v>1332</v>
      </c>
      <c r="E1299" s="110" t="s">
        <v>1493</v>
      </c>
      <c r="F1299" s="110" t="s">
        <v>119</v>
      </c>
      <c r="G1299" s="110" t="s">
        <v>114</v>
      </c>
      <c r="H1299" s="111">
        <v>371</v>
      </c>
      <c r="I1299" s="111">
        <v>427</v>
      </c>
      <c r="J1299" s="111">
        <v>465</v>
      </c>
      <c r="K1299" s="111">
        <f t="shared" si="183"/>
        <v>421</v>
      </c>
      <c r="L1299" s="111">
        <f>300000</f>
        <v>300000</v>
      </c>
      <c r="M1299" s="111">
        <f t="shared" si="184"/>
        <v>135000</v>
      </c>
      <c r="N1299" s="111">
        <f t="shared" si="185"/>
        <v>135000</v>
      </c>
      <c r="O1299" s="111">
        <f t="shared" si="186"/>
        <v>27000</v>
      </c>
      <c r="P1299" s="111">
        <f t="shared" si="187"/>
        <v>30000</v>
      </c>
      <c r="Q1299" s="111">
        <v>60000</v>
      </c>
      <c r="R1299" s="111">
        <v>6</v>
      </c>
      <c r="S1299" s="111">
        <f t="shared" si="188"/>
        <v>6000</v>
      </c>
      <c r="T1299" s="111">
        <f t="shared" si="189"/>
        <v>360000</v>
      </c>
      <c r="U1299" s="111">
        <f t="shared" si="190"/>
        <v>3600</v>
      </c>
      <c r="V1299" s="111">
        <f t="shared" si="191"/>
        <v>363600</v>
      </c>
      <c r="W1299" t="s">
        <v>3758</v>
      </c>
    </row>
    <row r="1300" spans="1:23" x14ac:dyDescent="0.3">
      <c r="A1300" s="110">
        <v>1690550</v>
      </c>
      <c r="B1300" s="110" t="s">
        <v>1332</v>
      </c>
      <c r="C1300" s="110" t="s">
        <v>1332</v>
      </c>
      <c r="D1300" s="110" t="s">
        <v>1332</v>
      </c>
      <c r="E1300" s="110" t="s">
        <v>1494</v>
      </c>
      <c r="F1300" s="110" t="s">
        <v>119</v>
      </c>
      <c r="G1300" s="110" t="s">
        <v>114</v>
      </c>
      <c r="H1300" s="111">
        <v>1101</v>
      </c>
      <c r="I1300" s="111">
        <v>1159</v>
      </c>
      <c r="J1300" s="111">
        <v>1206</v>
      </c>
      <c r="K1300" s="111">
        <f t="shared" si="183"/>
        <v>1155.3333333333333</v>
      </c>
      <c r="L1300" s="111">
        <f>600000</f>
        <v>600000</v>
      </c>
      <c r="M1300" s="111">
        <f t="shared" si="184"/>
        <v>270000</v>
      </c>
      <c r="N1300" s="111">
        <f t="shared" si="185"/>
        <v>270000</v>
      </c>
      <c r="O1300" s="111">
        <f t="shared" si="186"/>
        <v>54000</v>
      </c>
      <c r="P1300" s="111">
        <f t="shared" si="187"/>
        <v>60000</v>
      </c>
      <c r="Q1300" s="111">
        <v>80000</v>
      </c>
      <c r="R1300" s="111">
        <v>8</v>
      </c>
      <c r="S1300" s="111">
        <f t="shared" si="188"/>
        <v>8000</v>
      </c>
      <c r="T1300" s="111">
        <f t="shared" si="189"/>
        <v>680000</v>
      </c>
      <c r="U1300" s="111">
        <f t="shared" si="190"/>
        <v>6800</v>
      </c>
      <c r="V1300" s="111">
        <f t="shared" si="191"/>
        <v>686800</v>
      </c>
      <c r="W1300" t="s">
        <v>3759</v>
      </c>
    </row>
    <row r="1301" spans="1:23" x14ac:dyDescent="0.3">
      <c r="A1301" s="110">
        <v>1690571</v>
      </c>
      <c r="B1301" s="110" t="s">
        <v>1332</v>
      </c>
      <c r="C1301" s="110" t="s">
        <v>1332</v>
      </c>
      <c r="D1301" s="110" t="s">
        <v>1332</v>
      </c>
      <c r="E1301" s="110" t="s">
        <v>1495</v>
      </c>
      <c r="F1301" s="110" t="s">
        <v>135</v>
      </c>
      <c r="G1301" s="110" t="s">
        <v>125</v>
      </c>
      <c r="H1301" s="111">
        <v>116</v>
      </c>
      <c r="I1301" s="111">
        <v>114</v>
      </c>
      <c r="J1301" s="111">
        <v>122</v>
      </c>
      <c r="K1301" s="111">
        <f t="shared" si="183"/>
        <v>117.33333333333333</v>
      </c>
      <c r="L1301" s="111">
        <v>150000</v>
      </c>
      <c r="M1301" s="111">
        <f t="shared" si="184"/>
        <v>67500</v>
      </c>
      <c r="N1301" s="111">
        <f t="shared" si="185"/>
        <v>67500</v>
      </c>
      <c r="O1301" s="111">
        <f t="shared" si="186"/>
        <v>13500</v>
      </c>
      <c r="P1301" s="111">
        <f t="shared" si="187"/>
        <v>15000</v>
      </c>
      <c r="Q1301" s="111">
        <v>30000</v>
      </c>
      <c r="R1301" s="111">
        <v>3</v>
      </c>
      <c r="S1301" s="111">
        <f t="shared" si="188"/>
        <v>3000</v>
      </c>
      <c r="T1301" s="111">
        <f t="shared" si="189"/>
        <v>180000</v>
      </c>
      <c r="U1301" s="111">
        <f t="shared" si="190"/>
        <v>1800</v>
      </c>
      <c r="V1301" s="111">
        <f t="shared" si="191"/>
        <v>181800</v>
      </c>
      <c r="W1301" t="s">
        <v>3760</v>
      </c>
    </row>
    <row r="1302" spans="1:23" x14ac:dyDescent="0.3">
      <c r="A1302" s="110">
        <v>1690572</v>
      </c>
      <c r="B1302" s="110" t="s">
        <v>1332</v>
      </c>
      <c r="C1302" s="110" t="s">
        <v>1332</v>
      </c>
      <c r="D1302" s="110" t="s">
        <v>1332</v>
      </c>
      <c r="E1302" s="110" t="s">
        <v>1496</v>
      </c>
      <c r="F1302" s="110" t="s">
        <v>117</v>
      </c>
      <c r="G1302" s="110" t="s">
        <v>125</v>
      </c>
      <c r="H1302" s="111">
        <v>565</v>
      </c>
      <c r="I1302" s="111">
        <v>620</v>
      </c>
      <c r="J1302" s="111">
        <v>682</v>
      </c>
      <c r="K1302" s="111">
        <f t="shared" si="183"/>
        <v>622.33333333333337</v>
      </c>
      <c r="L1302" s="111">
        <f>300000</f>
        <v>300000</v>
      </c>
      <c r="M1302" s="111">
        <f t="shared" si="184"/>
        <v>135000</v>
      </c>
      <c r="N1302" s="111">
        <f t="shared" si="185"/>
        <v>135000</v>
      </c>
      <c r="O1302" s="111">
        <f t="shared" si="186"/>
        <v>27000</v>
      </c>
      <c r="P1302" s="111">
        <f t="shared" si="187"/>
        <v>30000</v>
      </c>
      <c r="Q1302" s="111">
        <v>60000</v>
      </c>
      <c r="R1302" s="111">
        <v>6</v>
      </c>
      <c r="S1302" s="111">
        <f t="shared" si="188"/>
        <v>6000</v>
      </c>
      <c r="T1302" s="111">
        <f t="shared" si="189"/>
        <v>360000</v>
      </c>
      <c r="U1302" s="111">
        <f t="shared" si="190"/>
        <v>3600</v>
      </c>
      <c r="V1302" s="111">
        <f t="shared" si="191"/>
        <v>363600</v>
      </c>
      <c r="W1302" t="s">
        <v>3761</v>
      </c>
    </row>
    <row r="1303" spans="1:23" x14ac:dyDescent="0.3">
      <c r="A1303" s="110">
        <v>1690573</v>
      </c>
      <c r="B1303" s="110" t="s">
        <v>1332</v>
      </c>
      <c r="C1303" s="110" t="s">
        <v>1332</v>
      </c>
      <c r="D1303" s="110" t="s">
        <v>1332</v>
      </c>
      <c r="E1303" s="110" t="s">
        <v>1497</v>
      </c>
      <c r="F1303" s="110" t="s">
        <v>117</v>
      </c>
      <c r="G1303" s="110" t="s">
        <v>125</v>
      </c>
      <c r="H1303" s="111">
        <v>152</v>
      </c>
      <c r="I1303" s="111">
        <v>175</v>
      </c>
      <c r="J1303" s="111">
        <v>188</v>
      </c>
      <c r="K1303" s="111">
        <f t="shared" si="183"/>
        <v>171.66666666666666</v>
      </c>
      <c r="L1303" s="111">
        <v>150000</v>
      </c>
      <c r="M1303" s="111">
        <f t="shared" si="184"/>
        <v>67500</v>
      </c>
      <c r="N1303" s="111">
        <f t="shared" si="185"/>
        <v>67500</v>
      </c>
      <c r="O1303" s="111">
        <f t="shared" si="186"/>
        <v>13500</v>
      </c>
      <c r="P1303" s="111">
        <f t="shared" si="187"/>
        <v>15000</v>
      </c>
      <c r="Q1303" s="111">
        <v>30000</v>
      </c>
      <c r="R1303" s="111">
        <v>3</v>
      </c>
      <c r="S1303" s="111">
        <f t="shared" si="188"/>
        <v>3000</v>
      </c>
      <c r="T1303" s="111">
        <f t="shared" si="189"/>
        <v>180000</v>
      </c>
      <c r="U1303" s="111">
        <f t="shared" si="190"/>
        <v>1800</v>
      </c>
      <c r="V1303" s="111">
        <f t="shared" si="191"/>
        <v>181800</v>
      </c>
      <c r="W1303" t="s">
        <v>3762</v>
      </c>
    </row>
    <row r="1304" spans="1:23" x14ac:dyDescent="0.3">
      <c r="A1304" s="110">
        <v>1690642</v>
      </c>
      <c r="B1304" s="110" t="s">
        <v>1332</v>
      </c>
      <c r="C1304" s="110" t="s">
        <v>1332</v>
      </c>
      <c r="D1304" s="110" t="s">
        <v>1332</v>
      </c>
      <c r="E1304" s="110" t="s">
        <v>1498</v>
      </c>
      <c r="F1304" s="110" t="s">
        <v>119</v>
      </c>
      <c r="G1304" s="110" t="s">
        <v>114</v>
      </c>
      <c r="H1304" s="111">
        <v>876</v>
      </c>
      <c r="I1304" s="111">
        <v>897</v>
      </c>
      <c r="J1304" s="111">
        <v>980</v>
      </c>
      <c r="K1304" s="111">
        <f t="shared" si="183"/>
        <v>917.66666666666663</v>
      </c>
      <c r="L1304" s="111">
        <f>300000</f>
        <v>300000</v>
      </c>
      <c r="M1304" s="111">
        <f t="shared" si="184"/>
        <v>135000</v>
      </c>
      <c r="N1304" s="111">
        <f t="shared" si="185"/>
        <v>135000</v>
      </c>
      <c r="O1304" s="111">
        <f t="shared" si="186"/>
        <v>27000</v>
      </c>
      <c r="P1304" s="111">
        <f t="shared" si="187"/>
        <v>30000</v>
      </c>
      <c r="Q1304" s="111">
        <v>60000</v>
      </c>
      <c r="R1304" s="111">
        <v>6</v>
      </c>
      <c r="S1304" s="111">
        <f t="shared" si="188"/>
        <v>6000</v>
      </c>
      <c r="T1304" s="111">
        <f t="shared" si="189"/>
        <v>360000</v>
      </c>
      <c r="U1304" s="111">
        <f t="shared" si="190"/>
        <v>3600</v>
      </c>
      <c r="V1304" s="111">
        <f t="shared" si="191"/>
        <v>363600</v>
      </c>
      <c r="W1304" t="s">
        <v>3763</v>
      </c>
    </row>
    <row r="1305" spans="1:23" x14ac:dyDescent="0.3">
      <c r="A1305" s="110">
        <v>1690643</v>
      </c>
      <c r="B1305" s="110" t="s">
        <v>1332</v>
      </c>
      <c r="C1305" s="110" t="s">
        <v>1332</v>
      </c>
      <c r="D1305" s="110" t="s">
        <v>1332</v>
      </c>
      <c r="E1305" s="110" t="s">
        <v>1499</v>
      </c>
      <c r="F1305" s="110" t="s">
        <v>119</v>
      </c>
      <c r="G1305" s="110" t="s">
        <v>114</v>
      </c>
      <c r="H1305" s="111">
        <v>552</v>
      </c>
      <c r="I1305" s="111">
        <v>609</v>
      </c>
      <c r="J1305" s="111">
        <v>720</v>
      </c>
      <c r="K1305" s="111">
        <f t="shared" si="183"/>
        <v>627</v>
      </c>
      <c r="L1305" s="111">
        <f>300000</f>
        <v>300000</v>
      </c>
      <c r="M1305" s="111">
        <f t="shared" si="184"/>
        <v>135000</v>
      </c>
      <c r="N1305" s="111">
        <f t="shared" si="185"/>
        <v>135000</v>
      </c>
      <c r="O1305" s="111">
        <f t="shared" si="186"/>
        <v>27000</v>
      </c>
      <c r="P1305" s="111">
        <f t="shared" si="187"/>
        <v>30000</v>
      </c>
      <c r="Q1305" s="111">
        <v>60000</v>
      </c>
      <c r="R1305" s="111">
        <v>6</v>
      </c>
      <c r="S1305" s="111">
        <f t="shared" si="188"/>
        <v>6000</v>
      </c>
      <c r="T1305" s="111">
        <f t="shared" si="189"/>
        <v>360000</v>
      </c>
      <c r="U1305" s="111">
        <f t="shared" si="190"/>
        <v>3600</v>
      </c>
      <c r="V1305" s="111">
        <f t="shared" si="191"/>
        <v>363600</v>
      </c>
      <c r="W1305" t="s">
        <v>3764</v>
      </c>
    </row>
    <row r="1306" spans="1:23" x14ac:dyDescent="0.3">
      <c r="A1306" s="110">
        <v>1690644</v>
      </c>
      <c r="B1306" s="110" t="s">
        <v>1332</v>
      </c>
      <c r="C1306" s="110" t="s">
        <v>1332</v>
      </c>
      <c r="D1306" s="110" t="s">
        <v>1332</v>
      </c>
      <c r="E1306" s="110" t="s">
        <v>1500</v>
      </c>
      <c r="F1306" s="110" t="s">
        <v>119</v>
      </c>
      <c r="G1306" s="110" t="s">
        <v>114</v>
      </c>
      <c r="H1306" s="111">
        <v>849</v>
      </c>
      <c r="I1306" s="111">
        <v>882</v>
      </c>
      <c r="J1306" s="111">
        <v>938</v>
      </c>
      <c r="K1306" s="111">
        <f t="shared" si="183"/>
        <v>889.66666666666663</v>
      </c>
      <c r="L1306" s="111">
        <f>300000</f>
        <v>300000</v>
      </c>
      <c r="M1306" s="111">
        <f t="shared" si="184"/>
        <v>135000</v>
      </c>
      <c r="N1306" s="111">
        <f t="shared" si="185"/>
        <v>135000</v>
      </c>
      <c r="O1306" s="111">
        <f t="shared" si="186"/>
        <v>27000</v>
      </c>
      <c r="P1306" s="111">
        <f t="shared" si="187"/>
        <v>30000</v>
      </c>
      <c r="Q1306" s="111">
        <v>60000</v>
      </c>
      <c r="R1306" s="111">
        <v>6</v>
      </c>
      <c r="S1306" s="111">
        <f t="shared" si="188"/>
        <v>6000</v>
      </c>
      <c r="T1306" s="111">
        <f t="shared" si="189"/>
        <v>360000</v>
      </c>
      <c r="U1306" s="111">
        <f t="shared" si="190"/>
        <v>3600</v>
      </c>
      <c r="V1306" s="111">
        <f t="shared" si="191"/>
        <v>363600</v>
      </c>
      <c r="W1306" t="s">
        <v>3765</v>
      </c>
    </row>
    <row r="1307" spans="1:23" x14ac:dyDescent="0.3">
      <c r="A1307" s="110">
        <v>1690645</v>
      </c>
      <c r="B1307" s="110" t="s">
        <v>1332</v>
      </c>
      <c r="C1307" s="110" t="s">
        <v>1332</v>
      </c>
      <c r="D1307" s="110" t="s">
        <v>1332</v>
      </c>
      <c r="E1307" s="110" t="s">
        <v>1501</v>
      </c>
      <c r="F1307" s="110" t="s">
        <v>119</v>
      </c>
      <c r="G1307" s="110" t="s">
        <v>114</v>
      </c>
      <c r="H1307" s="111">
        <v>1293</v>
      </c>
      <c r="I1307" s="111">
        <v>1301</v>
      </c>
      <c r="J1307" s="111">
        <v>1294</v>
      </c>
      <c r="K1307" s="111">
        <f t="shared" si="183"/>
        <v>1296</v>
      </c>
      <c r="L1307" s="111">
        <f>600000*0.7</f>
        <v>420000</v>
      </c>
      <c r="M1307" s="111">
        <f t="shared" si="184"/>
        <v>189000</v>
      </c>
      <c r="N1307" s="111">
        <f t="shared" si="185"/>
        <v>189000</v>
      </c>
      <c r="O1307" s="111">
        <f t="shared" si="186"/>
        <v>37800</v>
      </c>
      <c r="P1307" s="111">
        <f t="shared" si="187"/>
        <v>42000</v>
      </c>
      <c r="Q1307" s="111">
        <v>80000</v>
      </c>
      <c r="R1307" s="111">
        <v>8</v>
      </c>
      <c r="S1307" s="111">
        <f t="shared" si="188"/>
        <v>8000</v>
      </c>
      <c r="T1307" s="111">
        <f t="shared" si="189"/>
        <v>500000</v>
      </c>
      <c r="U1307" s="111">
        <f t="shared" si="190"/>
        <v>5000</v>
      </c>
      <c r="V1307" s="111">
        <f t="shared" si="191"/>
        <v>505000</v>
      </c>
      <c r="W1307" t="s">
        <v>3766</v>
      </c>
    </row>
    <row r="1308" spans="1:23" x14ac:dyDescent="0.3">
      <c r="A1308" s="110">
        <v>1701101</v>
      </c>
      <c r="B1308" s="110" t="s">
        <v>1502</v>
      </c>
      <c r="C1308" s="110" t="s">
        <v>1503</v>
      </c>
      <c r="D1308" s="110" t="s">
        <v>1503</v>
      </c>
      <c r="E1308" s="110" t="s">
        <v>252</v>
      </c>
      <c r="F1308" s="110" t="s">
        <v>119</v>
      </c>
      <c r="G1308" s="110" t="s">
        <v>114</v>
      </c>
      <c r="H1308" s="111">
        <v>287</v>
      </c>
      <c r="I1308" s="111">
        <v>305</v>
      </c>
      <c r="J1308" s="111">
        <v>309</v>
      </c>
      <c r="K1308" s="111">
        <f t="shared" si="183"/>
        <v>300.33333333333331</v>
      </c>
      <c r="L1308" s="111">
        <v>200000</v>
      </c>
      <c r="M1308" s="111">
        <f t="shared" si="184"/>
        <v>90000</v>
      </c>
      <c r="N1308" s="111">
        <f t="shared" si="185"/>
        <v>90000</v>
      </c>
      <c r="O1308" s="111">
        <f t="shared" si="186"/>
        <v>18000</v>
      </c>
      <c r="P1308" s="111">
        <f t="shared" si="187"/>
        <v>20000</v>
      </c>
      <c r="Q1308" s="111">
        <v>50000</v>
      </c>
      <c r="R1308" s="111">
        <v>5</v>
      </c>
      <c r="S1308" s="111">
        <f t="shared" si="188"/>
        <v>5000</v>
      </c>
      <c r="T1308" s="111">
        <f t="shared" si="189"/>
        <v>250000</v>
      </c>
      <c r="U1308" s="111">
        <f t="shared" si="190"/>
        <v>2500</v>
      </c>
      <c r="V1308" s="111">
        <f t="shared" si="191"/>
        <v>252500</v>
      </c>
      <c r="W1308" t="s">
        <v>3767</v>
      </c>
    </row>
    <row r="1309" spans="1:23" x14ac:dyDescent="0.3">
      <c r="A1309" s="110">
        <v>1701102</v>
      </c>
      <c r="B1309" s="110" t="s">
        <v>1502</v>
      </c>
      <c r="C1309" s="110" t="s">
        <v>1503</v>
      </c>
      <c r="D1309" s="110" t="s">
        <v>1503</v>
      </c>
      <c r="E1309" s="110" t="s">
        <v>1504</v>
      </c>
      <c r="F1309" s="110" t="s">
        <v>117</v>
      </c>
      <c r="G1309" s="110" t="s">
        <v>114</v>
      </c>
      <c r="H1309" s="111">
        <v>65</v>
      </c>
      <c r="I1309" s="111">
        <v>61</v>
      </c>
      <c r="J1309" s="111">
        <v>38</v>
      </c>
      <c r="K1309" s="111">
        <f t="shared" si="183"/>
        <v>54.666666666666664</v>
      </c>
      <c r="L1309" s="111">
        <v>150000</v>
      </c>
      <c r="M1309" s="111">
        <f t="shared" si="184"/>
        <v>67500</v>
      </c>
      <c r="N1309" s="111">
        <f t="shared" si="185"/>
        <v>67500</v>
      </c>
      <c r="O1309" s="111">
        <f t="shared" si="186"/>
        <v>13500</v>
      </c>
      <c r="P1309" s="111">
        <f t="shared" si="187"/>
        <v>15000</v>
      </c>
      <c r="Q1309" s="111">
        <v>30000</v>
      </c>
      <c r="R1309" s="111">
        <v>3</v>
      </c>
      <c r="S1309" s="111">
        <f t="shared" si="188"/>
        <v>3000</v>
      </c>
      <c r="T1309" s="111">
        <f t="shared" si="189"/>
        <v>180000</v>
      </c>
      <c r="U1309" s="111">
        <f t="shared" si="190"/>
        <v>1800</v>
      </c>
      <c r="V1309" s="111">
        <f t="shared" si="191"/>
        <v>181800</v>
      </c>
      <c r="W1309" t="s">
        <v>3768</v>
      </c>
    </row>
    <row r="1310" spans="1:23" x14ac:dyDescent="0.3">
      <c r="A1310" s="110">
        <v>1701104</v>
      </c>
      <c r="B1310" s="110" t="s">
        <v>1502</v>
      </c>
      <c r="C1310" s="110" t="s">
        <v>1503</v>
      </c>
      <c r="D1310" s="110" t="s">
        <v>1505</v>
      </c>
      <c r="E1310" s="110" t="s">
        <v>184</v>
      </c>
      <c r="F1310" s="110" t="s">
        <v>113</v>
      </c>
      <c r="G1310" s="110" t="s">
        <v>114</v>
      </c>
      <c r="H1310" s="111">
        <v>124</v>
      </c>
      <c r="I1310" s="111">
        <v>134</v>
      </c>
      <c r="J1310" s="111">
        <v>129</v>
      </c>
      <c r="K1310" s="111">
        <f t="shared" si="183"/>
        <v>129</v>
      </c>
      <c r="L1310" s="111">
        <v>150000</v>
      </c>
      <c r="M1310" s="111">
        <f t="shared" si="184"/>
        <v>67500</v>
      </c>
      <c r="N1310" s="111">
        <f t="shared" si="185"/>
        <v>67500</v>
      </c>
      <c r="O1310" s="111">
        <f t="shared" si="186"/>
        <v>13500</v>
      </c>
      <c r="P1310" s="111">
        <f t="shared" si="187"/>
        <v>15000</v>
      </c>
      <c r="Q1310" s="111">
        <v>30000</v>
      </c>
      <c r="R1310" s="111">
        <v>3</v>
      </c>
      <c r="S1310" s="111">
        <f t="shared" si="188"/>
        <v>3000</v>
      </c>
      <c r="T1310" s="111">
        <f t="shared" si="189"/>
        <v>180000</v>
      </c>
      <c r="U1310" s="111">
        <f t="shared" si="190"/>
        <v>1800</v>
      </c>
      <c r="V1310" s="111">
        <f t="shared" si="191"/>
        <v>181800</v>
      </c>
      <c r="W1310" t="s">
        <v>3769</v>
      </c>
    </row>
    <row r="1311" spans="1:23" x14ac:dyDescent="0.3">
      <c r="A1311" s="110">
        <v>1701105</v>
      </c>
      <c r="B1311" s="110" t="s">
        <v>1502</v>
      </c>
      <c r="C1311" s="110" t="s">
        <v>1503</v>
      </c>
      <c r="D1311" s="110" t="s">
        <v>1506</v>
      </c>
      <c r="E1311" s="110" t="s">
        <v>184</v>
      </c>
      <c r="F1311" s="110" t="s">
        <v>113</v>
      </c>
      <c r="G1311" s="110" t="s">
        <v>114</v>
      </c>
      <c r="H1311" s="111">
        <v>45</v>
      </c>
      <c r="I1311" s="111">
        <v>48</v>
      </c>
      <c r="J1311" s="111">
        <v>40</v>
      </c>
      <c r="K1311" s="111">
        <f t="shared" si="183"/>
        <v>44.333333333333336</v>
      </c>
      <c r="L1311" s="111">
        <v>50000</v>
      </c>
      <c r="M1311" s="111">
        <f t="shared" si="184"/>
        <v>22500</v>
      </c>
      <c r="N1311" s="111">
        <f t="shared" si="185"/>
        <v>22500</v>
      </c>
      <c r="O1311" s="111">
        <f t="shared" si="186"/>
        <v>4500</v>
      </c>
      <c r="P1311" s="111">
        <f t="shared" si="187"/>
        <v>5000</v>
      </c>
      <c r="Q1311" s="111">
        <v>10000</v>
      </c>
      <c r="R1311" s="111">
        <v>1</v>
      </c>
      <c r="S1311" s="111">
        <f t="shared" si="188"/>
        <v>1000</v>
      </c>
      <c r="T1311" s="111">
        <f t="shared" si="189"/>
        <v>60000</v>
      </c>
      <c r="U1311" s="111">
        <f t="shared" si="190"/>
        <v>600</v>
      </c>
      <c r="V1311" s="111">
        <f t="shared" si="191"/>
        <v>60600</v>
      </c>
      <c r="W1311" t="s">
        <v>3770</v>
      </c>
    </row>
    <row r="1312" spans="1:23" x14ac:dyDescent="0.3">
      <c r="A1312" s="110">
        <v>1701106</v>
      </c>
      <c r="B1312" s="110" t="s">
        <v>1502</v>
      </c>
      <c r="C1312" s="110" t="s">
        <v>1503</v>
      </c>
      <c r="D1312" s="110" t="s">
        <v>1507</v>
      </c>
      <c r="E1312" s="110" t="s">
        <v>184</v>
      </c>
      <c r="F1312" s="110" t="s">
        <v>113</v>
      </c>
      <c r="G1312" s="110" t="s">
        <v>114</v>
      </c>
      <c r="H1312" s="111">
        <v>40</v>
      </c>
      <c r="I1312" s="111">
        <v>36</v>
      </c>
      <c r="J1312" s="111">
        <v>44</v>
      </c>
      <c r="K1312" s="111">
        <f t="shared" si="183"/>
        <v>40</v>
      </c>
      <c r="L1312" s="111">
        <v>50000</v>
      </c>
      <c r="M1312" s="111">
        <f t="shared" si="184"/>
        <v>22500</v>
      </c>
      <c r="N1312" s="111">
        <f t="shared" si="185"/>
        <v>22500</v>
      </c>
      <c r="O1312" s="111">
        <f t="shared" si="186"/>
        <v>4500</v>
      </c>
      <c r="P1312" s="111">
        <f t="shared" si="187"/>
        <v>5000</v>
      </c>
      <c r="Q1312" s="111">
        <v>10000</v>
      </c>
      <c r="R1312" s="111">
        <v>1</v>
      </c>
      <c r="S1312" s="111">
        <f t="shared" si="188"/>
        <v>1000</v>
      </c>
      <c r="T1312" s="111">
        <f t="shared" si="189"/>
        <v>60000</v>
      </c>
      <c r="U1312" s="111">
        <f t="shared" si="190"/>
        <v>600</v>
      </c>
      <c r="V1312" s="111">
        <f t="shared" si="191"/>
        <v>60600</v>
      </c>
      <c r="W1312" t="s">
        <v>3771</v>
      </c>
    </row>
    <row r="1313" spans="1:23" x14ac:dyDescent="0.3">
      <c r="A1313" s="110">
        <v>1701108</v>
      </c>
      <c r="B1313" s="110" t="s">
        <v>1502</v>
      </c>
      <c r="C1313" s="110" t="s">
        <v>1503</v>
      </c>
      <c r="D1313" s="110" t="s">
        <v>1508</v>
      </c>
      <c r="E1313" s="110" t="s">
        <v>1509</v>
      </c>
      <c r="F1313" s="110" t="s">
        <v>113</v>
      </c>
      <c r="G1313" s="110" t="s">
        <v>114</v>
      </c>
      <c r="H1313" s="111">
        <v>23</v>
      </c>
      <c r="I1313" s="111">
        <v>23</v>
      </c>
      <c r="J1313" s="111">
        <v>14</v>
      </c>
      <c r="K1313" s="111">
        <f t="shared" si="183"/>
        <v>20</v>
      </c>
      <c r="L1313" s="111">
        <v>50000</v>
      </c>
      <c r="M1313" s="111">
        <f t="shared" si="184"/>
        <v>22500</v>
      </c>
      <c r="N1313" s="111">
        <f t="shared" si="185"/>
        <v>22500</v>
      </c>
      <c r="O1313" s="111">
        <f t="shared" si="186"/>
        <v>4500</v>
      </c>
      <c r="P1313" s="111">
        <f t="shared" si="187"/>
        <v>5000</v>
      </c>
      <c r="Q1313" s="111">
        <v>10000</v>
      </c>
      <c r="R1313" s="111">
        <v>1</v>
      </c>
      <c r="S1313" s="111">
        <f t="shared" si="188"/>
        <v>1000</v>
      </c>
      <c r="T1313" s="111">
        <f t="shared" si="189"/>
        <v>60000</v>
      </c>
      <c r="U1313" s="111">
        <f t="shared" si="190"/>
        <v>600</v>
      </c>
      <c r="V1313" s="111">
        <f t="shared" si="191"/>
        <v>60600</v>
      </c>
      <c r="W1313" t="s">
        <v>3772</v>
      </c>
    </row>
    <row r="1314" spans="1:23" x14ac:dyDescent="0.3">
      <c r="A1314" s="110">
        <v>1701401</v>
      </c>
      <c r="B1314" s="110" t="s">
        <v>1502</v>
      </c>
      <c r="C1314" s="110" t="s">
        <v>1510</v>
      </c>
      <c r="D1314" s="110" t="s">
        <v>1510</v>
      </c>
      <c r="E1314" s="110" t="s">
        <v>1511</v>
      </c>
      <c r="F1314" s="110" t="s">
        <v>122</v>
      </c>
      <c r="G1314" s="110" t="s">
        <v>114</v>
      </c>
      <c r="H1314" s="111">
        <v>317</v>
      </c>
      <c r="I1314" s="111">
        <v>306</v>
      </c>
      <c r="J1314" s="111">
        <v>305</v>
      </c>
      <c r="K1314" s="111">
        <f t="shared" si="183"/>
        <v>309.33333333333331</v>
      </c>
      <c r="L1314" s="111">
        <v>200000</v>
      </c>
      <c r="M1314" s="111">
        <f t="shared" si="184"/>
        <v>90000</v>
      </c>
      <c r="N1314" s="111">
        <f t="shared" si="185"/>
        <v>90000</v>
      </c>
      <c r="O1314" s="111">
        <f t="shared" si="186"/>
        <v>18000</v>
      </c>
      <c r="P1314" s="111">
        <f t="shared" si="187"/>
        <v>20000</v>
      </c>
      <c r="Q1314" s="111">
        <v>50000</v>
      </c>
      <c r="R1314" s="111">
        <v>5</v>
      </c>
      <c r="S1314" s="111">
        <f t="shared" si="188"/>
        <v>5000</v>
      </c>
      <c r="T1314" s="111">
        <f t="shared" si="189"/>
        <v>250000</v>
      </c>
      <c r="U1314" s="111">
        <f t="shared" si="190"/>
        <v>2500</v>
      </c>
      <c r="V1314" s="111">
        <f t="shared" si="191"/>
        <v>252500</v>
      </c>
      <c r="W1314" t="s">
        <v>3773</v>
      </c>
    </row>
    <row r="1315" spans="1:23" x14ac:dyDescent="0.3">
      <c r="A1315" s="110">
        <v>1701402</v>
      </c>
      <c r="B1315" s="110" t="s">
        <v>1502</v>
      </c>
      <c r="C1315" s="110" t="s">
        <v>1510</v>
      </c>
      <c r="D1315" s="110" t="s">
        <v>1510</v>
      </c>
      <c r="E1315" s="110" t="s">
        <v>314</v>
      </c>
      <c r="F1315" s="110" t="s">
        <v>113</v>
      </c>
      <c r="G1315" s="110" t="s">
        <v>114</v>
      </c>
      <c r="H1315" s="111">
        <v>595</v>
      </c>
      <c r="I1315" s="111">
        <v>612</v>
      </c>
      <c r="J1315" s="111">
        <v>596</v>
      </c>
      <c r="K1315" s="111">
        <f t="shared" si="183"/>
        <v>601</v>
      </c>
      <c r="L1315" s="111">
        <f>300000</f>
        <v>300000</v>
      </c>
      <c r="M1315" s="111">
        <f t="shared" si="184"/>
        <v>135000</v>
      </c>
      <c r="N1315" s="111">
        <f t="shared" si="185"/>
        <v>135000</v>
      </c>
      <c r="O1315" s="111">
        <f t="shared" si="186"/>
        <v>27000</v>
      </c>
      <c r="P1315" s="111">
        <f t="shared" si="187"/>
        <v>30000</v>
      </c>
      <c r="Q1315" s="111">
        <v>60000</v>
      </c>
      <c r="R1315" s="111">
        <v>6</v>
      </c>
      <c r="S1315" s="111">
        <f t="shared" si="188"/>
        <v>6000</v>
      </c>
      <c r="T1315" s="111">
        <f t="shared" si="189"/>
        <v>360000</v>
      </c>
      <c r="U1315" s="111">
        <f t="shared" si="190"/>
        <v>3600</v>
      </c>
      <c r="V1315" s="111">
        <f t="shared" si="191"/>
        <v>363600</v>
      </c>
      <c r="W1315" t="s">
        <v>3774</v>
      </c>
    </row>
    <row r="1316" spans="1:23" x14ac:dyDescent="0.3">
      <c r="A1316" s="110">
        <v>1701403</v>
      </c>
      <c r="B1316" s="110" t="s">
        <v>1502</v>
      </c>
      <c r="C1316" s="110" t="s">
        <v>1510</v>
      </c>
      <c r="D1316" s="110" t="s">
        <v>1510</v>
      </c>
      <c r="E1316" s="110" t="s">
        <v>1512</v>
      </c>
      <c r="F1316" s="110" t="s">
        <v>113</v>
      </c>
      <c r="G1316" s="110" t="s">
        <v>114</v>
      </c>
      <c r="H1316" s="111">
        <v>257</v>
      </c>
      <c r="I1316" s="111">
        <v>253</v>
      </c>
      <c r="J1316" s="111">
        <v>238</v>
      </c>
      <c r="K1316" s="111">
        <f t="shared" si="183"/>
        <v>249.33333333333334</v>
      </c>
      <c r="L1316" s="111">
        <v>200000</v>
      </c>
      <c r="M1316" s="111">
        <f t="shared" si="184"/>
        <v>90000</v>
      </c>
      <c r="N1316" s="111">
        <f t="shared" si="185"/>
        <v>90000</v>
      </c>
      <c r="O1316" s="111">
        <f t="shared" si="186"/>
        <v>18000</v>
      </c>
      <c r="P1316" s="111">
        <f t="shared" si="187"/>
        <v>20000</v>
      </c>
      <c r="Q1316" s="111">
        <v>50000</v>
      </c>
      <c r="R1316" s="111">
        <v>5</v>
      </c>
      <c r="S1316" s="111">
        <f t="shared" si="188"/>
        <v>5000</v>
      </c>
      <c r="T1316" s="111">
        <f t="shared" si="189"/>
        <v>250000</v>
      </c>
      <c r="U1316" s="111">
        <f t="shared" si="190"/>
        <v>2500</v>
      </c>
      <c r="V1316" s="111">
        <f t="shared" si="191"/>
        <v>252500</v>
      </c>
      <c r="W1316" t="s">
        <v>3775</v>
      </c>
    </row>
    <row r="1317" spans="1:23" x14ac:dyDescent="0.3">
      <c r="A1317" s="110">
        <v>1701405</v>
      </c>
      <c r="B1317" s="110" t="s">
        <v>1502</v>
      </c>
      <c r="C1317" s="110" t="s">
        <v>1510</v>
      </c>
      <c r="D1317" s="110" t="s">
        <v>1510</v>
      </c>
      <c r="E1317" s="110" t="s">
        <v>1513</v>
      </c>
      <c r="F1317" s="110" t="s">
        <v>117</v>
      </c>
      <c r="G1317" s="110" t="s">
        <v>114</v>
      </c>
      <c r="H1317" s="111">
        <v>463</v>
      </c>
      <c r="I1317" s="111">
        <v>426</v>
      </c>
      <c r="J1317" s="111">
        <v>409</v>
      </c>
      <c r="K1317" s="111">
        <f t="shared" si="183"/>
        <v>432.66666666666669</v>
      </c>
      <c r="L1317" s="111">
        <f>300000</f>
        <v>300000</v>
      </c>
      <c r="M1317" s="111">
        <f t="shared" si="184"/>
        <v>135000</v>
      </c>
      <c r="N1317" s="111">
        <f t="shared" si="185"/>
        <v>135000</v>
      </c>
      <c r="O1317" s="111">
        <f t="shared" si="186"/>
        <v>27000</v>
      </c>
      <c r="P1317" s="111">
        <f t="shared" si="187"/>
        <v>30000</v>
      </c>
      <c r="Q1317" s="111">
        <v>60000</v>
      </c>
      <c r="R1317" s="111">
        <v>6</v>
      </c>
      <c r="S1317" s="111">
        <f t="shared" si="188"/>
        <v>6000</v>
      </c>
      <c r="T1317" s="111">
        <f t="shared" si="189"/>
        <v>360000</v>
      </c>
      <c r="U1317" s="111">
        <f t="shared" si="190"/>
        <v>3600</v>
      </c>
      <c r="V1317" s="111">
        <f t="shared" si="191"/>
        <v>363600</v>
      </c>
      <c r="W1317" t="s">
        <v>3776</v>
      </c>
    </row>
    <row r="1318" spans="1:23" x14ac:dyDescent="0.3">
      <c r="A1318" s="110">
        <v>1701408</v>
      </c>
      <c r="B1318" s="110" t="s">
        <v>1502</v>
      </c>
      <c r="C1318" s="110" t="s">
        <v>1510</v>
      </c>
      <c r="D1318" s="110" t="s">
        <v>1514</v>
      </c>
      <c r="E1318" s="110" t="s">
        <v>1515</v>
      </c>
      <c r="F1318" s="110" t="s">
        <v>113</v>
      </c>
      <c r="G1318" s="110" t="s">
        <v>114</v>
      </c>
      <c r="H1318" s="111">
        <v>85</v>
      </c>
      <c r="I1318" s="111">
        <v>82</v>
      </c>
      <c r="J1318" s="111">
        <v>66</v>
      </c>
      <c r="K1318" s="111">
        <f t="shared" si="183"/>
        <v>77.666666666666671</v>
      </c>
      <c r="L1318" s="111">
        <v>150000</v>
      </c>
      <c r="M1318" s="111">
        <f t="shared" si="184"/>
        <v>67500</v>
      </c>
      <c r="N1318" s="111">
        <f t="shared" si="185"/>
        <v>67500</v>
      </c>
      <c r="O1318" s="111">
        <f t="shared" si="186"/>
        <v>13500</v>
      </c>
      <c r="P1318" s="111">
        <f t="shared" si="187"/>
        <v>15000</v>
      </c>
      <c r="Q1318" s="111">
        <v>30000</v>
      </c>
      <c r="R1318" s="111">
        <v>3</v>
      </c>
      <c r="S1318" s="111">
        <f t="shared" si="188"/>
        <v>3000</v>
      </c>
      <c r="T1318" s="111">
        <f t="shared" si="189"/>
        <v>180000</v>
      </c>
      <c r="U1318" s="111">
        <f t="shared" si="190"/>
        <v>1800</v>
      </c>
      <c r="V1318" s="111">
        <f t="shared" si="191"/>
        <v>181800</v>
      </c>
      <c r="W1318" t="s">
        <v>3777</v>
      </c>
    </row>
    <row r="1319" spans="1:23" x14ac:dyDescent="0.3">
      <c r="A1319" s="110">
        <v>1701411</v>
      </c>
      <c r="B1319" s="110" t="s">
        <v>1502</v>
      </c>
      <c r="C1319" s="110" t="s">
        <v>1510</v>
      </c>
      <c r="D1319" s="110" t="s">
        <v>1516</v>
      </c>
      <c r="E1319" s="110" t="s">
        <v>184</v>
      </c>
      <c r="F1319" s="110" t="s">
        <v>113</v>
      </c>
      <c r="G1319" s="110" t="s">
        <v>114</v>
      </c>
      <c r="H1319" s="111">
        <v>72</v>
      </c>
      <c r="I1319" s="111">
        <v>69</v>
      </c>
      <c r="J1319" s="111">
        <v>73</v>
      </c>
      <c r="K1319" s="111">
        <f t="shared" si="183"/>
        <v>71.333333333333329</v>
      </c>
      <c r="L1319" s="111">
        <v>150000</v>
      </c>
      <c r="M1319" s="111">
        <f t="shared" si="184"/>
        <v>67500</v>
      </c>
      <c r="N1319" s="111">
        <f t="shared" si="185"/>
        <v>67500</v>
      </c>
      <c r="O1319" s="111">
        <f t="shared" si="186"/>
        <v>13500</v>
      </c>
      <c r="P1319" s="111">
        <f t="shared" si="187"/>
        <v>15000</v>
      </c>
      <c r="Q1319" s="111">
        <v>30000</v>
      </c>
      <c r="R1319" s="111">
        <v>3</v>
      </c>
      <c r="S1319" s="111">
        <f t="shared" si="188"/>
        <v>3000</v>
      </c>
      <c r="T1319" s="111">
        <f t="shared" si="189"/>
        <v>180000</v>
      </c>
      <c r="U1319" s="111">
        <f t="shared" si="190"/>
        <v>1800</v>
      </c>
      <c r="V1319" s="111">
        <f t="shared" si="191"/>
        <v>181800</v>
      </c>
      <c r="W1319" t="s">
        <v>3778</v>
      </c>
    </row>
    <row r="1320" spans="1:23" x14ac:dyDescent="0.3">
      <c r="A1320" s="110">
        <v>1701412</v>
      </c>
      <c r="B1320" s="110" t="s">
        <v>1502</v>
      </c>
      <c r="C1320" s="110" t="s">
        <v>1510</v>
      </c>
      <c r="D1320" s="110" t="s">
        <v>1517</v>
      </c>
      <c r="E1320" s="110" t="s">
        <v>184</v>
      </c>
      <c r="F1320" s="110" t="s">
        <v>113</v>
      </c>
      <c r="G1320" s="110" t="s">
        <v>114</v>
      </c>
      <c r="H1320" s="111">
        <v>103</v>
      </c>
      <c r="I1320" s="111">
        <v>97</v>
      </c>
      <c r="J1320" s="111">
        <v>94</v>
      </c>
      <c r="K1320" s="111">
        <f t="shared" si="183"/>
        <v>98</v>
      </c>
      <c r="L1320" s="111">
        <v>150000</v>
      </c>
      <c r="M1320" s="111">
        <f t="shared" si="184"/>
        <v>67500</v>
      </c>
      <c r="N1320" s="111">
        <f t="shared" si="185"/>
        <v>67500</v>
      </c>
      <c r="O1320" s="111">
        <f t="shared" si="186"/>
        <v>13500</v>
      </c>
      <c r="P1320" s="111">
        <f t="shared" si="187"/>
        <v>15000</v>
      </c>
      <c r="Q1320" s="111">
        <v>30000</v>
      </c>
      <c r="R1320" s="111">
        <v>3</v>
      </c>
      <c r="S1320" s="111">
        <f t="shared" si="188"/>
        <v>3000</v>
      </c>
      <c r="T1320" s="111">
        <f t="shared" si="189"/>
        <v>180000</v>
      </c>
      <c r="U1320" s="111">
        <f t="shared" si="190"/>
        <v>1800</v>
      </c>
      <c r="V1320" s="111">
        <f t="shared" si="191"/>
        <v>181800</v>
      </c>
      <c r="W1320" t="s">
        <v>3779</v>
      </c>
    </row>
    <row r="1321" spans="1:23" x14ac:dyDescent="0.3">
      <c r="A1321" s="110">
        <v>1701413</v>
      </c>
      <c r="B1321" s="110" t="s">
        <v>1502</v>
      </c>
      <c r="C1321" s="110" t="s">
        <v>1510</v>
      </c>
      <c r="D1321" s="110" t="s">
        <v>1518</v>
      </c>
      <c r="E1321" s="110" t="s">
        <v>390</v>
      </c>
      <c r="F1321" s="110" t="s">
        <v>113</v>
      </c>
      <c r="G1321" s="110" t="s">
        <v>114</v>
      </c>
      <c r="H1321" s="111">
        <v>175</v>
      </c>
      <c r="I1321" s="111">
        <v>160</v>
      </c>
      <c r="J1321" s="111">
        <v>156</v>
      </c>
      <c r="K1321" s="111">
        <f t="shared" si="183"/>
        <v>163.66666666666666</v>
      </c>
      <c r="L1321" s="111">
        <f>150000*0.7</f>
        <v>105000</v>
      </c>
      <c r="M1321" s="111">
        <f t="shared" si="184"/>
        <v>47250</v>
      </c>
      <c r="N1321" s="111">
        <f t="shared" si="185"/>
        <v>47250</v>
      </c>
      <c r="O1321" s="111">
        <f t="shared" si="186"/>
        <v>9450</v>
      </c>
      <c r="P1321" s="111">
        <f t="shared" si="187"/>
        <v>10500</v>
      </c>
      <c r="Q1321" s="111">
        <v>30000</v>
      </c>
      <c r="R1321" s="111">
        <v>3</v>
      </c>
      <c r="S1321" s="111">
        <f t="shared" si="188"/>
        <v>3000</v>
      </c>
      <c r="T1321" s="111">
        <f t="shared" si="189"/>
        <v>135000</v>
      </c>
      <c r="U1321" s="111">
        <f t="shared" si="190"/>
        <v>1350</v>
      </c>
      <c r="V1321" s="111">
        <f t="shared" si="191"/>
        <v>136350</v>
      </c>
      <c r="W1321" t="s">
        <v>3780</v>
      </c>
    </row>
    <row r="1322" spans="1:23" x14ac:dyDescent="0.3">
      <c r="A1322" s="110">
        <v>1701416</v>
      </c>
      <c r="B1322" s="110" t="s">
        <v>1502</v>
      </c>
      <c r="C1322" s="110" t="s">
        <v>1510</v>
      </c>
      <c r="D1322" s="110" t="s">
        <v>1519</v>
      </c>
      <c r="E1322" s="110" t="s">
        <v>373</v>
      </c>
      <c r="F1322" s="110" t="s">
        <v>113</v>
      </c>
      <c r="G1322" s="110" t="s">
        <v>114</v>
      </c>
      <c r="H1322" s="111">
        <v>50</v>
      </c>
      <c r="I1322" s="111">
        <v>47</v>
      </c>
      <c r="J1322" s="111">
        <v>38</v>
      </c>
      <c r="K1322" s="111">
        <f t="shared" si="183"/>
        <v>45</v>
      </c>
      <c r="L1322" s="111">
        <v>50000</v>
      </c>
      <c r="M1322" s="111">
        <f t="shared" si="184"/>
        <v>22500</v>
      </c>
      <c r="N1322" s="111">
        <f t="shared" si="185"/>
        <v>22500</v>
      </c>
      <c r="O1322" s="111">
        <f t="shared" si="186"/>
        <v>4500</v>
      </c>
      <c r="P1322" s="111">
        <f t="shared" si="187"/>
        <v>5000</v>
      </c>
      <c r="Q1322" s="111">
        <v>10000</v>
      </c>
      <c r="R1322" s="111">
        <v>1</v>
      </c>
      <c r="S1322" s="111">
        <f t="shared" si="188"/>
        <v>1000</v>
      </c>
      <c r="T1322" s="111">
        <f t="shared" si="189"/>
        <v>60000</v>
      </c>
      <c r="U1322" s="111">
        <f t="shared" si="190"/>
        <v>600</v>
      </c>
      <c r="V1322" s="111">
        <f t="shared" si="191"/>
        <v>60600</v>
      </c>
      <c r="W1322" t="s">
        <v>3781</v>
      </c>
    </row>
    <row r="1323" spans="1:23" x14ac:dyDescent="0.3">
      <c r="A1323" s="110">
        <v>1701601</v>
      </c>
      <c r="B1323" s="110" t="s">
        <v>1502</v>
      </c>
      <c r="C1323" s="110" t="s">
        <v>1520</v>
      </c>
      <c r="D1323" s="110" t="s">
        <v>1520</v>
      </c>
      <c r="E1323" s="110" t="s">
        <v>272</v>
      </c>
      <c r="F1323" s="110" t="s">
        <v>119</v>
      </c>
      <c r="G1323" s="110" t="s">
        <v>114</v>
      </c>
      <c r="H1323" s="111">
        <v>622</v>
      </c>
      <c r="I1323" s="111">
        <v>632</v>
      </c>
      <c r="J1323" s="111">
        <v>653</v>
      </c>
      <c r="K1323" s="111">
        <f t="shared" si="183"/>
        <v>635.66666666666663</v>
      </c>
      <c r="L1323" s="111">
        <f>300000</f>
        <v>300000</v>
      </c>
      <c r="M1323" s="111">
        <f t="shared" si="184"/>
        <v>135000</v>
      </c>
      <c r="N1323" s="111">
        <f t="shared" si="185"/>
        <v>135000</v>
      </c>
      <c r="O1323" s="111">
        <f t="shared" si="186"/>
        <v>27000</v>
      </c>
      <c r="P1323" s="111">
        <f t="shared" si="187"/>
        <v>30000</v>
      </c>
      <c r="Q1323" s="111">
        <v>60000</v>
      </c>
      <c r="R1323" s="111">
        <v>6</v>
      </c>
      <c r="S1323" s="111">
        <f t="shared" si="188"/>
        <v>6000</v>
      </c>
      <c r="T1323" s="111">
        <f t="shared" si="189"/>
        <v>360000</v>
      </c>
      <c r="U1323" s="111">
        <f t="shared" si="190"/>
        <v>3600</v>
      </c>
      <c r="V1323" s="111">
        <f t="shared" si="191"/>
        <v>363600</v>
      </c>
      <c r="W1323" t="s">
        <v>3782</v>
      </c>
    </row>
    <row r="1324" spans="1:23" x14ac:dyDescent="0.3">
      <c r="A1324" s="110">
        <v>1701602</v>
      </c>
      <c r="B1324" s="110" t="s">
        <v>1502</v>
      </c>
      <c r="C1324" s="110" t="s">
        <v>1520</v>
      </c>
      <c r="D1324" s="110" t="s">
        <v>1520</v>
      </c>
      <c r="E1324" s="110" t="s">
        <v>959</v>
      </c>
      <c r="F1324" s="110" t="s">
        <v>117</v>
      </c>
      <c r="G1324" s="110" t="s">
        <v>114</v>
      </c>
      <c r="H1324" s="111">
        <v>205</v>
      </c>
      <c r="I1324" s="111">
        <v>200</v>
      </c>
      <c r="J1324" s="111">
        <v>211</v>
      </c>
      <c r="K1324" s="111">
        <f t="shared" si="183"/>
        <v>205.33333333333334</v>
      </c>
      <c r="L1324" s="111">
        <v>200000</v>
      </c>
      <c r="M1324" s="111">
        <f t="shared" si="184"/>
        <v>90000</v>
      </c>
      <c r="N1324" s="111">
        <f t="shared" si="185"/>
        <v>90000</v>
      </c>
      <c r="O1324" s="111">
        <f t="shared" si="186"/>
        <v>18000</v>
      </c>
      <c r="P1324" s="111">
        <f t="shared" si="187"/>
        <v>20000</v>
      </c>
      <c r="Q1324" s="111">
        <v>50000</v>
      </c>
      <c r="R1324" s="111">
        <v>5</v>
      </c>
      <c r="S1324" s="111">
        <f t="shared" si="188"/>
        <v>5000</v>
      </c>
      <c r="T1324" s="111">
        <f t="shared" si="189"/>
        <v>250000</v>
      </c>
      <c r="U1324" s="111">
        <f t="shared" si="190"/>
        <v>2500</v>
      </c>
      <c r="V1324" s="111">
        <f t="shared" si="191"/>
        <v>252500</v>
      </c>
      <c r="W1324" t="s">
        <v>3783</v>
      </c>
    </row>
    <row r="1325" spans="1:23" x14ac:dyDescent="0.3">
      <c r="A1325" s="110">
        <v>1701603</v>
      </c>
      <c r="B1325" s="110" t="s">
        <v>1502</v>
      </c>
      <c r="C1325" s="110" t="s">
        <v>1520</v>
      </c>
      <c r="D1325" s="110" t="s">
        <v>1520</v>
      </c>
      <c r="E1325" s="110" t="s">
        <v>467</v>
      </c>
      <c r="F1325" s="110" t="s">
        <v>135</v>
      </c>
      <c r="G1325" s="110" t="s">
        <v>125</v>
      </c>
      <c r="H1325" s="111">
        <v>70</v>
      </c>
      <c r="I1325" s="111">
        <v>65</v>
      </c>
      <c r="J1325" s="111">
        <v>61</v>
      </c>
      <c r="K1325" s="111">
        <f t="shared" si="183"/>
        <v>65.333333333333329</v>
      </c>
      <c r="L1325" s="111">
        <v>150000</v>
      </c>
      <c r="M1325" s="111">
        <f t="shared" si="184"/>
        <v>67500</v>
      </c>
      <c r="N1325" s="111">
        <f t="shared" si="185"/>
        <v>67500</v>
      </c>
      <c r="O1325" s="111">
        <f t="shared" si="186"/>
        <v>13500</v>
      </c>
      <c r="P1325" s="111">
        <f t="shared" si="187"/>
        <v>15000</v>
      </c>
      <c r="Q1325" s="111">
        <v>30000</v>
      </c>
      <c r="R1325" s="111">
        <v>3</v>
      </c>
      <c r="S1325" s="111">
        <f t="shared" si="188"/>
        <v>3000</v>
      </c>
      <c r="T1325" s="111">
        <f t="shared" si="189"/>
        <v>180000</v>
      </c>
      <c r="U1325" s="111">
        <f t="shared" si="190"/>
        <v>1800</v>
      </c>
      <c r="V1325" s="111">
        <f t="shared" si="191"/>
        <v>181800</v>
      </c>
      <c r="W1325" t="s">
        <v>3784</v>
      </c>
    </row>
    <row r="1326" spans="1:23" x14ac:dyDescent="0.3">
      <c r="A1326" s="110">
        <v>1701604</v>
      </c>
      <c r="B1326" s="110" t="s">
        <v>1502</v>
      </c>
      <c r="C1326" s="110" t="s">
        <v>1520</v>
      </c>
      <c r="D1326" s="110" t="s">
        <v>1520</v>
      </c>
      <c r="E1326" s="110" t="s">
        <v>353</v>
      </c>
      <c r="F1326" s="110" t="s">
        <v>113</v>
      </c>
      <c r="G1326" s="110" t="s">
        <v>114</v>
      </c>
      <c r="H1326" s="111">
        <v>125</v>
      </c>
      <c r="I1326" s="111">
        <v>127</v>
      </c>
      <c r="J1326" s="111">
        <v>112</v>
      </c>
      <c r="K1326" s="111">
        <f t="shared" si="183"/>
        <v>121.33333333333333</v>
      </c>
      <c r="L1326" s="111">
        <v>150000</v>
      </c>
      <c r="M1326" s="111">
        <f t="shared" si="184"/>
        <v>67500</v>
      </c>
      <c r="N1326" s="111">
        <f t="shared" si="185"/>
        <v>67500</v>
      </c>
      <c r="O1326" s="111">
        <f t="shared" si="186"/>
        <v>13500</v>
      </c>
      <c r="P1326" s="111">
        <f t="shared" si="187"/>
        <v>15000</v>
      </c>
      <c r="Q1326" s="111">
        <v>30000</v>
      </c>
      <c r="R1326" s="111">
        <v>3</v>
      </c>
      <c r="S1326" s="111">
        <f t="shared" si="188"/>
        <v>3000</v>
      </c>
      <c r="T1326" s="111">
        <f t="shared" si="189"/>
        <v>180000</v>
      </c>
      <c r="U1326" s="111">
        <f t="shared" si="190"/>
        <v>1800</v>
      </c>
      <c r="V1326" s="111">
        <f t="shared" si="191"/>
        <v>181800</v>
      </c>
      <c r="W1326" t="s">
        <v>3785</v>
      </c>
    </row>
    <row r="1327" spans="1:23" x14ac:dyDescent="0.3">
      <c r="A1327" s="110">
        <v>1701606</v>
      </c>
      <c r="B1327" s="110" t="s">
        <v>1502</v>
      </c>
      <c r="C1327" s="110" t="s">
        <v>1520</v>
      </c>
      <c r="D1327" s="110" t="s">
        <v>1521</v>
      </c>
      <c r="E1327" s="110" t="s">
        <v>319</v>
      </c>
      <c r="F1327" s="110" t="s">
        <v>113</v>
      </c>
      <c r="G1327" s="110" t="s">
        <v>114</v>
      </c>
      <c r="H1327" s="111">
        <v>81</v>
      </c>
      <c r="I1327" s="111">
        <v>71</v>
      </c>
      <c r="J1327" s="111">
        <v>71</v>
      </c>
      <c r="K1327" s="111">
        <f t="shared" si="183"/>
        <v>74.333333333333329</v>
      </c>
      <c r="L1327" s="111">
        <v>150000</v>
      </c>
      <c r="M1327" s="111">
        <f t="shared" si="184"/>
        <v>67500</v>
      </c>
      <c r="N1327" s="111">
        <f t="shared" si="185"/>
        <v>67500</v>
      </c>
      <c r="O1327" s="111">
        <f t="shared" si="186"/>
        <v>13500</v>
      </c>
      <c r="P1327" s="111">
        <f t="shared" si="187"/>
        <v>15000</v>
      </c>
      <c r="Q1327" s="111">
        <v>30000</v>
      </c>
      <c r="R1327" s="111">
        <v>3</v>
      </c>
      <c r="S1327" s="111">
        <f t="shared" si="188"/>
        <v>3000</v>
      </c>
      <c r="T1327" s="111">
        <f t="shared" si="189"/>
        <v>180000</v>
      </c>
      <c r="U1327" s="111">
        <f t="shared" si="190"/>
        <v>1800</v>
      </c>
      <c r="V1327" s="111">
        <f t="shared" si="191"/>
        <v>181800</v>
      </c>
      <c r="W1327" t="s">
        <v>3786</v>
      </c>
    </row>
    <row r="1328" spans="1:23" x14ac:dyDescent="0.3">
      <c r="A1328" s="110">
        <v>1701607</v>
      </c>
      <c r="B1328" s="110" t="s">
        <v>1502</v>
      </c>
      <c r="C1328" s="110" t="s">
        <v>1520</v>
      </c>
      <c r="D1328" s="110" t="s">
        <v>1522</v>
      </c>
      <c r="E1328" s="110" t="s">
        <v>406</v>
      </c>
      <c r="F1328" s="110" t="s">
        <v>113</v>
      </c>
      <c r="G1328" s="110" t="s">
        <v>114</v>
      </c>
      <c r="H1328" s="111">
        <v>76</v>
      </c>
      <c r="I1328" s="111">
        <v>74</v>
      </c>
      <c r="J1328" s="111">
        <v>80</v>
      </c>
      <c r="K1328" s="111">
        <f t="shared" si="183"/>
        <v>76.666666666666671</v>
      </c>
      <c r="L1328" s="111">
        <v>150000</v>
      </c>
      <c r="M1328" s="111">
        <f t="shared" si="184"/>
        <v>67500</v>
      </c>
      <c r="N1328" s="111">
        <f t="shared" si="185"/>
        <v>67500</v>
      </c>
      <c r="O1328" s="111">
        <f t="shared" si="186"/>
        <v>13500</v>
      </c>
      <c r="P1328" s="111">
        <f t="shared" si="187"/>
        <v>15000</v>
      </c>
      <c r="Q1328" s="111">
        <v>30000</v>
      </c>
      <c r="R1328" s="111">
        <v>3</v>
      </c>
      <c r="S1328" s="111">
        <f t="shared" si="188"/>
        <v>3000</v>
      </c>
      <c r="T1328" s="111">
        <f t="shared" si="189"/>
        <v>180000</v>
      </c>
      <c r="U1328" s="111">
        <f t="shared" si="190"/>
        <v>1800</v>
      </c>
      <c r="V1328" s="111">
        <f t="shared" si="191"/>
        <v>181800</v>
      </c>
      <c r="W1328" t="s">
        <v>3787</v>
      </c>
    </row>
    <row r="1329" spans="1:23" x14ac:dyDescent="0.3">
      <c r="A1329" s="110">
        <v>1701608</v>
      </c>
      <c r="B1329" s="110" t="s">
        <v>1502</v>
      </c>
      <c r="C1329" s="110" t="s">
        <v>1520</v>
      </c>
      <c r="D1329" s="110" t="s">
        <v>1523</v>
      </c>
      <c r="E1329" s="110" t="s">
        <v>1524</v>
      </c>
      <c r="F1329" s="110" t="s">
        <v>113</v>
      </c>
      <c r="G1329" s="110" t="s">
        <v>114</v>
      </c>
      <c r="H1329" s="111">
        <v>37</v>
      </c>
      <c r="I1329" s="111">
        <v>38</v>
      </c>
      <c r="J1329" s="111">
        <v>39</v>
      </c>
      <c r="K1329" s="111">
        <f t="shared" si="183"/>
        <v>38</v>
      </c>
      <c r="L1329" s="111">
        <v>50000</v>
      </c>
      <c r="M1329" s="111">
        <f t="shared" si="184"/>
        <v>22500</v>
      </c>
      <c r="N1329" s="111">
        <f t="shared" si="185"/>
        <v>22500</v>
      </c>
      <c r="O1329" s="111">
        <f t="shared" si="186"/>
        <v>4500</v>
      </c>
      <c r="P1329" s="111">
        <f t="shared" si="187"/>
        <v>5000</v>
      </c>
      <c r="Q1329" s="111">
        <v>10000</v>
      </c>
      <c r="R1329" s="111">
        <v>1</v>
      </c>
      <c r="S1329" s="111">
        <f t="shared" si="188"/>
        <v>1000</v>
      </c>
      <c r="T1329" s="111">
        <f t="shared" si="189"/>
        <v>60000</v>
      </c>
      <c r="U1329" s="111">
        <f t="shared" si="190"/>
        <v>600</v>
      </c>
      <c r="V1329" s="111">
        <f t="shared" si="191"/>
        <v>60600</v>
      </c>
      <c r="W1329" t="s">
        <v>3788</v>
      </c>
    </row>
    <row r="1330" spans="1:23" x14ac:dyDescent="0.3">
      <c r="A1330" s="110">
        <v>1701609</v>
      </c>
      <c r="B1330" s="110" t="s">
        <v>1502</v>
      </c>
      <c r="C1330" s="110" t="s">
        <v>1520</v>
      </c>
      <c r="D1330" s="110" t="s">
        <v>1525</v>
      </c>
      <c r="E1330" s="110" t="s">
        <v>406</v>
      </c>
      <c r="F1330" s="110" t="s">
        <v>113</v>
      </c>
      <c r="G1330" s="110" t="s">
        <v>114</v>
      </c>
      <c r="H1330" s="111">
        <v>20</v>
      </c>
      <c r="I1330" s="111">
        <v>17</v>
      </c>
      <c r="J1330" s="111">
        <v>13</v>
      </c>
      <c r="K1330" s="111">
        <f t="shared" si="183"/>
        <v>16.666666666666668</v>
      </c>
      <c r="L1330" s="111">
        <v>50000</v>
      </c>
      <c r="M1330" s="111">
        <f t="shared" si="184"/>
        <v>22500</v>
      </c>
      <c r="N1330" s="111">
        <f t="shared" si="185"/>
        <v>22500</v>
      </c>
      <c r="O1330" s="111">
        <f t="shared" si="186"/>
        <v>4500</v>
      </c>
      <c r="P1330" s="111">
        <f t="shared" si="187"/>
        <v>5000</v>
      </c>
      <c r="Q1330" s="111">
        <v>10000</v>
      </c>
      <c r="R1330" s="111">
        <v>1</v>
      </c>
      <c r="S1330" s="111">
        <f t="shared" si="188"/>
        <v>1000</v>
      </c>
      <c r="T1330" s="111">
        <f t="shared" si="189"/>
        <v>60000</v>
      </c>
      <c r="U1330" s="111">
        <f t="shared" si="190"/>
        <v>600</v>
      </c>
      <c r="V1330" s="111">
        <f t="shared" si="191"/>
        <v>60600</v>
      </c>
      <c r="W1330" t="s">
        <v>3789</v>
      </c>
    </row>
    <row r="1331" spans="1:23" x14ac:dyDescent="0.3">
      <c r="A1331" s="110">
        <v>1701612</v>
      </c>
      <c r="B1331" s="110" t="s">
        <v>1502</v>
      </c>
      <c r="C1331" s="110" t="s">
        <v>1520</v>
      </c>
      <c r="D1331" s="110" t="s">
        <v>1526</v>
      </c>
      <c r="E1331" s="110" t="s">
        <v>588</v>
      </c>
      <c r="F1331" s="110" t="s">
        <v>113</v>
      </c>
      <c r="G1331" s="110" t="s">
        <v>114</v>
      </c>
      <c r="H1331" s="111">
        <v>51</v>
      </c>
      <c r="I1331" s="111">
        <v>51</v>
      </c>
      <c r="J1331" s="111">
        <v>43</v>
      </c>
      <c r="K1331" s="111">
        <f t="shared" si="183"/>
        <v>48.333333333333336</v>
      </c>
      <c r="L1331" s="111">
        <v>50000</v>
      </c>
      <c r="M1331" s="111">
        <f t="shared" si="184"/>
        <v>22500</v>
      </c>
      <c r="N1331" s="111">
        <f t="shared" si="185"/>
        <v>22500</v>
      </c>
      <c r="O1331" s="111">
        <f t="shared" si="186"/>
        <v>4500</v>
      </c>
      <c r="P1331" s="111">
        <f t="shared" si="187"/>
        <v>5000</v>
      </c>
      <c r="Q1331" s="111">
        <v>10000</v>
      </c>
      <c r="R1331" s="111">
        <v>1</v>
      </c>
      <c r="S1331" s="111">
        <f t="shared" si="188"/>
        <v>1000</v>
      </c>
      <c r="T1331" s="111">
        <f t="shared" si="189"/>
        <v>60000</v>
      </c>
      <c r="U1331" s="111">
        <f t="shared" si="190"/>
        <v>600</v>
      </c>
      <c r="V1331" s="111">
        <f t="shared" si="191"/>
        <v>60600</v>
      </c>
      <c r="W1331" t="s">
        <v>3790</v>
      </c>
    </row>
    <row r="1332" spans="1:23" x14ac:dyDescent="0.3">
      <c r="A1332" s="110">
        <v>1701701</v>
      </c>
      <c r="B1332" s="110" t="s">
        <v>1502</v>
      </c>
      <c r="C1332" s="110" t="s">
        <v>1527</v>
      </c>
      <c r="D1332" s="110" t="s">
        <v>1527</v>
      </c>
      <c r="E1332" s="110" t="s">
        <v>272</v>
      </c>
      <c r="F1332" s="110" t="s">
        <v>119</v>
      </c>
      <c r="G1332" s="110" t="s">
        <v>114</v>
      </c>
      <c r="H1332" s="111">
        <v>89</v>
      </c>
      <c r="I1332" s="111">
        <v>93</v>
      </c>
      <c r="J1332" s="111">
        <v>95</v>
      </c>
      <c r="K1332" s="111">
        <f t="shared" si="183"/>
        <v>92.333333333333329</v>
      </c>
      <c r="L1332" s="111">
        <f>150000*0.7</f>
        <v>105000</v>
      </c>
      <c r="M1332" s="111">
        <f t="shared" si="184"/>
        <v>47250</v>
      </c>
      <c r="N1332" s="111">
        <f t="shared" si="185"/>
        <v>47250</v>
      </c>
      <c r="O1332" s="111">
        <f t="shared" si="186"/>
        <v>9450</v>
      </c>
      <c r="P1332" s="111">
        <f t="shared" si="187"/>
        <v>10500</v>
      </c>
      <c r="Q1332" s="111">
        <v>30000</v>
      </c>
      <c r="R1332" s="111">
        <v>3</v>
      </c>
      <c r="S1332" s="111">
        <f t="shared" si="188"/>
        <v>3000</v>
      </c>
      <c r="T1332" s="111">
        <f t="shared" si="189"/>
        <v>135000</v>
      </c>
      <c r="U1332" s="111">
        <f t="shared" si="190"/>
        <v>1350</v>
      </c>
      <c r="V1332" s="111">
        <f t="shared" si="191"/>
        <v>136350</v>
      </c>
      <c r="W1332" t="s">
        <v>3791</v>
      </c>
    </row>
    <row r="1333" spans="1:23" x14ac:dyDescent="0.3">
      <c r="A1333" s="110">
        <v>1701702</v>
      </c>
      <c r="B1333" s="110" t="s">
        <v>1502</v>
      </c>
      <c r="C1333" s="110" t="s">
        <v>1527</v>
      </c>
      <c r="D1333" s="110" t="s">
        <v>1527</v>
      </c>
      <c r="E1333" s="110" t="s">
        <v>1528</v>
      </c>
      <c r="F1333" s="110" t="s">
        <v>117</v>
      </c>
      <c r="G1333" s="110" t="s">
        <v>114</v>
      </c>
      <c r="H1333" s="111">
        <v>235</v>
      </c>
      <c r="I1333" s="111">
        <v>222</v>
      </c>
      <c r="J1333" s="111">
        <v>201</v>
      </c>
      <c r="K1333" s="111">
        <f t="shared" si="183"/>
        <v>219.33333333333334</v>
      </c>
      <c r="L1333" s="111">
        <v>200000</v>
      </c>
      <c r="M1333" s="111">
        <f t="shared" si="184"/>
        <v>90000</v>
      </c>
      <c r="N1333" s="111">
        <f t="shared" si="185"/>
        <v>90000</v>
      </c>
      <c r="O1333" s="111">
        <f t="shared" si="186"/>
        <v>18000</v>
      </c>
      <c r="P1333" s="111">
        <f t="shared" si="187"/>
        <v>20000</v>
      </c>
      <c r="Q1333" s="111">
        <v>50000</v>
      </c>
      <c r="R1333" s="111">
        <v>5</v>
      </c>
      <c r="S1333" s="111">
        <f t="shared" si="188"/>
        <v>5000</v>
      </c>
      <c r="T1333" s="111">
        <f t="shared" si="189"/>
        <v>250000</v>
      </c>
      <c r="U1333" s="111">
        <f t="shared" si="190"/>
        <v>2500</v>
      </c>
      <c r="V1333" s="111">
        <f t="shared" si="191"/>
        <v>252500</v>
      </c>
      <c r="W1333" t="s">
        <v>3792</v>
      </c>
    </row>
    <row r="1334" spans="1:23" x14ac:dyDescent="0.3">
      <c r="A1334" s="110">
        <v>1701703</v>
      </c>
      <c r="B1334" s="110" t="s">
        <v>1502</v>
      </c>
      <c r="C1334" s="110" t="s">
        <v>1527</v>
      </c>
      <c r="D1334" s="110" t="s">
        <v>1529</v>
      </c>
      <c r="E1334" s="110" t="s">
        <v>1530</v>
      </c>
      <c r="F1334" s="110" t="s">
        <v>113</v>
      </c>
      <c r="G1334" s="110" t="s">
        <v>114</v>
      </c>
      <c r="H1334" s="111">
        <v>71</v>
      </c>
      <c r="I1334" s="111">
        <v>73</v>
      </c>
      <c r="J1334" s="111">
        <v>79</v>
      </c>
      <c r="K1334" s="111">
        <f t="shared" si="183"/>
        <v>74.333333333333329</v>
      </c>
      <c r="L1334" s="111">
        <v>150000</v>
      </c>
      <c r="M1334" s="111">
        <f t="shared" si="184"/>
        <v>67500</v>
      </c>
      <c r="N1334" s="111">
        <f t="shared" si="185"/>
        <v>67500</v>
      </c>
      <c r="O1334" s="111">
        <f t="shared" si="186"/>
        <v>13500</v>
      </c>
      <c r="P1334" s="111">
        <f t="shared" si="187"/>
        <v>15000</v>
      </c>
      <c r="Q1334" s="111">
        <v>30000</v>
      </c>
      <c r="R1334" s="111">
        <v>3</v>
      </c>
      <c r="S1334" s="111">
        <f t="shared" si="188"/>
        <v>3000</v>
      </c>
      <c r="T1334" s="111">
        <f t="shared" si="189"/>
        <v>180000</v>
      </c>
      <c r="U1334" s="111">
        <f t="shared" si="190"/>
        <v>1800</v>
      </c>
      <c r="V1334" s="111">
        <f t="shared" si="191"/>
        <v>181800</v>
      </c>
      <c r="W1334" t="s">
        <v>3793</v>
      </c>
    </row>
    <row r="1335" spans="1:23" x14ac:dyDescent="0.3">
      <c r="A1335" s="110">
        <v>1701709</v>
      </c>
      <c r="B1335" s="110" t="s">
        <v>1502</v>
      </c>
      <c r="C1335" s="110" t="s">
        <v>1527</v>
      </c>
      <c r="D1335" s="110" t="s">
        <v>1531</v>
      </c>
      <c r="E1335" s="110" t="s">
        <v>184</v>
      </c>
      <c r="F1335" s="110" t="s">
        <v>113</v>
      </c>
      <c r="G1335" s="110" t="s">
        <v>114</v>
      </c>
      <c r="H1335" s="111">
        <v>100</v>
      </c>
      <c r="I1335" s="111">
        <v>90</v>
      </c>
      <c r="J1335" s="111">
        <v>87</v>
      </c>
      <c r="K1335" s="111">
        <f t="shared" si="183"/>
        <v>92.333333333333329</v>
      </c>
      <c r="L1335" s="111">
        <v>150000</v>
      </c>
      <c r="M1335" s="111">
        <f t="shared" si="184"/>
        <v>67500</v>
      </c>
      <c r="N1335" s="111">
        <f t="shared" si="185"/>
        <v>67500</v>
      </c>
      <c r="O1335" s="111">
        <f t="shared" si="186"/>
        <v>13500</v>
      </c>
      <c r="P1335" s="111">
        <f t="shared" si="187"/>
        <v>15000</v>
      </c>
      <c r="Q1335" s="111">
        <v>30000</v>
      </c>
      <c r="R1335" s="111">
        <v>3</v>
      </c>
      <c r="S1335" s="111">
        <f t="shared" si="188"/>
        <v>3000</v>
      </c>
      <c r="T1335" s="111">
        <f t="shared" si="189"/>
        <v>180000</v>
      </c>
      <c r="U1335" s="111">
        <f t="shared" si="190"/>
        <v>1800</v>
      </c>
      <c r="V1335" s="111">
        <f t="shared" si="191"/>
        <v>181800</v>
      </c>
      <c r="W1335" t="s">
        <v>3794</v>
      </c>
    </row>
    <row r="1336" spans="1:23" x14ac:dyDescent="0.3">
      <c r="A1336" s="110">
        <v>1701711</v>
      </c>
      <c r="B1336" s="110" t="s">
        <v>1502</v>
      </c>
      <c r="C1336" s="110" t="s">
        <v>1527</v>
      </c>
      <c r="D1336" s="110" t="s">
        <v>1527</v>
      </c>
      <c r="E1336" s="110" t="s">
        <v>1532</v>
      </c>
      <c r="F1336" s="110" t="s">
        <v>209</v>
      </c>
      <c r="G1336" s="110" t="s">
        <v>114</v>
      </c>
      <c r="H1336" s="111">
        <v>140</v>
      </c>
      <c r="I1336" s="111">
        <v>142</v>
      </c>
      <c r="J1336" s="111">
        <v>136</v>
      </c>
      <c r="K1336" s="111">
        <f t="shared" si="183"/>
        <v>139.33333333333334</v>
      </c>
      <c r="L1336" s="111">
        <v>150000</v>
      </c>
      <c r="M1336" s="111">
        <f t="shared" si="184"/>
        <v>67500</v>
      </c>
      <c r="N1336" s="111">
        <f t="shared" si="185"/>
        <v>67500</v>
      </c>
      <c r="O1336" s="111">
        <f t="shared" si="186"/>
        <v>13500</v>
      </c>
      <c r="P1336" s="111">
        <f t="shared" si="187"/>
        <v>15000</v>
      </c>
      <c r="Q1336" s="111">
        <v>30000</v>
      </c>
      <c r="R1336" s="111">
        <v>3</v>
      </c>
      <c r="S1336" s="111">
        <f t="shared" si="188"/>
        <v>3000</v>
      </c>
      <c r="T1336" s="111">
        <f t="shared" si="189"/>
        <v>180000</v>
      </c>
      <c r="U1336" s="111">
        <f t="shared" si="190"/>
        <v>1800</v>
      </c>
      <c r="V1336" s="111">
        <f t="shared" si="191"/>
        <v>181800</v>
      </c>
      <c r="W1336" t="s">
        <v>3795</v>
      </c>
    </row>
    <row r="1337" spans="1:23" x14ac:dyDescent="0.3">
      <c r="A1337" s="110">
        <v>1702601</v>
      </c>
      <c r="B1337" s="110" t="s">
        <v>1502</v>
      </c>
      <c r="C1337" s="110" t="s">
        <v>1502</v>
      </c>
      <c r="D1337" s="110" t="s">
        <v>1502</v>
      </c>
      <c r="E1337" s="110" t="s">
        <v>1533</v>
      </c>
      <c r="F1337" s="110" t="s">
        <v>117</v>
      </c>
      <c r="G1337" s="110" t="s">
        <v>125</v>
      </c>
      <c r="H1337" s="111">
        <v>456</v>
      </c>
      <c r="I1337" s="111">
        <v>428</v>
      </c>
      <c r="J1337" s="111">
        <v>423</v>
      </c>
      <c r="K1337" s="111">
        <f t="shared" si="183"/>
        <v>435.66666666666669</v>
      </c>
      <c r="L1337" s="111">
        <f>300000</f>
        <v>300000</v>
      </c>
      <c r="M1337" s="111">
        <f t="shared" si="184"/>
        <v>135000</v>
      </c>
      <c r="N1337" s="111">
        <f t="shared" si="185"/>
        <v>135000</v>
      </c>
      <c r="O1337" s="111">
        <f t="shared" si="186"/>
        <v>27000</v>
      </c>
      <c r="P1337" s="111">
        <f t="shared" si="187"/>
        <v>30000</v>
      </c>
      <c r="Q1337" s="111">
        <v>60000</v>
      </c>
      <c r="R1337" s="111">
        <v>6</v>
      </c>
      <c r="S1337" s="111">
        <f t="shared" si="188"/>
        <v>6000</v>
      </c>
      <c r="T1337" s="111">
        <f t="shared" si="189"/>
        <v>360000</v>
      </c>
      <c r="U1337" s="111">
        <f t="shared" si="190"/>
        <v>3600</v>
      </c>
      <c r="V1337" s="111">
        <f t="shared" si="191"/>
        <v>363600</v>
      </c>
      <c r="W1337" t="s">
        <v>3796</v>
      </c>
    </row>
    <row r="1338" spans="1:23" x14ac:dyDescent="0.3">
      <c r="A1338" s="110">
        <v>1702602</v>
      </c>
      <c r="B1338" s="110" t="s">
        <v>1502</v>
      </c>
      <c r="C1338" s="110" t="s">
        <v>1502</v>
      </c>
      <c r="D1338" s="110" t="s">
        <v>1502</v>
      </c>
      <c r="E1338" s="110" t="s">
        <v>1534</v>
      </c>
      <c r="F1338" s="110" t="s">
        <v>117</v>
      </c>
      <c r="G1338" s="110" t="s">
        <v>125</v>
      </c>
      <c r="H1338" s="111">
        <v>513</v>
      </c>
      <c r="I1338" s="111">
        <v>503</v>
      </c>
      <c r="J1338" s="111">
        <v>503</v>
      </c>
      <c r="K1338" s="111">
        <f t="shared" si="183"/>
        <v>506.33333333333331</v>
      </c>
      <c r="L1338" s="111">
        <f>300000</f>
        <v>300000</v>
      </c>
      <c r="M1338" s="111">
        <f t="shared" si="184"/>
        <v>135000</v>
      </c>
      <c r="N1338" s="111">
        <f t="shared" si="185"/>
        <v>135000</v>
      </c>
      <c r="O1338" s="111">
        <f t="shared" si="186"/>
        <v>27000</v>
      </c>
      <c r="P1338" s="111">
        <f t="shared" si="187"/>
        <v>30000</v>
      </c>
      <c r="Q1338" s="111">
        <v>60000</v>
      </c>
      <c r="R1338" s="111">
        <v>6</v>
      </c>
      <c r="S1338" s="111">
        <f t="shared" si="188"/>
        <v>6000</v>
      </c>
      <c r="T1338" s="111">
        <f t="shared" si="189"/>
        <v>360000</v>
      </c>
      <c r="U1338" s="111">
        <f t="shared" si="190"/>
        <v>3600</v>
      </c>
      <c r="V1338" s="111">
        <f t="shared" si="191"/>
        <v>363600</v>
      </c>
      <c r="W1338" t="s">
        <v>3797</v>
      </c>
    </row>
    <row r="1339" spans="1:23" x14ac:dyDescent="0.3">
      <c r="A1339" s="110">
        <v>1702603</v>
      </c>
      <c r="B1339" s="110" t="s">
        <v>1502</v>
      </c>
      <c r="C1339" s="110" t="s">
        <v>1502</v>
      </c>
      <c r="D1339" s="110" t="s">
        <v>1502</v>
      </c>
      <c r="E1339" s="110" t="s">
        <v>1535</v>
      </c>
      <c r="F1339" s="110" t="s">
        <v>117</v>
      </c>
      <c r="G1339" s="110" t="s">
        <v>125</v>
      </c>
      <c r="H1339" s="111">
        <v>206</v>
      </c>
      <c r="I1339" s="111">
        <v>202</v>
      </c>
      <c r="J1339" s="111">
        <v>223</v>
      </c>
      <c r="K1339" s="111">
        <f t="shared" si="183"/>
        <v>210.33333333333334</v>
      </c>
      <c r="L1339" s="111">
        <v>200000</v>
      </c>
      <c r="M1339" s="111">
        <f t="shared" si="184"/>
        <v>90000</v>
      </c>
      <c r="N1339" s="111">
        <f t="shared" si="185"/>
        <v>90000</v>
      </c>
      <c r="O1339" s="111">
        <f t="shared" si="186"/>
        <v>18000</v>
      </c>
      <c r="P1339" s="111">
        <f t="shared" si="187"/>
        <v>20000</v>
      </c>
      <c r="Q1339" s="111">
        <v>50000</v>
      </c>
      <c r="R1339" s="111">
        <v>5</v>
      </c>
      <c r="S1339" s="111">
        <f t="shared" si="188"/>
        <v>5000</v>
      </c>
      <c r="T1339" s="111">
        <f t="shared" si="189"/>
        <v>250000</v>
      </c>
      <c r="U1339" s="111">
        <f t="shared" si="190"/>
        <v>2500</v>
      </c>
      <c r="V1339" s="111">
        <f t="shared" si="191"/>
        <v>252500</v>
      </c>
      <c r="W1339" t="s">
        <v>3798</v>
      </c>
    </row>
    <row r="1340" spans="1:23" x14ac:dyDescent="0.3">
      <c r="A1340" s="110">
        <v>1702604</v>
      </c>
      <c r="B1340" s="110" t="s">
        <v>1502</v>
      </c>
      <c r="C1340" s="110" t="s">
        <v>1502</v>
      </c>
      <c r="D1340" s="110" t="s">
        <v>1502</v>
      </c>
      <c r="E1340" s="110" t="s">
        <v>1536</v>
      </c>
      <c r="F1340" s="110" t="s">
        <v>117</v>
      </c>
      <c r="G1340" s="110" t="s">
        <v>114</v>
      </c>
      <c r="H1340" s="111">
        <v>226</v>
      </c>
      <c r="I1340" s="111">
        <v>237</v>
      </c>
      <c r="J1340" s="111">
        <v>237</v>
      </c>
      <c r="K1340" s="111">
        <f t="shared" si="183"/>
        <v>233.33333333333334</v>
      </c>
      <c r="L1340" s="111">
        <v>200000</v>
      </c>
      <c r="M1340" s="111">
        <f t="shared" si="184"/>
        <v>90000</v>
      </c>
      <c r="N1340" s="111">
        <f t="shared" si="185"/>
        <v>90000</v>
      </c>
      <c r="O1340" s="111">
        <f t="shared" si="186"/>
        <v>18000</v>
      </c>
      <c r="P1340" s="111">
        <f t="shared" si="187"/>
        <v>20000</v>
      </c>
      <c r="Q1340" s="111">
        <v>50000</v>
      </c>
      <c r="R1340" s="111">
        <v>5</v>
      </c>
      <c r="S1340" s="111">
        <f t="shared" si="188"/>
        <v>5000</v>
      </c>
      <c r="T1340" s="111">
        <f t="shared" si="189"/>
        <v>250000</v>
      </c>
      <c r="U1340" s="111">
        <f t="shared" si="190"/>
        <v>2500</v>
      </c>
      <c r="V1340" s="111">
        <f t="shared" si="191"/>
        <v>252500</v>
      </c>
      <c r="W1340" t="s">
        <v>3799</v>
      </c>
    </row>
    <row r="1341" spans="1:23" x14ac:dyDescent="0.3">
      <c r="A1341" s="110">
        <v>1702607</v>
      </c>
      <c r="B1341" s="110" t="s">
        <v>1502</v>
      </c>
      <c r="C1341" s="110" t="s">
        <v>1502</v>
      </c>
      <c r="D1341" s="110" t="s">
        <v>1502</v>
      </c>
      <c r="E1341" s="110" t="s">
        <v>1537</v>
      </c>
      <c r="F1341" s="110" t="s">
        <v>117</v>
      </c>
      <c r="G1341" s="110" t="s">
        <v>125</v>
      </c>
      <c r="H1341" s="111">
        <v>164</v>
      </c>
      <c r="I1341" s="111">
        <v>165</v>
      </c>
      <c r="J1341" s="111">
        <v>169</v>
      </c>
      <c r="K1341" s="111">
        <f t="shared" si="183"/>
        <v>166</v>
      </c>
      <c r="L1341" s="111">
        <v>150000</v>
      </c>
      <c r="M1341" s="111">
        <f t="shared" si="184"/>
        <v>67500</v>
      </c>
      <c r="N1341" s="111">
        <f t="shared" si="185"/>
        <v>67500</v>
      </c>
      <c r="O1341" s="111">
        <f t="shared" si="186"/>
        <v>13500</v>
      </c>
      <c r="P1341" s="111">
        <f t="shared" si="187"/>
        <v>15000</v>
      </c>
      <c r="Q1341" s="111">
        <v>30000</v>
      </c>
      <c r="R1341" s="111">
        <v>3</v>
      </c>
      <c r="S1341" s="111">
        <f t="shared" si="188"/>
        <v>3000</v>
      </c>
      <c r="T1341" s="111">
        <f t="shared" si="189"/>
        <v>180000</v>
      </c>
      <c r="U1341" s="111">
        <f t="shared" si="190"/>
        <v>1800</v>
      </c>
      <c r="V1341" s="111">
        <f t="shared" si="191"/>
        <v>181800</v>
      </c>
      <c r="W1341" t="s">
        <v>3800</v>
      </c>
    </row>
    <row r="1342" spans="1:23" x14ac:dyDescent="0.3">
      <c r="A1342" s="110">
        <v>1702608</v>
      </c>
      <c r="B1342" s="110" t="s">
        <v>1502</v>
      </c>
      <c r="C1342" s="110" t="s">
        <v>1502</v>
      </c>
      <c r="D1342" s="110" t="s">
        <v>1502</v>
      </c>
      <c r="E1342" s="110" t="s">
        <v>1538</v>
      </c>
      <c r="F1342" s="110" t="s">
        <v>122</v>
      </c>
      <c r="G1342" s="110" t="s">
        <v>114</v>
      </c>
      <c r="H1342" s="111">
        <v>525</v>
      </c>
      <c r="I1342" s="111">
        <v>518</v>
      </c>
      <c r="J1342" s="111">
        <v>519</v>
      </c>
      <c r="K1342" s="111">
        <f t="shared" si="183"/>
        <v>520.66666666666663</v>
      </c>
      <c r="L1342" s="111">
        <f>300000</f>
        <v>300000</v>
      </c>
      <c r="M1342" s="111">
        <f t="shared" si="184"/>
        <v>135000</v>
      </c>
      <c r="N1342" s="111">
        <f t="shared" si="185"/>
        <v>135000</v>
      </c>
      <c r="O1342" s="111">
        <f t="shared" si="186"/>
        <v>27000</v>
      </c>
      <c r="P1342" s="111">
        <f t="shared" si="187"/>
        <v>30000</v>
      </c>
      <c r="Q1342" s="111">
        <v>60000</v>
      </c>
      <c r="R1342" s="111">
        <v>6</v>
      </c>
      <c r="S1342" s="111">
        <f t="shared" si="188"/>
        <v>6000</v>
      </c>
      <c r="T1342" s="111">
        <f t="shared" si="189"/>
        <v>360000</v>
      </c>
      <c r="U1342" s="111">
        <f t="shared" si="190"/>
        <v>3600</v>
      </c>
      <c r="V1342" s="111">
        <f t="shared" si="191"/>
        <v>363600</v>
      </c>
      <c r="W1342" t="s">
        <v>3801</v>
      </c>
    </row>
    <row r="1343" spans="1:23" x14ac:dyDescent="0.3">
      <c r="A1343" s="110">
        <v>1702609</v>
      </c>
      <c r="B1343" s="110" t="s">
        <v>1502</v>
      </c>
      <c r="C1343" s="110" t="s">
        <v>1502</v>
      </c>
      <c r="D1343" s="110" t="s">
        <v>1502</v>
      </c>
      <c r="E1343" s="110" t="s">
        <v>334</v>
      </c>
      <c r="F1343" s="110" t="s">
        <v>122</v>
      </c>
      <c r="G1343" s="110" t="s">
        <v>114</v>
      </c>
      <c r="H1343" s="111">
        <v>588</v>
      </c>
      <c r="I1343" s="111">
        <v>590</v>
      </c>
      <c r="J1343" s="111">
        <v>592</v>
      </c>
      <c r="K1343" s="111">
        <f t="shared" si="183"/>
        <v>590</v>
      </c>
      <c r="L1343" s="111">
        <f>300000*0.7</f>
        <v>210000</v>
      </c>
      <c r="M1343" s="111">
        <f t="shared" si="184"/>
        <v>94500</v>
      </c>
      <c r="N1343" s="111">
        <f t="shared" si="185"/>
        <v>94500</v>
      </c>
      <c r="O1343" s="111">
        <f t="shared" si="186"/>
        <v>18900</v>
      </c>
      <c r="P1343" s="111">
        <f t="shared" si="187"/>
        <v>21000</v>
      </c>
      <c r="Q1343" s="111">
        <v>60000</v>
      </c>
      <c r="R1343" s="111">
        <v>6</v>
      </c>
      <c r="S1343" s="111">
        <f t="shared" si="188"/>
        <v>6000</v>
      </c>
      <c r="T1343" s="111">
        <f t="shared" si="189"/>
        <v>270000</v>
      </c>
      <c r="U1343" s="111">
        <f t="shared" si="190"/>
        <v>2700</v>
      </c>
      <c r="V1343" s="111">
        <f t="shared" si="191"/>
        <v>272700</v>
      </c>
      <c r="W1343" t="s">
        <v>3802</v>
      </c>
    </row>
    <row r="1344" spans="1:23" x14ac:dyDescent="0.3">
      <c r="A1344" s="110">
        <v>1702611</v>
      </c>
      <c r="B1344" s="110" t="s">
        <v>1502</v>
      </c>
      <c r="C1344" s="110" t="s">
        <v>1502</v>
      </c>
      <c r="D1344" s="110" t="s">
        <v>1502</v>
      </c>
      <c r="E1344" s="110" t="s">
        <v>1539</v>
      </c>
      <c r="F1344" s="110" t="s">
        <v>113</v>
      </c>
      <c r="G1344" s="110" t="s">
        <v>114</v>
      </c>
      <c r="H1344" s="111">
        <v>485</v>
      </c>
      <c r="I1344" s="111">
        <v>476</v>
      </c>
      <c r="J1344" s="111">
        <v>493</v>
      </c>
      <c r="K1344" s="111">
        <f t="shared" si="183"/>
        <v>484.66666666666669</v>
      </c>
      <c r="L1344" s="111">
        <f>300000</f>
        <v>300000</v>
      </c>
      <c r="M1344" s="111">
        <f t="shared" si="184"/>
        <v>135000</v>
      </c>
      <c r="N1344" s="111">
        <f t="shared" si="185"/>
        <v>135000</v>
      </c>
      <c r="O1344" s="111">
        <f t="shared" si="186"/>
        <v>27000</v>
      </c>
      <c r="P1344" s="111">
        <f t="shared" si="187"/>
        <v>30000</v>
      </c>
      <c r="Q1344" s="111">
        <v>60000</v>
      </c>
      <c r="R1344" s="111">
        <v>6</v>
      </c>
      <c r="S1344" s="111">
        <f t="shared" si="188"/>
        <v>6000</v>
      </c>
      <c r="T1344" s="111">
        <f t="shared" si="189"/>
        <v>360000</v>
      </c>
      <c r="U1344" s="111">
        <f t="shared" si="190"/>
        <v>3600</v>
      </c>
      <c r="V1344" s="111">
        <f t="shared" si="191"/>
        <v>363600</v>
      </c>
      <c r="W1344" t="s">
        <v>3803</v>
      </c>
    </row>
    <row r="1345" spans="1:23" x14ac:dyDescent="0.3">
      <c r="A1345" s="110">
        <v>1702612</v>
      </c>
      <c r="B1345" s="110" t="s">
        <v>1502</v>
      </c>
      <c r="C1345" s="110" t="s">
        <v>1502</v>
      </c>
      <c r="D1345" s="110" t="s">
        <v>1502</v>
      </c>
      <c r="E1345" s="110" t="s">
        <v>272</v>
      </c>
      <c r="F1345" s="110" t="s">
        <v>119</v>
      </c>
      <c r="G1345" s="110" t="s">
        <v>114</v>
      </c>
      <c r="H1345" s="111">
        <v>211</v>
      </c>
      <c r="I1345" s="111">
        <v>212</v>
      </c>
      <c r="J1345" s="111">
        <v>174</v>
      </c>
      <c r="K1345" s="111">
        <f t="shared" si="183"/>
        <v>199</v>
      </c>
      <c r="L1345" s="111">
        <v>150000</v>
      </c>
      <c r="M1345" s="111">
        <f t="shared" si="184"/>
        <v>67500</v>
      </c>
      <c r="N1345" s="111">
        <f t="shared" si="185"/>
        <v>67500</v>
      </c>
      <c r="O1345" s="111">
        <f t="shared" si="186"/>
        <v>13500</v>
      </c>
      <c r="P1345" s="111">
        <f t="shared" si="187"/>
        <v>15000</v>
      </c>
      <c r="Q1345" s="111">
        <v>30000</v>
      </c>
      <c r="R1345" s="111">
        <v>3</v>
      </c>
      <c r="S1345" s="111">
        <f t="shared" si="188"/>
        <v>3000</v>
      </c>
      <c r="T1345" s="111">
        <f t="shared" si="189"/>
        <v>180000</v>
      </c>
      <c r="U1345" s="111">
        <f t="shared" si="190"/>
        <v>1800</v>
      </c>
      <c r="V1345" s="111">
        <f t="shared" si="191"/>
        <v>181800</v>
      </c>
      <c r="W1345" t="s">
        <v>3804</v>
      </c>
    </row>
    <row r="1346" spans="1:23" x14ac:dyDescent="0.3">
      <c r="A1346" s="110">
        <v>1702613</v>
      </c>
      <c r="B1346" s="110" t="s">
        <v>1502</v>
      </c>
      <c r="C1346" s="110" t="s">
        <v>1502</v>
      </c>
      <c r="D1346" s="110" t="s">
        <v>1502</v>
      </c>
      <c r="E1346" s="110" t="s">
        <v>319</v>
      </c>
      <c r="F1346" s="110" t="s">
        <v>113</v>
      </c>
      <c r="G1346" s="110" t="s">
        <v>114</v>
      </c>
      <c r="H1346" s="111">
        <v>708</v>
      </c>
      <c r="I1346" s="111">
        <v>702</v>
      </c>
      <c r="J1346" s="111">
        <v>681</v>
      </c>
      <c r="K1346" s="111">
        <f t="shared" ref="K1346:K1409" si="192">+(H1346+I1346+J1346)/3</f>
        <v>697</v>
      </c>
      <c r="L1346" s="111">
        <f>300000</f>
        <v>300000</v>
      </c>
      <c r="M1346" s="111">
        <f t="shared" ref="M1346:M1409" si="193">+L1346*0.45</f>
        <v>135000</v>
      </c>
      <c r="N1346" s="111">
        <f t="shared" ref="N1346:N1409" si="194">+L1346*0.45</f>
        <v>135000</v>
      </c>
      <c r="O1346" s="111">
        <f t="shared" ref="O1346:O1409" si="195">+N1346*0.2</f>
        <v>27000</v>
      </c>
      <c r="P1346" s="111">
        <f t="shared" ref="P1346:P1409" si="196">++L1346*0.1</f>
        <v>30000</v>
      </c>
      <c r="Q1346" s="111">
        <v>60000</v>
      </c>
      <c r="R1346" s="111">
        <v>6</v>
      </c>
      <c r="S1346" s="111">
        <f t="shared" ref="S1346:S1409" si="197">+Q1346*0.1</f>
        <v>6000</v>
      </c>
      <c r="T1346" s="111">
        <f t="shared" ref="T1346:T1409" si="198">+L1346+Q1346</f>
        <v>360000</v>
      </c>
      <c r="U1346" s="111">
        <f t="shared" ref="U1346:U1409" si="199">+T1346*0.01</f>
        <v>3600</v>
      </c>
      <c r="V1346" s="111">
        <f t="shared" ref="V1346:V1409" si="200">+T1346+U1346</f>
        <v>363600</v>
      </c>
      <c r="W1346" t="s">
        <v>3805</v>
      </c>
    </row>
    <row r="1347" spans="1:23" x14ac:dyDescent="0.3">
      <c r="A1347" s="110">
        <v>1702614</v>
      </c>
      <c r="B1347" s="110" t="s">
        <v>1502</v>
      </c>
      <c r="C1347" s="110" t="s">
        <v>1502</v>
      </c>
      <c r="D1347" s="110" t="s">
        <v>1502</v>
      </c>
      <c r="E1347" s="110" t="s">
        <v>1540</v>
      </c>
      <c r="F1347" s="110" t="s">
        <v>113</v>
      </c>
      <c r="G1347" s="110" t="s">
        <v>114</v>
      </c>
      <c r="H1347" s="111">
        <v>654</v>
      </c>
      <c r="I1347" s="111">
        <v>644</v>
      </c>
      <c r="J1347" s="111">
        <v>668</v>
      </c>
      <c r="K1347" s="111">
        <f t="shared" si="192"/>
        <v>655.33333333333337</v>
      </c>
      <c r="L1347" s="111">
        <f>300000</f>
        <v>300000</v>
      </c>
      <c r="M1347" s="111">
        <f t="shared" si="193"/>
        <v>135000</v>
      </c>
      <c r="N1347" s="111">
        <f t="shared" si="194"/>
        <v>135000</v>
      </c>
      <c r="O1347" s="111">
        <f t="shared" si="195"/>
        <v>27000</v>
      </c>
      <c r="P1347" s="111">
        <f t="shared" si="196"/>
        <v>30000</v>
      </c>
      <c r="Q1347" s="111">
        <v>60000</v>
      </c>
      <c r="R1347" s="111">
        <v>6</v>
      </c>
      <c r="S1347" s="111">
        <f t="shared" si="197"/>
        <v>6000</v>
      </c>
      <c r="T1347" s="111">
        <f t="shared" si="198"/>
        <v>360000</v>
      </c>
      <c r="U1347" s="111">
        <f t="shared" si="199"/>
        <v>3600</v>
      </c>
      <c r="V1347" s="111">
        <f t="shared" si="200"/>
        <v>363600</v>
      </c>
      <c r="W1347" t="s">
        <v>3806</v>
      </c>
    </row>
    <row r="1348" spans="1:23" x14ac:dyDescent="0.3">
      <c r="A1348" s="110">
        <v>1702615</v>
      </c>
      <c r="B1348" s="110" t="s">
        <v>1502</v>
      </c>
      <c r="C1348" s="110" t="s">
        <v>1502</v>
      </c>
      <c r="D1348" s="110" t="s">
        <v>1502</v>
      </c>
      <c r="E1348" s="110" t="s">
        <v>1541</v>
      </c>
      <c r="F1348" s="110" t="s">
        <v>113</v>
      </c>
      <c r="G1348" s="110" t="s">
        <v>114</v>
      </c>
      <c r="H1348" s="111">
        <v>325</v>
      </c>
      <c r="I1348" s="111">
        <v>306</v>
      </c>
      <c r="J1348" s="111">
        <v>320</v>
      </c>
      <c r="K1348" s="111">
        <f t="shared" si="192"/>
        <v>317</v>
      </c>
      <c r="L1348" s="111">
        <v>200000</v>
      </c>
      <c r="M1348" s="111">
        <f t="shared" si="193"/>
        <v>90000</v>
      </c>
      <c r="N1348" s="111">
        <f t="shared" si="194"/>
        <v>90000</v>
      </c>
      <c r="O1348" s="111">
        <f t="shared" si="195"/>
        <v>18000</v>
      </c>
      <c r="P1348" s="111">
        <f t="shared" si="196"/>
        <v>20000</v>
      </c>
      <c r="Q1348" s="111">
        <v>50000</v>
      </c>
      <c r="R1348" s="111">
        <v>5</v>
      </c>
      <c r="S1348" s="111">
        <f t="shared" si="197"/>
        <v>5000</v>
      </c>
      <c r="T1348" s="111">
        <f t="shared" si="198"/>
        <v>250000</v>
      </c>
      <c r="U1348" s="111">
        <f t="shared" si="199"/>
        <v>2500</v>
      </c>
      <c r="V1348" s="111">
        <f t="shared" si="200"/>
        <v>252500</v>
      </c>
      <c r="W1348" t="s">
        <v>3807</v>
      </c>
    </row>
    <row r="1349" spans="1:23" x14ac:dyDescent="0.3">
      <c r="A1349" s="110">
        <v>1702616</v>
      </c>
      <c r="B1349" s="110" t="s">
        <v>1502</v>
      </c>
      <c r="C1349" s="110" t="s">
        <v>1502</v>
      </c>
      <c r="D1349" s="110" t="s">
        <v>1502</v>
      </c>
      <c r="E1349" s="110" t="s">
        <v>835</v>
      </c>
      <c r="F1349" s="110" t="s">
        <v>113</v>
      </c>
      <c r="G1349" s="110" t="s">
        <v>114</v>
      </c>
      <c r="H1349" s="111">
        <v>168</v>
      </c>
      <c r="I1349" s="111">
        <v>172</v>
      </c>
      <c r="J1349" s="111">
        <v>170</v>
      </c>
      <c r="K1349" s="111">
        <f t="shared" si="192"/>
        <v>170</v>
      </c>
      <c r="L1349" s="111">
        <f>150000*0.7</f>
        <v>105000</v>
      </c>
      <c r="M1349" s="111">
        <f t="shared" si="193"/>
        <v>47250</v>
      </c>
      <c r="N1349" s="111">
        <f t="shared" si="194"/>
        <v>47250</v>
      </c>
      <c r="O1349" s="111">
        <f t="shared" si="195"/>
        <v>9450</v>
      </c>
      <c r="P1349" s="111">
        <f t="shared" si="196"/>
        <v>10500</v>
      </c>
      <c r="Q1349" s="111">
        <v>30000</v>
      </c>
      <c r="R1349" s="111">
        <v>3</v>
      </c>
      <c r="S1349" s="111">
        <f t="shared" si="197"/>
        <v>3000</v>
      </c>
      <c r="T1349" s="111">
        <f t="shared" si="198"/>
        <v>135000</v>
      </c>
      <c r="U1349" s="111">
        <f t="shared" si="199"/>
        <v>1350</v>
      </c>
      <c r="V1349" s="111">
        <f t="shared" si="200"/>
        <v>136350</v>
      </c>
      <c r="W1349" t="s">
        <v>3808</v>
      </c>
    </row>
    <row r="1350" spans="1:23" x14ac:dyDescent="0.3">
      <c r="A1350" s="110">
        <v>1702618</v>
      </c>
      <c r="B1350" s="110" t="s">
        <v>1502</v>
      </c>
      <c r="C1350" s="110" t="s">
        <v>1502</v>
      </c>
      <c r="D1350" s="110" t="s">
        <v>1542</v>
      </c>
      <c r="E1350" s="110" t="s">
        <v>399</v>
      </c>
      <c r="F1350" s="110" t="s">
        <v>113</v>
      </c>
      <c r="G1350" s="110" t="s">
        <v>114</v>
      </c>
      <c r="H1350" s="111">
        <v>81</v>
      </c>
      <c r="I1350" s="111">
        <v>83</v>
      </c>
      <c r="J1350" s="111">
        <v>110</v>
      </c>
      <c r="K1350" s="111">
        <f t="shared" si="192"/>
        <v>91.333333333333329</v>
      </c>
      <c r="L1350" s="111">
        <v>150000</v>
      </c>
      <c r="M1350" s="111">
        <f t="shared" si="193"/>
        <v>67500</v>
      </c>
      <c r="N1350" s="111">
        <f t="shared" si="194"/>
        <v>67500</v>
      </c>
      <c r="O1350" s="111">
        <f t="shared" si="195"/>
        <v>13500</v>
      </c>
      <c r="P1350" s="111">
        <f t="shared" si="196"/>
        <v>15000</v>
      </c>
      <c r="Q1350" s="111">
        <v>30000</v>
      </c>
      <c r="R1350" s="111">
        <v>3</v>
      </c>
      <c r="S1350" s="111">
        <f t="shared" si="197"/>
        <v>3000</v>
      </c>
      <c r="T1350" s="111">
        <f t="shared" si="198"/>
        <v>180000</v>
      </c>
      <c r="U1350" s="111">
        <f t="shared" si="199"/>
        <v>1800</v>
      </c>
      <c r="V1350" s="111">
        <f t="shared" si="200"/>
        <v>181800</v>
      </c>
      <c r="W1350" t="s">
        <v>3809</v>
      </c>
    </row>
    <row r="1351" spans="1:23" x14ac:dyDescent="0.3">
      <c r="A1351" s="110">
        <v>1702620</v>
      </c>
      <c r="B1351" s="110" t="s">
        <v>1502</v>
      </c>
      <c r="C1351" s="110" t="s">
        <v>1502</v>
      </c>
      <c r="D1351" s="110" t="s">
        <v>1408</v>
      </c>
      <c r="E1351" s="110" t="s">
        <v>549</v>
      </c>
      <c r="F1351" s="110" t="s">
        <v>113</v>
      </c>
      <c r="G1351" s="110" t="s">
        <v>114</v>
      </c>
      <c r="H1351" s="111">
        <v>124</v>
      </c>
      <c r="I1351" s="111">
        <v>118</v>
      </c>
      <c r="J1351" s="111">
        <v>131</v>
      </c>
      <c r="K1351" s="111">
        <f t="shared" si="192"/>
        <v>124.33333333333333</v>
      </c>
      <c r="L1351" s="111">
        <f>150000*0.7</f>
        <v>105000</v>
      </c>
      <c r="M1351" s="111">
        <f t="shared" si="193"/>
        <v>47250</v>
      </c>
      <c r="N1351" s="111">
        <f t="shared" si="194"/>
        <v>47250</v>
      </c>
      <c r="O1351" s="111">
        <f t="shared" si="195"/>
        <v>9450</v>
      </c>
      <c r="P1351" s="111">
        <f t="shared" si="196"/>
        <v>10500</v>
      </c>
      <c r="Q1351" s="111">
        <v>30000</v>
      </c>
      <c r="R1351" s="111">
        <v>3</v>
      </c>
      <c r="S1351" s="111">
        <f t="shared" si="197"/>
        <v>3000</v>
      </c>
      <c r="T1351" s="111">
        <f t="shared" si="198"/>
        <v>135000</v>
      </c>
      <c r="U1351" s="111">
        <f t="shared" si="199"/>
        <v>1350</v>
      </c>
      <c r="V1351" s="111">
        <f t="shared" si="200"/>
        <v>136350</v>
      </c>
      <c r="W1351" t="s">
        <v>3810</v>
      </c>
    </row>
    <row r="1352" spans="1:23" x14ac:dyDescent="0.3">
      <c r="A1352" s="110">
        <v>1702621</v>
      </c>
      <c r="B1352" s="110" t="s">
        <v>1502</v>
      </c>
      <c r="C1352" s="110" t="s">
        <v>1502</v>
      </c>
      <c r="D1352" s="110" t="s">
        <v>1543</v>
      </c>
      <c r="E1352" s="110" t="s">
        <v>390</v>
      </c>
      <c r="F1352" s="110" t="s">
        <v>113</v>
      </c>
      <c r="G1352" s="110" t="s">
        <v>114</v>
      </c>
      <c r="H1352" s="111">
        <v>88</v>
      </c>
      <c r="I1352" s="111">
        <v>100</v>
      </c>
      <c r="J1352" s="111">
        <v>95</v>
      </c>
      <c r="K1352" s="111">
        <f t="shared" si="192"/>
        <v>94.333333333333329</v>
      </c>
      <c r="L1352" s="111">
        <v>150000</v>
      </c>
      <c r="M1352" s="111">
        <f t="shared" si="193"/>
        <v>67500</v>
      </c>
      <c r="N1352" s="111">
        <f t="shared" si="194"/>
        <v>67500</v>
      </c>
      <c r="O1352" s="111">
        <f t="shared" si="195"/>
        <v>13500</v>
      </c>
      <c r="P1352" s="111">
        <f t="shared" si="196"/>
        <v>15000</v>
      </c>
      <c r="Q1352" s="111">
        <v>30000</v>
      </c>
      <c r="R1352" s="111">
        <v>3</v>
      </c>
      <c r="S1352" s="111">
        <f t="shared" si="197"/>
        <v>3000</v>
      </c>
      <c r="T1352" s="111">
        <f t="shared" si="198"/>
        <v>180000</v>
      </c>
      <c r="U1352" s="111">
        <f t="shared" si="199"/>
        <v>1800</v>
      </c>
      <c r="V1352" s="111">
        <f t="shared" si="200"/>
        <v>181800</v>
      </c>
      <c r="W1352" t="s">
        <v>3811</v>
      </c>
    </row>
    <row r="1353" spans="1:23" x14ac:dyDescent="0.3">
      <c r="A1353" s="110">
        <v>1702622</v>
      </c>
      <c r="B1353" s="110" t="s">
        <v>1502</v>
      </c>
      <c r="C1353" s="110" t="s">
        <v>1502</v>
      </c>
      <c r="D1353" s="110" t="s">
        <v>1544</v>
      </c>
      <c r="E1353" s="110" t="s">
        <v>588</v>
      </c>
      <c r="F1353" s="110" t="s">
        <v>113</v>
      </c>
      <c r="G1353" s="110" t="s">
        <v>114</v>
      </c>
      <c r="H1353" s="111">
        <v>147</v>
      </c>
      <c r="I1353" s="111">
        <v>143</v>
      </c>
      <c r="J1353" s="111">
        <v>148</v>
      </c>
      <c r="K1353" s="111">
        <f t="shared" si="192"/>
        <v>146</v>
      </c>
      <c r="L1353" s="111">
        <v>150000</v>
      </c>
      <c r="M1353" s="111">
        <f t="shared" si="193"/>
        <v>67500</v>
      </c>
      <c r="N1353" s="111">
        <f t="shared" si="194"/>
        <v>67500</v>
      </c>
      <c r="O1353" s="111">
        <f t="shared" si="195"/>
        <v>13500</v>
      </c>
      <c r="P1353" s="111">
        <f t="shared" si="196"/>
        <v>15000</v>
      </c>
      <c r="Q1353" s="111">
        <v>30000</v>
      </c>
      <c r="R1353" s="111">
        <v>3</v>
      </c>
      <c r="S1353" s="111">
        <f t="shared" si="197"/>
        <v>3000</v>
      </c>
      <c r="T1353" s="111">
        <f t="shared" si="198"/>
        <v>180000</v>
      </c>
      <c r="U1353" s="111">
        <f t="shared" si="199"/>
        <v>1800</v>
      </c>
      <c r="V1353" s="111">
        <f t="shared" si="200"/>
        <v>181800</v>
      </c>
      <c r="W1353" t="s">
        <v>3812</v>
      </c>
    </row>
    <row r="1354" spans="1:23" x14ac:dyDescent="0.3">
      <c r="A1354" s="110">
        <v>1702625</v>
      </c>
      <c r="B1354" s="110" t="s">
        <v>1502</v>
      </c>
      <c r="C1354" s="110" t="s">
        <v>1502</v>
      </c>
      <c r="D1354" s="110" t="s">
        <v>1546</v>
      </c>
      <c r="E1354" s="110" t="s">
        <v>315</v>
      </c>
      <c r="F1354" s="110" t="s">
        <v>113</v>
      </c>
      <c r="G1354" s="110" t="s">
        <v>114</v>
      </c>
      <c r="H1354" s="111">
        <v>98</v>
      </c>
      <c r="I1354" s="111">
        <v>92</v>
      </c>
      <c r="J1354" s="111">
        <v>105</v>
      </c>
      <c r="K1354" s="111">
        <f t="shared" si="192"/>
        <v>98.333333333333329</v>
      </c>
      <c r="L1354" s="111">
        <v>150000</v>
      </c>
      <c r="M1354" s="111">
        <f t="shared" si="193"/>
        <v>67500</v>
      </c>
      <c r="N1354" s="111">
        <f t="shared" si="194"/>
        <v>67500</v>
      </c>
      <c r="O1354" s="111">
        <f t="shared" si="195"/>
        <v>13500</v>
      </c>
      <c r="P1354" s="111">
        <f t="shared" si="196"/>
        <v>15000</v>
      </c>
      <c r="Q1354" s="111">
        <v>30000</v>
      </c>
      <c r="R1354" s="111">
        <v>3</v>
      </c>
      <c r="S1354" s="111">
        <f t="shared" si="197"/>
        <v>3000</v>
      </c>
      <c r="T1354" s="111">
        <f t="shared" si="198"/>
        <v>180000</v>
      </c>
      <c r="U1354" s="111">
        <f t="shared" si="199"/>
        <v>1800</v>
      </c>
      <c r="V1354" s="111">
        <f t="shared" si="200"/>
        <v>181800</v>
      </c>
      <c r="W1354" t="s">
        <v>3814</v>
      </c>
    </row>
    <row r="1355" spans="1:23" x14ac:dyDescent="0.3">
      <c r="A1355" s="110">
        <v>1702629</v>
      </c>
      <c r="B1355" s="110" t="s">
        <v>1502</v>
      </c>
      <c r="C1355" s="110" t="s">
        <v>1502</v>
      </c>
      <c r="D1355" s="110" t="s">
        <v>1502</v>
      </c>
      <c r="E1355" s="110" t="s">
        <v>1547</v>
      </c>
      <c r="F1355" s="110" t="s">
        <v>117</v>
      </c>
      <c r="G1355" s="110" t="s">
        <v>125</v>
      </c>
      <c r="H1355" s="111">
        <v>213</v>
      </c>
      <c r="I1355" s="111">
        <v>250</v>
      </c>
      <c r="J1355" s="111">
        <v>272</v>
      </c>
      <c r="K1355" s="111">
        <f t="shared" si="192"/>
        <v>245</v>
      </c>
      <c r="L1355" s="111">
        <v>200000</v>
      </c>
      <c r="M1355" s="111">
        <f t="shared" si="193"/>
        <v>90000</v>
      </c>
      <c r="N1355" s="111">
        <f t="shared" si="194"/>
        <v>90000</v>
      </c>
      <c r="O1355" s="111">
        <f t="shared" si="195"/>
        <v>18000</v>
      </c>
      <c r="P1355" s="111">
        <f t="shared" si="196"/>
        <v>20000</v>
      </c>
      <c r="Q1355" s="111">
        <v>50000</v>
      </c>
      <c r="R1355" s="111">
        <v>5</v>
      </c>
      <c r="S1355" s="111">
        <f t="shared" si="197"/>
        <v>5000</v>
      </c>
      <c r="T1355" s="111">
        <f t="shared" si="198"/>
        <v>250000</v>
      </c>
      <c r="U1355" s="111">
        <f t="shared" si="199"/>
        <v>2500</v>
      </c>
      <c r="V1355" s="111">
        <f t="shared" si="200"/>
        <v>252500</v>
      </c>
      <c r="W1355" t="s">
        <v>3815</v>
      </c>
    </row>
    <row r="1356" spans="1:23" x14ac:dyDescent="0.3">
      <c r="A1356" s="110">
        <v>1702640</v>
      </c>
      <c r="B1356" s="110" t="s">
        <v>1502</v>
      </c>
      <c r="C1356" s="110" t="s">
        <v>1502</v>
      </c>
      <c r="D1356" s="110" t="s">
        <v>1502</v>
      </c>
      <c r="E1356" s="110" t="s">
        <v>1548</v>
      </c>
      <c r="F1356" s="110" t="s">
        <v>296</v>
      </c>
      <c r="G1356" s="110" t="s">
        <v>114</v>
      </c>
      <c r="H1356" s="111">
        <v>115</v>
      </c>
      <c r="I1356" s="111">
        <v>113</v>
      </c>
      <c r="J1356" s="111">
        <v>103</v>
      </c>
      <c r="K1356" s="111">
        <f t="shared" si="192"/>
        <v>110.33333333333333</v>
      </c>
      <c r="L1356" s="111">
        <v>150000</v>
      </c>
      <c r="M1356" s="111">
        <f t="shared" si="193"/>
        <v>67500</v>
      </c>
      <c r="N1356" s="111">
        <f t="shared" si="194"/>
        <v>67500</v>
      </c>
      <c r="O1356" s="111">
        <f t="shared" si="195"/>
        <v>13500</v>
      </c>
      <c r="P1356" s="111">
        <f t="shared" si="196"/>
        <v>15000</v>
      </c>
      <c r="Q1356" s="111">
        <v>30000</v>
      </c>
      <c r="R1356" s="111">
        <v>3</v>
      </c>
      <c r="S1356" s="111">
        <f t="shared" si="197"/>
        <v>3000</v>
      </c>
      <c r="T1356" s="111">
        <f t="shared" si="198"/>
        <v>180000</v>
      </c>
      <c r="U1356" s="111">
        <f t="shared" si="199"/>
        <v>1800</v>
      </c>
      <c r="V1356" s="111">
        <f t="shared" si="200"/>
        <v>181800</v>
      </c>
      <c r="W1356" t="s">
        <v>3816</v>
      </c>
    </row>
    <row r="1357" spans="1:23" x14ac:dyDescent="0.3">
      <c r="A1357" s="110">
        <v>1702901</v>
      </c>
      <c r="B1357" s="110" t="s">
        <v>1502</v>
      </c>
      <c r="C1357" s="110" t="s">
        <v>1549</v>
      </c>
      <c r="D1357" s="110" t="s">
        <v>1549</v>
      </c>
      <c r="E1357" s="110" t="s">
        <v>252</v>
      </c>
      <c r="F1357" s="110" t="s">
        <v>119</v>
      </c>
      <c r="G1357" s="110" t="s">
        <v>114</v>
      </c>
      <c r="H1357" s="111">
        <v>348</v>
      </c>
      <c r="I1357" s="111">
        <v>351</v>
      </c>
      <c r="J1357" s="111">
        <v>332</v>
      </c>
      <c r="K1357" s="111">
        <f t="shared" si="192"/>
        <v>343.66666666666669</v>
      </c>
      <c r="L1357" s="111">
        <v>200000</v>
      </c>
      <c r="M1357" s="111">
        <f t="shared" si="193"/>
        <v>90000</v>
      </c>
      <c r="N1357" s="111">
        <f t="shared" si="194"/>
        <v>90000</v>
      </c>
      <c r="O1357" s="111">
        <f t="shared" si="195"/>
        <v>18000</v>
      </c>
      <c r="P1357" s="111">
        <f t="shared" si="196"/>
        <v>20000</v>
      </c>
      <c r="Q1357" s="111">
        <v>50000</v>
      </c>
      <c r="R1357" s="111">
        <v>5</v>
      </c>
      <c r="S1357" s="111">
        <f t="shared" si="197"/>
        <v>5000</v>
      </c>
      <c r="T1357" s="111">
        <f t="shared" si="198"/>
        <v>250000</v>
      </c>
      <c r="U1357" s="111">
        <f t="shared" si="199"/>
        <v>2500</v>
      </c>
      <c r="V1357" s="111">
        <f t="shared" si="200"/>
        <v>252500</v>
      </c>
      <c r="W1357" t="s">
        <v>3817</v>
      </c>
    </row>
    <row r="1358" spans="1:23" x14ac:dyDescent="0.3">
      <c r="A1358" s="110">
        <v>1702902</v>
      </c>
      <c r="B1358" s="110" t="s">
        <v>1502</v>
      </c>
      <c r="C1358" s="110" t="s">
        <v>1549</v>
      </c>
      <c r="D1358" s="110" t="s">
        <v>1550</v>
      </c>
      <c r="E1358" s="110" t="s">
        <v>190</v>
      </c>
      <c r="F1358" s="110" t="s">
        <v>113</v>
      </c>
      <c r="G1358" s="110" t="s">
        <v>114</v>
      </c>
      <c r="H1358" s="111">
        <v>54</v>
      </c>
      <c r="I1358" s="111">
        <v>48</v>
      </c>
      <c r="J1358" s="111">
        <v>45</v>
      </c>
      <c r="K1358" s="111">
        <f t="shared" si="192"/>
        <v>49</v>
      </c>
      <c r="L1358" s="111">
        <v>50000</v>
      </c>
      <c r="M1358" s="111">
        <f t="shared" si="193"/>
        <v>22500</v>
      </c>
      <c r="N1358" s="111">
        <f t="shared" si="194"/>
        <v>22500</v>
      </c>
      <c r="O1358" s="111">
        <f t="shared" si="195"/>
        <v>4500</v>
      </c>
      <c r="P1358" s="111">
        <f t="shared" si="196"/>
        <v>5000</v>
      </c>
      <c r="Q1358" s="111">
        <v>10000</v>
      </c>
      <c r="R1358" s="111">
        <v>1</v>
      </c>
      <c r="S1358" s="111">
        <f t="shared" si="197"/>
        <v>1000</v>
      </c>
      <c r="T1358" s="111">
        <f t="shared" si="198"/>
        <v>60000</v>
      </c>
      <c r="U1358" s="111">
        <f t="shared" si="199"/>
        <v>600</v>
      </c>
      <c r="V1358" s="111">
        <f t="shared" si="200"/>
        <v>60600</v>
      </c>
      <c r="W1358" t="s">
        <v>3818</v>
      </c>
    </row>
    <row r="1359" spans="1:23" x14ac:dyDescent="0.3">
      <c r="A1359" s="110">
        <v>1702903</v>
      </c>
      <c r="B1359" s="110" t="s">
        <v>1502</v>
      </c>
      <c r="C1359" s="110" t="s">
        <v>1549</v>
      </c>
      <c r="D1359" s="110" t="s">
        <v>1551</v>
      </c>
      <c r="E1359" s="110" t="s">
        <v>184</v>
      </c>
      <c r="F1359" s="110" t="s">
        <v>113</v>
      </c>
      <c r="G1359" s="110" t="s">
        <v>114</v>
      </c>
      <c r="H1359" s="111">
        <v>84</v>
      </c>
      <c r="I1359" s="111">
        <v>84</v>
      </c>
      <c r="J1359" s="111">
        <v>85</v>
      </c>
      <c r="K1359" s="111">
        <f t="shared" si="192"/>
        <v>84.333333333333329</v>
      </c>
      <c r="L1359" s="111">
        <v>150000</v>
      </c>
      <c r="M1359" s="111">
        <f t="shared" si="193"/>
        <v>67500</v>
      </c>
      <c r="N1359" s="111">
        <f t="shared" si="194"/>
        <v>67500</v>
      </c>
      <c r="O1359" s="111">
        <f t="shared" si="195"/>
        <v>13500</v>
      </c>
      <c r="P1359" s="111">
        <f t="shared" si="196"/>
        <v>15000</v>
      </c>
      <c r="Q1359" s="111">
        <v>30000</v>
      </c>
      <c r="R1359" s="111">
        <v>3</v>
      </c>
      <c r="S1359" s="111">
        <f t="shared" si="197"/>
        <v>3000</v>
      </c>
      <c r="T1359" s="111">
        <f t="shared" si="198"/>
        <v>180000</v>
      </c>
      <c r="U1359" s="111">
        <f t="shared" si="199"/>
        <v>1800</v>
      </c>
      <c r="V1359" s="111">
        <f t="shared" si="200"/>
        <v>181800</v>
      </c>
      <c r="W1359" t="s">
        <v>3819</v>
      </c>
    </row>
    <row r="1360" spans="1:23" x14ac:dyDescent="0.3">
      <c r="A1360" s="110">
        <v>1703601</v>
      </c>
      <c r="B1360" s="110" t="s">
        <v>1502</v>
      </c>
      <c r="C1360" s="110" t="s">
        <v>1552</v>
      </c>
      <c r="D1360" s="110" t="s">
        <v>1552</v>
      </c>
      <c r="E1360" s="110" t="s">
        <v>272</v>
      </c>
      <c r="F1360" s="110" t="s">
        <v>119</v>
      </c>
      <c r="G1360" s="110" t="s">
        <v>114</v>
      </c>
      <c r="H1360" s="111">
        <v>194</v>
      </c>
      <c r="I1360" s="111">
        <v>194</v>
      </c>
      <c r="J1360" s="111">
        <v>189</v>
      </c>
      <c r="K1360" s="111">
        <f t="shared" si="192"/>
        <v>192.33333333333334</v>
      </c>
      <c r="L1360" s="111">
        <v>150000</v>
      </c>
      <c r="M1360" s="111">
        <f t="shared" si="193"/>
        <v>67500</v>
      </c>
      <c r="N1360" s="111">
        <f t="shared" si="194"/>
        <v>67500</v>
      </c>
      <c r="O1360" s="111">
        <f t="shared" si="195"/>
        <v>13500</v>
      </c>
      <c r="P1360" s="111">
        <f t="shared" si="196"/>
        <v>15000</v>
      </c>
      <c r="Q1360" s="111">
        <v>30000</v>
      </c>
      <c r="R1360" s="111">
        <v>3</v>
      </c>
      <c r="S1360" s="111">
        <f t="shared" si="197"/>
        <v>3000</v>
      </c>
      <c r="T1360" s="111">
        <f t="shared" si="198"/>
        <v>180000</v>
      </c>
      <c r="U1360" s="111">
        <f t="shared" si="199"/>
        <v>1800</v>
      </c>
      <c r="V1360" s="111">
        <f t="shared" si="200"/>
        <v>181800</v>
      </c>
      <c r="W1360" t="s">
        <v>3820</v>
      </c>
    </row>
    <row r="1361" spans="1:23" x14ac:dyDescent="0.3">
      <c r="A1361" s="110">
        <v>1703602</v>
      </c>
      <c r="B1361" s="110" t="s">
        <v>1502</v>
      </c>
      <c r="C1361" s="110" t="s">
        <v>1552</v>
      </c>
      <c r="D1361" s="110" t="s">
        <v>1553</v>
      </c>
      <c r="E1361" s="110" t="s">
        <v>190</v>
      </c>
      <c r="F1361" s="110" t="s">
        <v>113</v>
      </c>
      <c r="G1361" s="110" t="s">
        <v>114</v>
      </c>
      <c r="H1361" s="111">
        <v>67</v>
      </c>
      <c r="I1361" s="111">
        <v>65</v>
      </c>
      <c r="J1361" s="111">
        <v>62</v>
      </c>
      <c r="K1361" s="111">
        <f t="shared" si="192"/>
        <v>64.666666666666671</v>
      </c>
      <c r="L1361" s="111">
        <v>150000</v>
      </c>
      <c r="M1361" s="111">
        <f t="shared" si="193"/>
        <v>67500</v>
      </c>
      <c r="N1361" s="111">
        <f t="shared" si="194"/>
        <v>67500</v>
      </c>
      <c r="O1361" s="111">
        <f t="shared" si="195"/>
        <v>13500</v>
      </c>
      <c r="P1361" s="111">
        <f t="shared" si="196"/>
        <v>15000</v>
      </c>
      <c r="Q1361" s="111">
        <v>30000</v>
      </c>
      <c r="R1361" s="111">
        <v>3</v>
      </c>
      <c r="S1361" s="111">
        <f t="shared" si="197"/>
        <v>3000</v>
      </c>
      <c r="T1361" s="111">
        <f t="shared" si="198"/>
        <v>180000</v>
      </c>
      <c r="U1361" s="111">
        <f t="shared" si="199"/>
        <v>1800</v>
      </c>
      <c r="V1361" s="111">
        <f t="shared" si="200"/>
        <v>181800</v>
      </c>
      <c r="W1361" t="s">
        <v>3821</v>
      </c>
    </row>
    <row r="1362" spans="1:23" x14ac:dyDescent="0.3">
      <c r="A1362" s="110">
        <v>1801001</v>
      </c>
      <c r="B1362" s="110" t="s">
        <v>1554</v>
      </c>
      <c r="C1362" s="110" t="s">
        <v>185</v>
      </c>
      <c r="D1362" s="110" t="s">
        <v>185</v>
      </c>
      <c r="E1362" s="110" t="s">
        <v>1555</v>
      </c>
      <c r="F1362" s="110" t="s">
        <v>168</v>
      </c>
      <c r="G1362" s="110" t="s">
        <v>114</v>
      </c>
      <c r="H1362" s="111">
        <v>103</v>
      </c>
      <c r="I1362" s="111">
        <v>84</v>
      </c>
      <c r="J1362" s="111">
        <v>67</v>
      </c>
      <c r="K1362" s="111">
        <f t="shared" si="192"/>
        <v>84.666666666666671</v>
      </c>
      <c r="L1362" s="111">
        <v>150000</v>
      </c>
      <c r="M1362" s="111">
        <f t="shared" si="193"/>
        <v>67500</v>
      </c>
      <c r="N1362" s="111">
        <f t="shared" si="194"/>
        <v>67500</v>
      </c>
      <c r="O1362" s="111">
        <f t="shared" si="195"/>
        <v>13500</v>
      </c>
      <c r="P1362" s="111">
        <f t="shared" si="196"/>
        <v>15000</v>
      </c>
      <c r="Q1362" s="111">
        <v>30000</v>
      </c>
      <c r="R1362" s="111">
        <v>3</v>
      </c>
      <c r="S1362" s="111">
        <f t="shared" si="197"/>
        <v>3000</v>
      </c>
      <c r="T1362" s="111">
        <f t="shared" si="198"/>
        <v>180000</v>
      </c>
      <c r="U1362" s="111">
        <f t="shared" si="199"/>
        <v>1800</v>
      </c>
      <c r="V1362" s="111">
        <f t="shared" si="200"/>
        <v>181800</v>
      </c>
      <c r="W1362" t="s">
        <v>3822</v>
      </c>
    </row>
    <row r="1363" spans="1:23" x14ac:dyDescent="0.3">
      <c r="A1363" s="110">
        <v>1801004</v>
      </c>
      <c r="B1363" s="110" t="s">
        <v>1554</v>
      </c>
      <c r="C1363" s="110" t="s">
        <v>185</v>
      </c>
      <c r="D1363" s="110" t="s">
        <v>1556</v>
      </c>
      <c r="E1363" s="110" t="s">
        <v>308</v>
      </c>
      <c r="F1363" s="110" t="s">
        <v>113</v>
      </c>
      <c r="G1363" s="110" t="s">
        <v>114</v>
      </c>
      <c r="H1363" s="111">
        <v>83</v>
      </c>
      <c r="I1363" s="111">
        <v>73</v>
      </c>
      <c r="J1363" s="111">
        <v>69</v>
      </c>
      <c r="K1363" s="111">
        <f t="shared" si="192"/>
        <v>75</v>
      </c>
      <c r="L1363" s="111">
        <v>150000</v>
      </c>
      <c r="M1363" s="111">
        <f t="shared" si="193"/>
        <v>67500</v>
      </c>
      <c r="N1363" s="111">
        <f t="shared" si="194"/>
        <v>67500</v>
      </c>
      <c r="O1363" s="111">
        <f t="shared" si="195"/>
        <v>13500</v>
      </c>
      <c r="P1363" s="111">
        <f t="shared" si="196"/>
        <v>15000</v>
      </c>
      <c r="Q1363" s="111">
        <v>30000</v>
      </c>
      <c r="R1363" s="111">
        <v>3</v>
      </c>
      <c r="S1363" s="111">
        <f t="shared" si="197"/>
        <v>3000</v>
      </c>
      <c r="T1363" s="111">
        <f t="shared" si="198"/>
        <v>180000</v>
      </c>
      <c r="U1363" s="111">
        <f t="shared" si="199"/>
        <v>1800</v>
      </c>
      <c r="V1363" s="111">
        <f t="shared" si="200"/>
        <v>181800</v>
      </c>
      <c r="W1363" t="s">
        <v>3823</v>
      </c>
    </row>
    <row r="1364" spans="1:23" x14ac:dyDescent="0.3">
      <c r="A1364" s="110">
        <v>1802001</v>
      </c>
      <c r="B1364" s="110" t="s">
        <v>1554</v>
      </c>
      <c r="C1364" s="110" t="s">
        <v>603</v>
      </c>
      <c r="D1364" s="110" t="s">
        <v>603</v>
      </c>
      <c r="E1364" s="110" t="s">
        <v>1352</v>
      </c>
      <c r="F1364" s="110" t="s">
        <v>209</v>
      </c>
      <c r="G1364" s="110" t="s">
        <v>114</v>
      </c>
      <c r="H1364" s="111">
        <v>78</v>
      </c>
      <c r="I1364" s="111">
        <v>81</v>
      </c>
      <c r="J1364" s="111">
        <v>83</v>
      </c>
      <c r="K1364" s="111">
        <f t="shared" si="192"/>
        <v>80.666666666666671</v>
      </c>
      <c r="L1364" s="111">
        <v>150000</v>
      </c>
      <c r="M1364" s="111">
        <f t="shared" si="193"/>
        <v>67500</v>
      </c>
      <c r="N1364" s="111">
        <f t="shared" si="194"/>
        <v>67500</v>
      </c>
      <c r="O1364" s="111">
        <f t="shared" si="195"/>
        <v>13500</v>
      </c>
      <c r="P1364" s="111">
        <f t="shared" si="196"/>
        <v>15000</v>
      </c>
      <c r="Q1364" s="111">
        <v>30000</v>
      </c>
      <c r="R1364" s="111">
        <v>3</v>
      </c>
      <c r="S1364" s="111">
        <f t="shared" si="197"/>
        <v>3000</v>
      </c>
      <c r="T1364" s="111">
        <f t="shared" si="198"/>
        <v>180000</v>
      </c>
      <c r="U1364" s="111">
        <f t="shared" si="199"/>
        <v>1800</v>
      </c>
      <c r="V1364" s="111">
        <f t="shared" si="200"/>
        <v>181800</v>
      </c>
      <c r="W1364" t="s">
        <v>3824</v>
      </c>
    </row>
    <row r="1365" spans="1:23" x14ac:dyDescent="0.3">
      <c r="A1365" s="110">
        <v>1802002</v>
      </c>
      <c r="B1365" s="110" t="s">
        <v>1554</v>
      </c>
      <c r="C1365" s="110" t="s">
        <v>603</v>
      </c>
      <c r="D1365" s="110" t="s">
        <v>603</v>
      </c>
      <c r="E1365" s="110" t="s">
        <v>1557</v>
      </c>
      <c r="F1365" s="110" t="s">
        <v>209</v>
      </c>
      <c r="G1365" s="110" t="s">
        <v>114</v>
      </c>
      <c r="H1365" s="111">
        <v>140</v>
      </c>
      <c r="I1365" s="111">
        <v>142</v>
      </c>
      <c r="J1365" s="111">
        <v>122</v>
      </c>
      <c r="K1365" s="111">
        <f t="shared" si="192"/>
        <v>134.66666666666666</v>
      </c>
      <c r="L1365" s="111">
        <v>150000</v>
      </c>
      <c r="M1365" s="111">
        <f t="shared" si="193"/>
        <v>67500</v>
      </c>
      <c r="N1365" s="111">
        <f t="shared" si="194"/>
        <v>67500</v>
      </c>
      <c r="O1365" s="111">
        <f t="shared" si="195"/>
        <v>13500</v>
      </c>
      <c r="P1365" s="111">
        <f t="shared" si="196"/>
        <v>15000</v>
      </c>
      <c r="Q1365" s="111">
        <v>30000</v>
      </c>
      <c r="R1365" s="111">
        <v>3</v>
      </c>
      <c r="S1365" s="111">
        <f t="shared" si="197"/>
        <v>3000</v>
      </c>
      <c r="T1365" s="111">
        <f t="shared" si="198"/>
        <v>180000</v>
      </c>
      <c r="U1365" s="111">
        <f t="shared" si="199"/>
        <v>1800</v>
      </c>
      <c r="V1365" s="111">
        <f t="shared" si="200"/>
        <v>181800</v>
      </c>
      <c r="W1365" t="s">
        <v>3825</v>
      </c>
    </row>
    <row r="1366" spans="1:23" x14ac:dyDescent="0.3">
      <c r="A1366" s="110">
        <v>1802004</v>
      </c>
      <c r="B1366" s="110" t="s">
        <v>1554</v>
      </c>
      <c r="C1366" s="110" t="s">
        <v>603</v>
      </c>
      <c r="D1366" s="110" t="s">
        <v>603</v>
      </c>
      <c r="E1366" s="110" t="s">
        <v>1558</v>
      </c>
      <c r="F1366" s="110" t="s">
        <v>119</v>
      </c>
      <c r="G1366" s="110" t="s">
        <v>114</v>
      </c>
      <c r="H1366" s="111">
        <v>379</v>
      </c>
      <c r="I1366" s="111">
        <v>388</v>
      </c>
      <c r="J1366" s="111">
        <v>383</v>
      </c>
      <c r="K1366" s="111">
        <f t="shared" si="192"/>
        <v>383.33333333333331</v>
      </c>
      <c r="L1366" s="111">
        <v>200000</v>
      </c>
      <c r="M1366" s="111">
        <f t="shared" si="193"/>
        <v>90000</v>
      </c>
      <c r="N1366" s="111">
        <f t="shared" si="194"/>
        <v>90000</v>
      </c>
      <c r="O1366" s="111">
        <f t="shared" si="195"/>
        <v>18000</v>
      </c>
      <c r="P1366" s="111">
        <f t="shared" si="196"/>
        <v>20000</v>
      </c>
      <c r="Q1366" s="111">
        <v>50000</v>
      </c>
      <c r="R1366" s="111">
        <v>5</v>
      </c>
      <c r="S1366" s="111">
        <f t="shared" si="197"/>
        <v>5000</v>
      </c>
      <c r="T1366" s="111">
        <f t="shared" si="198"/>
        <v>250000</v>
      </c>
      <c r="U1366" s="111">
        <f t="shared" si="199"/>
        <v>2500</v>
      </c>
      <c r="V1366" s="111">
        <f t="shared" si="200"/>
        <v>252500</v>
      </c>
      <c r="W1366" t="s">
        <v>3826</v>
      </c>
    </row>
    <row r="1367" spans="1:23" x14ac:dyDescent="0.3">
      <c r="A1367" s="110">
        <v>1802005</v>
      </c>
      <c r="B1367" s="110" t="s">
        <v>1554</v>
      </c>
      <c r="C1367" s="110" t="s">
        <v>603</v>
      </c>
      <c r="D1367" s="110" t="s">
        <v>603</v>
      </c>
      <c r="E1367" s="110" t="s">
        <v>959</v>
      </c>
      <c r="F1367" s="110" t="s">
        <v>117</v>
      </c>
      <c r="G1367" s="110" t="s">
        <v>125</v>
      </c>
      <c r="H1367" s="111">
        <v>215</v>
      </c>
      <c r="I1367" s="111">
        <v>199</v>
      </c>
      <c r="J1367" s="111">
        <v>199</v>
      </c>
      <c r="K1367" s="111">
        <f t="shared" si="192"/>
        <v>204.33333333333334</v>
      </c>
      <c r="L1367" s="111">
        <f>200000*0.7</f>
        <v>140000</v>
      </c>
      <c r="M1367" s="111">
        <f t="shared" si="193"/>
        <v>63000</v>
      </c>
      <c r="N1367" s="111">
        <f t="shared" si="194"/>
        <v>63000</v>
      </c>
      <c r="O1367" s="111">
        <f t="shared" si="195"/>
        <v>12600</v>
      </c>
      <c r="P1367" s="111">
        <f t="shared" si="196"/>
        <v>14000</v>
      </c>
      <c r="Q1367" s="111">
        <v>50000</v>
      </c>
      <c r="R1367" s="111">
        <v>5</v>
      </c>
      <c r="S1367" s="111">
        <f t="shared" si="197"/>
        <v>5000</v>
      </c>
      <c r="T1367" s="111">
        <f t="shared" si="198"/>
        <v>190000</v>
      </c>
      <c r="U1367" s="111">
        <f t="shared" si="199"/>
        <v>1900</v>
      </c>
      <c r="V1367" s="111">
        <f t="shared" si="200"/>
        <v>191900</v>
      </c>
      <c r="W1367" t="s">
        <v>3827</v>
      </c>
    </row>
    <row r="1368" spans="1:23" x14ac:dyDescent="0.3">
      <c r="A1368" s="110">
        <v>1802008</v>
      </c>
      <c r="B1368" s="110" t="s">
        <v>1554</v>
      </c>
      <c r="C1368" s="110" t="s">
        <v>603</v>
      </c>
      <c r="D1368" s="110" t="s">
        <v>1559</v>
      </c>
      <c r="E1368" s="110" t="s">
        <v>203</v>
      </c>
      <c r="F1368" s="110" t="s">
        <v>113</v>
      </c>
      <c r="G1368" s="110" t="s">
        <v>114</v>
      </c>
      <c r="H1368" s="111">
        <v>106</v>
      </c>
      <c r="I1368" s="111">
        <v>106</v>
      </c>
      <c r="J1368" s="111">
        <v>104</v>
      </c>
      <c r="K1368" s="111">
        <f t="shared" si="192"/>
        <v>105.33333333333333</v>
      </c>
      <c r="L1368" s="111">
        <v>150000</v>
      </c>
      <c r="M1368" s="111">
        <f t="shared" si="193"/>
        <v>67500</v>
      </c>
      <c r="N1368" s="111">
        <f t="shared" si="194"/>
        <v>67500</v>
      </c>
      <c r="O1368" s="111">
        <f t="shared" si="195"/>
        <v>13500</v>
      </c>
      <c r="P1368" s="111">
        <f t="shared" si="196"/>
        <v>15000</v>
      </c>
      <c r="Q1368" s="111">
        <v>30000</v>
      </c>
      <c r="R1368" s="111">
        <v>3</v>
      </c>
      <c r="S1368" s="111">
        <f t="shared" si="197"/>
        <v>3000</v>
      </c>
      <c r="T1368" s="111">
        <f t="shared" si="198"/>
        <v>180000</v>
      </c>
      <c r="U1368" s="111">
        <f t="shared" si="199"/>
        <v>1800</v>
      </c>
      <c r="V1368" s="111">
        <f t="shared" si="200"/>
        <v>181800</v>
      </c>
      <c r="W1368" t="s">
        <v>3828</v>
      </c>
    </row>
    <row r="1369" spans="1:23" x14ac:dyDescent="0.3">
      <c r="A1369" s="110">
        <v>1802009</v>
      </c>
      <c r="B1369" s="110" t="s">
        <v>1554</v>
      </c>
      <c r="C1369" s="110" t="s">
        <v>603</v>
      </c>
      <c r="D1369" s="110" t="s">
        <v>1560</v>
      </c>
      <c r="E1369" s="110" t="s">
        <v>143</v>
      </c>
      <c r="F1369" s="110" t="s">
        <v>113</v>
      </c>
      <c r="G1369" s="110" t="s">
        <v>114</v>
      </c>
      <c r="H1369" s="111">
        <v>66</v>
      </c>
      <c r="I1369" s="111">
        <v>63</v>
      </c>
      <c r="J1369" s="111">
        <v>61</v>
      </c>
      <c r="K1369" s="111">
        <f t="shared" si="192"/>
        <v>63.333333333333336</v>
      </c>
      <c r="L1369" s="111">
        <v>150000</v>
      </c>
      <c r="M1369" s="111">
        <f t="shared" si="193"/>
        <v>67500</v>
      </c>
      <c r="N1369" s="111">
        <f t="shared" si="194"/>
        <v>67500</v>
      </c>
      <c r="O1369" s="111">
        <f t="shared" si="195"/>
        <v>13500</v>
      </c>
      <c r="P1369" s="111">
        <f t="shared" si="196"/>
        <v>15000</v>
      </c>
      <c r="Q1369" s="111">
        <v>30000</v>
      </c>
      <c r="R1369" s="111">
        <v>3</v>
      </c>
      <c r="S1369" s="111">
        <f t="shared" si="197"/>
        <v>3000</v>
      </c>
      <c r="T1369" s="111">
        <f t="shared" si="198"/>
        <v>180000</v>
      </c>
      <c r="U1369" s="111">
        <f t="shared" si="199"/>
        <v>1800</v>
      </c>
      <c r="V1369" s="111">
        <f t="shared" si="200"/>
        <v>181800</v>
      </c>
      <c r="W1369" t="s">
        <v>3829</v>
      </c>
    </row>
    <row r="1370" spans="1:23" x14ac:dyDescent="0.3">
      <c r="A1370" s="110">
        <v>1803001</v>
      </c>
      <c r="B1370" s="110" t="s">
        <v>1554</v>
      </c>
      <c r="C1370" s="110" t="s">
        <v>1561</v>
      </c>
      <c r="D1370" s="110" t="s">
        <v>1561</v>
      </c>
      <c r="E1370" s="110" t="s">
        <v>1562</v>
      </c>
      <c r="F1370" s="110" t="s">
        <v>119</v>
      </c>
      <c r="G1370" s="110" t="s">
        <v>114</v>
      </c>
      <c r="H1370" s="111">
        <v>352</v>
      </c>
      <c r="I1370" s="111">
        <v>348</v>
      </c>
      <c r="J1370" s="111">
        <v>314</v>
      </c>
      <c r="K1370" s="111">
        <f t="shared" si="192"/>
        <v>338</v>
      </c>
      <c r="L1370" s="111">
        <f>200000*0.7</f>
        <v>140000</v>
      </c>
      <c r="M1370" s="111">
        <f t="shared" si="193"/>
        <v>63000</v>
      </c>
      <c r="N1370" s="111">
        <f t="shared" si="194"/>
        <v>63000</v>
      </c>
      <c r="O1370" s="111">
        <f t="shared" si="195"/>
        <v>12600</v>
      </c>
      <c r="P1370" s="111">
        <f t="shared" si="196"/>
        <v>14000</v>
      </c>
      <c r="Q1370" s="111">
        <v>50000</v>
      </c>
      <c r="R1370" s="111">
        <v>5</v>
      </c>
      <c r="S1370" s="111">
        <f t="shared" si="197"/>
        <v>5000</v>
      </c>
      <c r="T1370" s="111">
        <f t="shared" si="198"/>
        <v>190000</v>
      </c>
      <c r="U1370" s="111">
        <f t="shared" si="199"/>
        <v>1900</v>
      </c>
      <c r="V1370" s="111">
        <f t="shared" si="200"/>
        <v>191900</v>
      </c>
      <c r="W1370" t="s">
        <v>3830</v>
      </c>
    </row>
    <row r="1371" spans="1:23" x14ac:dyDescent="0.3">
      <c r="A1371" s="110">
        <v>1803002</v>
      </c>
      <c r="B1371" s="110" t="s">
        <v>1554</v>
      </c>
      <c r="C1371" s="110" t="s">
        <v>1561</v>
      </c>
      <c r="D1371" s="110" t="s">
        <v>1563</v>
      </c>
      <c r="E1371" s="110" t="s">
        <v>143</v>
      </c>
      <c r="F1371" s="110" t="s">
        <v>113</v>
      </c>
      <c r="G1371" s="110" t="s">
        <v>114</v>
      </c>
      <c r="H1371" s="111">
        <v>60</v>
      </c>
      <c r="I1371" s="111">
        <v>69</v>
      </c>
      <c r="J1371" s="111">
        <v>68</v>
      </c>
      <c r="K1371" s="111">
        <f t="shared" si="192"/>
        <v>65.666666666666671</v>
      </c>
      <c r="L1371" s="111">
        <v>150000</v>
      </c>
      <c r="M1371" s="111">
        <f t="shared" si="193"/>
        <v>67500</v>
      </c>
      <c r="N1371" s="111">
        <f t="shared" si="194"/>
        <v>67500</v>
      </c>
      <c r="O1371" s="111">
        <f t="shared" si="195"/>
        <v>13500</v>
      </c>
      <c r="P1371" s="111">
        <f t="shared" si="196"/>
        <v>15000</v>
      </c>
      <c r="Q1371" s="111">
        <v>30000</v>
      </c>
      <c r="R1371" s="111">
        <v>3</v>
      </c>
      <c r="S1371" s="111">
        <f t="shared" si="197"/>
        <v>3000</v>
      </c>
      <c r="T1371" s="111">
        <f t="shared" si="198"/>
        <v>180000</v>
      </c>
      <c r="U1371" s="111">
        <f t="shared" si="199"/>
        <v>1800</v>
      </c>
      <c r="V1371" s="111">
        <f t="shared" si="200"/>
        <v>181800</v>
      </c>
      <c r="W1371" t="s">
        <v>3831</v>
      </c>
    </row>
    <row r="1372" spans="1:23" x14ac:dyDescent="0.3">
      <c r="A1372" s="110">
        <v>1803005</v>
      </c>
      <c r="B1372" s="110" t="s">
        <v>1554</v>
      </c>
      <c r="C1372" s="110" t="s">
        <v>1561</v>
      </c>
      <c r="D1372" s="110" t="s">
        <v>1564</v>
      </c>
      <c r="E1372" s="110" t="s">
        <v>272</v>
      </c>
      <c r="F1372" s="110" t="s">
        <v>119</v>
      </c>
      <c r="G1372" s="110" t="s">
        <v>114</v>
      </c>
      <c r="H1372" s="111">
        <v>302</v>
      </c>
      <c r="I1372" s="111">
        <v>291</v>
      </c>
      <c r="J1372" s="111">
        <v>289</v>
      </c>
      <c r="K1372" s="111">
        <f t="shared" si="192"/>
        <v>294</v>
      </c>
      <c r="L1372" s="111">
        <v>200000</v>
      </c>
      <c r="M1372" s="111">
        <f t="shared" si="193"/>
        <v>90000</v>
      </c>
      <c r="N1372" s="111">
        <f t="shared" si="194"/>
        <v>90000</v>
      </c>
      <c r="O1372" s="111">
        <f t="shared" si="195"/>
        <v>18000</v>
      </c>
      <c r="P1372" s="111">
        <f t="shared" si="196"/>
        <v>20000</v>
      </c>
      <c r="Q1372" s="111">
        <v>50000</v>
      </c>
      <c r="R1372" s="111">
        <v>5</v>
      </c>
      <c r="S1372" s="111">
        <f t="shared" si="197"/>
        <v>5000</v>
      </c>
      <c r="T1372" s="111">
        <f t="shared" si="198"/>
        <v>250000</v>
      </c>
      <c r="U1372" s="111">
        <f t="shared" si="199"/>
        <v>2500</v>
      </c>
      <c r="V1372" s="111">
        <f t="shared" si="200"/>
        <v>252500</v>
      </c>
      <c r="W1372" t="s">
        <v>3832</v>
      </c>
    </row>
    <row r="1373" spans="1:23" x14ac:dyDescent="0.3">
      <c r="A1373" s="110">
        <v>1803008</v>
      </c>
      <c r="B1373" s="110" t="s">
        <v>1554</v>
      </c>
      <c r="C1373" s="110" t="s">
        <v>1561</v>
      </c>
      <c r="D1373" s="110" t="s">
        <v>1565</v>
      </c>
      <c r="E1373" s="110" t="s">
        <v>559</v>
      </c>
      <c r="F1373" s="110" t="s">
        <v>113</v>
      </c>
      <c r="G1373" s="110" t="s">
        <v>114</v>
      </c>
      <c r="H1373" s="111">
        <v>86</v>
      </c>
      <c r="I1373" s="111">
        <v>82</v>
      </c>
      <c r="J1373" s="111">
        <v>81</v>
      </c>
      <c r="K1373" s="111">
        <f t="shared" si="192"/>
        <v>83</v>
      </c>
      <c r="L1373" s="111">
        <v>150000</v>
      </c>
      <c r="M1373" s="111">
        <f t="shared" si="193"/>
        <v>67500</v>
      </c>
      <c r="N1373" s="111">
        <f t="shared" si="194"/>
        <v>67500</v>
      </c>
      <c r="O1373" s="111">
        <f t="shared" si="195"/>
        <v>13500</v>
      </c>
      <c r="P1373" s="111">
        <f t="shared" si="196"/>
        <v>15000</v>
      </c>
      <c r="Q1373" s="111">
        <v>30000</v>
      </c>
      <c r="R1373" s="111">
        <v>3</v>
      </c>
      <c r="S1373" s="111">
        <f t="shared" si="197"/>
        <v>3000</v>
      </c>
      <c r="T1373" s="111">
        <f t="shared" si="198"/>
        <v>180000</v>
      </c>
      <c r="U1373" s="111">
        <f t="shared" si="199"/>
        <v>1800</v>
      </c>
      <c r="V1373" s="111">
        <f t="shared" si="200"/>
        <v>181800</v>
      </c>
      <c r="W1373" t="s">
        <v>3833</v>
      </c>
    </row>
    <row r="1374" spans="1:23" x14ac:dyDescent="0.3">
      <c r="A1374" s="110">
        <v>1804004</v>
      </c>
      <c r="B1374" s="110" t="s">
        <v>1554</v>
      </c>
      <c r="C1374" s="110" t="s">
        <v>1566</v>
      </c>
      <c r="D1374" s="110" t="s">
        <v>1567</v>
      </c>
      <c r="E1374" s="110" t="s">
        <v>184</v>
      </c>
      <c r="F1374" s="110" t="s">
        <v>113</v>
      </c>
      <c r="G1374" s="110" t="s">
        <v>114</v>
      </c>
      <c r="H1374" s="111">
        <v>46</v>
      </c>
      <c r="I1374" s="111">
        <v>35</v>
      </c>
      <c r="J1374" s="111">
        <v>32</v>
      </c>
      <c r="K1374" s="111">
        <f t="shared" si="192"/>
        <v>37.666666666666664</v>
      </c>
      <c r="L1374" s="111">
        <v>50000</v>
      </c>
      <c r="M1374" s="111">
        <f t="shared" si="193"/>
        <v>22500</v>
      </c>
      <c r="N1374" s="111">
        <f t="shared" si="194"/>
        <v>22500</v>
      </c>
      <c r="O1374" s="111">
        <f t="shared" si="195"/>
        <v>4500</v>
      </c>
      <c r="P1374" s="111">
        <f t="shared" si="196"/>
        <v>5000</v>
      </c>
      <c r="Q1374" s="111">
        <v>10000</v>
      </c>
      <c r="R1374" s="111">
        <v>1</v>
      </c>
      <c r="S1374" s="111">
        <f t="shared" si="197"/>
        <v>1000</v>
      </c>
      <c r="T1374" s="111">
        <f t="shared" si="198"/>
        <v>60000</v>
      </c>
      <c r="U1374" s="111">
        <f t="shared" si="199"/>
        <v>600</v>
      </c>
      <c r="V1374" s="111">
        <f t="shared" si="200"/>
        <v>60600</v>
      </c>
      <c r="W1374" t="s">
        <v>3834</v>
      </c>
    </row>
    <row r="1375" spans="1:23" x14ac:dyDescent="0.3">
      <c r="A1375" s="110">
        <v>1804007</v>
      </c>
      <c r="B1375" s="110" t="s">
        <v>1554</v>
      </c>
      <c r="C1375" s="110" t="s">
        <v>1566</v>
      </c>
      <c r="D1375" s="110" t="s">
        <v>1566</v>
      </c>
      <c r="E1375" s="110" t="s">
        <v>177</v>
      </c>
      <c r="F1375" s="110" t="s">
        <v>119</v>
      </c>
      <c r="G1375" s="110" t="s">
        <v>114</v>
      </c>
      <c r="H1375" s="111">
        <v>408</v>
      </c>
      <c r="I1375" s="111">
        <v>412</v>
      </c>
      <c r="J1375" s="111">
        <v>412</v>
      </c>
      <c r="K1375" s="111">
        <f t="shared" si="192"/>
        <v>410.66666666666669</v>
      </c>
      <c r="L1375" s="111">
        <f>300000</f>
        <v>300000</v>
      </c>
      <c r="M1375" s="111">
        <f t="shared" si="193"/>
        <v>135000</v>
      </c>
      <c r="N1375" s="111">
        <f t="shared" si="194"/>
        <v>135000</v>
      </c>
      <c r="O1375" s="111">
        <f t="shared" si="195"/>
        <v>27000</v>
      </c>
      <c r="P1375" s="111">
        <f t="shared" si="196"/>
        <v>30000</v>
      </c>
      <c r="Q1375" s="111">
        <v>60000</v>
      </c>
      <c r="R1375" s="111">
        <v>6</v>
      </c>
      <c r="S1375" s="111">
        <f t="shared" si="197"/>
        <v>6000</v>
      </c>
      <c r="T1375" s="111">
        <f t="shared" si="198"/>
        <v>360000</v>
      </c>
      <c r="U1375" s="111">
        <f t="shared" si="199"/>
        <v>3600</v>
      </c>
      <c r="V1375" s="111">
        <f t="shared" si="200"/>
        <v>363600</v>
      </c>
      <c r="W1375" t="s">
        <v>3835</v>
      </c>
    </row>
    <row r="1376" spans="1:23" x14ac:dyDescent="0.3">
      <c r="A1376" s="110">
        <v>1804008</v>
      </c>
      <c r="B1376" s="110" t="s">
        <v>1554</v>
      </c>
      <c r="C1376" s="110" t="s">
        <v>1566</v>
      </c>
      <c r="D1376" s="110" t="s">
        <v>1566</v>
      </c>
      <c r="E1376" s="110" t="s">
        <v>1568</v>
      </c>
      <c r="F1376" s="110" t="s">
        <v>117</v>
      </c>
      <c r="G1376" s="110" t="s">
        <v>114</v>
      </c>
      <c r="H1376" s="111">
        <v>177</v>
      </c>
      <c r="I1376" s="111">
        <v>177</v>
      </c>
      <c r="J1376" s="111">
        <v>168</v>
      </c>
      <c r="K1376" s="111">
        <f t="shared" si="192"/>
        <v>174</v>
      </c>
      <c r="L1376" s="111">
        <v>150000</v>
      </c>
      <c r="M1376" s="111">
        <f t="shared" si="193"/>
        <v>67500</v>
      </c>
      <c r="N1376" s="111">
        <f t="shared" si="194"/>
        <v>67500</v>
      </c>
      <c r="O1376" s="111">
        <f t="shared" si="195"/>
        <v>13500</v>
      </c>
      <c r="P1376" s="111">
        <f t="shared" si="196"/>
        <v>15000</v>
      </c>
      <c r="Q1376" s="111">
        <v>30000</v>
      </c>
      <c r="R1376" s="111">
        <v>3</v>
      </c>
      <c r="S1376" s="111">
        <f t="shared" si="197"/>
        <v>3000</v>
      </c>
      <c r="T1376" s="111">
        <f t="shared" si="198"/>
        <v>180000</v>
      </c>
      <c r="U1376" s="111">
        <f t="shared" si="199"/>
        <v>1800</v>
      </c>
      <c r="V1376" s="111">
        <f t="shared" si="200"/>
        <v>181800</v>
      </c>
      <c r="W1376" t="s">
        <v>3836</v>
      </c>
    </row>
    <row r="1377" spans="1:23" x14ac:dyDescent="0.3">
      <c r="A1377" s="110">
        <v>1805001</v>
      </c>
      <c r="B1377" s="110" t="s">
        <v>1554</v>
      </c>
      <c r="C1377" s="110" t="s">
        <v>1569</v>
      </c>
      <c r="D1377" s="110" t="s">
        <v>1569</v>
      </c>
      <c r="E1377" s="110" t="s">
        <v>1570</v>
      </c>
      <c r="F1377" s="110" t="s">
        <v>113</v>
      </c>
      <c r="G1377" s="110" t="s">
        <v>114</v>
      </c>
      <c r="H1377" s="111">
        <v>33</v>
      </c>
      <c r="I1377" s="111">
        <v>25</v>
      </c>
      <c r="J1377" s="111">
        <v>18</v>
      </c>
      <c r="K1377" s="111">
        <f t="shared" si="192"/>
        <v>25.333333333333332</v>
      </c>
      <c r="L1377" s="111">
        <v>50000</v>
      </c>
      <c r="M1377" s="111">
        <f t="shared" si="193"/>
        <v>22500</v>
      </c>
      <c r="N1377" s="111">
        <f t="shared" si="194"/>
        <v>22500</v>
      </c>
      <c r="O1377" s="111">
        <f t="shared" si="195"/>
        <v>4500</v>
      </c>
      <c r="P1377" s="111">
        <f t="shared" si="196"/>
        <v>5000</v>
      </c>
      <c r="Q1377" s="111">
        <v>10000</v>
      </c>
      <c r="R1377" s="111">
        <v>1</v>
      </c>
      <c r="S1377" s="111">
        <f t="shared" si="197"/>
        <v>1000</v>
      </c>
      <c r="T1377" s="111">
        <f t="shared" si="198"/>
        <v>60000</v>
      </c>
      <c r="U1377" s="111">
        <f t="shared" si="199"/>
        <v>600</v>
      </c>
      <c r="V1377" s="111">
        <f t="shared" si="200"/>
        <v>60600</v>
      </c>
      <c r="W1377" t="s">
        <v>3837</v>
      </c>
    </row>
    <row r="1378" spans="1:23" x14ac:dyDescent="0.3">
      <c r="A1378" s="110">
        <v>1805004</v>
      </c>
      <c r="B1378" s="110" t="s">
        <v>1554</v>
      </c>
      <c r="C1378" s="110" t="s">
        <v>1569</v>
      </c>
      <c r="D1378" s="110" t="s">
        <v>1316</v>
      </c>
      <c r="E1378" s="110" t="s">
        <v>777</v>
      </c>
      <c r="F1378" s="110" t="s">
        <v>113</v>
      </c>
      <c r="G1378" s="110" t="s">
        <v>114</v>
      </c>
      <c r="H1378" s="111">
        <v>30</v>
      </c>
      <c r="I1378" s="111">
        <v>37</v>
      </c>
      <c r="J1378" s="111">
        <v>30</v>
      </c>
      <c r="K1378" s="111">
        <f t="shared" si="192"/>
        <v>32.333333333333336</v>
      </c>
      <c r="L1378" s="111">
        <v>50000</v>
      </c>
      <c r="M1378" s="111">
        <f t="shared" si="193"/>
        <v>22500</v>
      </c>
      <c r="N1378" s="111">
        <f t="shared" si="194"/>
        <v>22500</v>
      </c>
      <c r="O1378" s="111">
        <f t="shared" si="195"/>
        <v>4500</v>
      </c>
      <c r="P1378" s="111">
        <f t="shared" si="196"/>
        <v>5000</v>
      </c>
      <c r="Q1378" s="111">
        <v>10000</v>
      </c>
      <c r="R1378" s="111">
        <v>1</v>
      </c>
      <c r="S1378" s="111">
        <f t="shared" si="197"/>
        <v>1000</v>
      </c>
      <c r="T1378" s="111">
        <f t="shared" si="198"/>
        <v>60000</v>
      </c>
      <c r="U1378" s="111">
        <f t="shared" si="199"/>
        <v>600</v>
      </c>
      <c r="V1378" s="111">
        <f t="shared" si="200"/>
        <v>60600</v>
      </c>
      <c r="W1378" t="s">
        <v>3838</v>
      </c>
    </row>
    <row r="1379" spans="1:23" x14ac:dyDescent="0.3">
      <c r="A1379" s="110">
        <v>1805005</v>
      </c>
      <c r="B1379" s="110" t="s">
        <v>1554</v>
      </c>
      <c r="C1379" s="110" t="s">
        <v>1569</v>
      </c>
      <c r="D1379" s="110" t="s">
        <v>1571</v>
      </c>
      <c r="E1379" s="110" t="s">
        <v>184</v>
      </c>
      <c r="F1379" s="110" t="s">
        <v>113</v>
      </c>
      <c r="G1379" s="110" t="s">
        <v>114</v>
      </c>
      <c r="H1379" s="111">
        <v>100</v>
      </c>
      <c r="I1379" s="111">
        <v>109</v>
      </c>
      <c r="J1379" s="111">
        <v>102</v>
      </c>
      <c r="K1379" s="111">
        <f t="shared" si="192"/>
        <v>103.66666666666667</v>
      </c>
      <c r="L1379" s="111">
        <v>150000</v>
      </c>
      <c r="M1379" s="111">
        <f t="shared" si="193"/>
        <v>67500</v>
      </c>
      <c r="N1379" s="111">
        <f t="shared" si="194"/>
        <v>67500</v>
      </c>
      <c r="O1379" s="111">
        <f t="shared" si="195"/>
        <v>13500</v>
      </c>
      <c r="P1379" s="111">
        <f t="shared" si="196"/>
        <v>15000</v>
      </c>
      <c r="Q1379" s="111">
        <v>30000</v>
      </c>
      <c r="R1379" s="111">
        <v>3</v>
      </c>
      <c r="S1379" s="111">
        <f t="shared" si="197"/>
        <v>3000</v>
      </c>
      <c r="T1379" s="111">
        <f t="shared" si="198"/>
        <v>180000</v>
      </c>
      <c r="U1379" s="111">
        <f t="shared" si="199"/>
        <v>1800</v>
      </c>
      <c r="V1379" s="111">
        <f t="shared" si="200"/>
        <v>181800</v>
      </c>
      <c r="W1379" t="s">
        <v>3839</v>
      </c>
    </row>
    <row r="1380" spans="1:23" x14ac:dyDescent="0.3">
      <c r="A1380" s="110">
        <v>1805006</v>
      </c>
      <c r="B1380" s="110" t="s">
        <v>1554</v>
      </c>
      <c r="C1380" s="110" t="s">
        <v>1569</v>
      </c>
      <c r="D1380" s="110" t="s">
        <v>1572</v>
      </c>
      <c r="E1380" s="110" t="s">
        <v>1573</v>
      </c>
      <c r="F1380" s="110" t="s">
        <v>113</v>
      </c>
      <c r="G1380" s="110" t="s">
        <v>114</v>
      </c>
      <c r="H1380" s="111">
        <v>10</v>
      </c>
      <c r="I1380" s="111">
        <v>11</v>
      </c>
      <c r="J1380" s="111">
        <v>8</v>
      </c>
      <c r="K1380" s="111">
        <f t="shared" si="192"/>
        <v>9.6666666666666661</v>
      </c>
      <c r="L1380" s="111">
        <v>50000</v>
      </c>
      <c r="M1380" s="111">
        <f t="shared" si="193"/>
        <v>22500</v>
      </c>
      <c r="N1380" s="111">
        <f t="shared" si="194"/>
        <v>22500</v>
      </c>
      <c r="O1380" s="111">
        <f t="shared" si="195"/>
        <v>4500</v>
      </c>
      <c r="P1380" s="111">
        <f t="shared" si="196"/>
        <v>5000</v>
      </c>
      <c r="Q1380" s="111">
        <v>10000</v>
      </c>
      <c r="R1380" s="111">
        <v>1</v>
      </c>
      <c r="S1380" s="111">
        <f t="shared" si="197"/>
        <v>1000</v>
      </c>
      <c r="T1380" s="111">
        <f t="shared" si="198"/>
        <v>60000</v>
      </c>
      <c r="U1380" s="111">
        <f t="shared" si="199"/>
        <v>600</v>
      </c>
      <c r="V1380" s="111">
        <f t="shared" si="200"/>
        <v>60600</v>
      </c>
      <c r="W1380" t="s">
        <v>3840</v>
      </c>
    </row>
    <row r="1381" spans="1:23" x14ac:dyDescent="0.3">
      <c r="A1381" s="110">
        <v>1806002</v>
      </c>
      <c r="B1381" s="110" t="s">
        <v>1554</v>
      </c>
      <c r="C1381" s="110" t="s">
        <v>1554</v>
      </c>
      <c r="D1381" s="110" t="s">
        <v>1554</v>
      </c>
      <c r="E1381" s="110" t="s">
        <v>467</v>
      </c>
      <c r="F1381" s="110" t="s">
        <v>135</v>
      </c>
      <c r="G1381" s="110" t="s">
        <v>114</v>
      </c>
      <c r="H1381" s="111">
        <v>58</v>
      </c>
      <c r="I1381" s="111">
        <v>60</v>
      </c>
      <c r="J1381" s="111">
        <v>71</v>
      </c>
      <c r="K1381" s="111">
        <f t="shared" si="192"/>
        <v>63</v>
      </c>
      <c r="L1381" s="111">
        <v>150000</v>
      </c>
      <c r="M1381" s="111">
        <f t="shared" si="193"/>
        <v>67500</v>
      </c>
      <c r="N1381" s="111">
        <f t="shared" si="194"/>
        <v>67500</v>
      </c>
      <c r="O1381" s="111">
        <f t="shared" si="195"/>
        <v>13500</v>
      </c>
      <c r="P1381" s="111">
        <f t="shared" si="196"/>
        <v>15000</v>
      </c>
      <c r="Q1381" s="111">
        <v>30000</v>
      </c>
      <c r="R1381" s="111">
        <v>3</v>
      </c>
      <c r="S1381" s="111">
        <f t="shared" si="197"/>
        <v>3000</v>
      </c>
      <c r="T1381" s="111">
        <f t="shared" si="198"/>
        <v>180000</v>
      </c>
      <c r="U1381" s="111">
        <f t="shared" si="199"/>
        <v>1800</v>
      </c>
      <c r="V1381" s="111">
        <f t="shared" si="200"/>
        <v>181800</v>
      </c>
      <c r="W1381" t="s">
        <v>3841</v>
      </c>
    </row>
    <row r="1382" spans="1:23" x14ac:dyDescent="0.3">
      <c r="A1382" s="110">
        <v>1806101</v>
      </c>
      <c r="B1382" s="110" t="s">
        <v>1554</v>
      </c>
      <c r="C1382" s="110" t="s">
        <v>1554</v>
      </c>
      <c r="D1382" s="110" t="s">
        <v>1554</v>
      </c>
      <c r="E1382" s="110" t="s">
        <v>390</v>
      </c>
      <c r="F1382" s="110" t="s">
        <v>113</v>
      </c>
      <c r="G1382" s="110" t="s">
        <v>114</v>
      </c>
      <c r="H1382" s="111">
        <v>709</v>
      </c>
      <c r="I1382" s="111">
        <v>705</v>
      </c>
      <c r="J1382" s="111">
        <v>681</v>
      </c>
      <c r="K1382" s="111">
        <f t="shared" si="192"/>
        <v>698.33333333333337</v>
      </c>
      <c r="L1382" s="111">
        <f>300000</f>
        <v>300000</v>
      </c>
      <c r="M1382" s="111">
        <f t="shared" si="193"/>
        <v>135000</v>
      </c>
      <c r="N1382" s="111">
        <f t="shared" si="194"/>
        <v>135000</v>
      </c>
      <c r="O1382" s="111">
        <f t="shared" si="195"/>
        <v>27000</v>
      </c>
      <c r="P1382" s="111">
        <f t="shared" si="196"/>
        <v>30000</v>
      </c>
      <c r="Q1382" s="111">
        <v>60000</v>
      </c>
      <c r="R1382" s="111">
        <v>6</v>
      </c>
      <c r="S1382" s="111">
        <f t="shared" si="197"/>
        <v>6000</v>
      </c>
      <c r="T1382" s="111">
        <f t="shared" si="198"/>
        <v>360000</v>
      </c>
      <c r="U1382" s="111">
        <f t="shared" si="199"/>
        <v>3600</v>
      </c>
      <c r="V1382" s="111">
        <f t="shared" si="200"/>
        <v>363600</v>
      </c>
      <c r="W1382" t="s">
        <v>3842</v>
      </c>
    </row>
    <row r="1383" spans="1:23" x14ac:dyDescent="0.3">
      <c r="A1383" s="110">
        <v>1806102</v>
      </c>
      <c r="B1383" s="110" t="s">
        <v>1554</v>
      </c>
      <c r="C1383" s="110" t="s">
        <v>1554</v>
      </c>
      <c r="D1383" s="110" t="s">
        <v>1554</v>
      </c>
      <c r="E1383" s="110" t="s">
        <v>310</v>
      </c>
      <c r="F1383" s="110" t="s">
        <v>113</v>
      </c>
      <c r="G1383" s="110" t="s">
        <v>114</v>
      </c>
      <c r="H1383" s="111">
        <v>481</v>
      </c>
      <c r="I1383" s="111">
        <v>486</v>
      </c>
      <c r="J1383" s="111">
        <v>457</v>
      </c>
      <c r="K1383" s="111">
        <f t="shared" si="192"/>
        <v>474.66666666666669</v>
      </c>
      <c r="L1383" s="111">
        <f>300000</f>
        <v>300000</v>
      </c>
      <c r="M1383" s="111">
        <f t="shared" si="193"/>
        <v>135000</v>
      </c>
      <c r="N1383" s="111">
        <f t="shared" si="194"/>
        <v>135000</v>
      </c>
      <c r="O1383" s="111">
        <f t="shared" si="195"/>
        <v>27000</v>
      </c>
      <c r="P1383" s="111">
        <f t="shared" si="196"/>
        <v>30000</v>
      </c>
      <c r="Q1383" s="111">
        <v>60000</v>
      </c>
      <c r="R1383" s="111">
        <v>6</v>
      </c>
      <c r="S1383" s="111">
        <f t="shared" si="197"/>
        <v>6000</v>
      </c>
      <c r="T1383" s="111">
        <f t="shared" si="198"/>
        <v>360000</v>
      </c>
      <c r="U1383" s="111">
        <f t="shared" si="199"/>
        <v>3600</v>
      </c>
      <c r="V1383" s="111">
        <f t="shared" si="200"/>
        <v>363600</v>
      </c>
      <c r="W1383" t="s">
        <v>3843</v>
      </c>
    </row>
    <row r="1384" spans="1:23" x14ac:dyDescent="0.3">
      <c r="A1384" s="110">
        <v>1806103</v>
      </c>
      <c r="B1384" s="110" t="s">
        <v>1554</v>
      </c>
      <c r="C1384" s="110" t="s">
        <v>1554</v>
      </c>
      <c r="D1384" s="110" t="s">
        <v>1554</v>
      </c>
      <c r="E1384" s="110" t="s">
        <v>1334</v>
      </c>
      <c r="F1384" s="110" t="s">
        <v>113</v>
      </c>
      <c r="G1384" s="110" t="s">
        <v>114</v>
      </c>
      <c r="H1384" s="111">
        <v>267</v>
      </c>
      <c r="I1384" s="111">
        <v>271</v>
      </c>
      <c r="J1384" s="111">
        <v>286</v>
      </c>
      <c r="K1384" s="111">
        <f t="shared" si="192"/>
        <v>274.66666666666669</v>
      </c>
      <c r="L1384" s="111">
        <f>200000*0.7</f>
        <v>140000</v>
      </c>
      <c r="M1384" s="111">
        <f t="shared" si="193"/>
        <v>63000</v>
      </c>
      <c r="N1384" s="111">
        <f t="shared" si="194"/>
        <v>63000</v>
      </c>
      <c r="O1384" s="111">
        <f t="shared" si="195"/>
        <v>12600</v>
      </c>
      <c r="P1384" s="111">
        <f t="shared" si="196"/>
        <v>14000</v>
      </c>
      <c r="Q1384" s="111">
        <v>50000</v>
      </c>
      <c r="R1384" s="111">
        <v>5</v>
      </c>
      <c r="S1384" s="111">
        <f t="shared" si="197"/>
        <v>5000</v>
      </c>
      <c r="T1384" s="111">
        <f t="shared" si="198"/>
        <v>190000</v>
      </c>
      <c r="U1384" s="111">
        <f t="shared" si="199"/>
        <v>1900</v>
      </c>
      <c r="V1384" s="111">
        <f t="shared" si="200"/>
        <v>191900</v>
      </c>
      <c r="W1384" t="s">
        <v>3844</v>
      </c>
    </row>
    <row r="1385" spans="1:23" x14ac:dyDescent="0.3">
      <c r="A1385" s="110">
        <v>1806104</v>
      </c>
      <c r="B1385" s="110" t="s">
        <v>1554</v>
      </c>
      <c r="C1385" s="110" t="s">
        <v>1554</v>
      </c>
      <c r="D1385" s="110" t="s">
        <v>1554</v>
      </c>
      <c r="E1385" s="110" t="s">
        <v>1574</v>
      </c>
      <c r="F1385" s="110" t="s">
        <v>113</v>
      </c>
      <c r="G1385" s="110" t="s">
        <v>114</v>
      </c>
      <c r="H1385" s="111">
        <v>184</v>
      </c>
      <c r="I1385" s="111">
        <v>190</v>
      </c>
      <c r="J1385" s="111">
        <v>198</v>
      </c>
      <c r="K1385" s="111">
        <f t="shared" si="192"/>
        <v>190.66666666666666</v>
      </c>
      <c r="L1385" s="111">
        <v>150000</v>
      </c>
      <c r="M1385" s="111">
        <f t="shared" si="193"/>
        <v>67500</v>
      </c>
      <c r="N1385" s="111">
        <f t="shared" si="194"/>
        <v>67500</v>
      </c>
      <c r="O1385" s="111">
        <f t="shared" si="195"/>
        <v>13500</v>
      </c>
      <c r="P1385" s="111">
        <f t="shared" si="196"/>
        <v>15000</v>
      </c>
      <c r="Q1385" s="111">
        <v>30000</v>
      </c>
      <c r="R1385" s="111">
        <v>3</v>
      </c>
      <c r="S1385" s="111">
        <f t="shared" si="197"/>
        <v>3000</v>
      </c>
      <c r="T1385" s="111">
        <f t="shared" si="198"/>
        <v>180000</v>
      </c>
      <c r="U1385" s="111">
        <f t="shared" si="199"/>
        <v>1800</v>
      </c>
      <c r="V1385" s="111">
        <f t="shared" si="200"/>
        <v>181800</v>
      </c>
      <c r="W1385" t="s">
        <v>3845</v>
      </c>
    </row>
    <row r="1386" spans="1:23" x14ac:dyDescent="0.3">
      <c r="A1386" s="110">
        <v>1806106</v>
      </c>
      <c r="B1386" s="110" t="s">
        <v>1554</v>
      </c>
      <c r="C1386" s="110" t="s">
        <v>1554</v>
      </c>
      <c r="D1386" s="110" t="s">
        <v>1554</v>
      </c>
      <c r="E1386" s="110" t="s">
        <v>320</v>
      </c>
      <c r="F1386" s="110" t="s">
        <v>113</v>
      </c>
      <c r="G1386" s="110" t="s">
        <v>114</v>
      </c>
      <c r="H1386" s="111">
        <v>580</v>
      </c>
      <c r="I1386" s="111">
        <v>560</v>
      </c>
      <c r="J1386" s="111">
        <v>534</v>
      </c>
      <c r="K1386" s="111">
        <f t="shared" si="192"/>
        <v>558</v>
      </c>
      <c r="L1386" s="111">
        <f>300000</f>
        <v>300000</v>
      </c>
      <c r="M1386" s="111">
        <f t="shared" si="193"/>
        <v>135000</v>
      </c>
      <c r="N1386" s="111">
        <f t="shared" si="194"/>
        <v>135000</v>
      </c>
      <c r="O1386" s="111">
        <f t="shared" si="195"/>
        <v>27000</v>
      </c>
      <c r="P1386" s="111">
        <f t="shared" si="196"/>
        <v>30000</v>
      </c>
      <c r="Q1386" s="111">
        <v>60000</v>
      </c>
      <c r="R1386" s="111">
        <v>6</v>
      </c>
      <c r="S1386" s="111">
        <f t="shared" si="197"/>
        <v>6000</v>
      </c>
      <c r="T1386" s="111">
        <f t="shared" si="198"/>
        <v>360000</v>
      </c>
      <c r="U1386" s="111">
        <f t="shared" si="199"/>
        <v>3600</v>
      </c>
      <c r="V1386" s="111">
        <f t="shared" si="200"/>
        <v>363600</v>
      </c>
      <c r="W1386" t="s">
        <v>3846</v>
      </c>
    </row>
    <row r="1387" spans="1:23" x14ac:dyDescent="0.3">
      <c r="A1387" s="110">
        <v>1806108</v>
      </c>
      <c r="B1387" s="110" t="s">
        <v>1554</v>
      </c>
      <c r="C1387" s="110" t="s">
        <v>1554</v>
      </c>
      <c r="D1387" s="110" t="s">
        <v>1554</v>
      </c>
      <c r="E1387" s="110" t="s">
        <v>1274</v>
      </c>
      <c r="F1387" s="110" t="s">
        <v>113</v>
      </c>
      <c r="G1387" s="110" t="s">
        <v>114</v>
      </c>
      <c r="H1387" s="111">
        <v>146</v>
      </c>
      <c r="I1387" s="111">
        <v>149</v>
      </c>
      <c r="J1387" s="111">
        <v>134</v>
      </c>
      <c r="K1387" s="111">
        <f t="shared" si="192"/>
        <v>143</v>
      </c>
      <c r="L1387" s="111">
        <v>150000</v>
      </c>
      <c r="M1387" s="111">
        <f t="shared" si="193"/>
        <v>67500</v>
      </c>
      <c r="N1387" s="111">
        <f t="shared" si="194"/>
        <v>67500</v>
      </c>
      <c r="O1387" s="111">
        <f t="shared" si="195"/>
        <v>13500</v>
      </c>
      <c r="P1387" s="111">
        <f t="shared" si="196"/>
        <v>15000</v>
      </c>
      <c r="Q1387" s="111">
        <v>30000</v>
      </c>
      <c r="R1387" s="111">
        <v>3</v>
      </c>
      <c r="S1387" s="111">
        <f t="shared" si="197"/>
        <v>3000</v>
      </c>
      <c r="T1387" s="111">
        <f t="shared" si="198"/>
        <v>180000</v>
      </c>
      <c r="U1387" s="111">
        <f t="shared" si="199"/>
        <v>1800</v>
      </c>
      <c r="V1387" s="111">
        <f t="shared" si="200"/>
        <v>181800</v>
      </c>
      <c r="W1387" t="s">
        <v>3847</v>
      </c>
    </row>
    <row r="1388" spans="1:23" x14ac:dyDescent="0.3">
      <c r="A1388" s="110">
        <v>1806109</v>
      </c>
      <c r="B1388" s="110" t="s">
        <v>1554</v>
      </c>
      <c r="C1388" s="110" t="s">
        <v>1554</v>
      </c>
      <c r="D1388" s="110" t="s">
        <v>1554</v>
      </c>
      <c r="E1388" s="110" t="s">
        <v>1575</v>
      </c>
      <c r="F1388" s="110" t="s">
        <v>113</v>
      </c>
      <c r="G1388" s="110" t="s">
        <v>114</v>
      </c>
      <c r="H1388" s="111">
        <v>340</v>
      </c>
      <c r="I1388" s="111">
        <v>334</v>
      </c>
      <c r="J1388" s="111">
        <v>319</v>
      </c>
      <c r="K1388" s="111">
        <f t="shared" si="192"/>
        <v>331</v>
      </c>
      <c r="L1388" s="111">
        <v>200000</v>
      </c>
      <c r="M1388" s="111">
        <f t="shared" si="193"/>
        <v>90000</v>
      </c>
      <c r="N1388" s="111">
        <f t="shared" si="194"/>
        <v>90000</v>
      </c>
      <c r="O1388" s="111">
        <f t="shared" si="195"/>
        <v>18000</v>
      </c>
      <c r="P1388" s="111">
        <f t="shared" si="196"/>
        <v>20000</v>
      </c>
      <c r="Q1388" s="111">
        <v>50000</v>
      </c>
      <c r="R1388" s="111">
        <v>5</v>
      </c>
      <c r="S1388" s="111">
        <f t="shared" si="197"/>
        <v>5000</v>
      </c>
      <c r="T1388" s="111">
        <f t="shared" si="198"/>
        <v>250000</v>
      </c>
      <c r="U1388" s="111">
        <f t="shared" si="199"/>
        <v>2500</v>
      </c>
      <c r="V1388" s="111">
        <f t="shared" si="200"/>
        <v>252500</v>
      </c>
      <c r="W1388" t="s">
        <v>3848</v>
      </c>
    </row>
    <row r="1389" spans="1:23" x14ac:dyDescent="0.3">
      <c r="A1389" s="110">
        <v>1806110</v>
      </c>
      <c r="B1389" s="110" t="s">
        <v>1554</v>
      </c>
      <c r="C1389" s="110" t="s">
        <v>1554</v>
      </c>
      <c r="D1389" s="110" t="s">
        <v>1554</v>
      </c>
      <c r="E1389" s="110" t="s">
        <v>1576</v>
      </c>
      <c r="F1389" s="110" t="s">
        <v>113</v>
      </c>
      <c r="G1389" s="110" t="s">
        <v>114</v>
      </c>
      <c r="H1389" s="111">
        <v>331</v>
      </c>
      <c r="I1389" s="111">
        <v>348</v>
      </c>
      <c r="J1389" s="111">
        <v>364</v>
      </c>
      <c r="K1389" s="111">
        <f t="shared" si="192"/>
        <v>347.66666666666669</v>
      </c>
      <c r="L1389" s="111">
        <v>200000</v>
      </c>
      <c r="M1389" s="111">
        <f t="shared" si="193"/>
        <v>90000</v>
      </c>
      <c r="N1389" s="111">
        <f t="shared" si="194"/>
        <v>90000</v>
      </c>
      <c r="O1389" s="111">
        <f t="shared" si="195"/>
        <v>18000</v>
      </c>
      <c r="P1389" s="111">
        <f t="shared" si="196"/>
        <v>20000</v>
      </c>
      <c r="Q1389" s="111">
        <v>50000</v>
      </c>
      <c r="R1389" s="111">
        <v>5</v>
      </c>
      <c r="S1389" s="111">
        <f t="shared" si="197"/>
        <v>5000</v>
      </c>
      <c r="T1389" s="111">
        <f t="shared" si="198"/>
        <v>250000</v>
      </c>
      <c r="U1389" s="111">
        <f t="shared" si="199"/>
        <v>2500</v>
      </c>
      <c r="V1389" s="111">
        <f t="shared" si="200"/>
        <v>252500</v>
      </c>
      <c r="W1389" t="s">
        <v>3849</v>
      </c>
    </row>
    <row r="1390" spans="1:23" x14ac:dyDescent="0.3">
      <c r="A1390" s="110">
        <v>1806111</v>
      </c>
      <c r="B1390" s="110" t="s">
        <v>1554</v>
      </c>
      <c r="C1390" s="110" t="s">
        <v>1554</v>
      </c>
      <c r="D1390" s="110" t="s">
        <v>1554</v>
      </c>
      <c r="E1390" s="110" t="s">
        <v>314</v>
      </c>
      <c r="F1390" s="110" t="s">
        <v>113</v>
      </c>
      <c r="G1390" s="110" t="s">
        <v>114</v>
      </c>
      <c r="H1390" s="111">
        <v>288</v>
      </c>
      <c r="I1390" s="111">
        <v>279</v>
      </c>
      <c r="J1390" s="111">
        <v>288</v>
      </c>
      <c r="K1390" s="111">
        <f t="shared" si="192"/>
        <v>285</v>
      </c>
      <c r="L1390" s="111">
        <f>200000*0.7</f>
        <v>140000</v>
      </c>
      <c r="M1390" s="111">
        <f t="shared" si="193"/>
        <v>63000</v>
      </c>
      <c r="N1390" s="111">
        <f t="shared" si="194"/>
        <v>63000</v>
      </c>
      <c r="O1390" s="111">
        <f t="shared" si="195"/>
        <v>12600</v>
      </c>
      <c r="P1390" s="111">
        <f t="shared" si="196"/>
        <v>14000</v>
      </c>
      <c r="Q1390" s="111">
        <v>50000</v>
      </c>
      <c r="R1390" s="111">
        <v>5</v>
      </c>
      <c r="S1390" s="111">
        <f t="shared" si="197"/>
        <v>5000</v>
      </c>
      <c r="T1390" s="111">
        <f t="shared" si="198"/>
        <v>190000</v>
      </c>
      <c r="U1390" s="111">
        <f t="shared" si="199"/>
        <v>1900</v>
      </c>
      <c r="V1390" s="111">
        <f t="shared" si="200"/>
        <v>191900</v>
      </c>
      <c r="W1390" t="s">
        <v>3850</v>
      </c>
    </row>
    <row r="1391" spans="1:23" x14ac:dyDescent="0.3">
      <c r="A1391" s="110">
        <v>1806112</v>
      </c>
      <c r="B1391" s="110" t="s">
        <v>1554</v>
      </c>
      <c r="C1391" s="110" t="s">
        <v>1554</v>
      </c>
      <c r="D1391" s="110" t="s">
        <v>1554</v>
      </c>
      <c r="E1391" s="110" t="s">
        <v>353</v>
      </c>
      <c r="F1391" s="110" t="s">
        <v>113</v>
      </c>
      <c r="G1391" s="110" t="s">
        <v>114</v>
      </c>
      <c r="H1391" s="111">
        <v>92</v>
      </c>
      <c r="I1391" s="111">
        <v>93</v>
      </c>
      <c r="J1391" s="111">
        <v>90</v>
      </c>
      <c r="K1391" s="111">
        <f t="shared" si="192"/>
        <v>91.666666666666671</v>
      </c>
      <c r="L1391" s="111">
        <v>150000</v>
      </c>
      <c r="M1391" s="111">
        <f t="shared" si="193"/>
        <v>67500</v>
      </c>
      <c r="N1391" s="111">
        <f t="shared" si="194"/>
        <v>67500</v>
      </c>
      <c r="O1391" s="111">
        <f t="shared" si="195"/>
        <v>13500</v>
      </c>
      <c r="P1391" s="111">
        <f t="shared" si="196"/>
        <v>15000</v>
      </c>
      <c r="Q1391" s="111">
        <v>30000</v>
      </c>
      <c r="R1391" s="111">
        <v>3</v>
      </c>
      <c r="S1391" s="111">
        <f t="shared" si="197"/>
        <v>3000</v>
      </c>
      <c r="T1391" s="111">
        <f t="shared" si="198"/>
        <v>180000</v>
      </c>
      <c r="U1391" s="111">
        <f t="shared" si="199"/>
        <v>1800</v>
      </c>
      <c r="V1391" s="111">
        <f t="shared" si="200"/>
        <v>181800</v>
      </c>
      <c r="W1391" t="s">
        <v>3851</v>
      </c>
    </row>
    <row r="1392" spans="1:23" x14ac:dyDescent="0.3">
      <c r="A1392" s="110">
        <v>1806114</v>
      </c>
      <c r="B1392" s="110" t="s">
        <v>1554</v>
      </c>
      <c r="C1392" s="110" t="s">
        <v>1554</v>
      </c>
      <c r="D1392" s="110" t="s">
        <v>1577</v>
      </c>
      <c r="E1392" s="110" t="s">
        <v>143</v>
      </c>
      <c r="F1392" s="110" t="s">
        <v>113</v>
      </c>
      <c r="G1392" s="110" t="s">
        <v>114</v>
      </c>
      <c r="H1392" s="111">
        <v>89</v>
      </c>
      <c r="I1392" s="111">
        <v>84</v>
      </c>
      <c r="J1392" s="111">
        <v>76</v>
      </c>
      <c r="K1392" s="111">
        <f t="shared" si="192"/>
        <v>83</v>
      </c>
      <c r="L1392" s="111">
        <v>150000</v>
      </c>
      <c r="M1392" s="111">
        <f t="shared" si="193"/>
        <v>67500</v>
      </c>
      <c r="N1392" s="111">
        <f t="shared" si="194"/>
        <v>67500</v>
      </c>
      <c r="O1392" s="111">
        <f t="shared" si="195"/>
        <v>13500</v>
      </c>
      <c r="P1392" s="111">
        <f t="shared" si="196"/>
        <v>15000</v>
      </c>
      <c r="Q1392" s="111">
        <v>30000</v>
      </c>
      <c r="R1392" s="111">
        <v>3</v>
      </c>
      <c r="S1392" s="111">
        <f t="shared" si="197"/>
        <v>3000</v>
      </c>
      <c r="T1392" s="111">
        <f t="shared" si="198"/>
        <v>180000</v>
      </c>
      <c r="U1392" s="111">
        <f t="shared" si="199"/>
        <v>1800</v>
      </c>
      <c r="V1392" s="111">
        <f t="shared" si="200"/>
        <v>181800</v>
      </c>
      <c r="W1392" t="s">
        <v>3852</v>
      </c>
    </row>
    <row r="1393" spans="1:23" x14ac:dyDescent="0.3">
      <c r="A1393" s="110">
        <v>1806115</v>
      </c>
      <c r="B1393" s="110" t="s">
        <v>1554</v>
      </c>
      <c r="C1393" s="110" t="s">
        <v>1554</v>
      </c>
      <c r="D1393" s="110" t="s">
        <v>1578</v>
      </c>
      <c r="E1393" s="110" t="s">
        <v>390</v>
      </c>
      <c r="F1393" s="110" t="s">
        <v>113</v>
      </c>
      <c r="G1393" s="110" t="s">
        <v>114</v>
      </c>
      <c r="H1393" s="111">
        <v>171</v>
      </c>
      <c r="I1393" s="111">
        <v>172</v>
      </c>
      <c r="J1393" s="111">
        <v>179</v>
      </c>
      <c r="K1393" s="111">
        <f t="shared" si="192"/>
        <v>174</v>
      </c>
      <c r="L1393" s="111">
        <v>150000</v>
      </c>
      <c r="M1393" s="111">
        <f t="shared" si="193"/>
        <v>67500</v>
      </c>
      <c r="N1393" s="111">
        <f t="shared" si="194"/>
        <v>67500</v>
      </c>
      <c r="O1393" s="111">
        <f t="shared" si="195"/>
        <v>13500</v>
      </c>
      <c r="P1393" s="111">
        <f t="shared" si="196"/>
        <v>15000</v>
      </c>
      <c r="Q1393" s="111">
        <v>30000</v>
      </c>
      <c r="R1393" s="111">
        <v>3</v>
      </c>
      <c r="S1393" s="111">
        <f t="shared" si="197"/>
        <v>3000</v>
      </c>
      <c r="T1393" s="111">
        <f t="shared" si="198"/>
        <v>180000</v>
      </c>
      <c r="U1393" s="111">
        <f t="shared" si="199"/>
        <v>1800</v>
      </c>
      <c r="V1393" s="111">
        <f t="shared" si="200"/>
        <v>181800</v>
      </c>
      <c r="W1393" t="s">
        <v>3853</v>
      </c>
    </row>
    <row r="1394" spans="1:23" x14ac:dyDescent="0.3">
      <c r="A1394" s="110">
        <v>1806117</v>
      </c>
      <c r="B1394" s="110" t="s">
        <v>1554</v>
      </c>
      <c r="C1394" s="110" t="s">
        <v>1554</v>
      </c>
      <c r="D1394" s="110" t="s">
        <v>466</v>
      </c>
      <c r="E1394" s="110" t="s">
        <v>368</v>
      </c>
      <c r="F1394" s="110" t="s">
        <v>113</v>
      </c>
      <c r="G1394" s="110" t="s">
        <v>114</v>
      </c>
      <c r="H1394" s="111">
        <v>84</v>
      </c>
      <c r="I1394" s="111">
        <v>86</v>
      </c>
      <c r="J1394" s="111">
        <v>88</v>
      </c>
      <c r="K1394" s="111">
        <f t="shared" si="192"/>
        <v>86</v>
      </c>
      <c r="L1394" s="111">
        <v>150000</v>
      </c>
      <c r="M1394" s="111">
        <f t="shared" si="193"/>
        <v>67500</v>
      </c>
      <c r="N1394" s="111">
        <f t="shared" si="194"/>
        <v>67500</v>
      </c>
      <c r="O1394" s="111">
        <f t="shared" si="195"/>
        <v>13500</v>
      </c>
      <c r="P1394" s="111">
        <f t="shared" si="196"/>
        <v>15000</v>
      </c>
      <c r="Q1394" s="111">
        <v>30000</v>
      </c>
      <c r="R1394" s="111">
        <v>3</v>
      </c>
      <c r="S1394" s="111">
        <f t="shared" si="197"/>
        <v>3000</v>
      </c>
      <c r="T1394" s="111">
        <f t="shared" si="198"/>
        <v>180000</v>
      </c>
      <c r="U1394" s="111">
        <f t="shared" si="199"/>
        <v>1800</v>
      </c>
      <c r="V1394" s="111">
        <f t="shared" si="200"/>
        <v>181800</v>
      </c>
      <c r="W1394" t="s">
        <v>3854</v>
      </c>
    </row>
    <row r="1395" spans="1:23" x14ac:dyDescent="0.3">
      <c r="A1395" s="110">
        <v>1806118</v>
      </c>
      <c r="B1395" s="110" t="s">
        <v>1554</v>
      </c>
      <c r="C1395" s="110" t="s">
        <v>1554</v>
      </c>
      <c r="D1395" s="110" t="s">
        <v>1579</v>
      </c>
      <c r="E1395" s="110" t="s">
        <v>1580</v>
      </c>
      <c r="F1395" s="110" t="s">
        <v>113</v>
      </c>
      <c r="G1395" s="110" t="s">
        <v>114</v>
      </c>
      <c r="H1395" s="111">
        <v>57</v>
      </c>
      <c r="I1395" s="111">
        <v>45</v>
      </c>
      <c r="J1395" s="111">
        <v>48</v>
      </c>
      <c r="K1395" s="111">
        <f t="shared" si="192"/>
        <v>50</v>
      </c>
      <c r="L1395" s="111">
        <v>50000</v>
      </c>
      <c r="M1395" s="111">
        <f t="shared" si="193"/>
        <v>22500</v>
      </c>
      <c r="N1395" s="111">
        <f t="shared" si="194"/>
        <v>22500</v>
      </c>
      <c r="O1395" s="111">
        <f t="shared" si="195"/>
        <v>4500</v>
      </c>
      <c r="P1395" s="111">
        <f t="shared" si="196"/>
        <v>5000</v>
      </c>
      <c r="Q1395" s="111">
        <v>10000</v>
      </c>
      <c r="R1395" s="111">
        <v>1</v>
      </c>
      <c r="S1395" s="111">
        <f t="shared" si="197"/>
        <v>1000</v>
      </c>
      <c r="T1395" s="111">
        <f t="shared" si="198"/>
        <v>60000</v>
      </c>
      <c r="U1395" s="111">
        <f t="shared" si="199"/>
        <v>600</v>
      </c>
      <c r="V1395" s="111">
        <f t="shared" si="200"/>
        <v>60600</v>
      </c>
      <c r="W1395" t="s">
        <v>3855</v>
      </c>
    </row>
    <row r="1396" spans="1:23" x14ac:dyDescent="0.3">
      <c r="A1396" s="110">
        <v>1806120</v>
      </c>
      <c r="B1396" s="110" t="s">
        <v>1554</v>
      </c>
      <c r="C1396" s="110" t="s">
        <v>1554</v>
      </c>
      <c r="D1396" s="110" t="s">
        <v>1581</v>
      </c>
      <c r="E1396" s="110" t="s">
        <v>390</v>
      </c>
      <c r="F1396" s="110" t="s">
        <v>113</v>
      </c>
      <c r="G1396" s="110" t="s">
        <v>114</v>
      </c>
      <c r="H1396" s="111">
        <v>65</v>
      </c>
      <c r="I1396" s="111">
        <v>59</v>
      </c>
      <c r="J1396" s="111">
        <v>61</v>
      </c>
      <c r="K1396" s="111">
        <f t="shared" si="192"/>
        <v>61.666666666666664</v>
      </c>
      <c r="L1396" s="111">
        <v>150000</v>
      </c>
      <c r="M1396" s="111">
        <f t="shared" si="193"/>
        <v>67500</v>
      </c>
      <c r="N1396" s="111">
        <f t="shared" si="194"/>
        <v>67500</v>
      </c>
      <c r="O1396" s="111">
        <f t="shared" si="195"/>
        <v>13500</v>
      </c>
      <c r="P1396" s="111">
        <f t="shared" si="196"/>
        <v>15000</v>
      </c>
      <c r="Q1396" s="111">
        <v>30000</v>
      </c>
      <c r="R1396" s="111">
        <v>3</v>
      </c>
      <c r="S1396" s="111">
        <f t="shared" si="197"/>
        <v>3000</v>
      </c>
      <c r="T1396" s="111">
        <f t="shared" si="198"/>
        <v>180000</v>
      </c>
      <c r="U1396" s="111">
        <f t="shared" si="199"/>
        <v>1800</v>
      </c>
      <c r="V1396" s="111">
        <f t="shared" si="200"/>
        <v>181800</v>
      </c>
      <c r="W1396" t="s">
        <v>3856</v>
      </c>
    </row>
    <row r="1397" spans="1:23" x14ac:dyDescent="0.3">
      <c r="A1397" s="110">
        <v>1806121</v>
      </c>
      <c r="B1397" s="110" t="s">
        <v>1554</v>
      </c>
      <c r="C1397" s="110" t="s">
        <v>1554</v>
      </c>
      <c r="D1397" s="110" t="s">
        <v>1582</v>
      </c>
      <c r="E1397" s="110" t="s">
        <v>1583</v>
      </c>
      <c r="F1397" s="110" t="s">
        <v>209</v>
      </c>
      <c r="G1397" s="110" t="s">
        <v>114</v>
      </c>
      <c r="H1397" s="111">
        <v>25</v>
      </c>
      <c r="I1397" s="111">
        <v>23</v>
      </c>
      <c r="J1397" s="111">
        <v>27</v>
      </c>
      <c r="K1397" s="111">
        <f t="shared" si="192"/>
        <v>25</v>
      </c>
      <c r="L1397" s="111">
        <v>50000</v>
      </c>
      <c r="M1397" s="111">
        <f t="shared" si="193"/>
        <v>22500</v>
      </c>
      <c r="N1397" s="111">
        <f t="shared" si="194"/>
        <v>22500</v>
      </c>
      <c r="O1397" s="111">
        <f t="shared" si="195"/>
        <v>4500</v>
      </c>
      <c r="P1397" s="111">
        <f t="shared" si="196"/>
        <v>5000</v>
      </c>
      <c r="Q1397" s="111">
        <v>10000</v>
      </c>
      <c r="R1397" s="111">
        <v>1</v>
      </c>
      <c r="S1397" s="111">
        <f t="shared" si="197"/>
        <v>1000</v>
      </c>
      <c r="T1397" s="111">
        <f t="shared" si="198"/>
        <v>60000</v>
      </c>
      <c r="U1397" s="111">
        <f t="shared" si="199"/>
        <v>600</v>
      </c>
      <c r="V1397" s="111">
        <f t="shared" si="200"/>
        <v>60600</v>
      </c>
      <c r="W1397" t="s">
        <v>3857</v>
      </c>
    </row>
    <row r="1398" spans="1:23" x14ac:dyDescent="0.3">
      <c r="A1398" s="110">
        <v>1806201</v>
      </c>
      <c r="B1398" s="110" t="s">
        <v>1554</v>
      </c>
      <c r="C1398" s="110" t="s">
        <v>1554</v>
      </c>
      <c r="D1398" s="110" t="s">
        <v>1554</v>
      </c>
      <c r="E1398" s="110" t="s">
        <v>1584</v>
      </c>
      <c r="F1398" s="110" t="s">
        <v>122</v>
      </c>
      <c r="G1398" s="110" t="s">
        <v>114</v>
      </c>
      <c r="H1398" s="111">
        <v>518</v>
      </c>
      <c r="I1398" s="111">
        <v>522</v>
      </c>
      <c r="J1398" s="111">
        <v>529</v>
      </c>
      <c r="K1398" s="111">
        <f t="shared" si="192"/>
        <v>523</v>
      </c>
      <c r="L1398" s="111">
        <f>300000*0.7</f>
        <v>210000</v>
      </c>
      <c r="M1398" s="111">
        <f t="shared" si="193"/>
        <v>94500</v>
      </c>
      <c r="N1398" s="111">
        <f t="shared" si="194"/>
        <v>94500</v>
      </c>
      <c r="O1398" s="111">
        <f t="shared" si="195"/>
        <v>18900</v>
      </c>
      <c r="P1398" s="111">
        <f t="shared" si="196"/>
        <v>21000</v>
      </c>
      <c r="Q1398" s="111">
        <v>60000</v>
      </c>
      <c r="R1398" s="111">
        <v>6</v>
      </c>
      <c r="S1398" s="111">
        <f t="shared" si="197"/>
        <v>6000</v>
      </c>
      <c r="T1398" s="111">
        <f t="shared" si="198"/>
        <v>270000</v>
      </c>
      <c r="U1398" s="111">
        <f t="shared" si="199"/>
        <v>2700</v>
      </c>
      <c r="V1398" s="111">
        <f t="shared" si="200"/>
        <v>272700</v>
      </c>
      <c r="W1398" t="s">
        <v>3858</v>
      </c>
    </row>
    <row r="1399" spans="1:23" x14ac:dyDescent="0.3">
      <c r="A1399" s="110">
        <v>1806202</v>
      </c>
      <c r="B1399" s="110" t="s">
        <v>1554</v>
      </c>
      <c r="C1399" s="110" t="s">
        <v>1554</v>
      </c>
      <c r="D1399" s="110" t="s">
        <v>1554</v>
      </c>
      <c r="E1399" s="110" t="s">
        <v>1585</v>
      </c>
      <c r="F1399" s="110" t="s">
        <v>122</v>
      </c>
      <c r="G1399" s="110" t="s">
        <v>114</v>
      </c>
      <c r="H1399" s="111">
        <v>705</v>
      </c>
      <c r="I1399" s="111">
        <v>713</v>
      </c>
      <c r="J1399" s="111">
        <v>683</v>
      </c>
      <c r="K1399" s="111">
        <f t="shared" si="192"/>
        <v>700.33333333333337</v>
      </c>
      <c r="L1399" s="111">
        <f>300000*0.7</f>
        <v>210000</v>
      </c>
      <c r="M1399" s="111">
        <f t="shared" si="193"/>
        <v>94500</v>
      </c>
      <c r="N1399" s="111">
        <f t="shared" si="194"/>
        <v>94500</v>
      </c>
      <c r="O1399" s="111">
        <f t="shared" si="195"/>
        <v>18900</v>
      </c>
      <c r="P1399" s="111">
        <f t="shared" si="196"/>
        <v>21000</v>
      </c>
      <c r="Q1399" s="111">
        <v>60000</v>
      </c>
      <c r="R1399" s="111">
        <v>6</v>
      </c>
      <c r="S1399" s="111">
        <f t="shared" si="197"/>
        <v>6000</v>
      </c>
      <c r="T1399" s="111">
        <f t="shared" si="198"/>
        <v>270000</v>
      </c>
      <c r="U1399" s="111">
        <f t="shared" si="199"/>
        <v>2700</v>
      </c>
      <c r="V1399" s="111">
        <f t="shared" si="200"/>
        <v>272700</v>
      </c>
      <c r="W1399" t="s">
        <v>3859</v>
      </c>
    </row>
    <row r="1400" spans="1:23" x14ac:dyDescent="0.3">
      <c r="A1400" s="110">
        <v>1806203</v>
      </c>
      <c r="B1400" s="110" t="s">
        <v>1554</v>
      </c>
      <c r="C1400" s="110" t="s">
        <v>1554</v>
      </c>
      <c r="D1400" s="110" t="s">
        <v>1554</v>
      </c>
      <c r="E1400" s="110" t="s">
        <v>1586</v>
      </c>
      <c r="F1400" s="110" t="s">
        <v>119</v>
      </c>
      <c r="G1400" s="110" t="s">
        <v>114</v>
      </c>
      <c r="H1400" s="111">
        <v>1310</v>
      </c>
      <c r="I1400" s="111">
        <v>1267</v>
      </c>
      <c r="J1400" s="111">
        <v>1235</v>
      </c>
      <c r="K1400" s="111">
        <f t="shared" si="192"/>
        <v>1270.6666666666667</v>
      </c>
      <c r="L1400" s="111">
        <f>600000</f>
        <v>600000</v>
      </c>
      <c r="M1400" s="111">
        <f t="shared" si="193"/>
        <v>270000</v>
      </c>
      <c r="N1400" s="111">
        <f t="shared" si="194"/>
        <v>270000</v>
      </c>
      <c r="O1400" s="111">
        <f t="shared" si="195"/>
        <v>54000</v>
      </c>
      <c r="P1400" s="111">
        <f t="shared" si="196"/>
        <v>60000</v>
      </c>
      <c r="Q1400" s="111">
        <v>80000</v>
      </c>
      <c r="R1400" s="111">
        <v>8</v>
      </c>
      <c r="S1400" s="111">
        <f t="shared" si="197"/>
        <v>8000</v>
      </c>
      <c r="T1400" s="111">
        <f t="shared" si="198"/>
        <v>680000</v>
      </c>
      <c r="U1400" s="111">
        <f t="shared" si="199"/>
        <v>6800</v>
      </c>
      <c r="V1400" s="111">
        <f t="shared" si="200"/>
        <v>686800</v>
      </c>
      <c r="W1400" t="s">
        <v>3860</v>
      </c>
    </row>
    <row r="1401" spans="1:23" x14ac:dyDescent="0.3">
      <c r="A1401" s="110">
        <v>1806204</v>
      </c>
      <c r="B1401" s="110" t="s">
        <v>1554</v>
      </c>
      <c r="C1401" s="110" t="s">
        <v>1554</v>
      </c>
      <c r="D1401" s="110" t="s">
        <v>1554</v>
      </c>
      <c r="E1401" s="110" t="s">
        <v>1587</v>
      </c>
      <c r="F1401" s="110" t="s">
        <v>119</v>
      </c>
      <c r="G1401" s="110" t="s">
        <v>114</v>
      </c>
      <c r="H1401" s="111">
        <v>1033</v>
      </c>
      <c r="I1401" s="111">
        <v>1013</v>
      </c>
      <c r="J1401" s="111">
        <v>978</v>
      </c>
      <c r="K1401" s="111">
        <f t="shared" si="192"/>
        <v>1008</v>
      </c>
      <c r="L1401" s="111">
        <f>600000</f>
        <v>600000</v>
      </c>
      <c r="M1401" s="111">
        <f t="shared" si="193"/>
        <v>270000</v>
      </c>
      <c r="N1401" s="111">
        <f t="shared" si="194"/>
        <v>270000</v>
      </c>
      <c r="O1401" s="111">
        <f t="shared" si="195"/>
        <v>54000</v>
      </c>
      <c r="P1401" s="111">
        <f t="shared" si="196"/>
        <v>60000</v>
      </c>
      <c r="Q1401" s="111">
        <v>80000</v>
      </c>
      <c r="R1401" s="111">
        <v>8</v>
      </c>
      <c r="S1401" s="111">
        <f t="shared" si="197"/>
        <v>8000</v>
      </c>
      <c r="T1401" s="111">
        <f t="shared" si="198"/>
        <v>680000</v>
      </c>
      <c r="U1401" s="111">
        <f t="shared" si="199"/>
        <v>6800</v>
      </c>
      <c r="V1401" s="111">
        <f t="shared" si="200"/>
        <v>686800</v>
      </c>
      <c r="W1401" t="s">
        <v>3861</v>
      </c>
    </row>
    <row r="1402" spans="1:23" x14ac:dyDescent="0.3">
      <c r="A1402" s="110">
        <v>1806205</v>
      </c>
      <c r="B1402" s="110" t="s">
        <v>1554</v>
      </c>
      <c r="C1402" s="110" t="s">
        <v>1554</v>
      </c>
      <c r="D1402" s="110" t="s">
        <v>1554</v>
      </c>
      <c r="E1402" s="110" t="s">
        <v>1588</v>
      </c>
      <c r="F1402" s="110" t="s">
        <v>113</v>
      </c>
      <c r="G1402" s="110" t="s">
        <v>114</v>
      </c>
      <c r="H1402" s="111">
        <v>271</v>
      </c>
      <c r="I1402" s="111">
        <v>290</v>
      </c>
      <c r="J1402" s="111">
        <v>287</v>
      </c>
      <c r="K1402" s="111">
        <f t="shared" si="192"/>
        <v>282.66666666666669</v>
      </c>
      <c r="L1402" s="111">
        <v>200000</v>
      </c>
      <c r="M1402" s="111">
        <f t="shared" si="193"/>
        <v>90000</v>
      </c>
      <c r="N1402" s="111">
        <f t="shared" si="194"/>
        <v>90000</v>
      </c>
      <c r="O1402" s="111">
        <f t="shared" si="195"/>
        <v>18000</v>
      </c>
      <c r="P1402" s="111">
        <f t="shared" si="196"/>
        <v>20000</v>
      </c>
      <c r="Q1402" s="111">
        <v>50000</v>
      </c>
      <c r="R1402" s="111">
        <v>5</v>
      </c>
      <c r="S1402" s="111">
        <f t="shared" si="197"/>
        <v>5000</v>
      </c>
      <c r="T1402" s="111">
        <f t="shared" si="198"/>
        <v>250000</v>
      </c>
      <c r="U1402" s="111">
        <f t="shared" si="199"/>
        <v>2500</v>
      </c>
      <c r="V1402" s="111">
        <f t="shared" si="200"/>
        <v>252500</v>
      </c>
      <c r="W1402" t="s">
        <v>3862</v>
      </c>
    </row>
    <row r="1403" spans="1:23" x14ac:dyDescent="0.3">
      <c r="A1403" s="110">
        <v>1806206</v>
      </c>
      <c r="B1403" s="110" t="s">
        <v>1554</v>
      </c>
      <c r="C1403" s="110" t="s">
        <v>1554</v>
      </c>
      <c r="D1403" s="110" t="s">
        <v>1554</v>
      </c>
      <c r="E1403" s="110" t="s">
        <v>163</v>
      </c>
      <c r="F1403" s="110" t="s">
        <v>119</v>
      </c>
      <c r="G1403" s="110" t="s">
        <v>114</v>
      </c>
      <c r="H1403" s="111">
        <v>395</v>
      </c>
      <c r="I1403" s="111">
        <v>392</v>
      </c>
      <c r="J1403" s="111">
        <v>424</v>
      </c>
      <c r="K1403" s="111">
        <f t="shared" si="192"/>
        <v>403.66666666666669</v>
      </c>
      <c r="L1403" s="111">
        <f>300000</f>
        <v>300000</v>
      </c>
      <c r="M1403" s="111">
        <f t="shared" si="193"/>
        <v>135000</v>
      </c>
      <c r="N1403" s="111">
        <f t="shared" si="194"/>
        <v>135000</v>
      </c>
      <c r="O1403" s="111">
        <f t="shared" si="195"/>
        <v>27000</v>
      </c>
      <c r="P1403" s="111">
        <f t="shared" si="196"/>
        <v>30000</v>
      </c>
      <c r="Q1403" s="111">
        <v>60000</v>
      </c>
      <c r="R1403" s="111">
        <v>6</v>
      </c>
      <c r="S1403" s="111">
        <f t="shared" si="197"/>
        <v>6000</v>
      </c>
      <c r="T1403" s="111">
        <f t="shared" si="198"/>
        <v>360000</v>
      </c>
      <c r="U1403" s="111">
        <f t="shared" si="199"/>
        <v>3600</v>
      </c>
      <c r="V1403" s="111">
        <f t="shared" si="200"/>
        <v>363600</v>
      </c>
      <c r="W1403" t="s">
        <v>3863</v>
      </c>
    </row>
    <row r="1404" spans="1:23" x14ac:dyDescent="0.3">
      <c r="A1404" s="110">
        <v>1806207</v>
      </c>
      <c r="B1404" s="110" t="s">
        <v>1554</v>
      </c>
      <c r="C1404" s="110" t="s">
        <v>1554</v>
      </c>
      <c r="D1404" s="110" t="s">
        <v>1554</v>
      </c>
      <c r="E1404" s="110" t="s">
        <v>272</v>
      </c>
      <c r="F1404" s="110" t="s">
        <v>119</v>
      </c>
      <c r="G1404" s="110" t="s">
        <v>114</v>
      </c>
      <c r="H1404" s="111">
        <v>1030</v>
      </c>
      <c r="I1404" s="111">
        <v>1039</v>
      </c>
      <c r="J1404" s="111">
        <v>1024</v>
      </c>
      <c r="K1404" s="111">
        <f t="shared" si="192"/>
        <v>1031</v>
      </c>
      <c r="L1404" s="111">
        <f>600000</f>
        <v>600000</v>
      </c>
      <c r="M1404" s="111">
        <f t="shared" si="193"/>
        <v>270000</v>
      </c>
      <c r="N1404" s="111">
        <f t="shared" si="194"/>
        <v>270000</v>
      </c>
      <c r="O1404" s="111">
        <f t="shared" si="195"/>
        <v>54000</v>
      </c>
      <c r="P1404" s="111">
        <f t="shared" si="196"/>
        <v>60000</v>
      </c>
      <c r="Q1404" s="111">
        <v>80000</v>
      </c>
      <c r="R1404" s="111">
        <v>8</v>
      </c>
      <c r="S1404" s="111">
        <f t="shared" si="197"/>
        <v>8000</v>
      </c>
      <c r="T1404" s="111">
        <f t="shared" si="198"/>
        <v>680000</v>
      </c>
      <c r="U1404" s="111">
        <f t="shared" si="199"/>
        <v>6800</v>
      </c>
      <c r="V1404" s="111">
        <f t="shared" si="200"/>
        <v>686800</v>
      </c>
      <c r="W1404" t="s">
        <v>3864</v>
      </c>
    </row>
    <row r="1405" spans="1:23" x14ac:dyDescent="0.3">
      <c r="A1405" s="110">
        <v>1806208</v>
      </c>
      <c r="B1405" s="110" t="s">
        <v>1554</v>
      </c>
      <c r="C1405" s="110" t="s">
        <v>1554</v>
      </c>
      <c r="D1405" s="110" t="s">
        <v>1554</v>
      </c>
      <c r="E1405" s="110" t="s">
        <v>1589</v>
      </c>
      <c r="F1405" s="110" t="s">
        <v>119</v>
      </c>
      <c r="G1405" s="110" t="s">
        <v>114</v>
      </c>
      <c r="H1405" s="111">
        <v>743</v>
      </c>
      <c r="I1405" s="111">
        <v>676</v>
      </c>
      <c r="J1405" s="111">
        <v>660</v>
      </c>
      <c r="K1405" s="111">
        <f t="shared" si="192"/>
        <v>693</v>
      </c>
      <c r="L1405" s="111">
        <f>300000</f>
        <v>300000</v>
      </c>
      <c r="M1405" s="111">
        <f t="shared" si="193"/>
        <v>135000</v>
      </c>
      <c r="N1405" s="111">
        <f t="shared" si="194"/>
        <v>135000</v>
      </c>
      <c r="O1405" s="111">
        <f t="shared" si="195"/>
        <v>27000</v>
      </c>
      <c r="P1405" s="111">
        <f t="shared" si="196"/>
        <v>30000</v>
      </c>
      <c r="Q1405" s="111">
        <v>60000</v>
      </c>
      <c r="R1405" s="111">
        <v>6</v>
      </c>
      <c r="S1405" s="111">
        <f t="shared" si="197"/>
        <v>6000</v>
      </c>
      <c r="T1405" s="111">
        <f t="shared" si="198"/>
        <v>360000</v>
      </c>
      <c r="U1405" s="111">
        <f t="shared" si="199"/>
        <v>3600</v>
      </c>
      <c r="V1405" s="111">
        <f t="shared" si="200"/>
        <v>363600</v>
      </c>
      <c r="W1405" t="s">
        <v>3865</v>
      </c>
    </row>
    <row r="1406" spans="1:23" x14ac:dyDescent="0.3">
      <c r="A1406" s="110">
        <v>1806209</v>
      </c>
      <c r="B1406" s="110" t="s">
        <v>1554</v>
      </c>
      <c r="C1406" s="110" t="s">
        <v>1554</v>
      </c>
      <c r="D1406" s="110" t="s">
        <v>1554</v>
      </c>
      <c r="E1406" s="110" t="s">
        <v>214</v>
      </c>
      <c r="F1406" s="110" t="s">
        <v>119</v>
      </c>
      <c r="G1406" s="110" t="s">
        <v>114</v>
      </c>
      <c r="H1406" s="111">
        <v>1469</v>
      </c>
      <c r="I1406" s="111">
        <v>1473</v>
      </c>
      <c r="J1406" s="111">
        <v>1435</v>
      </c>
      <c r="K1406" s="111">
        <f t="shared" si="192"/>
        <v>1459</v>
      </c>
      <c r="L1406" s="111">
        <f>600000*0.7</f>
        <v>420000</v>
      </c>
      <c r="M1406" s="111">
        <f t="shared" si="193"/>
        <v>189000</v>
      </c>
      <c r="N1406" s="111">
        <f t="shared" si="194"/>
        <v>189000</v>
      </c>
      <c r="O1406" s="111">
        <f t="shared" si="195"/>
        <v>37800</v>
      </c>
      <c r="P1406" s="111">
        <f t="shared" si="196"/>
        <v>42000</v>
      </c>
      <c r="Q1406" s="111">
        <v>80000</v>
      </c>
      <c r="R1406" s="111">
        <v>8</v>
      </c>
      <c r="S1406" s="111">
        <f t="shared" si="197"/>
        <v>8000</v>
      </c>
      <c r="T1406" s="111">
        <f t="shared" si="198"/>
        <v>500000</v>
      </c>
      <c r="U1406" s="111">
        <f t="shared" si="199"/>
        <v>5000</v>
      </c>
      <c r="V1406" s="111">
        <f t="shared" si="200"/>
        <v>505000</v>
      </c>
      <c r="W1406" t="s">
        <v>3866</v>
      </c>
    </row>
    <row r="1407" spans="1:23" x14ac:dyDescent="0.3">
      <c r="A1407" s="110">
        <v>1806301</v>
      </c>
      <c r="B1407" s="110" t="s">
        <v>1554</v>
      </c>
      <c r="C1407" s="110" t="s">
        <v>1554</v>
      </c>
      <c r="D1407" s="110" t="s">
        <v>1554</v>
      </c>
      <c r="E1407" s="110" t="s">
        <v>1590</v>
      </c>
      <c r="F1407" s="110" t="s">
        <v>117</v>
      </c>
      <c r="G1407" s="110" t="s">
        <v>125</v>
      </c>
      <c r="H1407" s="111">
        <v>425</v>
      </c>
      <c r="I1407" s="111">
        <v>450</v>
      </c>
      <c r="J1407" s="111">
        <v>491</v>
      </c>
      <c r="K1407" s="111">
        <f t="shared" si="192"/>
        <v>455.33333333333331</v>
      </c>
      <c r="L1407" s="111">
        <f>300000</f>
        <v>300000</v>
      </c>
      <c r="M1407" s="111">
        <f t="shared" si="193"/>
        <v>135000</v>
      </c>
      <c r="N1407" s="111">
        <f t="shared" si="194"/>
        <v>135000</v>
      </c>
      <c r="O1407" s="111">
        <f t="shared" si="195"/>
        <v>27000</v>
      </c>
      <c r="P1407" s="111">
        <f t="shared" si="196"/>
        <v>30000</v>
      </c>
      <c r="Q1407" s="111">
        <v>60000</v>
      </c>
      <c r="R1407" s="111">
        <v>6</v>
      </c>
      <c r="S1407" s="111">
        <f t="shared" si="197"/>
        <v>6000</v>
      </c>
      <c r="T1407" s="111">
        <f t="shared" si="198"/>
        <v>360000</v>
      </c>
      <c r="U1407" s="111">
        <f t="shared" si="199"/>
        <v>3600</v>
      </c>
      <c r="V1407" s="111">
        <f t="shared" si="200"/>
        <v>363600</v>
      </c>
      <c r="W1407" t="s">
        <v>3867</v>
      </c>
    </row>
    <row r="1408" spans="1:23" x14ac:dyDescent="0.3">
      <c r="A1408" s="110">
        <v>1806302</v>
      </c>
      <c r="B1408" s="110" t="s">
        <v>1554</v>
      </c>
      <c r="C1408" s="110" t="s">
        <v>1554</v>
      </c>
      <c r="D1408" s="110" t="s">
        <v>1554</v>
      </c>
      <c r="E1408" s="110" t="s">
        <v>1591</v>
      </c>
      <c r="F1408" s="110" t="s">
        <v>117</v>
      </c>
      <c r="G1408" s="110" t="s">
        <v>114</v>
      </c>
      <c r="H1408" s="111">
        <v>213</v>
      </c>
      <c r="I1408" s="111">
        <v>224</v>
      </c>
      <c r="J1408" s="111">
        <v>266</v>
      </c>
      <c r="K1408" s="111">
        <f t="shared" si="192"/>
        <v>234.33333333333334</v>
      </c>
      <c r="L1408" s="111">
        <v>200000</v>
      </c>
      <c r="M1408" s="111">
        <f t="shared" si="193"/>
        <v>90000</v>
      </c>
      <c r="N1408" s="111">
        <f t="shared" si="194"/>
        <v>90000</v>
      </c>
      <c r="O1408" s="111">
        <f t="shared" si="195"/>
        <v>18000</v>
      </c>
      <c r="P1408" s="111">
        <f t="shared" si="196"/>
        <v>20000</v>
      </c>
      <c r="Q1408" s="111">
        <v>50000</v>
      </c>
      <c r="R1408" s="111">
        <v>5</v>
      </c>
      <c r="S1408" s="111">
        <f t="shared" si="197"/>
        <v>5000</v>
      </c>
      <c r="T1408" s="111">
        <f t="shared" si="198"/>
        <v>250000</v>
      </c>
      <c r="U1408" s="111">
        <f t="shared" si="199"/>
        <v>2500</v>
      </c>
      <c r="V1408" s="111">
        <f t="shared" si="200"/>
        <v>252500</v>
      </c>
      <c r="W1408" t="s">
        <v>3868</v>
      </c>
    </row>
    <row r="1409" spans="1:23" x14ac:dyDescent="0.3">
      <c r="A1409" s="110">
        <v>1806305</v>
      </c>
      <c r="B1409" s="110" t="s">
        <v>1554</v>
      </c>
      <c r="C1409" s="110" t="s">
        <v>1554</v>
      </c>
      <c r="D1409" s="110" t="s">
        <v>1554</v>
      </c>
      <c r="E1409" s="110" t="s">
        <v>1592</v>
      </c>
      <c r="F1409" s="110" t="s">
        <v>117</v>
      </c>
      <c r="G1409" s="110" t="s">
        <v>114</v>
      </c>
      <c r="H1409" s="111">
        <v>110</v>
      </c>
      <c r="I1409" s="111">
        <v>103</v>
      </c>
      <c r="J1409" s="111">
        <v>107</v>
      </c>
      <c r="K1409" s="111">
        <f t="shared" si="192"/>
        <v>106.66666666666667</v>
      </c>
      <c r="L1409" s="111">
        <v>150000</v>
      </c>
      <c r="M1409" s="111">
        <f t="shared" si="193"/>
        <v>67500</v>
      </c>
      <c r="N1409" s="111">
        <f t="shared" si="194"/>
        <v>67500</v>
      </c>
      <c r="O1409" s="111">
        <f t="shared" si="195"/>
        <v>13500</v>
      </c>
      <c r="P1409" s="111">
        <f t="shared" si="196"/>
        <v>15000</v>
      </c>
      <c r="Q1409" s="111">
        <v>30000</v>
      </c>
      <c r="R1409" s="111">
        <v>3</v>
      </c>
      <c r="S1409" s="111">
        <f t="shared" si="197"/>
        <v>3000</v>
      </c>
      <c r="T1409" s="111">
        <f t="shared" si="198"/>
        <v>180000</v>
      </c>
      <c r="U1409" s="111">
        <f t="shared" si="199"/>
        <v>1800</v>
      </c>
      <c r="V1409" s="111">
        <f t="shared" si="200"/>
        <v>181800</v>
      </c>
      <c r="W1409" t="s">
        <v>3869</v>
      </c>
    </row>
    <row r="1410" spans="1:23" x14ac:dyDescent="0.3">
      <c r="A1410" s="110">
        <v>1806306</v>
      </c>
      <c r="B1410" s="110" t="s">
        <v>1554</v>
      </c>
      <c r="C1410" s="110" t="s">
        <v>1554</v>
      </c>
      <c r="D1410" s="110" t="s">
        <v>1554</v>
      </c>
      <c r="E1410" s="110" t="s">
        <v>1593</v>
      </c>
      <c r="F1410" s="110" t="s">
        <v>117</v>
      </c>
      <c r="G1410" s="110" t="s">
        <v>125</v>
      </c>
      <c r="H1410" s="111">
        <v>213</v>
      </c>
      <c r="I1410" s="111">
        <v>199</v>
      </c>
      <c r="J1410" s="111">
        <v>219</v>
      </c>
      <c r="K1410" s="111">
        <f t="shared" ref="K1410:K1473" si="201">+(H1410+I1410+J1410)/3</f>
        <v>210.33333333333334</v>
      </c>
      <c r="L1410" s="111">
        <v>200000</v>
      </c>
      <c r="M1410" s="111">
        <f t="shared" ref="M1410:M1473" si="202">+L1410*0.45</f>
        <v>90000</v>
      </c>
      <c r="N1410" s="111">
        <f t="shared" ref="N1410:N1473" si="203">+L1410*0.45</f>
        <v>90000</v>
      </c>
      <c r="O1410" s="111">
        <f t="shared" ref="O1410:O1473" si="204">+N1410*0.2</f>
        <v>18000</v>
      </c>
      <c r="P1410" s="111">
        <f t="shared" ref="P1410:P1473" si="205">++L1410*0.1</f>
        <v>20000</v>
      </c>
      <c r="Q1410" s="111">
        <v>50000</v>
      </c>
      <c r="R1410" s="111">
        <v>5</v>
      </c>
      <c r="S1410" s="111">
        <f t="shared" ref="S1410:S1473" si="206">+Q1410*0.1</f>
        <v>5000</v>
      </c>
      <c r="T1410" s="111">
        <f t="shared" ref="T1410:T1473" si="207">+L1410+Q1410</f>
        <v>250000</v>
      </c>
      <c r="U1410" s="111">
        <f t="shared" ref="U1410:U1473" si="208">+T1410*0.01</f>
        <v>2500</v>
      </c>
      <c r="V1410" s="111">
        <f t="shared" ref="V1410:V1473" si="209">+T1410+U1410</f>
        <v>252500</v>
      </c>
      <c r="W1410" t="s">
        <v>3870</v>
      </c>
    </row>
    <row r="1411" spans="1:23" x14ac:dyDescent="0.3">
      <c r="A1411" s="110">
        <v>1806307</v>
      </c>
      <c r="B1411" s="110" t="s">
        <v>1554</v>
      </c>
      <c r="C1411" s="110" t="s">
        <v>1554</v>
      </c>
      <c r="D1411" s="110" t="s">
        <v>1554</v>
      </c>
      <c r="E1411" s="110" t="s">
        <v>1594</v>
      </c>
      <c r="F1411" s="110" t="s">
        <v>117</v>
      </c>
      <c r="G1411" s="110" t="s">
        <v>125</v>
      </c>
      <c r="H1411" s="111">
        <v>384</v>
      </c>
      <c r="I1411" s="111">
        <v>366</v>
      </c>
      <c r="J1411" s="111">
        <v>351</v>
      </c>
      <c r="K1411" s="111">
        <f t="shared" si="201"/>
        <v>367</v>
      </c>
      <c r="L1411" s="111">
        <f>200000*0.7</f>
        <v>140000</v>
      </c>
      <c r="M1411" s="111">
        <f t="shared" si="202"/>
        <v>63000</v>
      </c>
      <c r="N1411" s="111">
        <f t="shared" si="203"/>
        <v>63000</v>
      </c>
      <c r="O1411" s="111">
        <f t="shared" si="204"/>
        <v>12600</v>
      </c>
      <c r="P1411" s="111">
        <f t="shared" si="205"/>
        <v>14000</v>
      </c>
      <c r="Q1411" s="111">
        <v>50000</v>
      </c>
      <c r="R1411" s="111">
        <v>5</v>
      </c>
      <c r="S1411" s="111">
        <f t="shared" si="206"/>
        <v>5000</v>
      </c>
      <c r="T1411" s="111">
        <f t="shared" si="207"/>
        <v>190000</v>
      </c>
      <c r="U1411" s="111">
        <f t="shared" si="208"/>
        <v>1900</v>
      </c>
      <c r="V1411" s="111">
        <f t="shared" si="209"/>
        <v>191900</v>
      </c>
      <c r="W1411" t="s">
        <v>3871</v>
      </c>
    </row>
    <row r="1412" spans="1:23" x14ac:dyDescent="0.3">
      <c r="A1412" s="110">
        <v>1806309</v>
      </c>
      <c r="B1412" s="110" t="s">
        <v>1554</v>
      </c>
      <c r="C1412" s="110" t="s">
        <v>1554</v>
      </c>
      <c r="D1412" s="110" t="s">
        <v>1554</v>
      </c>
      <c r="E1412" s="110" t="s">
        <v>1595</v>
      </c>
      <c r="F1412" s="110" t="s">
        <v>117</v>
      </c>
      <c r="G1412" s="110" t="s">
        <v>125</v>
      </c>
      <c r="H1412" s="111">
        <v>531</v>
      </c>
      <c r="I1412" s="111">
        <v>508</v>
      </c>
      <c r="J1412" s="111">
        <v>514</v>
      </c>
      <c r="K1412" s="111">
        <f t="shared" si="201"/>
        <v>517.66666666666663</v>
      </c>
      <c r="L1412" s="111">
        <f>300000</f>
        <v>300000</v>
      </c>
      <c r="M1412" s="111">
        <f t="shared" si="202"/>
        <v>135000</v>
      </c>
      <c r="N1412" s="111">
        <f t="shared" si="203"/>
        <v>135000</v>
      </c>
      <c r="O1412" s="111">
        <f t="shared" si="204"/>
        <v>27000</v>
      </c>
      <c r="P1412" s="111">
        <f t="shared" si="205"/>
        <v>30000</v>
      </c>
      <c r="Q1412" s="111">
        <v>60000</v>
      </c>
      <c r="R1412" s="111">
        <v>6</v>
      </c>
      <c r="S1412" s="111">
        <f t="shared" si="206"/>
        <v>6000</v>
      </c>
      <c r="T1412" s="111">
        <f t="shared" si="207"/>
        <v>360000</v>
      </c>
      <c r="U1412" s="111">
        <f t="shared" si="208"/>
        <v>3600</v>
      </c>
      <c r="V1412" s="111">
        <f t="shared" si="209"/>
        <v>363600</v>
      </c>
      <c r="W1412" t="s">
        <v>3872</v>
      </c>
    </row>
    <row r="1413" spans="1:23" x14ac:dyDescent="0.3">
      <c r="A1413" s="110">
        <v>1806310</v>
      </c>
      <c r="B1413" s="110" t="s">
        <v>1554</v>
      </c>
      <c r="C1413" s="110" t="s">
        <v>1554</v>
      </c>
      <c r="D1413" s="110" t="s">
        <v>1554</v>
      </c>
      <c r="E1413" s="110" t="s">
        <v>1596</v>
      </c>
      <c r="F1413" s="110" t="s">
        <v>117</v>
      </c>
      <c r="G1413" s="110" t="s">
        <v>125</v>
      </c>
      <c r="H1413" s="111">
        <v>468</v>
      </c>
      <c r="I1413" s="111">
        <v>450</v>
      </c>
      <c r="J1413" s="111">
        <v>456</v>
      </c>
      <c r="K1413" s="111">
        <f t="shared" si="201"/>
        <v>458</v>
      </c>
      <c r="L1413" s="111">
        <f>300000</f>
        <v>300000</v>
      </c>
      <c r="M1413" s="111">
        <f t="shared" si="202"/>
        <v>135000</v>
      </c>
      <c r="N1413" s="111">
        <f t="shared" si="203"/>
        <v>135000</v>
      </c>
      <c r="O1413" s="111">
        <f t="shared" si="204"/>
        <v>27000</v>
      </c>
      <c r="P1413" s="111">
        <f t="shared" si="205"/>
        <v>30000</v>
      </c>
      <c r="Q1413" s="111">
        <v>60000</v>
      </c>
      <c r="R1413" s="111">
        <v>6</v>
      </c>
      <c r="S1413" s="111">
        <f t="shared" si="206"/>
        <v>6000</v>
      </c>
      <c r="T1413" s="111">
        <f t="shared" si="207"/>
        <v>360000</v>
      </c>
      <c r="U1413" s="111">
        <f t="shared" si="208"/>
        <v>3600</v>
      </c>
      <c r="V1413" s="111">
        <f t="shared" si="209"/>
        <v>363600</v>
      </c>
      <c r="W1413" t="s">
        <v>3873</v>
      </c>
    </row>
    <row r="1414" spans="1:23" x14ac:dyDescent="0.3">
      <c r="A1414" s="110">
        <v>1806311</v>
      </c>
      <c r="B1414" s="110" t="s">
        <v>1554</v>
      </c>
      <c r="C1414" s="110" t="s">
        <v>1554</v>
      </c>
      <c r="D1414" s="110" t="s">
        <v>1554</v>
      </c>
      <c r="E1414" s="110" t="s">
        <v>1597</v>
      </c>
      <c r="F1414" s="110" t="s">
        <v>117</v>
      </c>
      <c r="G1414" s="110" t="s">
        <v>125</v>
      </c>
      <c r="H1414" s="111">
        <v>215</v>
      </c>
      <c r="I1414" s="111">
        <v>220</v>
      </c>
      <c r="J1414" s="111">
        <v>245</v>
      </c>
      <c r="K1414" s="111">
        <f t="shared" si="201"/>
        <v>226.66666666666666</v>
      </c>
      <c r="L1414" s="111">
        <f>200000*0.7</f>
        <v>140000</v>
      </c>
      <c r="M1414" s="111">
        <f t="shared" si="202"/>
        <v>63000</v>
      </c>
      <c r="N1414" s="111">
        <f t="shared" si="203"/>
        <v>63000</v>
      </c>
      <c r="O1414" s="111">
        <f t="shared" si="204"/>
        <v>12600</v>
      </c>
      <c r="P1414" s="111">
        <f t="shared" si="205"/>
        <v>14000</v>
      </c>
      <c r="Q1414" s="111">
        <v>50000</v>
      </c>
      <c r="R1414" s="111">
        <v>5</v>
      </c>
      <c r="S1414" s="111">
        <f t="shared" si="206"/>
        <v>5000</v>
      </c>
      <c r="T1414" s="111">
        <f t="shared" si="207"/>
        <v>190000</v>
      </c>
      <c r="U1414" s="111">
        <f t="shared" si="208"/>
        <v>1900</v>
      </c>
      <c r="V1414" s="111">
        <f t="shared" si="209"/>
        <v>191900</v>
      </c>
      <c r="W1414" t="s">
        <v>3874</v>
      </c>
    </row>
    <row r="1415" spans="1:23" x14ac:dyDescent="0.3">
      <c r="A1415" s="110">
        <v>1806312</v>
      </c>
      <c r="B1415" s="110" t="s">
        <v>1554</v>
      </c>
      <c r="C1415" s="110" t="s">
        <v>1554</v>
      </c>
      <c r="D1415" s="110" t="s">
        <v>1554</v>
      </c>
      <c r="E1415" s="110" t="s">
        <v>160</v>
      </c>
      <c r="F1415" s="110" t="s">
        <v>117</v>
      </c>
      <c r="G1415" s="110" t="s">
        <v>125</v>
      </c>
      <c r="H1415" s="111">
        <v>207</v>
      </c>
      <c r="I1415" s="111">
        <v>191</v>
      </c>
      <c r="J1415" s="111">
        <v>205</v>
      </c>
      <c r="K1415" s="111">
        <f t="shared" si="201"/>
        <v>201</v>
      </c>
      <c r="L1415" s="111">
        <f>200000*0.7</f>
        <v>140000</v>
      </c>
      <c r="M1415" s="111">
        <f t="shared" si="202"/>
        <v>63000</v>
      </c>
      <c r="N1415" s="111">
        <f t="shared" si="203"/>
        <v>63000</v>
      </c>
      <c r="O1415" s="111">
        <f t="shared" si="204"/>
        <v>12600</v>
      </c>
      <c r="P1415" s="111">
        <f t="shared" si="205"/>
        <v>14000</v>
      </c>
      <c r="Q1415" s="111">
        <v>50000</v>
      </c>
      <c r="R1415" s="111">
        <v>5</v>
      </c>
      <c r="S1415" s="111">
        <f t="shared" si="206"/>
        <v>5000</v>
      </c>
      <c r="T1415" s="111">
        <f t="shared" si="207"/>
        <v>190000</v>
      </c>
      <c r="U1415" s="111">
        <f t="shared" si="208"/>
        <v>1900</v>
      </c>
      <c r="V1415" s="111">
        <f t="shared" si="209"/>
        <v>191900</v>
      </c>
      <c r="W1415" t="s">
        <v>3875</v>
      </c>
    </row>
    <row r="1416" spans="1:23" x14ac:dyDescent="0.3">
      <c r="A1416" s="110">
        <v>1806313</v>
      </c>
      <c r="B1416" s="110" t="s">
        <v>1554</v>
      </c>
      <c r="C1416" s="110" t="s">
        <v>1554</v>
      </c>
      <c r="D1416" s="110" t="s">
        <v>1554</v>
      </c>
      <c r="E1416" s="110" t="s">
        <v>1598</v>
      </c>
      <c r="F1416" s="110" t="s">
        <v>117</v>
      </c>
      <c r="G1416" s="110" t="s">
        <v>125</v>
      </c>
      <c r="H1416" s="111">
        <v>434</v>
      </c>
      <c r="I1416" s="111">
        <v>474</v>
      </c>
      <c r="J1416" s="111">
        <v>522</v>
      </c>
      <c r="K1416" s="111">
        <f t="shared" si="201"/>
        <v>476.66666666666669</v>
      </c>
      <c r="L1416" s="111">
        <f>300000</f>
        <v>300000</v>
      </c>
      <c r="M1416" s="111">
        <f t="shared" si="202"/>
        <v>135000</v>
      </c>
      <c r="N1416" s="111">
        <f t="shared" si="203"/>
        <v>135000</v>
      </c>
      <c r="O1416" s="111">
        <f t="shared" si="204"/>
        <v>27000</v>
      </c>
      <c r="P1416" s="111">
        <f t="shared" si="205"/>
        <v>30000</v>
      </c>
      <c r="Q1416" s="111">
        <v>60000</v>
      </c>
      <c r="R1416" s="111">
        <v>6</v>
      </c>
      <c r="S1416" s="111">
        <f t="shared" si="206"/>
        <v>6000</v>
      </c>
      <c r="T1416" s="111">
        <f t="shared" si="207"/>
        <v>360000</v>
      </c>
      <c r="U1416" s="111">
        <f t="shared" si="208"/>
        <v>3600</v>
      </c>
      <c r="V1416" s="111">
        <f t="shared" si="209"/>
        <v>363600</v>
      </c>
      <c r="W1416" t="s">
        <v>3876</v>
      </c>
    </row>
    <row r="1417" spans="1:23" x14ac:dyDescent="0.3">
      <c r="A1417" s="110">
        <v>1806315</v>
      </c>
      <c r="B1417" s="110" t="s">
        <v>1554</v>
      </c>
      <c r="C1417" s="110" t="s">
        <v>1554</v>
      </c>
      <c r="D1417" s="110" t="s">
        <v>1554</v>
      </c>
      <c r="E1417" s="110" t="s">
        <v>1599</v>
      </c>
      <c r="F1417" s="110" t="s">
        <v>117</v>
      </c>
      <c r="G1417" s="110" t="s">
        <v>125</v>
      </c>
      <c r="H1417" s="111">
        <v>218</v>
      </c>
      <c r="I1417" s="111">
        <v>197</v>
      </c>
      <c r="J1417" s="111">
        <v>162</v>
      </c>
      <c r="K1417" s="111">
        <f t="shared" si="201"/>
        <v>192.33333333333334</v>
      </c>
      <c r="L1417" s="111">
        <v>150000</v>
      </c>
      <c r="M1417" s="111">
        <f t="shared" si="202"/>
        <v>67500</v>
      </c>
      <c r="N1417" s="111">
        <f t="shared" si="203"/>
        <v>67500</v>
      </c>
      <c r="O1417" s="111">
        <f t="shared" si="204"/>
        <v>13500</v>
      </c>
      <c r="P1417" s="111">
        <f t="shared" si="205"/>
        <v>15000</v>
      </c>
      <c r="Q1417" s="111">
        <v>30000</v>
      </c>
      <c r="R1417" s="111">
        <v>3</v>
      </c>
      <c r="S1417" s="111">
        <f t="shared" si="206"/>
        <v>3000</v>
      </c>
      <c r="T1417" s="111">
        <f t="shared" si="207"/>
        <v>180000</v>
      </c>
      <c r="U1417" s="111">
        <f t="shared" si="208"/>
        <v>1800</v>
      </c>
      <c r="V1417" s="111">
        <f t="shared" si="209"/>
        <v>181800</v>
      </c>
      <c r="W1417" t="s">
        <v>3877</v>
      </c>
    </row>
    <row r="1418" spans="1:23" x14ac:dyDescent="0.3">
      <c r="A1418" s="110">
        <v>1806401</v>
      </c>
      <c r="B1418" s="110" t="s">
        <v>1554</v>
      </c>
      <c r="C1418" s="110" t="s">
        <v>1554</v>
      </c>
      <c r="D1418" s="110" t="s">
        <v>1554</v>
      </c>
      <c r="E1418" s="110" t="s">
        <v>1600</v>
      </c>
      <c r="F1418" s="110" t="s">
        <v>296</v>
      </c>
      <c r="G1418" s="110" t="s">
        <v>125</v>
      </c>
      <c r="H1418" s="111">
        <v>217</v>
      </c>
      <c r="I1418" s="111">
        <v>200</v>
      </c>
      <c r="J1418" s="111">
        <v>218</v>
      </c>
      <c r="K1418" s="111">
        <f t="shared" si="201"/>
        <v>211.66666666666666</v>
      </c>
      <c r="L1418" s="111">
        <v>200000</v>
      </c>
      <c r="M1418" s="111">
        <f t="shared" si="202"/>
        <v>90000</v>
      </c>
      <c r="N1418" s="111">
        <f t="shared" si="203"/>
        <v>90000</v>
      </c>
      <c r="O1418" s="111">
        <f t="shared" si="204"/>
        <v>18000</v>
      </c>
      <c r="P1418" s="111">
        <f t="shared" si="205"/>
        <v>20000</v>
      </c>
      <c r="Q1418" s="111">
        <v>50000</v>
      </c>
      <c r="R1418" s="111">
        <v>5</v>
      </c>
      <c r="S1418" s="111">
        <f t="shared" si="206"/>
        <v>5000</v>
      </c>
      <c r="T1418" s="111">
        <f t="shared" si="207"/>
        <v>250000</v>
      </c>
      <c r="U1418" s="111">
        <f t="shared" si="208"/>
        <v>2500</v>
      </c>
      <c r="V1418" s="111">
        <f t="shared" si="209"/>
        <v>252500</v>
      </c>
      <c r="W1418" t="s">
        <v>3878</v>
      </c>
    </row>
    <row r="1419" spans="1:23" x14ac:dyDescent="0.3">
      <c r="A1419" s="110">
        <v>1807006</v>
      </c>
      <c r="B1419" s="110" t="s">
        <v>1554</v>
      </c>
      <c r="C1419" s="110" t="s">
        <v>1601</v>
      </c>
      <c r="D1419" s="110" t="s">
        <v>1602</v>
      </c>
      <c r="E1419" s="110" t="s">
        <v>1603</v>
      </c>
      <c r="F1419" s="110" t="s">
        <v>113</v>
      </c>
      <c r="G1419" s="110" t="s">
        <v>114</v>
      </c>
      <c r="H1419" s="111">
        <v>164</v>
      </c>
      <c r="I1419" s="111">
        <v>161</v>
      </c>
      <c r="J1419" s="111">
        <v>144</v>
      </c>
      <c r="K1419" s="111">
        <f t="shared" si="201"/>
        <v>156.33333333333334</v>
      </c>
      <c r="L1419" s="111">
        <v>150000</v>
      </c>
      <c r="M1419" s="111">
        <f t="shared" si="202"/>
        <v>67500</v>
      </c>
      <c r="N1419" s="111">
        <f t="shared" si="203"/>
        <v>67500</v>
      </c>
      <c r="O1419" s="111">
        <f t="shared" si="204"/>
        <v>13500</v>
      </c>
      <c r="P1419" s="111">
        <f t="shared" si="205"/>
        <v>15000</v>
      </c>
      <c r="Q1419" s="111">
        <v>30000</v>
      </c>
      <c r="R1419" s="111">
        <v>3</v>
      </c>
      <c r="S1419" s="111">
        <f t="shared" si="206"/>
        <v>3000</v>
      </c>
      <c r="T1419" s="111">
        <f t="shared" si="207"/>
        <v>180000</v>
      </c>
      <c r="U1419" s="111">
        <f t="shared" si="208"/>
        <v>1800</v>
      </c>
      <c r="V1419" s="111">
        <f t="shared" si="209"/>
        <v>181800</v>
      </c>
      <c r="W1419" t="s">
        <v>3879</v>
      </c>
    </row>
    <row r="1420" spans="1:23" x14ac:dyDescent="0.3">
      <c r="A1420" s="110">
        <v>1807007</v>
      </c>
      <c r="B1420" s="110" t="s">
        <v>1554</v>
      </c>
      <c r="C1420" s="110" t="s">
        <v>1601</v>
      </c>
      <c r="D1420" s="110" t="s">
        <v>1604</v>
      </c>
      <c r="E1420" s="110" t="s">
        <v>588</v>
      </c>
      <c r="F1420" s="110" t="s">
        <v>113</v>
      </c>
      <c r="G1420" s="110" t="s">
        <v>114</v>
      </c>
      <c r="H1420" s="111">
        <v>42</v>
      </c>
      <c r="I1420" s="111">
        <v>32</v>
      </c>
      <c r="J1420" s="111">
        <v>24</v>
      </c>
      <c r="K1420" s="111">
        <f t="shared" si="201"/>
        <v>32.666666666666664</v>
      </c>
      <c r="L1420" s="111">
        <v>50000</v>
      </c>
      <c r="M1420" s="111">
        <f t="shared" si="202"/>
        <v>22500</v>
      </c>
      <c r="N1420" s="111">
        <f t="shared" si="203"/>
        <v>22500</v>
      </c>
      <c r="O1420" s="111">
        <f t="shared" si="204"/>
        <v>4500</v>
      </c>
      <c r="P1420" s="111">
        <f t="shared" si="205"/>
        <v>5000</v>
      </c>
      <c r="Q1420" s="111">
        <v>10000</v>
      </c>
      <c r="R1420" s="111">
        <v>1</v>
      </c>
      <c r="S1420" s="111">
        <f t="shared" si="206"/>
        <v>1000</v>
      </c>
      <c r="T1420" s="111">
        <f t="shared" si="207"/>
        <v>60000</v>
      </c>
      <c r="U1420" s="111">
        <f t="shared" si="208"/>
        <v>600</v>
      </c>
      <c r="V1420" s="111">
        <f t="shared" si="209"/>
        <v>60600</v>
      </c>
      <c r="W1420" t="s">
        <v>3880</v>
      </c>
    </row>
    <row r="1421" spans="1:23" x14ac:dyDescent="0.3">
      <c r="A1421" s="110">
        <v>1807008</v>
      </c>
      <c r="B1421" s="110" t="s">
        <v>1554</v>
      </c>
      <c r="C1421" s="110" t="s">
        <v>1601</v>
      </c>
      <c r="D1421" s="110" t="s">
        <v>1601</v>
      </c>
      <c r="E1421" s="110" t="s">
        <v>216</v>
      </c>
      <c r="F1421" s="110" t="s">
        <v>119</v>
      </c>
      <c r="G1421" s="110" t="s">
        <v>114</v>
      </c>
      <c r="H1421" s="111">
        <v>317</v>
      </c>
      <c r="I1421" s="111">
        <v>311</v>
      </c>
      <c r="J1421" s="111">
        <v>305</v>
      </c>
      <c r="K1421" s="111">
        <f t="shared" si="201"/>
        <v>311</v>
      </c>
      <c r="L1421" s="111">
        <v>200000</v>
      </c>
      <c r="M1421" s="111">
        <f t="shared" si="202"/>
        <v>90000</v>
      </c>
      <c r="N1421" s="111">
        <f t="shared" si="203"/>
        <v>90000</v>
      </c>
      <c r="O1421" s="111">
        <f t="shared" si="204"/>
        <v>18000</v>
      </c>
      <c r="P1421" s="111">
        <f t="shared" si="205"/>
        <v>20000</v>
      </c>
      <c r="Q1421" s="111">
        <v>50000</v>
      </c>
      <c r="R1421" s="111">
        <v>5</v>
      </c>
      <c r="S1421" s="111">
        <f t="shared" si="206"/>
        <v>5000</v>
      </c>
      <c r="T1421" s="111">
        <f t="shared" si="207"/>
        <v>250000</v>
      </c>
      <c r="U1421" s="111">
        <f t="shared" si="208"/>
        <v>2500</v>
      </c>
      <c r="V1421" s="111">
        <f t="shared" si="209"/>
        <v>252500</v>
      </c>
      <c r="W1421" t="s">
        <v>3881</v>
      </c>
    </row>
    <row r="1422" spans="1:23" x14ac:dyDescent="0.3">
      <c r="A1422" s="110">
        <v>1808001</v>
      </c>
      <c r="B1422" s="110" t="s">
        <v>1554</v>
      </c>
      <c r="C1422" s="110" t="s">
        <v>1605</v>
      </c>
      <c r="D1422" s="110" t="s">
        <v>1605</v>
      </c>
      <c r="E1422" s="110" t="s">
        <v>184</v>
      </c>
      <c r="F1422" s="110" t="s">
        <v>113</v>
      </c>
      <c r="G1422" s="110" t="s">
        <v>114</v>
      </c>
      <c r="H1422" s="111">
        <v>62</v>
      </c>
      <c r="I1422" s="111">
        <v>58</v>
      </c>
      <c r="J1422" s="111">
        <v>50</v>
      </c>
      <c r="K1422" s="111">
        <f t="shared" si="201"/>
        <v>56.666666666666664</v>
      </c>
      <c r="L1422" s="111">
        <v>150000</v>
      </c>
      <c r="M1422" s="111">
        <f t="shared" si="202"/>
        <v>67500</v>
      </c>
      <c r="N1422" s="111">
        <f t="shared" si="203"/>
        <v>67500</v>
      </c>
      <c r="O1422" s="111">
        <f t="shared" si="204"/>
        <v>13500</v>
      </c>
      <c r="P1422" s="111">
        <f t="shared" si="205"/>
        <v>15000</v>
      </c>
      <c r="Q1422" s="111">
        <v>30000</v>
      </c>
      <c r="R1422" s="111">
        <v>3</v>
      </c>
      <c r="S1422" s="111">
        <f t="shared" si="206"/>
        <v>3000</v>
      </c>
      <c r="T1422" s="111">
        <f t="shared" si="207"/>
        <v>180000</v>
      </c>
      <c r="U1422" s="111">
        <f t="shared" si="208"/>
        <v>1800</v>
      </c>
      <c r="V1422" s="111">
        <f t="shared" si="209"/>
        <v>181800</v>
      </c>
      <c r="W1422" t="s">
        <v>3882</v>
      </c>
    </row>
    <row r="1423" spans="1:23" x14ac:dyDescent="0.3">
      <c r="A1423" s="110">
        <v>1808002</v>
      </c>
      <c r="B1423" s="110" t="s">
        <v>1554</v>
      </c>
      <c r="C1423" s="110" t="s">
        <v>1605</v>
      </c>
      <c r="D1423" s="110" t="s">
        <v>1606</v>
      </c>
      <c r="E1423" s="110" t="s">
        <v>184</v>
      </c>
      <c r="F1423" s="110" t="s">
        <v>113</v>
      </c>
      <c r="G1423" s="110" t="s">
        <v>114</v>
      </c>
      <c r="H1423" s="111">
        <v>32</v>
      </c>
      <c r="I1423" s="111">
        <v>29</v>
      </c>
      <c r="J1423" s="111">
        <v>29</v>
      </c>
      <c r="K1423" s="111">
        <f t="shared" si="201"/>
        <v>30</v>
      </c>
      <c r="L1423" s="111">
        <v>50000</v>
      </c>
      <c r="M1423" s="111">
        <f t="shared" si="202"/>
        <v>22500</v>
      </c>
      <c r="N1423" s="111">
        <f t="shared" si="203"/>
        <v>22500</v>
      </c>
      <c r="O1423" s="111">
        <f t="shared" si="204"/>
        <v>4500</v>
      </c>
      <c r="P1423" s="111">
        <f t="shared" si="205"/>
        <v>5000</v>
      </c>
      <c r="Q1423" s="111">
        <v>10000</v>
      </c>
      <c r="R1423" s="111">
        <v>1</v>
      </c>
      <c r="S1423" s="111">
        <f t="shared" si="206"/>
        <v>1000</v>
      </c>
      <c r="T1423" s="111">
        <f t="shared" si="207"/>
        <v>60000</v>
      </c>
      <c r="U1423" s="111">
        <f t="shared" si="208"/>
        <v>600</v>
      </c>
      <c r="V1423" s="111">
        <f t="shared" si="209"/>
        <v>60600</v>
      </c>
      <c r="W1423" t="s">
        <v>3883</v>
      </c>
    </row>
    <row r="1424" spans="1:23" x14ac:dyDescent="0.3">
      <c r="A1424" s="110">
        <v>1808003</v>
      </c>
      <c r="B1424" s="110" t="s">
        <v>1554</v>
      </c>
      <c r="C1424" s="110" t="s">
        <v>1605</v>
      </c>
      <c r="D1424" s="110" t="s">
        <v>1607</v>
      </c>
      <c r="E1424" s="110" t="s">
        <v>1274</v>
      </c>
      <c r="F1424" s="110" t="s">
        <v>113</v>
      </c>
      <c r="G1424" s="110" t="s">
        <v>114</v>
      </c>
      <c r="H1424" s="111">
        <v>18</v>
      </c>
      <c r="I1424" s="111">
        <v>16</v>
      </c>
      <c r="J1424" s="111">
        <v>17</v>
      </c>
      <c r="K1424" s="111">
        <f t="shared" si="201"/>
        <v>17</v>
      </c>
      <c r="L1424" s="111">
        <v>50000</v>
      </c>
      <c r="M1424" s="111">
        <f t="shared" si="202"/>
        <v>22500</v>
      </c>
      <c r="N1424" s="111">
        <f t="shared" si="203"/>
        <v>22500</v>
      </c>
      <c r="O1424" s="111">
        <f t="shared" si="204"/>
        <v>4500</v>
      </c>
      <c r="P1424" s="111">
        <f t="shared" si="205"/>
        <v>5000</v>
      </c>
      <c r="Q1424" s="111">
        <v>10000</v>
      </c>
      <c r="R1424" s="111">
        <v>1</v>
      </c>
      <c r="S1424" s="111">
        <f t="shared" si="206"/>
        <v>1000</v>
      </c>
      <c r="T1424" s="111">
        <f t="shared" si="207"/>
        <v>60000</v>
      </c>
      <c r="U1424" s="111">
        <f t="shared" si="208"/>
        <v>600</v>
      </c>
      <c r="V1424" s="111">
        <f t="shared" si="209"/>
        <v>60600</v>
      </c>
      <c r="W1424" t="s">
        <v>3884</v>
      </c>
    </row>
    <row r="1425" spans="1:23" x14ac:dyDescent="0.3">
      <c r="A1425" s="110">
        <v>1808004</v>
      </c>
      <c r="B1425" s="110" t="s">
        <v>1554</v>
      </c>
      <c r="C1425" s="110" t="s">
        <v>1605</v>
      </c>
      <c r="D1425" s="110" t="s">
        <v>1608</v>
      </c>
      <c r="E1425" s="110" t="s">
        <v>247</v>
      </c>
      <c r="F1425" s="110" t="s">
        <v>113</v>
      </c>
      <c r="G1425" s="110" t="s">
        <v>114</v>
      </c>
      <c r="H1425" s="111">
        <v>46</v>
      </c>
      <c r="I1425" s="111">
        <v>47</v>
      </c>
      <c r="J1425" s="111">
        <v>60</v>
      </c>
      <c r="K1425" s="111">
        <f t="shared" si="201"/>
        <v>51</v>
      </c>
      <c r="L1425" s="111">
        <v>150000</v>
      </c>
      <c r="M1425" s="111">
        <f t="shared" si="202"/>
        <v>67500</v>
      </c>
      <c r="N1425" s="111">
        <f t="shared" si="203"/>
        <v>67500</v>
      </c>
      <c r="O1425" s="111">
        <f t="shared" si="204"/>
        <v>13500</v>
      </c>
      <c r="P1425" s="111">
        <f t="shared" si="205"/>
        <v>15000</v>
      </c>
      <c r="Q1425" s="111">
        <v>30000</v>
      </c>
      <c r="R1425" s="111">
        <v>3</v>
      </c>
      <c r="S1425" s="111">
        <f t="shared" si="206"/>
        <v>3000</v>
      </c>
      <c r="T1425" s="111">
        <f t="shared" si="207"/>
        <v>180000</v>
      </c>
      <c r="U1425" s="111">
        <f t="shared" si="208"/>
        <v>1800</v>
      </c>
      <c r="V1425" s="111">
        <f t="shared" si="209"/>
        <v>181800</v>
      </c>
      <c r="W1425" t="s">
        <v>3885</v>
      </c>
    </row>
    <row r="1426" spans="1:23" x14ac:dyDescent="0.3">
      <c r="A1426" s="110">
        <v>1900101</v>
      </c>
      <c r="B1426" s="110" t="s">
        <v>1609</v>
      </c>
      <c r="C1426" s="110" t="s">
        <v>1610</v>
      </c>
      <c r="D1426" s="110" t="s">
        <v>1610</v>
      </c>
      <c r="E1426" s="110" t="s">
        <v>184</v>
      </c>
      <c r="F1426" s="110" t="s">
        <v>113</v>
      </c>
      <c r="G1426" s="110" t="s">
        <v>114</v>
      </c>
      <c r="H1426" s="111">
        <v>101</v>
      </c>
      <c r="I1426" s="111">
        <v>98</v>
      </c>
      <c r="J1426" s="111">
        <v>101</v>
      </c>
      <c r="K1426" s="111">
        <f t="shared" si="201"/>
        <v>100</v>
      </c>
      <c r="L1426" s="111">
        <v>150000</v>
      </c>
      <c r="M1426" s="111">
        <f t="shared" si="202"/>
        <v>67500</v>
      </c>
      <c r="N1426" s="111">
        <f t="shared" si="203"/>
        <v>67500</v>
      </c>
      <c r="O1426" s="111">
        <f t="shared" si="204"/>
        <v>13500</v>
      </c>
      <c r="P1426" s="111">
        <f t="shared" si="205"/>
        <v>15000</v>
      </c>
      <c r="Q1426" s="111">
        <v>30000</v>
      </c>
      <c r="R1426" s="111">
        <v>3</v>
      </c>
      <c r="S1426" s="111">
        <f t="shared" si="206"/>
        <v>3000</v>
      </c>
      <c r="T1426" s="111">
        <f t="shared" si="207"/>
        <v>180000</v>
      </c>
      <c r="U1426" s="111">
        <f t="shared" si="208"/>
        <v>1800</v>
      </c>
      <c r="V1426" s="111">
        <f t="shared" si="209"/>
        <v>181800</v>
      </c>
      <c r="W1426" t="s">
        <v>3886</v>
      </c>
    </row>
    <row r="1427" spans="1:23" x14ac:dyDescent="0.3">
      <c r="A1427" s="110">
        <v>1900201</v>
      </c>
      <c r="B1427" s="110" t="s">
        <v>1609</v>
      </c>
      <c r="C1427" s="110" t="s">
        <v>1181</v>
      </c>
      <c r="D1427" s="110" t="s">
        <v>1181</v>
      </c>
      <c r="E1427" s="110" t="s">
        <v>214</v>
      </c>
      <c r="F1427" s="110" t="s">
        <v>119</v>
      </c>
      <c r="G1427" s="110" t="s">
        <v>114</v>
      </c>
      <c r="H1427" s="111">
        <v>423</v>
      </c>
      <c r="I1427" s="111">
        <v>424</v>
      </c>
      <c r="J1427" s="111">
        <v>459</v>
      </c>
      <c r="K1427" s="111">
        <f t="shared" si="201"/>
        <v>435.33333333333331</v>
      </c>
      <c r="L1427" s="111">
        <f>300000</f>
        <v>300000</v>
      </c>
      <c r="M1427" s="111">
        <f t="shared" si="202"/>
        <v>135000</v>
      </c>
      <c r="N1427" s="111">
        <f t="shared" si="203"/>
        <v>135000</v>
      </c>
      <c r="O1427" s="111">
        <f t="shared" si="204"/>
        <v>27000</v>
      </c>
      <c r="P1427" s="111">
        <f t="shared" si="205"/>
        <v>30000</v>
      </c>
      <c r="Q1427" s="111">
        <v>60000</v>
      </c>
      <c r="R1427" s="111">
        <v>6</v>
      </c>
      <c r="S1427" s="111">
        <f t="shared" si="206"/>
        <v>6000</v>
      </c>
      <c r="T1427" s="111">
        <f t="shared" si="207"/>
        <v>360000</v>
      </c>
      <c r="U1427" s="111">
        <f t="shared" si="208"/>
        <v>3600</v>
      </c>
      <c r="V1427" s="111">
        <f t="shared" si="209"/>
        <v>363600</v>
      </c>
      <c r="W1427" t="s">
        <v>3887</v>
      </c>
    </row>
    <row r="1428" spans="1:23" x14ac:dyDescent="0.3">
      <c r="A1428" s="110">
        <v>1900202</v>
      </c>
      <c r="B1428" s="110" t="s">
        <v>1609</v>
      </c>
      <c r="C1428" s="110" t="s">
        <v>1181</v>
      </c>
      <c r="D1428" s="110" t="s">
        <v>1611</v>
      </c>
      <c r="E1428" s="110" t="s">
        <v>597</v>
      </c>
      <c r="F1428" s="110" t="s">
        <v>168</v>
      </c>
      <c r="G1428" s="110" t="s">
        <v>114</v>
      </c>
      <c r="H1428" s="111">
        <v>141</v>
      </c>
      <c r="I1428" s="111">
        <v>131</v>
      </c>
      <c r="J1428" s="111">
        <v>138</v>
      </c>
      <c r="K1428" s="111">
        <f t="shared" si="201"/>
        <v>136.66666666666666</v>
      </c>
      <c r="L1428" s="111">
        <v>150000</v>
      </c>
      <c r="M1428" s="111">
        <f t="shared" si="202"/>
        <v>67500</v>
      </c>
      <c r="N1428" s="111">
        <f t="shared" si="203"/>
        <v>67500</v>
      </c>
      <c r="O1428" s="111">
        <f t="shared" si="204"/>
        <v>13500</v>
      </c>
      <c r="P1428" s="111">
        <f t="shared" si="205"/>
        <v>15000</v>
      </c>
      <c r="Q1428" s="111">
        <v>30000</v>
      </c>
      <c r="R1428" s="111">
        <v>3</v>
      </c>
      <c r="S1428" s="111">
        <f t="shared" si="206"/>
        <v>3000</v>
      </c>
      <c r="T1428" s="111">
        <f t="shared" si="207"/>
        <v>180000</v>
      </c>
      <c r="U1428" s="111">
        <f t="shared" si="208"/>
        <v>1800</v>
      </c>
      <c r="V1428" s="111">
        <f t="shared" si="209"/>
        <v>181800</v>
      </c>
      <c r="W1428" t="s">
        <v>3888</v>
      </c>
    </row>
    <row r="1429" spans="1:23" x14ac:dyDescent="0.3">
      <c r="A1429" s="110">
        <v>1900301</v>
      </c>
      <c r="B1429" s="110" t="s">
        <v>1609</v>
      </c>
      <c r="C1429" s="110" t="s">
        <v>1612</v>
      </c>
      <c r="D1429" s="110" t="s">
        <v>1612</v>
      </c>
      <c r="E1429" s="110" t="s">
        <v>214</v>
      </c>
      <c r="F1429" s="110" t="s">
        <v>119</v>
      </c>
      <c r="G1429" s="110" t="s">
        <v>114</v>
      </c>
      <c r="H1429" s="111">
        <v>905</v>
      </c>
      <c r="I1429" s="111">
        <v>924</v>
      </c>
      <c r="J1429" s="111">
        <v>917</v>
      </c>
      <c r="K1429" s="111">
        <f t="shared" si="201"/>
        <v>915.33333333333337</v>
      </c>
      <c r="L1429" s="111">
        <f>300000</f>
        <v>300000</v>
      </c>
      <c r="M1429" s="111">
        <f t="shared" si="202"/>
        <v>135000</v>
      </c>
      <c r="N1429" s="111">
        <f t="shared" si="203"/>
        <v>135000</v>
      </c>
      <c r="O1429" s="111">
        <f t="shared" si="204"/>
        <v>27000</v>
      </c>
      <c r="P1429" s="111">
        <f t="shared" si="205"/>
        <v>30000</v>
      </c>
      <c r="Q1429" s="111">
        <v>60000</v>
      </c>
      <c r="R1429" s="111">
        <v>6</v>
      </c>
      <c r="S1429" s="111">
        <f t="shared" si="206"/>
        <v>6000</v>
      </c>
      <c r="T1429" s="111">
        <f t="shared" si="207"/>
        <v>360000</v>
      </c>
      <c r="U1429" s="111">
        <f t="shared" si="208"/>
        <v>3600</v>
      </c>
      <c r="V1429" s="111">
        <f t="shared" si="209"/>
        <v>363600</v>
      </c>
      <c r="W1429" t="s">
        <v>3889</v>
      </c>
    </row>
    <row r="1430" spans="1:23" x14ac:dyDescent="0.3">
      <c r="A1430" s="110">
        <v>1900302</v>
      </c>
      <c r="B1430" s="110" t="s">
        <v>1609</v>
      </c>
      <c r="C1430" s="110" t="s">
        <v>1612</v>
      </c>
      <c r="D1430" s="110" t="s">
        <v>1613</v>
      </c>
      <c r="E1430" s="110" t="s">
        <v>163</v>
      </c>
      <c r="F1430" s="110" t="s">
        <v>119</v>
      </c>
      <c r="G1430" s="110" t="s">
        <v>114</v>
      </c>
      <c r="H1430" s="111">
        <v>225</v>
      </c>
      <c r="I1430" s="111">
        <v>204</v>
      </c>
      <c r="J1430" s="111">
        <v>199</v>
      </c>
      <c r="K1430" s="111">
        <f t="shared" si="201"/>
        <v>209.33333333333334</v>
      </c>
      <c r="L1430" s="111">
        <v>200000</v>
      </c>
      <c r="M1430" s="111">
        <f t="shared" si="202"/>
        <v>90000</v>
      </c>
      <c r="N1430" s="111">
        <f t="shared" si="203"/>
        <v>90000</v>
      </c>
      <c r="O1430" s="111">
        <f t="shared" si="204"/>
        <v>18000</v>
      </c>
      <c r="P1430" s="111">
        <f t="shared" si="205"/>
        <v>20000</v>
      </c>
      <c r="Q1430" s="111">
        <v>50000</v>
      </c>
      <c r="R1430" s="111">
        <v>5</v>
      </c>
      <c r="S1430" s="111">
        <f t="shared" si="206"/>
        <v>5000</v>
      </c>
      <c r="T1430" s="111">
        <f t="shared" si="207"/>
        <v>250000</v>
      </c>
      <c r="U1430" s="111">
        <f t="shared" si="208"/>
        <v>2500</v>
      </c>
      <c r="V1430" s="111">
        <f t="shared" si="209"/>
        <v>252500</v>
      </c>
      <c r="W1430" t="s">
        <v>3890</v>
      </c>
    </row>
    <row r="1431" spans="1:23" x14ac:dyDescent="0.3">
      <c r="A1431" s="110">
        <v>1900303</v>
      </c>
      <c r="B1431" s="110" t="s">
        <v>1609</v>
      </c>
      <c r="C1431" s="110" t="s">
        <v>1612</v>
      </c>
      <c r="D1431" s="110" t="s">
        <v>1614</v>
      </c>
      <c r="E1431" s="110" t="s">
        <v>272</v>
      </c>
      <c r="F1431" s="110" t="s">
        <v>119</v>
      </c>
      <c r="G1431" s="110" t="s">
        <v>114</v>
      </c>
      <c r="H1431" s="111">
        <v>205</v>
      </c>
      <c r="I1431" s="111">
        <v>203</v>
      </c>
      <c r="J1431" s="111">
        <v>202</v>
      </c>
      <c r="K1431" s="111">
        <f t="shared" si="201"/>
        <v>203.33333333333334</v>
      </c>
      <c r="L1431" s="111">
        <v>200000</v>
      </c>
      <c r="M1431" s="111">
        <f t="shared" si="202"/>
        <v>90000</v>
      </c>
      <c r="N1431" s="111">
        <f t="shared" si="203"/>
        <v>90000</v>
      </c>
      <c r="O1431" s="111">
        <f t="shared" si="204"/>
        <v>18000</v>
      </c>
      <c r="P1431" s="111">
        <f t="shared" si="205"/>
        <v>20000</v>
      </c>
      <c r="Q1431" s="111">
        <v>50000</v>
      </c>
      <c r="R1431" s="111">
        <v>5</v>
      </c>
      <c r="S1431" s="111">
        <f t="shared" si="206"/>
        <v>5000</v>
      </c>
      <c r="T1431" s="111">
        <f t="shared" si="207"/>
        <v>250000</v>
      </c>
      <c r="U1431" s="111">
        <f t="shared" si="208"/>
        <v>2500</v>
      </c>
      <c r="V1431" s="111">
        <f t="shared" si="209"/>
        <v>252500</v>
      </c>
      <c r="W1431" t="s">
        <v>3891</v>
      </c>
    </row>
    <row r="1432" spans="1:23" x14ac:dyDescent="0.3">
      <c r="A1432" s="110">
        <v>1900304</v>
      </c>
      <c r="B1432" s="110" t="s">
        <v>1609</v>
      </c>
      <c r="C1432" s="110" t="s">
        <v>1612</v>
      </c>
      <c r="D1432" s="110" t="s">
        <v>1615</v>
      </c>
      <c r="E1432" s="110" t="s">
        <v>241</v>
      </c>
      <c r="F1432" s="110" t="s">
        <v>113</v>
      </c>
      <c r="G1432" s="110" t="s">
        <v>114</v>
      </c>
      <c r="H1432" s="111">
        <v>117</v>
      </c>
      <c r="I1432" s="111">
        <v>111</v>
      </c>
      <c r="J1432" s="111">
        <v>101</v>
      </c>
      <c r="K1432" s="111">
        <f t="shared" si="201"/>
        <v>109.66666666666667</v>
      </c>
      <c r="L1432" s="111">
        <v>150000</v>
      </c>
      <c r="M1432" s="111">
        <f t="shared" si="202"/>
        <v>67500</v>
      </c>
      <c r="N1432" s="111">
        <f t="shared" si="203"/>
        <v>67500</v>
      </c>
      <c r="O1432" s="111">
        <f t="shared" si="204"/>
        <v>13500</v>
      </c>
      <c r="P1432" s="111">
        <f t="shared" si="205"/>
        <v>15000</v>
      </c>
      <c r="Q1432" s="111">
        <v>30000</v>
      </c>
      <c r="R1432" s="111">
        <v>3</v>
      </c>
      <c r="S1432" s="111">
        <f t="shared" si="206"/>
        <v>3000</v>
      </c>
      <c r="T1432" s="111">
        <f t="shared" si="207"/>
        <v>180000</v>
      </c>
      <c r="U1432" s="111">
        <f t="shared" si="208"/>
        <v>1800</v>
      </c>
      <c r="V1432" s="111">
        <f t="shared" si="209"/>
        <v>181800</v>
      </c>
      <c r="W1432" t="s">
        <v>3892</v>
      </c>
    </row>
    <row r="1433" spans="1:23" x14ac:dyDescent="0.3">
      <c r="A1433" s="110">
        <v>1900309</v>
      </c>
      <c r="B1433" s="110" t="s">
        <v>1609</v>
      </c>
      <c r="C1433" s="110" t="s">
        <v>1612</v>
      </c>
      <c r="D1433" s="110" t="s">
        <v>1616</v>
      </c>
      <c r="E1433" s="110" t="s">
        <v>301</v>
      </c>
      <c r="F1433" s="110" t="s">
        <v>113</v>
      </c>
      <c r="G1433" s="110" t="s">
        <v>114</v>
      </c>
      <c r="H1433" s="111">
        <v>117</v>
      </c>
      <c r="I1433" s="111">
        <v>119</v>
      </c>
      <c r="J1433" s="111">
        <v>118</v>
      </c>
      <c r="K1433" s="111">
        <f t="shared" si="201"/>
        <v>118</v>
      </c>
      <c r="L1433" s="111">
        <v>150000</v>
      </c>
      <c r="M1433" s="111">
        <f t="shared" si="202"/>
        <v>67500</v>
      </c>
      <c r="N1433" s="111">
        <f t="shared" si="203"/>
        <v>67500</v>
      </c>
      <c r="O1433" s="111">
        <f t="shared" si="204"/>
        <v>13500</v>
      </c>
      <c r="P1433" s="111">
        <f t="shared" si="205"/>
        <v>15000</v>
      </c>
      <c r="Q1433" s="111">
        <v>30000</v>
      </c>
      <c r="R1433" s="111">
        <v>3</v>
      </c>
      <c r="S1433" s="111">
        <f t="shared" si="206"/>
        <v>3000</v>
      </c>
      <c r="T1433" s="111">
        <f t="shared" si="207"/>
        <v>180000</v>
      </c>
      <c r="U1433" s="111">
        <f t="shared" si="208"/>
        <v>1800</v>
      </c>
      <c r="V1433" s="111">
        <f t="shared" si="209"/>
        <v>181800</v>
      </c>
      <c r="W1433" t="s">
        <v>3893</v>
      </c>
    </row>
    <row r="1434" spans="1:23" x14ac:dyDescent="0.3">
      <c r="A1434" s="110">
        <v>1900311</v>
      </c>
      <c r="B1434" s="110" t="s">
        <v>1609</v>
      </c>
      <c r="C1434" s="110" t="s">
        <v>1612</v>
      </c>
      <c r="D1434" s="110" t="s">
        <v>1617</v>
      </c>
      <c r="E1434" s="110" t="s">
        <v>143</v>
      </c>
      <c r="F1434" s="110" t="s">
        <v>113</v>
      </c>
      <c r="G1434" s="110" t="s">
        <v>114</v>
      </c>
      <c r="H1434" s="111">
        <v>112</v>
      </c>
      <c r="I1434" s="111">
        <v>104</v>
      </c>
      <c r="J1434" s="111">
        <v>105</v>
      </c>
      <c r="K1434" s="111">
        <f t="shared" si="201"/>
        <v>107</v>
      </c>
      <c r="L1434" s="111">
        <v>150000</v>
      </c>
      <c r="M1434" s="111">
        <f t="shared" si="202"/>
        <v>67500</v>
      </c>
      <c r="N1434" s="111">
        <f t="shared" si="203"/>
        <v>67500</v>
      </c>
      <c r="O1434" s="111">
        <f t="shared" si="204"/>
        <v>13500</v>
      </c>
      <c r="P1434" s="111">
        <f t="shared" si="205"/>
        <v>15000</v>
      </c>
      <c r="Q1434" s="111">
        <v>30000</v>
      </c>
      <c r="R1434" s="111">
        <v>3</v>
      </c>
      <c r="S1434" s="111">
        <f t="shared" si="206"/>
        <v>3000</v>
      </c>
      <c r="T1434" s="111">
        <f t="shared" si="207"/>
        <v>180000</v>
      </c>
      <c r="U1434" s="111">
        <f t="shared" si="208"/>
        <v>1800</v>
      </c>
      <c r="V1434" s="111">
        <f t="shared" si="209"/>
        <v>181800</v>
      </c>
      <c r="W1434" t="s">
        <v>3894</v>
      </c>
    </row>
    <row r="1435" spans="1:23" x14ac:dyDescent="0.3">
      <c r="A1435" s="110">
        <v>1900312</v>
      </c>
      <c r="B1435" s="110" t="s">
        <v>1609</v>
      </c>
      <c r="C1435" s="110" t="s">
        <v>1612</v>
      </c>
      <c r="D1435" s="110" t="s">
        <v>1618</v>
      </c>
      <c r="E1435" s="110" t="s">
        <v>399</v>
      </c>
      <c r="F1435" s="110" t="s">
        <v>113</v>
      </c>
      <c r="G1435" s="110" t="s">
        <v>114</v>
      </c>
      <c r="H1435" s="111">
        <v>110</v>
      </c>
      <c r="I1435" s="111">
        <v>97</v>
      </c>
      <c r="J1435" s="111">
        <v>87</v>
      </c>
      <c r="K1435" s="111">
        <f t="shared" si="201"/>
        <v>98</v>
      </c>
      <c r="L1435" s="111">
        <v>150000</v>
      </c>
      <c r="M1435" s="111">
        <f t="shared" si="202"/>
        <v>67500</v>
      </c>
      <c r="N1435" s="111">
        <f t="shared" si="203"/>
        <v>67500</v>
      </c>
      <c r="O1435" s="111">
        <f t="shared" si="204"/>
        <v>13500</v>
      </c>
      <c r="P1435" s="111">
        <f t="shared" si="205"/>
        <v>15000</v>
      </c>
      <c r="Q1435" s="111">
        <v>30000</v>
      </c>
      <c r="R1435" s="111">
        <v>3</v>
      </c>
      <c r="S1435" s="111">
        <f t="shared" si="206"/>
        <v>3000</v>
      </c>
      <c r="T1435" s="111">
        <f t="shared" si="207"/>
        <v>180000</v>
      </c>
      <c r="U1435" s="111">
        <f t="shared" si="208"/>
        <v>1800</v>
      </c>
      <c r="V1435" s="111">
        <f t="shared" si="209"/>
        <v>181800</v>
      </c>
      <c r="W1435" t="s">
        <v>3895</v>
      </c>
    </row>
    <row r="1436" spans="1:23" x14ac:dyDescent="0.3">
      <c r="A1436" s="110">
        <v>1900313</v>
      </c>
      <c r="B1436" s="110" t="s">
        <v>1609</v>
      </c>
      <c r="C1436" s="110" t="s">
        <v>1612</v>
      </c>
      <c r="D1436" s="110" t="s">
        <v>1619</v>
      </c>
      <c r="E1436" s="110" t="s">
        <v>319</v>
      </c>
      <c r="F1436" s="110" t="s">
        <v>113</v>
      </c>
      <c r="G1436" s="110" t="s">
        <v>114</v>
      </c>
      <c r="H1436" s="111">
        <v>90</v>
      </c>
      <c r="I1436" s="111">
        <v>84</v>
      </c>
      <c r="J1436" s="111">
        <v>82</v>
      </c>
      <c r="K1436" s="111">
        <f t="shared" si="201"/>
        <v>85.333333333333329</v>
      </c>
      <c r="L1436" s="111">
        <v>150000</v>
      </c>
      <c r="M1436" s="111">
        <f t="shared" si="202"/>
        <v>67500</v>
      </c>
      <c r="N1436" s="111">
        <f t="shared" si="203"/>
        <v>67500</v>
      </c>
      <c r="O1436" s="111">
        <f t="shared" si="204"/>
        <v>13500</v>
      </c>
      <c r="P1436" s="111">
        <f t="shared" si="205"/>
        <v>15000</v>
      </c>
      <c r="Q1436" s="111">
        <v>30000</v>
      </c>
      <c r="R1436" s="111">
        <v>3</v>
      </c>
      <c r="S1436" s="111">
        <f t="shared" si="206"/>
        <v>3000</v>
      </c>
      <c r="T1436" s="111">
        <f t="shared" si="207"/>
        <v>180000</v>
      </c>
      <c r="U1436" s="111">
        <f t="shared" si="208"/>
        <v>1800</v>
      </c>
      <c r="V1436" s="111">
        <f t="shared" si="209"/>
        <v>181800</v>
      </c>
      <c r="W1436" t="s">
        <v>3896</v>
      </c>
    </row>
    <row r="1437" spans="1:23" x14ac:dyDescent="0.3">
      <c r="A1437" s="110">
        <v>1900314</v>
      </c>
      <c r="B1437" s="110" t="s">
        <v>1609</v>
      </c>
      <c r="C1437" s="110" t="s">
        <v>1612</v>
      </c>
      <c r="D1437" s="110" t="s">
        <v>1612</v>
      </c>
      <c r="E1437" s="110" t="s">
        <v>353</v>
      </c>
      <c r="F1437" s="110" t="s">
        <v>113</v>
      </c>
      <c r="G1437" s="110" t="s">
        <v>114</v>
      </c>
      <c r="H1437" s="111">
        <v>457</v>
      </c>
      <c r="I1437" s="111">
        <v>470</v>
      </c>
      <c r="J1437" s="111">
        <v>431</v>
      </c>
      <c r="K1437" s="111">
        <f t="shared" si="201"/>
        <v>452.66666666666669</v>
      </c>
      <c r="L1437" s="111">
        <f>300000</f>
        <v>300000</v>
      </c>
      <c r="M1437" s="111">
        <f t="shared" si="202"/>
        <v>135000</v>
      </c>
      <c r="N1437" s="111">
        <f t="shared" si="203"/>
        <v>135000</v>
      </c>
      <c r="O1437" s="111">
        <f t="shared" si="204"/>
        <v>27000</v>
      </c>
      <c r="P1437" s="111">
        <f t="shared" si="205"/>
        <v>30000</v>
      </c>
      <c r="Q1437" s="111">
        <v>60000</v>
      </c>
      <c r="R1437" s="111">
        <v>6</v>
      </c>
      <c r="S1437" s="111">
        <f t="shared" si="206"/>
        <v>6000</v>
      </c>
      <c r="T1437" s="111">
        <f t="shared" si="207"/>
        <v>360000</v>
      </c>
      <c r="U1437" s="111">
        <f t="shared" si="208"/>
        <v>3600</v>
      </c>
      <c r="V1437" s="111">
        <f t="shared" si="209"/>
        <v>363600</v>
      </c>
      <c r="W1437" t="s">
        <v>3897</v>
      </c>
    </row>
    <row r="1438" spans="1:23" x14ac:dyDescent="0.3">
      <c r="A1438" s="110">
        <v>1900320</v>
      </c>
      <c r="B1438" s="110" t="s">
        <v>1609</v>
      </c>
      <c r="C1438" s="110" t="s">
        <v>1612</v>
      </c>
      <c r="D1438" s="110" t="s">
        <v>1620</v>
      </c>
      <c r="E1438" s="110" t="s">
        <v>1621</v>
      </c>
      <c r="F1438" s="110" t="s">
        <v>209</v>
      </c>
      <c r="G1438" s="110" t="s">
        <v>114</v>
      </c>
      <c r="H1438" s="111">
        <v>39</v>
      </c>
      <c r="I1438" s="111">
        <v>37</v>
      </c>
      <c r="J1438" s="111">
        <v>36</v>
      </c>
      <c r="K1438" s="111">
        <f t="shared" si="201"/>
        <v>37.333333333333336</v>
      </c>
      <c r="L1438" s="111">
        <v>50000</v>
      </c>
      <c r="M1438" s="111">
        <f t="shared" si="202"/>
        <v>22500</v>
      </c>
      <c r="N1438" s="111">
        <f t="shared" si="203"/>
        <v>22500</v>
      </c>
      <c r="O1438" s="111">
        <f t="shared" si="204"/>
        <v>4500</v>
      </c>
      <c r="P1438" s="111">
        <f t="shared" si="205"/>
        <v>5000</v>
      </c>
      <c r="Q1438" s="111">
        <v>10000</v>
      </c>
      <c r="R1438" s="111">
        <v>1</v>
      </c>
      <c r="S1438" s="111">
        <f t="shared" si="206"/>
        <v>1000</v>
      </c>
      <c r="T1438" s="111">
        <f t="shared" si="207"/>
        <v>60000</v>
      </c>
      <c r="U1438" s="111">
        <f t="shared" si="208"/>
        <v>600</v>
      </c>
      <c r="V1438" s="111">
        <f t="shared" si="209"/>
        <v>60600</v>
      </c>
      <c r="W1438" t="s">
        <v>3898</v>
      </c>
    </row>
    <row r="1439" spans="1:23" x14ac:dyDescent="0.3">
      <c r="A1439" s="110">
        <v>1900327</v>
      </c>
      <c r="B1439" s="110" t="s">
        <v>1609</v>
      </c>
      <c r="C1439" s="110" t="s">
        <v>1612</v>
      </c>
      <c r="D1439" s="110" t="s">
        <v>1612</v>
      </c>
      <c r="E1439" s="110" t="s">
        <v>1622</v>
      </c>
      <c r="F1439" s="110" t="s">
        <v>117</v>
      </c>
      <c r="G1439" s="110" t="s">
        <v>125</v>
      </c>
      <c r="H1439" s="111">
        <v>312</v>
      </c>
      <c r="I1439" s="111">
        <v>291</v>
      </c>
      <c r="J1439" s="111">
        <v>274</v>
      </c>
      <c r="K1439" s="111">
        <f t="shared" si="201"/>
        <v>292.33333333333331</v>
      </c>
      <c r="L1439" s="111">
        <v>200000</v>
      </c>
      <c r="M1439" s="111">
        <f t="shared" si="202"/>
        <v>90000</v>
      </c>
      <c r="N1439" s="111">
        <f t="shared" si="203"/>
        <v>90000</v>
      </c>
      <c r="O1439" s="111">
        <f t="shared" si="204"/>
        <v>18000</v>
      </c>
      <c r="P1439" s="111">
        <f t="shared" si="205"/>
        <v>20000</v>
      </c>
      <c r="Q1439" s="111">
        <v>50000</v>
      </c>
      <c r="R1439" s="111">
        <v>5</v>
      </c>
      <c r="S1439" s="111">
        <f t="shared" si="206"/>
        <v>5000</v>
      </c>
      <c r="T1439" s="111">
        <f t="shared" si="207"/>
        <v>250000</v>
      </c>
      <c r="U1439" s="111">
        <f t="shared" si="208"/>
        <v>2500</v>
      </c>
      <c r="V1439" s="111">
        <f t="shared" si="209"/>
        <v>252500</v>
      </c>
      <c r="W1439" t="s">
        <v>3899</v>
      </c>
    </row>
    <row r="1440" spans="1:23" x14ac:dyDescent="0.3">
      <c r="A1440" s="110">
        <v>1900401</v>
      </c>
      <c r="B1440" s="110" t="s">
        <v>1609</v>
      </c>
      <c r="C1440" s="110" t="s">
        <v>1623</v>
      </c>
      <c r="D1440" s="110" t="s">
        <v>1624</v>
      </c>
      <c r="E1440" s="110" t="s">
        <v>314</v>
      </c>
      <c r="F1440" s="110" t="s">
        <v>113</v>
      </c>
      <c r="G1440" s="110" t="s">
        <v>114</v>
      </c>
      <c r="H1440" s="111">
        <v>203</v>
      </c>
      <c r="I1440" s="111">
        <v>205</v>
      </c>
      <c r="J1440" s="111">
        <v>192</v>
      </c>
      <c r="K1440" s="111">
        <f t="shared" si="201"/>
        <v>200</v>
      </c>
      <c r="L1440" s="111">
        <v>150000</v>
      </c>
      <c r="M1440" s="111">
        <f t="shared" si="202"/>
        <v>67500</v>
      </c>
      <c r="N1440" s="111">
        <f t="shared" si="203"/>
        <v>67500</v>
      </c>
      <c r="O1440" s="111">
        <f t="shared" si="204"/>
        <v>13500</v>
      </c>
      <c r="P1440" s="111">
        <f t="shared" si="205"/>
        <v>15000</v>
      </c>
      <c r="Q1440" s="111">
        <v>30000</v>
      </c>
      <c r="R1440" s="111">
        <v>3</v>
      </c>
      <c r="S1440" s="111">
        <f t="shared" si="206"/>
        <v>3000</v>
      </c>
      <c r="T1440" s="111">
        <f t="shared" si="207"/>
        <v>180000</v>
      </c>
      <c r="U1440" s="111">
        <f t="shared" si="208"/>
        <v>1800</v>
      </c>
      <c r="V1440" s="111">
        <f t="shared" si="209"/>
        <v>181800</v>
      </c>
      <c r="W1440" t="s">
        <v>3900</v>
      </c>
    </row>
    <row r="1441" spans="1:23" x14ac:dyDescent="0.3">
      <c r="A1441" s="110">
        <v>1900403</v>
      </c>
      <c r="B1441" s="110" t="s">
        <v>1609</v>
      </c>
      <c r="C1441" s="110" t="s">
        <v>1623</v>
      </c>
      <c r="D1441" s="110" t="s">
        <v>1623</v>
      </c>
      <c r="E1441" s="110" t="s">
        <v>564</v>
      </c>
      <c r="F1441" s="110" t="s">
        <v>113</v>
      </c>
      <c r="G1441" s="110" t="s">
        <v>114</v>
      </c>
      <c r="H1441" s="111">
        <v>125</v>
      </c>
      <c r="I1441" s="111">
        <v>122</v>
      </c>
      <c r="J1441" s="111">
        <v>118</v>
      </c>
      <c r="K1441" s="111">
        <f t="shared" si="201"/>
        <v>121.66666666666667</v>
      </c>
      <c r="L1441" s="111">
        <f>150000*0.7</f>
        <v>105000</v>
      </c>
      <c r="M1441" s="111">
        <f t="shared" si="202"/>
        <v>47250</v>
      </c>
      <c r="N1441" s="111">
        <f t="shared" si="203"/>
        <v>47250</v>
      </c>
      <c r="O1441" s="111">
        <f t="shared" si="204"/>
        <v>9450</v>
      </c>
      <c r="P1441" s="111">
        <f t="shared" si="205"/>
        <v>10500</v>
      </c>
      <c r="Q1441" s="111">
        <v>30000</v>
      </c>
      <c r="R1441" s="111">
        <v>3</v>
      </c>
      <c r="S1441" s="111">
        <f t="shared" si="206"/>
        <v>3000</v>
      </c>
      <c r="T1441" s="111">
        <f t="shared" si="207"/>
        <v>135000</v>
      </c>
      <c r="U1441" s="111">
        <f t="shared" si="208"/>
        <v>1350</v>
      </c>
      <c r="V1441" s="111">
        <f t="shared" si="209"/>
        <v>136350</v>
      </c>
      <c r="W1441" t="s">
        <v>3901</v>
      </c>
    </row>
    <row r="1442" spans="1:23" x14ac:dyDescent="0.3">
      <c r="A1442" s="110">
        <v>1900404</v>
      </c>
      <c r="B1442" s="110" t="s">
        <v>1609</v>
      </c>
      <c r="C1442" s="110" t="s">
        <v>1623</v>
      </c>
      <c r="D1442" s="110" t="s">
        <v>1625</v>
      </c>
      <c r="E1442" s="110" t="s">
        <v>1626</v>
      </c>
      <c r="F1442" s="110" t="s">
        <v>113</v>
      </c>
      <c r="G1442" s="110" t="s">
        <v>114</v>
      </c>
      <c r="H1442" s="111">
        <v>164</v>
      </c>
      <c r="I1442" s="111">
        <v>159</v>
      </c>
      <c r="J1442" s="111">
        <v>159</v>
      </c>
      <c r="K1442" s="111">
        <f t="shared" si="201"/>
        <v>160.66666666666666</v>
      </c>
      <c r="L1442" s="111">
        <v>150000</v>
      </c>
      <c r="M1442" s="111">
        <f t="shared" si="202"/>
        <v>67500</v>
      </c>
      <c r="N1442" s="111">
        <f t="shared" si="203"/>
        <v>67500</v>
      </c>
      <c r="O1442" s="111">
        <f t="shared" si="204"/>
        <v>13500</v>
      </c>
      <c r="P1442" s="111">
        <f t="shared" si="205"/>
        <v>15000</v>
      </c>
      <c r="Q1442" s="111">
        <v>30000</v>
      </c>
      <c r="R1442" s="111">
        <v>3</v>
      </c>
      <c r="S1442" s="111">
        <f t="shared" si="206"/>
        <v>3000</v>
      </c>
      <c r="T1442" s="111">
        <f t="shared" si="207"/>
        <v>180000</v>
      </c>
      <c r="U1442" s="111">
        <f t="shared" si="208"/>
        <v>1800</v>
      </c>
      <c r="V1442" s="111">
        <f t="shared" si="209"/>
        <v>181800</v>
      </c>
      <c r="W1442" t="s">
        <v>3902</v>
      </c>
    </row>
    <row r="1443" spans="1:23" x14ac:dyDescent="0.3">
      <c r="A1443" s="110">
        <v>1900405</v>
      </c>
      <c r="B1443" s="110" t="s">
        <v>1609</v>
      </c>
      <c r="C1443" s="110" t="s">
        <v>1623</v>
      </c>
      <c r="D1443" s="110" t="s">
        <v>1625</v>
      </c>
      <c r="E1443" s="110" t="s">
        <v>1627</v>
      </c>
      <c r="F1443" s="110" t="s">
        <v>117</v>
      </c>
      <c r="G1443" s="110" t="s">
        <v>114</v>
      </c>
      <c r="H1443" s="111">
        <v>279</v>
      </c>
      <c r="I1443" s="111">
        <v>266</v>
      </c>
      <c r="J1443" s="111">
        <v>244</v>
      </c>
      <c r="K1443" s="111">
        <f t="shared" si="201"/>
        <v>263</v>
      </c>
      <c r="L1443" s="111">
        <v>200000</v>
      </c>
      <c r="M1443" s="111">
        <f t="shared" si="202"/>
        <v>90000</v>
      </c>
      <c r="N1443" s="111">
        <f t="shared" si="203"/>
        <v>90000</v>
      </c>
      <c r="O1443" s="111">
        <f t="shared" si="204"/>
        <v>18000</v>
      </c>
      <c r="P1443" s="111">
        <f t="shared" si="205"/>
        <v>20000</v>
      </c>
      <c r="Q1443" s="111">
        <v>50000</v>
      </c>
      <c r="R1443" s="111">
        <v>5</v>
      </c>
      <c r="S1443" s="111">
        <f t="shared" si="206"/>
        <v>5000</v>
      </c>
      <c r="T1443" s="111">
        <f t="shared" si="207"/>
        <v>250000</v>
      </c>
      <c r="U1443" s="111">
        <f t="shared" si="208"/>
        <v>2500</v>
      </c>
      <c r="V1443" s="111">
        <f t="shared" si="209"/>
        <v>252500</v>
      </c>
      <c r="W1443" t="s">
        <v>3903</v>
      </c>
    </row>
    <row r="1444" spans="1:23" x14ac:dyDescent="0.3">
      <c r="A1444" s="110">
        <v>1900502</v>
      </c>
      <c r="B1444" s="110" t="s">
        <v>1609</v>
      </c>
      <c r="C1444" s="110" t="s">
        <v>1609</v>
      </c>
      <c r="D1444" s="110" t="s">
        <v>1609</v>
      </c>
      <c r="E1444" s="110" t="s">
        <v>178</v>
      </c>
      <c r="F1444" s="110" t="s">
        <v>119</v>
      </c>
      <c r="G1444" s="110" t="s">
        <v>114</v>
      </c>
      <c r="H1444" s="111">
        <v>596</v>
      </c>
      <c r="I1444" s="111">
        <v>593</v>
      </c>
      <c r="J1444" s="111">
        <v>595</v>
      </c>
      <c r="K1444" s="111">
        <f t="shared" si="201"/>
        <v>594.66666666666663</v>
      </c>
      <c r="L1444" s="111">
        <f>300000</f>
        <v>300000</v>
      </c>
      <c r="M1444" s="111">
        <f t="shared" si="202"/>
        <v>135000</v>
      </c>
      <c r="N1444" s="111">
        <f t="shared" si="203"/>
        <v>135000</v>
      </c>
      <c r="O1444" s="111">
        <f t="shared" si="204"/>
        <v>27000</v>
      </c>
      <c r="P1444" s="111">
        <f t="shared" si="205"/>
        <v>30000</v>
      </c>
      <c r="Q1444" s="111">
        <v>60000</v>
      </c>
      <c r="R1444" s="111">
        <v>6</v>
      </c>
      <c r="S1444" s="111">
        <f t="shared" si="206"/>
        <v>6000</v>
      </c>
      <c r="T1444" s="111">
        <f t="shared" si="207"/>
        <v>360000</v>
      </c>
      <c r="U1444" s="111">
        <f t="shared" si="208"/>
        <v>3600</v>
      </c>
      <c r="V1444" s="111">
        <f t="shared" si="209"/>
        <v>363600</v>
      </c>
      <c r="W1444" t="s">
        <v>3904</v>
      </c>
    </row>
    <row r="1445" spans="1:23" x14ac:dyDescent="0.3">
      <c r="A1445" s="110">
        <v>1900503</v>
      </c>
      <c r="B1445" s="110" t="s">
        <v>1609</v>
      </c>
      <c r="C1445" s="110" t="s">
        <v>1609</v>
      </c>
      <c r="D1445" s="110" t="s">
        <v>1609</v>
      </c>
      <c r="E1445" s="110" t="s">
        <v>1628</v>
      </c>
      <c r="F1445" s="110" t="s">
        <v>122</v>
      </c>
      <c r="G1445" s="110" t="s">
        <v>114</v>
      </c>
      <c r="H1445" s="111">
        <v>445</v>
      </c>
      <c r="I1445" s="111">
        <v>437</v>
      </c>
      <c r="J1445" s="111">
        <v>450</v>
      </c>
      <c r="K1445" s="111">
        <f t="shared" si="201"/>
        <v>444</v>
      </c>
      <c r="L1445" s="111">
        <f>300000*0.7</f>
        <v>210000</v>
      </c>
      <c r="M1445" s="111">
        <f t="shared" si="202"/>
        <v>94500</v>
      </c>
      <c r="N1445" s="111">
        <f t="shared" si="203"/>
        <v>94500</v>
      </c>
      <c r="O1445" s="111">
        <f t="shared" si="204"/>
        <v>18900</v>
      </c>
      <c r="P1445" s="111">
        <f t="shared" si="205"/>
        <v>21000</v>
      </c>
      <c r="Q1445" s="111">
        <v>60000</v>
      </c>
      <c r="R1445" s="111">
        <v>6</v>
      </c>
      <c r="S1445" s="111">
        <f t="shared" si="206"/>
        <v>6000</v>
      </c>
      <c r="T1445" s="111">
        <f t="shared" si="207"/>
        <v>270000</v>
      </c>
      <c r="U1445" s="111">
        <f t="shared" si="208"/>
        <v>2700</v>
      </c>
      <c r="V1445" s="111">
        <f t="shared" si="209"/>
        <v>272700</v>
      </c>
      <c r="W1445" t="s">
        <v>3905</v>
      </c>
    </row>
    <row r="1446" spans="1:23" x14ac:dyDescent="0.3">
      <c r="A1446" s="110">
        <v>1900504</v>
      </c>
      <c r="B1446" s="110" t="s">
        <v>1609</v>
      </c>
      <c r="C1446" s="110" t="s">
        <v>1609</v>
      </c>
      <c r="D1446" s="110" t="s">
        <v>1609</v>
      </c>
      <c r="E1446" s="110" t="s">
        <v>1629</v>
      </c>
      <c r="F1446" s="110" t="s">
        <v>122</v>
      </c>
      <c r="G1446" s="110" t="s">
        <v>114</v>
      </c>
      <c r="H1446" s="111">
        <v>308</v>
      </c>
      <c r="I1446" s="111">
        <v>311</v>
      </c>
      <c r="J1446" s="111">
        <v>304</v>
      </c>
      <c r="K1446" s="111">
        <f t="shared" si="201"/>
        <v>307.66666666666669</v>
      </c>
      <c r="L1446" s="111">
        <f>200000*0.7</f>
        <v>140000</v>
      </c>
      <c r="M1446" s="111">
        <f t="shared" si="202"/>
        <v>63000</v>
      </c>
      <c r="N1446" s="111">
        <f t="shared" si="203"/>
        <v>63000</v>
      </c>
      <c r="O1446" s="111">
        <f t="shared" si="204"/>
        <v>12600</v>
      </c>
      <c r="P1446" s="111">
        <f t="shared" si="205"/>
        <v>14000</v>
      </c>
      <c r="Q1446" s="111">
        <v>50000</v>
      </c>
      <c r="R1446" s="111">
        <v>5</v>
      </c>
      <c r="S1446" s="111">
        <f t="shared" si="206"/>
        <v>5000</v>
      </c>
      <c r="T1446" s="111">
        <f t="shared" si="207"/>
        <v>190000</v>
      </c>
      <c r="U1446" s="111">
        <f t="shared" si="208"/>
        <v>1900</v>
      </c>
      <c r="V1446" s="111">
        <f t="shared" si="209"/>
        <v>191900</v>
      </c>
      <c r="W1446" t="s">
        <v>3906</v>
      </c>
    </row>
    <row r="1447" spans="1:23" x14ac:dyDescent="0.3">
      <c r="A1447" s="110">
        <v>1900505</v>
      </c>
      <c r="B1447" s="110" t="s">
        <v>1609</v>
      </c>
      <c r="C1447" s="110" t="s">
        <v>1609</v>
      </c>
      <c r="D1447" s="110" t="s">
        <v>1609</v>
      </c>
      <c r="E1447" s="110" t="s">
        <v>1630</v>
      </c>
      <c r="F1447" s="110" t="s">
        <v>117</v>
      </c>
      <c r="G1447" s="110" t="s">
        <v>125</v>
      </c>
      <c r="H1447" s="111">
        <v>199</v>
      </c>
      <c r="I1447" s="111">
        <v>186</v>
      </c>
      <c r="J1447" s="111">
        <v>156</v>
      </c>
      <c r="K1447" s="111">
        <f t="shared" si="201"/>
        <v>180.33333333333334</v>
      </c>
      <c r="L1447" s="111">
        <v>150000</v>
      </c>
      <c r="M1447" s="111">
        <f t="shared" si="202"/>
        <v>67500</v>
      </c>
      <c r="N1447" s="111">
        <f t="shared" si="203"/>
        <v>67500</v>
      </c>
      <c r="O1447" s="111">
        <f t="shared" si="204"/>
        <v>13500</v>
      </c>
      <c r="P1447" s="111">
        <f t="shared" si="205"/>
        <v>15000</v>
      </c>
      <c r="Q1447" s="111">
        <v>30000</v>
      </c>
      <c r="R1447" s="111">
        <v>3</v>
      </c>
      <c r="S1447" s="111">
        <f t="shared" si="206"/>
        <v>3000</v>
      </c>
      <c r="T1447" s="111">
        <f t="shared" si="207"/>
        <v>180000</v>
      </c>
      <c r="U1447" s="111">
        <f t="shared" si="208"/>
        <v>1800</v>
      </c>
      <c r="V1447" s="111">
        <f t="shared" si="209"/>
        <v>181800</v>
      </c>
      <c r="W1447" t="s">
        <v>3907</v>
      </c>
    </row>
    <row r="1448" spans="1:23" x14ac:dyDescent="0.3">
      <c r="A1448" s="110">
        <v>1900506</v>
      </c>
      <c r="B1448" s="110" t="s">
        <v>1609</v>
      </c>
      <c r="C1448" s="110" t="s">
        <v>1609</v>
      </c>
      <c r="D1448" s="110" t="s">
        <v>1609</v>
      </c>
      <c r="E1448" s="110" t="s">
        <v>1631</v>
      </c>
      <c r="F1448" s="110" t="s">
        <v>117</v>
      </c>
      <c r="G1448" s="110" t="s">
        <v>125</v>
      </c>
      <c r="H1448" s="111">
        <v>358</v>
      </c>
      <c r="I1448" s="111">
        <v>358</v>
      </c>
      <c r="J1448" s="111">
        <v>363</v>
      </c>
      <c r="K1448" s="111">
        <f t="shared" si="201"/>
        <v>359.66666666666669</v>
      </c>
      <c r="L1448" s="111">
        <f>200000*0.7</f>
        <v>140000</v>
      </c>
      <c r="M1448" s="111">
        <f t="shared" si="202"/>
        <v>63000</v>
      </c>
      <c r="N1448" s="111">
        <f t="shared" si="203"/>
        <v>63000</v>
      </c>
      <c r="O1448" s="111">
        <f t="shared" si="204"/>
        <v>12600</v>
      </c>
      <c r="P1448" s="111">
        <f t="shared" si="205"/>
        <v>14000</v>
      </c>
      <c r="Q1448" s="111">
        <v>50000</v>
      </c>
      <c r="R1448" s="111">
        <v>5</v>
      </c>
      <c r="S1448" s="111">
        <f t="shared" si="206"/>
        <v>5000</v>
      </c>
      <c r="T1448" s="111">
        <f t="shared" si="207"/>
        <v>190000</v>
      </c>
      <c r="U1448" s="111">
        <f t="shared" si="208"/>
        <v>1900</v>
      </c>
      <c r="V1448" s="111">
        <f t="shared" si="209"/>
        <v>191900</v>
      </c>
      <c r="W1448" t="s">
        <v>3908</v>
      </c>
    </row>
    <row r="1449" spans="1:23" x14ac:dyDescent="0.3">
      <c r="A1449" s="110">
        <v>1900507</v>
      </c>
      <c r="B1449" s="110" t="s">
        <v>1609</v>
      </c>
      <c r="C1449" s="110" t="s">
        <v>1609</v>
      </c>
      <c r="D1449" s="110" t="s">
        <v>1609</v>
      </c>
      <c r="E1449" s="110" t="s">
        <v>1632</v>
      </c>
      <c r="F1449" s="110" t="s">
        <v>117</v>
      </c>
      <c r="G1449" s="110" t="s">
        <v>114</v>
      </c>
      <c r="H1449" s="111">
        <v>207</v>
      </c>
      <c r="I1449" s="111">
        <v>204</v>
      </c>
      <c r="J1449" s="111">
        <v>204</v>
      </c>
      <c r="K1449" s="111">
        <f t="shared" si="201"/>
        <v>205</v>
      </c>
      <c r="L1449" s="111">
        <v>200000</v>
      </c>
      <c r="M1449" s="111">
        <f t="shared" si="202"/>
        <v>90000</v>
      </c>
      <c r="N1449" s="111">
        <f t="shared" si="203"/>
        <v>90000</v>
      </c>
      <c r="O1449" s="111">
        <f t="shared" si="204"/>
        <v>18000</v>
      </c>
      <c r="P1449" s="111">
        <f t="shared" si="205"/>
        <v>20000</v>
      </c>
      <c r="Q1449" s="111">
        <v>50000</v>
      </c>
      <c r="R1449" s="111">
        <v>5</v>
      </c>
      <c r="S1449" s="111">
        <f t="shared" si="206"/>
        <v>5000</v>
      </c>
      <c r="T1449" s="111">
        <f t="shared" si="207"/>
        <v>250000</v>
      </c>
      <c r="U1449" s="111">
        <f t="shared" si="208"/>
        <v>2500</v>
      </c>
      <c r="V1449" s="111">
        <f t="shared" si="209"/>
        <v>252500</v>
      </c>
      <c r="W1449" t="s">
        <v>3909</v>
      </c>
    </row>
    <row r="1450" spans="1:23" x14ac:dyDescent="0.3">
      <c r="A1450" s="110">
        <v>1900508</v>
      </c>
      <c r="B1450" s="110" t="s">
        <v>1609</v>
      </c>
      <c r="C1450" s="110" t="s">
        <v>1609</v>
      </c>
      <c r="D1450" s="110" t="s">
        <v>1609</v>
      </c>
      <c r="E1450" s="110" t="s">
        <v>1633</v>
      </c>
      <c r="F1450" s="110" t="s">
        <v>117</v>
      </c>
      <c r="G1450" s="110" t="s">
        <v>125</v>
      </c>
      <c r="H1450" s="111">
        <v>124</v>
      </c>
      <c r="I1450" s="111">
        <v>103</v>
      </c>
      <c r="J1450" s="111">
        <v>110</v>
      </c>
      <c r="K1450" s="111">
        <f t="shared" si="201"/>
        <v>112.33333333333333</v>
      </c>
      <c r="L1450" s="111">
        <v>150000</v>
      </c>
      <c r="M1450" s="111">
        <f t="shared" si="202"/>
        <v>67500</v>
      </c>
      <c r="N1450" s="111">
        <f t="shared" si="203"/>
        <v>67500</v>
      </c>
      <c r="O1450" s="111">
        <f t="shared" si="204"/>
        <v>13500</v>
      </c>
      <c r="P1450" s="111">
        <f t="shared" si="205"/>
        <v>15000</v>
      </c>
      <c r="Q1450" s="111">
        <v>30000</v>
      </c>
      <c r="R1450" s="111">
        <v>3</v>
      </c>
      <c r="S1450" s="111">
        <f t="shared" si="206"/>
        <v>3000</v>
      </c>
      <c r="T1450" s="111">
        <f t="shared" si="207"/>
        <v>180000</v>
      </c>
      <c r="U1450" s="111">
        <f t="shared" si="208"/>
        <v>1800</v>
      </c>
      <c r="V1450" s="111">
        <f t="shared" si="209"/>
        <v>181800</v>
      </c>
      <c r="W1450" t="s">
        <v>3910</v>
      </c>
    </row>
    <row r="1451" spans="1:23" x14ac:dyDescent="0.3">
      <c r="A1451" s="110">
        <v>1900510</v>
      </c>
      <c r="B1451" s="110" t="s">
        <v>1609</v>
      </c>
      <c r="C1451" s="110" t="s">
        <v>1609</v>
      </c>
      <c r="D1451" s="110" t="s">
        <v>1609</v>
      </c>
      <c r="E1451" s="110" t="s">
        <v>1634</v>
      </c>
      <c r="F1451" s="110" t="s">
        <v>117</v>
      </c>
      <c r="G1451" s="110" t="s">
        <v>125</v>
      </c>
      <c r="H1451" s="111">
        <v>180</v>
      </c>
      <c r="I1451" s="111">
        <v>137</v>
      </c>
      <c r="J1451" s="111">
        <v>141</v>
      </c>
      <c r="K1451" s="111">
        <f t="shared" si="201"/>
        <v>152.66666666666666</v>
      </c>
      <c r="L1451" s="111">
        <v>150000</v>
      </c>
      <c r="M1451" s="111">
        <f t="shared" si="202"/>
        <v>67500</v>
      </c>
      <c r="N1451" s="111">
        <f t="shared" si="203"/>
        <v>67500</v>
      </c>
      <c r="O1451" s="111">
        <f t="shared" si="204"/>
        <v>13500</v>
      </c>
      <c r="P1451" s="111">
        <f t="shared" si="205"/>
        <v>15000</v>
      </c>
      <c r="Q1451" s="111">
        <v>30000</v>
      </c>
      <c r="R1451" s="111">
        <v>3</v>
      </c>
      <c r="S1451" s="111">
        <f t="shared" si="206"/>
        <v>3000</v>
      </c>
      <c r="T1451" s="111">
        <f t="shared" si="207"/>
        <v>180000</v>
      </c>
      <c r="U1451" s="111">
        <f t="shared" si="208"/>
        <v>1800</v>
      </c>
      <c r="V1451" s="111">
        <f t="shared" si="209"/>
        <v>181800</v>
      </c>
      <c r="W1451" t="s">
        <v>3911</v>
      </c>
    </row>
    <row r="1452" spans="1:23" x14ac:dyDescent="0.3">
      <c r="A1452" s="110">
        <v>1900511</v>
      </c>
      <c r="B1452" s="110" t="s">
        <v>1609</v>
      </c>
      <c r="C1452" s="110" t="s">
        <v>1609</v>
      </c>
      <c r="D1452" s="110" t="s">
        <v>1609</v>
      </c>
      <c r="E1452" s="110" t="s">
        <v>390</v>
      </c>
      <c r="F1452" s="110" t="s">
        <v>113</v>
      </c>
      <c r="G1452" s="110" t="s">
        <v>114</v>
      </c>
      <c r="H1452" s="111">
        <v>322</v>
      </c>
      <c r="I1452" s="111">
        <v>327</v>
      </c>
      <c r="J1452" s="111">
        <v>362</v>
      </c>
      <c r="K1452" s="111">
        <f t="shared" si="201"/>
        <v>337</v>
      </c>
      <c r="L1452" s="111">
        <v>200000</v>
      </c>
      <c r="M1452" s="111">
        <f t="shared" si="202"/>
        <v>90000</v>
      </c>
      <c r="N1452" s="111">
        <f t="shared" si="203"/>
        <v>90000</v>
      </c>
      <c r="O1452" s="111">
        <f t="shared" si="204"/>
        <v>18000</v>
      </c>
      <c r="P1452" s="111">
        <f t="shared" si="205"/>
        <v>20000</v>
      </c>
      <c r="Q1452" s="111">
        <v>50000</v>
      </c>
      <c r="R1452" s="111">
        <v>5</v>
      </c>
      <c r="S1452" s="111">
        <f t="shared" si="206"/>
        <v>5000</v>
      </c>
      <c r="T1452" s="111">
        <f t="shared" si="207"/>
        <v>250000</v>
      </c>
      <c r="U1452" s="111">
        <f t="shared" si="208"/>
        <v>2500</v>
      </c>
      <c r="V1452" s="111">
        <f t="shared" si="209"/>
        <v>252500</v>
      </c>
      <c r="W1452" t="s">
        <v>3912</v>
      </c>
    </row>
    <row r="1453" spans="1:23" x14ac:dyDescent="0.3">
      <c r="A1453" s="110">
        <v>1900512</v>
      </c>
      <c r="B1453" s="110" t="s">
        <v>1609</v>
      </c>
      <c r="C1453" s="110" t="s">
        <v>1609</v>
      </c>
      <c r="D1453" s="110" t="s">
        <v>1609</v>
      </c>
      <c r="E1453" s="110" t="s">
        <v>201</v>
      </c>
      <c r="F1453" s="110" t="s">
        <v>113</v>
      </c>
      <c r="G1453" s="110" t="s">
        <v>114</v>
      </c>
      <c r="H1453" s="111">
        <v>460</v>
      </c>
      <c r="I1453" s="111">
        <v>481</v>
      </c>
      <c r="J1453" s="111">
        <v>464</v>
      </c>
      <c r="K1453" s="111">
        <f t="shared" si="201"/>
        <v>468.33333333333331</v>
      </c>
      <c r="L1453" s="111">
        <f>300000</f>
        <v>300000</v>
      </c>
      <c r="M1453" s="111">
        <f t="shared" si="202"/>
        <v>135000</v>
      </c>
      <c r="N1453" s="111">
        <f t="shared" si="203"/>
        <v>135000</v>
      </c>
      <c r="O1453" s="111">
        <f t="shared" si="204"/>
        <v>27000</v>
      </c>
      <c r="P1453" s="111">
        <f t="shared" si="205"/>
        <v>30000</v>
      </c>
      <c r="Q1453" s="111">
        <v>60000</v>
      </c>
      <c r="R1453" s="111">
        <v>6</v>
      </c>
      <c r="S1453" s="111">
        <f t="shared" si="206"/>
        <v>6000</v>
      </c>
      <c r="T1453" s="111">
        <f t="shared" si="207"/>
        <v>360000</v>
      </c>
      <c r="U1453" s="111">
        <f t="shared" si="208"/>
        <v>3600</v>
      </c>
      <c r="V1453" s="111">
        <f t="shared" si="209"/>
        <v>363600</v>
      </c>
      <c r="W1453" t="s">
        <v>3913</v>
      </c>
    </row>
    <row r="1454" spans="1:23" x14ac:dyDescent="0.3">
      <c r="A1454" s="110">
        <v>1900514</v>
      </c>
      <c r="B1454" s="110" t="s">
        <v>1609</v>
      </c>
      <c r="C1454" s="110" t="s">
        <v>1609</v>
      </c>
      <c r="D1454" s="110" t="s">
        <v>1609</v>
      </c>
      <c r="E1454" s="110" t="s">
        <v>320</v>
      </c>
      <c r="F1454" s="110" t="s">
        <v>113</v>
      </c>
      <c r="G1454" s="110" t="s">
        <v>114</v>
      </c>
      <c r="H1454" s="111">
        <v>574</v>
      </c>
      <c r="I1454" s="111">
        <v>568</v>
      </c>
      <c r="J1454" s="111">
        <v>546</v>
      </c>
      <c r="K1454" s="111">
        <f t="shared" si="201"/>
        <v>562.66666666666663</v>
      </c>
      <c r="L1454" s="111">
        <f>300000</f>
        <v>300000</v>
      </c>
      <c r="M1454" s="111">
        <f t="shared" si="202"/>
        <v>135000</v>
      </c>
      <c r="N1454" s="111">
        <f t="shared" si="203"/>
        <v>135000</v>
      </c>
      <c r="O1454" s="111">
        <f t="shared" si="204"/>
        <v>27000</v>
      </c>
      <c r="P1454" s="111">
        <f t="shared" si="205"/>
        <v>30000</v>
      </c>
      <c r="Q1454" s="111">
        <v>60000</v>
      </c>
      <c r="R1454" s="111">
        <v>6</v>
      </c>
      <c r="S1454" s="111">
        <f t="shared" si="206"/>
        <v>6000</v>
      </c>
      <c r="T1454" s="111">
        <f t="shared" si="207"/>
        <v>360000</v>
      </c>
      <c r="U1454" s="111">
        <f t="shared" si="208"/>
        <v>3600</v>
      </c>
      <c r="V1454" s="111">
        <f t="shared" si="209"/>
        <v>363600</v>
      </c>
      <c r="W1454" t="s">
        <v>3914</v>
      </c>
    </row>
    <row r="1455" spans="1:23" x14ac:dyDescent="0.3">
      <c r="A1455" s="110">
        <v>1900517</v>
      </c>
      <c r="B1455" s="110" t="s">
        <v>1609</v>
      </c>
      <c r="C1455" s="110" t="s">
        <v>1609</v>
      </c>
      <c r="D1455" s="110" t="s">
        <v>1636</v>
      </c>
      <c r="E1455" s="110" t="s">
        <v>1555</v>
      </c>
      <c r="F1455" s="110" t="s">
        <v>168</v>
      </c>
      <c r="G1455" s="110" t="s">
        <v>114</v>
      </c>
      <c r="H1455" s="111">
        <v>158</v>
      </c>
      <c r="I1455" s="111">
        <v>147</v>
      </c>
      <c r="J1455" s="111">
        <v>139</v>
      </c>
      <c r="K1455" s="111">
        <f t="shared" si="201"/>
        <v>148</v>
      </c>
      <c r="L1455" s="111">
        <v>150000</v>
      </c>
      <c r="M1455" s="111">
        <f t="shared" si="202"/>
        <v>67500</v>
      </c>
      <c r="N1455" s="111">
        <f t="shared" si="203"/>
        <v>67500</v>
      </c>
      <c r="O1455" s="111">
        <f t="shared" si="204"/>
        <v>13500</v>
      </c>
      <c r="P1455" s="111">
        <f t="shared" si="205"/>
        <v>15000</v>
      </c>
      <c r="Q1455" s="111">
        <v>30000</v>
      </c>
      <c r="R1455" s="111">
        <v>3</v>
      </c>
      <c r="S1455" s="111">
        <f t="shared" si="206"/>
        <v>3000</v>
      </c>
      <c r="T1455" s="111">
        <f t="shared" si="207"/>
        <v>180000</v>
      </c>
      <c r="U1455" s="111">
        <f t="shared" si="208"/>
        <v>1800</v>
      </c>
      <c r="V1455" s="111">
        <f t="shared" si="209"/>
        <v>181800</v>
      </c>
      <c r="W1455" t="s">
        <v>3916</v>
      </c>
    </row>
    <row r="1456" spans="1:23" x14ac:dyDescent="0.3">
      <c r="A1456" s="110">
        <v>1900518</v>
      </c>
      <c r="B1456" s="110" t="s">
        <v>1609</v>
      </c>
      <c r="C1456" s="110" t="s">
        <v>1609</v>
      </c>
      <c r="D1456" s="110" t="s">
        <v>1637</v>
      </c>
      <c r="E1456" s="110" t="s">
        <v>201</v>
      </c>
      <c r="F1456" s="110" t="s">
        <v>113</v>
      </c>
      <c r="G1456" s="110" t="s">
        <v>114</v>
      </c>
      <c r="H1456" s="111">
        <v>63</v>
      </c>
      <c r="I1456" s="111">
        <v>65</v>
      </c>
      <c r="J1456" s="111">
        <v>56</v>
      </c>
      <c r="K1456" s="111">
        <f t="shared" si="201"/>
        <v>61.333333333333336</v>
      </c>
      <c r="L1456" s="111">
        <v>150000</v>
      </c>
      <c r="M1456" s="111">
        <f t="shared" si="202"/>
        <v>67500</v>
      </c>
      <c r="N1456" s="111">
        <f t="shared" si="203"/>
        <v>67500</v>
      </c>
      <c r="O1456" s="111">
        <f t="shared" si="204"/>
        <v>13500</v>
      </c>
      <c r="P1456" s="111">
        <f t="shared" si="205"/>
        <v>15000</v>
      </c>
      <c r="Q1456" s="111">
        <v>30000</v>
      </c>
      <c r="R1456" s="111">
        <v>3</v>
      </c>
      <c r="S1456" s="111">
        <f t="shared" si="206"/>
        <v>3000</v>
      </c>
      <c r="T1456" s="111">
        <f t="shared" si="207"/>
        <v>180000</v>
      </c>
      <c r="U1456" s="111">
        <f t="shared" si="208"/>
        <v>1800</v>
      </c>
      <c r="V1456" s="111">
        <f t="shared" si="209"/>
        <v>181800</v>
      </c>
      <c r="W1456" t="s">
        <v>3917</v>
      </c>
    </row>
    <row r="1457" spans="1:23" x14ac:dyDescent="0.3">
      <c r="A1457" s="110">
        <v>1900521</v>
      </c>
      <c r="B1457" s="110" t="s">
        <v>1609</v>
      </c>
      <c r="C1457" s="110" t="s">
        <v>1609</v>
      </c>
      <c r="D1457" s="110" t="s">
        <v>1609</v>
      </c>
      <c r="E1457" s="110" t="s">
        <v>467</v>
      </c>
      <c r="F1457" s="110" t="s">
        <v>135</v>
      </c>
      <c r="G1457" s="110" t="s">
        <v>125</v>
      </c>
      <c r="H1457" s="111">
        <v>36</v>
      </c>
      <c r="I1457" s="111">
        <v>39</v>
      </c>
      <c r="J1457" s="111">
        <v>44</v>
      </c>
      <c r="K1457" s="111">
        <f t="shared" si="201"/>
        <v>39.666666666666664</v>
      </c>
      <c r="L1457" s="111">
        <v>50000</v>
      </c>
      <c r="M1457" s="111">
        <f t="shared" si="202"/>
        <v>22500</v>
      </c>
      <c r="N1457" s="111">
        <f t="shared" si="203"/>
        <v>22500</v>
      </c>
      <c r="O1457" s="111">
        <f t="shared" si="204"/>
        <v>4500</v>
      </c>
      <c r="P1457" s="111">
        <f t="shared" si="205"/>
        <v>5000</v>
      </c>
      <c r="Q1457" s="111">
        <v>10000</v>
      </c>
      <c r="R1457" s="111">
        <v>1</v>
      </c>
      <c r="S1457" s="111">
        <f t="shared" si="206"/>
        <v>1000</v>
      </c>
      <c r="T1457" s="111">
        <f t="shared" si="207"/>
        <v>60000</v>
      </c>
      <c r="U1457" s="111">
        <f t="shared" si="208"/>
        <v>600</v>
      </c>
      <c r="V1457" s="111">
        <f t="shared" si="209"/>
        <v>60600</v>
      </c>
      <c r="W1457" t="s">
        <v>3918</v>
      </c>
    </row>
    <row r="1458" spans="1:23" x14ac:dyDescent="0.3">
      <c r="A1458" s="110">
        <v>1900528</v>
      </c>
      <c r="B1458" s="110" t="s">
        <v>1609</v>
      </c>
      <c r="C1458" s="110" t="s">
        <v>1609</v>
      </c>
      <c r="D1458" s="110" t="s">
        <v>1609</v>
      </c>
      <c r="E1458" s="110" t="s">
        <v>1638</v>
      </c>
      <c r="F1458" s="110" t="s">
        <v>296</v>
      </c>
      <c r="G1458" s="110" t="s">
        <v>114</v>
      </c>
      <c r="H1458" s="111">
        <v>158</v>
      </c>
      <c r="I1458" s="111">
        <v>139</v>
      </c>
      <c r="J1458" s="111">
        <v>137</v>
      </c>
      <c r="K1458" s="111">
        <f t="shared" si="201"/>
        <v>144.66666666666666</v>
      </c>
      <c r="L1458" s="111">
        <f>150000*0.7</f>
        <v>105000</v>
      </c>
      <c r="M1458" s="111">
        <f t="shared" si="202"/>
        <v>47250</v>
      </c>
      <c r="N1458" s="111">
        <f t="shared" si="203"/>
        <v>47250</v>
      </c>
      <c r="O1458" s="111">
        <f t="shared" si="204"/>
        <v>9450</v>
      </c>
      <c r="P1458" s="111">
        <f t="shared" si="205"/>
        <v>10500</v>
      </c>
      <c r="Q1458" s="111">
        <v>30000</v>
      </c>
      <c r="R1458" s="111">
        <v>3</v>
      </c>
      <c r="S1458" s="111">
        <f t="shared" si="206"/>
        <v>3000</v>
      </c>
      <c r="T1458" s="111">
        <f t="shared" si="207"/>
        <v>135000</v>
      </c>
      <c r="U1458" s="111">
        <f t="shared" si="208"/>
        <v>1350</v>
      </c>
      <c r="V1458" s="111">
        <f t="shared" si="209"/>
        <v>136350</v>
      </c>
      <c r="W1458" t="s">
        <v>3919</v>
      </c>
    </row>
    <row r="1459" spans="1:23" x14ac:dyDescent="0.3">
      <c r="A1459" s="110">
        <v>1900601</v>
      </c>
      <c r="B1459" s="110" t="s">
        <v>1609</v>
      </c>
      <c r="C1459" s="110" t="s">
        <v>1639</v>
      </c>
      <c r="D1459" s="110" t="s">
        <v>1640</v>
      </c>
      <c r="E1459" s="110" t="s">
        <v>390</v>
      </c>
      <c r="F1459" s="110" t="s">
        <v>113</v>
      </c>
      <c r="G1459" s="110" t="s">
        <v>114</v>
      </c>
      <c r="H1459" s="111">
        <v>122</v>
      </c>
      <c r="I1459" s="111">
        <v>97</v>
      </c>
      <c r="J1459" s="111">
        <v>92</v>
      </c>
      <c r="K1459" s="111">
        <f t="shared" si="201"/>
        <v>103.66666666666667</v>
      </c>
      <c r="L1459" s="111">
        <v>150000</v>
      </c>
      <c r="M1459" s="111">
        <f t="shared" si="202"/>
        <v>67500</v>
      </c>
      <c r="N1459" s="111">
        <f t="shared" si="203"/>
        <v>67500</v>
      </c>
      <c r="O1459" s="111">
        <f t="shared" si="204"/>
        <v>13500</v>
      </c>
      <c r="P1459" s="111">
        <f t="shared" si="205"/>
        <v>15000</v>
      </c>
      <c r="Q1459" s="111">
        <v>30000</v>
      </c>
      <c r="R1459" s="111">
        <v>3</v>
      </c>
      <c r="S1459" s="111">
        <f t="shared" si="206"/>
        <v>3000</v>
      </c>
      <c r="T1459" s="111">
        <f t="shared" si="207"/>
        <v>180000</v>
      </c>
      <c r="U1459" s="111">
        <f t="shared" si="208"/>
        <v>1800</v>
      </c>
      <c r="V1459" s="111">
        <f t="shared" si="209"/>
        <v>181800</v>
      </c>
      <c r="W1459" t="s">
        <v>3920</v>
      </c>
    </row>
    <row r="1460" spans="1:23" x14ac:dyDescent="0.3">
      <c r="A1460" s="110">
        <v>1900602</v>
      </c>
      <c r="B1460" s="110" t="s">
        <v>1609</v>
      </c>
      <c r="C1460" s="110" t="s">
        <v>1639</v>
      </c>
      <c r="D1460" s="110" t="s">
        <v>1398</v>
      </c>
      <c r="E1460" s="110" t="s">
        <v>560</v>
      </c>
      <c r="F1460" s="110" t="s">
        <v>113</v>
      </c>
      <c r="G1460" s="110" t="s">
        <v>114</v>
      </c>
      <c r="H1460" s="111">
        <v>124</v>
      </c>
      <c r="I1460" s="111">
        <v>119</v>
      </c>
      <c r="J1460" s="111">
        <v>121</v>
      </c>
      <c r="K1460" s="111">
        <f t="shared" si="201"/>
        <v>121.33333333333333</v>
      </c>
      <c r="L1460" s="111">
        <v>150000</v>
      </c>
      <c r="M1460" s="111">
        <f t="shared" si="202"/>
        <v>67500</v>
      </c>
      <c r="N1460" s="111">
        <f t="shared" si="203"/>
        <v>67500</v>
      </c>
      <c r="O1460" s="111">
        <f t="shared" si="204"/>
        <v>13500</v>
      </c>
      <c r="P1460" s="111">
        <f t="shared" si="205"/>
        <v>15000</v>
      </c>
      <c r="Q1460" s="111">
        <v>30000</v>
      </c>
      <c r="R1460" s="111">
        <v>3</v>
      </c>
      <c r="S1460" s="111">
        <f t="shared" si="206"/>
        <v>3000</v>
      </c>
      <c r="T1460" s="111">
        <f t="shared" si="207"/>
        <v>180000</v>
      </c>
      <c r="U1460" s="111">
        <f t="shared" si="208"/>
        <v>1800</v>
      </c>
      <c r="V1460" s="111">
        <f t="shared" si="209"/>
        <v>181800</v>
      </c>
      <c r="W1460" t="s">
        <v>3921</v>
      </c>
    </row>
    <row r="1461" spans="1:23" x14ac:dyDescent="0.3">
      <c r="A1461" s="110">
        <v>1900604</v>
      </c>
      <c r="B1461" s="110" t="s">
        <v>1609</v>
      </c>
      <c r="C1461" s="110" t="s">
        <v>1639</v>
      </c>
      <c r="D1461" s="110" t="s">
        <v>1639</v>
      </c>
      <c r="E1461" s="110" t="s">
        <v>549</v>
      </c>
      <c r="F1461" s="110" t="s">
        <v>113</v>
      </c>
      <c r="G1461" s="110" t="s">
        <v>114</v>
      </c>
      <c r="H1461" s="111">
        <v>25</v>
      </c>
      <c r="I1461" s="111">
        <v>38</v>
      </c>
      <c r="J1461" s="111">
        <v>44</v>
      </c>
      <c r="K1461" s="111">
        <f t="shared" si="201"/>
        <v>35.666666666666664</v>
      </c>
      <c r="L1461" s="111">
        <v>50000</v>
      </c>
      <c r="M1461" s="111">
        <f t="shared" si="202"/>
        <v>22500</v>
      </c>
      <c r="N1461" s="111">
        <f t="shared" si="203"/>
        <v>22500</v>
      </c>
      <c r="O1461" s="111">
        <f t="shared" si="204"/>
        <v>4500</v>
      </c>
      <c r="P1461" s="111">
        <f t="shared" si="205"/>
        <v>5000</v>
      </c>
      <c r="Q1461" s="111">
        <v>10000</v>
      </c>
      <c r="R1461" s="111">
        <v>1</v>
      </c>
      <c r="S1461" s="111">
        <f t="shared" si="206"/>
        <v>1000</v>
      </c>
      <c r="T1461" s="111">
        <f t="shared" si="207"/>
        <v>60000</v>
      </c>
      <c r="U1461" s="111">
        <f t="shared" si="208"/>
        <v>600</v>
      </c>
      <c r="V1461" s="111">
        <f t="shared" si="209"/>
        <v>60600</v>
      </c>
      <c r="W1461" t="s">
        <v>3922</v>
      </c>
    </row>
    <row r="1462" spans="1:23" x14ac:dyDescent="0.3">
      <c r="A1462" s="110">
        <v>1900605</v>
      </c>
      <c r="B1462" s="110" t="s">
        <v>1609</v>
      </c>
      <c r="C1462" s="110" t="s">
        <v>1639</v>
      </c>
      <c r="D1462" s="110" t="s">
        <v>1639</v>
      </c>
      <c r="E1462" s="110" t="s">
        <v>357</v>
      </c>
      <c r="F1462" s="110" t="s">
        <v>117</v>
      </c>
      <c r="G1462" s="110" t="s">
        <v>114</v>
      </c>
      <c r="H1462" s="111">
        <v>123</v>
      </c>
      <c r="I1462" s="111">
        <v>144</v>
      </c>
      <c r="J1462" s="111">
        <v>167</v>
      </c>
      <c r="K1462" s="111">
        <f t="shared" si="201"/>
        <v>144.66666666666666</v>
      </c>
      <c r="L1462" s="111">
        <f>150000</f>
        <v>150000</v>
      </c>
      <c r="M1462" s="111">
        <f t="shared" si="202"/>
        <v>67500</v>
      </c>
      <c r="N1462" s="111">
        <f t="shared" si="203"/>
        <v>67500</v>
      </c>
      <c r="O1462" s="111">
        <f t="shared" si="204"/>
        <v>13500</v>
      </c>
      <c r="P1462" s="111">
        <f t="shared" si="205"/>
        <v>15000</v>
      </c>
      <c r="Q1462" s="111">
        <v>30000</v>
      </c>
      <c r="R1462" s="111">
        <v>3</v>
      </c>
      <c r="S1462" s="111">
        <f t="shared" si="206"/>
        <v>3000</v>
      </c>
      <c r="T1462" s="111">
        <f t="shared" si="207"/>
        <v>180000</v>
      </c>
      <c r="U1462" s="111">
        <f t="shared" si="208"/>
        <v>1800</v>
      </c>
      <c r="V1462" s="111">
        <f t="shared" si="209"/>
        <v>181800</v>
      </c>
      <c r="W1462" t="s">
        <v>3923</v>
      </c>
    </row>
    <row r="1463" spans="1:23" x14ac:dyDescent="0.3">
      <c r="A1463" s="110">
        <v>1900701</v>
      </c>
      <c r="B1463" s="110" t="s">
        <v>1609</v>
      </c>
      <c r="C1463" s="110" t="s">
        <v>1641</v>
      </c>
      <c r="D1463" s="110" t="s">
        <v>1641</v>
      </c>
      <c r="E1463" s="110" t="s">
        <v>163</v>
      </c>
      <c r="F1463" s="110" t="s">
        <v>119</v>
      </c>
      <c r="G1463" s="110" t="s">
        <v>114</v>
      </c>
      <c r="H1463" s="111">
        <v>434</v>
      </c>
      <c r="I1463" s="111">
        <v>425</v>
      </c>
      <c r="J1463" s="111">
        <v>393</v>
      </c>
      <c r="K1463" s="111">
        <f t="shared" si="201"/>
        <v>417.33333333333331</v>
      </c>
      <c r="L1463" s="111">
        <f>300000</f>
        <v>300000</v>
      </c>
      <c r="M1463" s="111">
        <f t="shared" si="202"/>
        <v>135000</v>
      </c>
      <c r="N1463" s="111">
        <f t="shared" si="203"/>
        <v>135000</v>
      </c>
      <c r="O1463" s="111">
        <f t="shared" si="204"/>
        <v>27000</v>
      </c>
      <c r="P1463" s="111">
        <f t="shared" si="205"/>
        <v>30000</v>
      </c>
      <c r="Q1463" s="111">
        <v>60000</v>
      </c>
      <c r="R1463" s="111">
        <v>6</v>
      </c>
      <c r="S1463" s="111">
        <f t="shared" si="206"/>
        <v>6000</v>
      </c>
      <c r="T1463" s="111">
        <f t="shared" si="207"/>
        <v>360000</v>
      </c>
      <c r="U1463" s="111">
        <f t="shared" si="208"/>
        <v>3600</v>
      </c>
      <c r="V1463" s="111">
        <f t="shared" si="209"/>
        <v>363600</v>
      </c>
      <c r="W1463" t="s">
        <v>3924</v>
      </c>
    </row>
    <row r="1464" spans="1:23" x14ac:dyDescent="0.3">
      <c r="A1464" s="110">
        <v>1900702</v>
      </c>
      <c r="B1464" s="110" t="s">
        <v>1609</v>
      </c>
      <c r="C1464" s="110" t="s">
        <v>1641</v>
      </c>
      <c r="D1464" s="110" t="s">
        <v>1641</v>
      </c>
      <c r="E1464" s="110" t="s">
        <v>272</v>
      </c>
      <c r="F1464" s="110" t="s">
        <v>119</v>
      </c>
      <c r="G1464" s="110" t="s">
        <v>114</v>
      </c>
      <c r="H1464" s="111">
        <v>528</v>
      </c>
      <c r="I1464" s="111">
        <v>517</v>
      </c>
      <c r="J1464" s="111">
        <v>512</v>
      </c>
      <c r="K1464" s="111">
        <f t="shared" si="201"/>
        <v>519</v>
      </c>
      <c r="L1464" s="111">
        <f>300000*0.7</f>
        <v>210000</v>
      </c>
      <c r="M1464" s="111">
        <f t="shared" si="202"/>
        <v>94500</v>
      </c>
      <c r="N1464" s="111">
        <f t="shared" si="203"/>
        <v>94500</v>
      </c>
      <c r="O1464" s="111">
        <f t="shared" si="204"/>
        <v>18900</v>
      </c>
      <c r="P1464" s="111">
        <f t="shared" si="205"/>
        <v>21000</v>
      </c>
      <c r="Q1464" s="111">
        <v>60000</v>
      </c>
      <c r="R1464" s="111">
        <v>6</v>
      </c>
      <c r="S1464" s="111">
        <f t="shared" si="206"/>
        <v>6000</v>
      </c>
      <c r="T1464" s="111">
        <f t="shared" si="207"/>
        <v>270000</v>
      </c>
      <c r="U1464" s="111">
        <f t="shared" si="208"/>
        <v>2700</v>
      </c>
      <c r="V1464" s="111">
        <f t="shared" si="209"/>
        <v>272700</v>
      </c>
      <c r="W1464" t="s">
        <v>3925</v>
      </c>
    </row>
    <row r="1465" spans="1:23" x14ac:dyDescent="0.3">
      <c r="A1465" s="110">
        <v>1900705</v>
      </c>
      <c r="B1465" s="110" t="s">
        <v>1609</v>
      </c>
      <c r="C1465" s="110" t="s">
        <v>1641</v>
      </c>
      <c r="D1465" s="110" t="s">
        <v>1642</v>
      </c>
      <c r="E1465" s="110" t="s">
        <v>1643</v>
      </c>
      <c r="F1465" s="110" t="s">
        <v>1644</v>
      </c>
      <c r="G1465" s="110" t="s">
        <v>125</v>
      </c>
      <c r="H1465" s="111">
        <v>30</v>
      </c>
      <c r="I1465" s="111">
        <v>24</v>
      </c>
      <c r="J1465" s="111">
        <v>25</v>
      </c>
      <c r="K1465" s="111">
        <f t="shared" si="201"/>
        <v>26.333333333333332</v>
      </c>
      <c r="L1465" s="111">
        <v>50000</v>
      </c>
      <c r="M1465" s="111">
        <f t="shared" si="202"/>
        <v>22500</v>
      </c>
      <c r="N1465" s="111">
        <f t="shared" si="203"/>
        <v>22500</v>
      </c>
      <c r="O1465" s="111">
        <f t="shared" si="204"/>
        <v>4500</v>
      </c>
      <c r="P1465" s="111">
        <f t="shared" si="205"/>
        <v>5000</v>
      </c>
      <c r="Q1465" s="111">
        <v>10000</v>
      </c>
      <c r="R1465" s="111">
        <v>1</v>
      </c>
      <c r="S1465" s="111">
        <f t="shared" si="206"/>
        <v>1000</v>
      </c>
      <c r="T1465" s="111">
        <f t="shared" si="207"/>
        <v>60000</v>
      </c>
      <c r="U1465" s="111">
        <f t="shared" si="208"/>
        <v>600</v>
      </c>
      <c r="V1465" s="111">
        <f t="shared" si="209"/>
        <v>60600</v>
      </c>
      <c r="W1465" t="s">
        <v>3926</v>
      </c>
    </row>
    <row r="1466" spans="1:23" x14ac:dyDescent="0.3">
      <c r="A1466" s="110">
        <v>1900706</v>
      </c>
      <c r="B1466" s="110" t="s">
        <v>1609</v>
      </c>
      <c r="C1466" s="110" t="s">
        <v>1641</v>
      </c>
      <c r="D1466" s="110" t="s">
        <v>1645</v>
      </c>
      <c r="E1466" s="110" t="s">
        <v>560</v>
      </c>
      <c r="F1466" s="110" t="s">
        <v>113</v>
      </c>
      <c r="G1466" s="110" t="s">
        <v>114</v>
      </c>
      <c r="H1466" s="111">
        <v>42</v>
      </c>
      <c r="I1466" s="111">
        <v>37</v>
      </c>
      <c r="J1466" s="111">
        <v>31</v>
      </c>
      <c r="K1466" s="111">
        <f t="shared" si="201"/>
        <v>36.666666666666664</v>
      </c>
      <c r="L1466" s="111">
        <v>50000</v>
      </c>
      <c r="M1466" s="111">
        <f t="shared" si="202"/>
        <v>22500</v>
      </c>
      <c r="N1466" s="111">
        <f t="shared" si="203"/>
        <v>22500</v>
      </c>
      <c r="O1466" s="111">
        <f t="shared" si="204"/>
        <v>4500</v>
      </c>
      <c r="P1466" s="111">
        <f t="shared" si="205"/>
        <v>5000</v>
      </c>
      <c r="Q1466" s="111">
        <v>10000</v>
      </c>
      <c r="R1466" s="111">
        <v>1</v>
      </c>
      <c r="S1466" s="111">
        <f t="shared" si="206"/>
        <v>1000</v>
      </c>
      <c r="T1466" s="111">
        <f t="shared" si="207"/>
        <v>60000</v>
      </c>
      <c r="U1466" s="111">
        <f t="shared" si="208"/>
        <v>600</v>
      </c>
      <c r="V1466" s="111">
        <f t="shared" si="209"/>
        <v>60600</v>
      </c>
      <c r="W1466" t="s">
        <v>3927</v>
      </c>
    </row>
    <row r="1467" spans="1:23" x14ac:dyDescent="0.3">
      <c r="A1467" s="110">
        <v>1900714</v>
      </c>
      <c r="B1467" s="110" t="s">
        <v>1609</v>
      </c>
      <c r="C1467" s="110" t="s">
        <v>1641</v>
      </c>
      <c r="D1467" s="110" t="s">
        <v>1646</v>
      </c>
      <c r="E1467" s="110" t="s">
        <v>588</v>
      </c>
      <c r="F1467" s="110" t="s">
        <v>113</v>
      </c>
      <c r="G1467" s="110" t="s">
        <v>114</v>
      </c>
      <c r="H1467" s="111">
        <v>58</v>
      </c>
      <c r="I1467" s="111">
        <v>63</v>
      </c>
      <c r="J1467" s="111">
        <v>63</v>
      </c>
      <c r="K1467" s="111">
        <f t="shared" si="201"/>
        <v>61.333333333333336</v>
      </c>
      <c r="L1467" s="111">
        <v>150000</v>
      </c>
      <c r="M1467" s="111">
        <f t="shared" si="202"/>
        <v>67500</v>
      </c>
      <c r="N1467" s="111">
        <f t="shared" si="203"/>
        <v>67500</v>
      </c>
      <c r="O1467" s="111">
        <f t="shared" si="204"/>
        <v>13500</v>
      </c>
      <c r="P1467" s="111">
        <f t="shared" si="205"/>
        <v>15000</v>
      </c>
      <c r="Q1467" s="111">
        <v>30000</v>
      </c>
      <c r="R1467" s="111">
        <v>3</v>
      </c>
      <c r="S1467" s="111">
        <f t="shared" si="206"/>
        <v>3000</v>
      </c>
      <c r="T1467" s="111">
        <f t="shared" si="207"/>
        <v>180000</v>
      </c>
      <c r="U1467" s="111">
        <f t="shared" si="208"/>
        <v>1800</v>
      </c>
      <c r="V1467" s="111">
        <f t="shared" si="209"/>
        <v>181800</v>
      </c>
      <c r="W1467" t="s">
        <v>3928</v>
      </c>
    </row>
    <row r="1468" spans="1:23" x14ac:dyDescent="0.3">
      <c r="A1468" s="110">
        <v>2000102</v>
      </c>
      <c r="B1468" s="110" t="s">
        <v>1647</v>
      </c>
      <c r="C1468" s="110" t="s">
        <v>1647</v>
      </c>
      <c r="D1468" s="110" t="s">
        <v>1647</v>
      </c>
      <c r="E1468" s="110" t="s">
        <v>282</v>
      </c>
      <c r="F1468" s="110" t="s">
        <v>209</v>
      </c>
      <c r="G1468" s="110" t="s">
        <v>114</v>
      </c>
      <c r="H1468" s="111">
        <v>275</v>
      </c>
      <c r="I1468" s="111">
        <v>270</v>
      </c>
      <c r="J1468" s="111">
        <v>252</v>
      </c>
      <c r="K1468" s="111">
        <f t="shared" si="201"/>
        <v>265.66666666666669</v>
      </c>
      <c r="L1468" s="111">
        <v>200000</v>
      </c>
      <c r="M1468" s="111">
        <f t="shared" si="202"/>
        <v>90000</v>
      </c>
      <c r="N1468" s="111">
        <f t="shared" si="203"/>
        <v>90000</v>
      </c>
      <c r="O1468" s="111">
        <f t="shared" si="204"/>
        <v>18000</v>
      </c>
      <c r="P1468" s="111">
        <f t="shared" si="205"/>
        <v>20000</v>
      </c>
      <c r="Q1468" s="111">
        <v>50000</v>
      </c>
      <c r="R1468" s="111">
        <v>5</v>
      </c>
      <c r="S1468" s="111">
        <f t="shared" si="206"/>
        <v>5000</v>
      </c>
      <c r="T1468" s="111">
        <f t="shared" si="207"/>
        <v>250000</v>
      </c>
      <c r="U1468" s="111">
        <f t="shared" si="208"/>
        <v>2500</v>
      </c>
      <c r="V1468" s="111">
        <f t="shared" si="209"/>
        <v>252500</v>
      </c>
      <c r="W1468" t="s">
        <v>3929</v>
      </c>
    </row>
    <row r="1469" spans="1:23" x14ac:dyDescent="0.3">
      <c r="A1469" s="110">
        <v>2000105</v>
      </c>
      <c r="B1469" s="110" t="s">
        <v>1647</v>
      </c>
      <c r="C1469" s="110" t="s">
        <v>1647</v>
      </c>
      <c r="D1469" s="110" t="s">
        <v>1647</v>
      </c>
      <c r="E1469" s="110" t="s">
        <v>1648</v>
      </c>
      <c r="F1469" s="110" t="s">
        <v>119</v>
      </c>
      <c r="G1469" s="110" t="s">
        <v>114</v>
      </c>
      <c r="H1469" s="111">
        <v>323</v>
      </c>
      <c r="I1469" s="111">
        <v>335</v>
      </c>
      <c r="J1469" s="111">
        <v>332</v>
      </c>
      <c r="K1469" s="111">
        <f t="shared" si="201"/>
        <v>330</v>
      </c>
      <c r="L1469" s="111">
        <v>200000</v>
      </c>
      <c r="M1469" s="111">
        <f t="shared" si="202"/>
        <v>90000</v>
      </c>
      <c r="N1469" s="111">
        <f t="shared" si="203"/>
        <v>90000</v>
      </c>
      <c r="O1469" s="111">
        <f t="shared" si="204"/>
        <v>18000</v>
      </c>
      <c r="P1469" s="111">
        <f t="shared" si="205"/>
        <v>20000</v>
      </c>
      <c r="Q1469" s="111">
        <v>50000</v>
      </c>
      <c r="R1469" s="111">
        <v>5</v>
      </c>
      <c r="S1469" s="111">
        <f t="shared" si="206"/>
        <v>5000</v>
      </c>
      <c r="T1469" s="111">
        <f t="shared" si="207"/>
        <v>250000</v>
      </c>
      <c r="U1469" s="111">
        <f t="shared" si="208"/>
        <v>2500</v>
      </c>
      <c r="V1469" s="111">
        <f t="shared" si="209"/>
        <v>252500</v>
      </c>
      <c r="W1469" t="s">
        <v>3930</v>
      </c>
    </row>
    <row r="1470" spans="1:23" x14ac:dyDescent="0.3">
      <c r="A1470" s="110">
        <v>2000106</v>
      </c>
      <c r="B1470" s="110" t="s">
        <v>1647</v>
      </c>
      <c r="C1470" s="110" t="s">
        <v>1647</v>
      </c>
      <c r="D1470" s="110" t="s">
        <v>1647</v>
      </c>
      <c r="E1470" s="110" t="s">
        <v>184</v>
      </c>
      <c r="F1470" s="110" t="s">
        <v>113</v>
      </c>
      <c r="G1470" s="110" t="s">
        <v>114</v>
      </c>
      <c r="H1470" s="111">
        <v>600</v>
      </c>
      <c r="I1470" s="111">
        <v>580</v>
      </c>
      <c r="J1470" s="111">
        <v>538</v>
      </c>
      <c r="K1470" s="111">
        <f t="shared" si="201"/>
        <v>572.66666666666663</v>
      </c>
      <c r="L1470" s="111">
        <f>300000</f>
        <v>300000</v>
      </c>
      <c r="M1470" s="111">
        <f t="shared" si="202"/>
        <v>135000</v>
      </c>
      <c r="N1470" s="111">
        <f t="shared" si="203"/>
        <v>135000</v>
      </c>
      <c r="O1470" s="111">
        <f t="shared" si="204"/>
        <v>27000</v>
      </c>
      <c r="P1470" s="111">
        <f t="shared" si="205"/>
        <v>30000</v>
      </c>
      <c r="Q1470" s="111">
        <v>60000</v>
      </c>
      <c r="R1470" s="111">
        <v>6</v>
      </c>
      <c r="S1470" s="111">
        <f t="shared" si="206"/>
        <v>6000</v>
      </c>
      <c r="T1470" s="111">
        <f t="shared" si="207"/>
        <v>360000</v>
      </c>
      <c r="U1470" s="111">
        <f t="shared" si="208"/>
        <v>3600</v>
      </c>
      <c r="V1470" s="111">
        <f t="shared" si="209"/>
        <v>363600</v>
      </c>
      <c r="W1470" t="s">
        <v>3931</v>
      </c>
    </row>
    <row r="1471" spans="1:23" x14ac:dyDescent="0.3">
      <c r="A1471" s="110">
        <v>2000107</v>
      </c>
      <c r="B1471" s="110" t="s">
        <v>1647</v>
      </c>
      <c r="C1471" s="110" t="s">
        <v>1647</v>
      </c>
      <c r="D1471" s="110" t="s">
        <v>1647</v>
      </c>
      <c r="E1471" s="110" t="s">
        <v>1649</v>
      </c>
      <c r="F1471" s="110" t="s">
        <v>113</v>
      </c>
      <c r="G1471" s="110" t="s">
        <v>114</v>
      </c>
      <c r="H1471" s="111">
        <v>594</v>
      </c>
      <c r="I1471" s="111">
        <v>591</v>
      </c>
      <c r="J1471" s="111">
        <v>592</v>
      </c>
      <c r="K1471" s="111">
        <f t="shared" si="201"/>
        <v>592.33333333333337</v>
      </c>
      <c r="L1471" s="111">
        <f>300000</f>
        <v>300000</v>
      </c>
      <c r="M1471" s="111">
        <f t="shared" si="202"/>
        <v>135000</v>
      </c>
      <c r="N1471" s="111">
        <f t="shared" si="203"/>
        <v>135000</v>
      </c>
      <c r="O1471" s="111">
        <f t="shared" si="204"/>
        <v>27000</v>
      </c>
      <c r="P1471" s="111">
        <f t="shared" si="205"/>
        <v>30000</v>
      </c>
      <c r="Q1471" s="111">
        <v>60000</v>
      </c>
      <c r="R1471" s="111">
        <v>6</v>
      </c>
      <c r="S1471" s="111">
        <f t="shared" si="206"/>
        <v>6000</v>
      </c>
      <c r="T1471" s="111">
        <f t="shared" si="207"/>
        <v>360000</v>
      </c>
      <c r="U1471" s="111">
        <f t="shared" si="208"/>
        <v>3600</v>
      </c>
      <c r="V1471" s="111">
        <f t="shared" si="209"/>
        <v>363600</v>
      </c>
      <c r="W1471" t="s">
        <v>3932</v>
      </c>
    </row>
    <row r="1472" spans="1:23" x14ac:dyDescent="0.3">
      <c r="A1472" s="110">
        <v>2000108</v>
      </c>
      <c r="B1472" s="110" t="s">
        <v>1647</v>
      </c>
      <c r="C1472" s="110" t="s">
        <v>1647</v>
      </c>
      <c r="D1472" s="110" t="s">
        <v>1647</v>
      </c>
      <c r="E1472" s="110" t="s">
        <v>1650</v>
      </c>
      <c r="F1472" s="110" t="s">
        <v>113</v>
      </c>
      <c r="G1472" s="110" t="s">
        <v>114</v>
      </c>
      <c r="H1472" s="111">
        <v>453</v>
      </c>
      <c r="I1472" s="111">
        <v>464</v>
      </c>
      <c r="J1472" s="111">
        <v>456</v>
      </c>
      <c r="K1472" s="111">
        <f t="shared" si="201"/>
        <v>457.66666666666669</v>
      </c>
      <c r="L1472" s="111">
        <f>300000</f>
        <v>300000</v>
      </c>
      <c r="M1472" s="111">
        <f t="shared" si="202"/>
        <v>135000</v>
      </c>
      <c r="N1472" s="111">
        <f t="shared" si="203"/>
        <v>135000</v>
      </c>
      <c r="O1472" s="111">
        <f t="shared" si="204"/>
        <v>27000</v>
      </c>
      <c r="P1472" s="111">
        <f t="shared" si="205"/>
        <v>30000</v>
      </c>
      <c r="Q1472" s="111">
        <v>60000</v>
      </c>
      <c r="R1472" s="111">
        <v>6</v>
      </c>
      <c r="S1472" s="111">
        <f t="shared" si="206"/>
        <v>6000</v>
      </c>
      <c r="T1472" s="111">
        <f t="shared" si="207"/>
        <v>360000</v>
      </c>
      <c r="U1472" s="111">
        <f t="shared" si="208"/>
        <v>3600</v>
      </c>
      <c r="V1472" s="111">
        <f t="shared" si="209"/>
        <v>363600</v>
      </c>
      <c r="W1472" t="s">
        <v>3933</v>
      </c>
    </row>
    <row r="1473" spans="1:23" x14ac:dyDescent="0.3">
      <c r="A1473" s="110">
        <v>2000109</v>
      </c>
      <c r="B1473" s="110" t="s">
        <v>1647</v>
      </c>
      <c r="C1473" s="110" t="s">
        <v>1647</v>
      </c>
      <c r="D1473" s="110" t="s">
        <v>1647</v>
      </c>
      <c r="E1473" s="110" t="s">
        <v>1651</v>
      </c>
      <c r="F1473" s="110" t="s">
        <v>119</v>
      </c>
      <c r="G1473" s="110" t="s">
        <v>114</v>
      </c>
      <c r="H1473" s="111">
        <v>681</v>
      </c>
      <c r="I1473" s="111">
        <v>615</v>
      </c>
      <c r="J1473" s="111">
        <v>617</v>
      </c>
      <c r="K1473" s="111">
        <f t="shared" si="201"/>
        <v>637.66666666666663</v>
      </c>
      <c r="L1473" s="111">
        <f>300000</f>
        <v>300000</v>
      </c>
      <c r="M1473" s="111">
        <f t="shared" si="202"/>
        <v>135000</v>
      </c>
      <c r="N1473" s="111">
        <f t="shared" si="203"/>
        <v>135000</v>
      </c>
      <c r="O1473" s="111">
        <f t="shared" si="204"/>
        <v>27000</v>
      </c>
      <c r="P1473" s="111">
        <f t="shared" si="205"/>
        <v>30000</v>
      </c>
      <c r="Q1473" s="111">
        <v>60000</v>
      </c>
      <c r="R1473" s="111">
        <v>6</v>
      </c>
      <c r="S1473" s="111">
        <f t="shared" si="206"/>
        <v>6000</v>
      </c>
      <c r="T1473" s="111">
        <f t="shared" si="207"/>
        <v>360000</v>
      </c>
      <c r="U1473" s="111">
        <f t="shared" si="208"/>
        <v>3600</v>
      </c>
      <c r="V1473" s="111">
        <f t="shared" si="209"/>
        <v>363600</v>
      </c>
      <c r="W1473" t="s">
        <v>3934</v>
      </c>
    </row>
    <row r="1474" spans="1:23" x14ac:dyDescent="0.3">
      <c r="A1474" s="110">
        <v>2000110</v>
      </c>
      <c r="B1474" s="110" t="s">
        <v>1647</v>
      </c>
      <c r="C1474" s="110" t="s">
        <v>1647</v>
      </c>
      <c r="D1474" s="110" t="s">
        <v>1647</v>
      </c>
      <c r="E1474" s="110" t="s">
        <v>226</v>
      </c>
      <c r="F1474" s="110" t="s">
        <v>113</v>
      </c>
      <c r="G1474" s="110" t="s">
        <v>114</v>
      </c>
      <c r="H1474" s="111">
        <v>1079</v>
      </c>
      <c r="I1474" s="111">
        <v>1091</v>
      </c>
      <c r="J1474" s="111">
        <v>1107</v>
      </c>
      <c r="K1474" s="111">
        <f t="shared" ref="K1474:K1537" si="210">+(H1474+I1474+J1474)/3</f>
        <v>1092.3333333333333</v>
      </c>
      <c r="L1474" s="111">
        <f>600000</f>
        <v>600000</v>
      </c>
      <c r="M1474" s="111">
        <f t="shared" ref="M1474:M1537" si="211">+L1474*0.45</f>
        <v>270000</v>
      </c>
      <c r="N1474" s="111">
        <f t="shared" ref="N1474:N1537" si="212">+L1474*0.45</f>
        <v>270000</v>
      </c>
      <c r="O1474" s="111">
        <f t="shared" ref="O1474:O1537" si="213">+N1474*0.2</f>
        <v>54000</v>
      </c>
      <c r="P1474" s="111">
        <f t="shared" ref="P1474:P1537" si="214">++L1474*0.1</f>
        <v>60000</v>
      </c>
      <c r="Q1474" s="111">
        <v>80000</v>
      </c>
      <c r="R1474" s="111">
        <v>8</v>
      </c>
      <c r="S1474" s="111">
        <f t="shared" ref="S1474:S1537" si="215">+Q1474*0.1</f>
        <v>8000</v>
      </c>
      <c r="T1474" s="111">
        <f t="shared" ref="T1474:T1537" si="216">+L1474+Q1474</f>
        <v>680000</v>
      </c>
      <c r="U1474" s="111">
        <f t="shared" ref="U1474:U1537" si="217">+T1474*0.01</f>
        <v>6800</v>
      </c>
      <c r="V1474" s="111">
        <f t="shared" ref="V1474:V1537" si="218">+T1474+U1474</f>
        <v>686800</v>
      </c>
      <c r="W1474" t="s">
        <v>3935</v>
      </c>
    </row>
    <row r="1475" spans="1:23" x14ac:dyDescent="0.3">
      <c r="A1475" s="110">
        <v>2000111</v>
      </c>
      <c r="B1475" s="110" t="s">
        <v>1647</v>
      </c>
      <c r="C1475" s="110" t="s">
        <v>1647</v>
      </c>
      <c r="D1475" s="110" t="s">
        <v>1647</v>
      </c>
      <c r="E1475" s="110" t="s">
        <v>1652</v>
      </c>
      <c r="F1475" s="110" t="s">
        <v>113</v>
      </c>
      <c r="G1475" s="110" t="s">
        <v>114</v>
      </c>
      <c r="H1475" s="111">
        <v>177</v>
      </c>
      <c r="I1475" s="111">
        <v>150</v>
      </c>
      <c r="J1475" s="111">
        <v>131</v>
      </c>
      <c r="K1475" s="111">
        <f t="shared" si="210"/>
        <v>152.66666666666666</v>
      </c>
      <c r="L1475" s="111">
        <f>150000*0.7</f>
        <v>105000</v>
      </c>
      <c r="M1475" s="111">
        <f t="shared" si="211"/>
        <v>47250</v>
      </c>
      <c r="N1475" s="111">
        <f t="shared" si="212"/>
        <v>47250</v>
      </c>
      <c r="O1475" s="111">
        <f t="shared" si="213"/>
        <v>9450</v>
      </c>
      <c r="P1475" s="111">
        <f t="shared" si="214"/>
        <v>10500</v>
      </c>
      <c r="Q1475" s="111">
        <v>30000</v>
      </c>
      <c r="R1475" s="111">
        <v>3</v>
      </c>
      <c r="S1475" s="111">
        <f t="shared" si="215"/>
        <v>3000</v>
      </c>
      <c r="T1475" s="111">
        <f t="shared" si="216"/>
        <v>135000</v>
      </c>
      <c r="U1475" s="111">
        <f t="shared" si="217"/>
        <v>1350</v>
      </c>
      <c r="V1475" s="111">
        <f t="shared" si="218"/>
        <v>136350</v>
      </c>
      <c r="W1475" t="s">
        <v>3936</v>
      </c>
    </row>
    <row r="1476" spans="1:23" x14ac:dyDescent="0.3">
      <c r="A1476" s="110">
        <v>2000112</v>
      </c>
      <c r="B1476" s="110" t="s">
        <v>1647</v>
      </c>
      <c r="C1476" s="110" t="s">
        <v>1647</v>
      </c>
      <c r="D1476" s="110" t="s">
        <v>1647</v>
      </c>
      <c r="E1476" s="110" t="s">
        <v>1653</v>
      </c>
      <c r="F1476" s="110" t="s">
        <v>113</v>
      </c>
      <c r="G1476" s="110" t="s">
        <v>114</v>
      </c>
      <c r="H1476" s="111">
        <v>677</v>
      </c>
      <c r="I1476" s="111">
        <v>722</v>
      </c>
      <c r="J1476" s="111">
        <v>748</v>
      </c>
      <c r="K1476" s="111">
        <f t="shared" si="210"/>
        <v>715.66666666666663</v>
      </c>
      <c r="L1476" s="111">
        <f>300000</f>
        <v>300000</v>
      </c>
      <c r="M1476" s="111">
        <f t="shared" si="211"/>
        <v>135000</v>
      </c>
      <c r="N1476" s="111">
        <f t="shared" si="212"/>
        <v>135000</v>
      </c>
      <c r="O1476" s="111">
        <f t="shared" si="213"/>
        <v>27000</v>
      </c>
      <c r="P1476" s="111">
        <f t="shared" si="214"/>
        <v>30000</v>
      </c>
      <c r="Q1476" s="111">
        <v>60000</v>
      </c>
      <c r="R1476" s="111">
        <v>6</v>
      </c>
      <c r="S1476" s="111">
        <f t="shared" si="215"/>
        <v>6000</v>
      </c>
      <c r="T1476" s="111">
        <f t="shared" si="216"/>
        <v>360000</v>
      </c>
      <c r="U1476" s="111">
        <f t="shared" si="217"/>
        <v>3600</v>
      </c>
      <c r="V1476" s="111">
        <f t="shared" si="218"/>
        <v>363600</v>
      </c>
      <c r="W1476" t="s">
        <v>3937</v>
      </c>
    </row>
    <row r="1477" spans="1:23" x14ac:dyDescent="0.3">
      <c r="A1477" s="110">
        <v>2000113</v>
      </c>
      <c r="B1477" s="110" t="s">
        <v>1647</v>
      </c>
      <c r="C1477" s="110" t="s">
        <v>1647</v>
      </c>
      <c r="D1477" s="110" t="s">
        <v>1647</v>
      </c>
      <c r="E1477" s="110" t="s">
        <v>143</v>
      </c>
      <c r="F1477" s="110" t="s">
        <v>113</v>
      </c>
      <c r="G1477" s="110" t="s">
        <v>114</v>
      </c>
      <c r="H1477" s="111">
        <v>184</v>
      </c>
      <c r="I1477" s="111">
        <v>186</v>
      </c>
      <c r="J1477" s="111">
        <v>182</v>
      </c>
      <c r="K1477" s="111">
        <f t="shared" si="210"/>
        <v>184</v>
      </c>
      <c r="L1477" s="111">
        <f>150000*0.7</f>
        <v>105000</v>
      </c>
      <c r="M1477" s="111">
        <f t="shared" si="211"/>
        <v>47250</v>
      </c>
      <c r="N1477" s="111">
        <f t="shared" si="212"/>
        <v>47250</v>
      </c>
      <c r="O1477" s="111">
        <f t="shared" si="213"/>
        <v>9450</v>
      </c>
      <c r="P1477" s="111">
        <f t="shared" si="214"/>
        <v>10500</v>
      </c>
      <c r="Q1477" s="111">
        <v>30000</v>
      </c>
      <c r="R1477" s="111">
        <v>3</v>
      </c>
      <c r="S1477" s="111">
        <f t="shared" si="215"/>
        <v>3000</v>
      </c>
      <c r="T1477" s="111">
        <f t="shared" si="216"/>
        <v>135000</v>
      </c>
      <c r="U1477" s="111">
        <f t="shared" si="217"/>
        <v>1350</v>
      </c>
      <c r="V1477" s="111">
        <f t="shared" si="218"/>
        <v>136350</v>
      </c>
      <c r="W1477" t="s">
        <v>3938</v>
      </c>
    </row>
    <row r="1478" spans="1:23" x14ac:dyDescent="0.3">
      <c r="A1478" s="110">
        <v>2000114</v>
      </c>
      <c r="B1478" s="110" t="s">
        <v>1647</v>
      </c>
      <c r="C1478" s="110" t="s">
        <v>1647</v>
      </c>
      <c r="D1478" s="110" t="s">
        <v>1647</v>
      </c>
      <c r="E1478" s="110" t="s">
        <v>163</v>
      </c>
      <c r="F1478" s="110" t="s">
        <v>119</v>
      </c>
      <c r="G1478" s="110" t="s">
        <v>114</v>
      </c>
      <c r="H1478" s="111">
        <v>255</v>
      </c>
      <c r="I1478" s="111">
        <v>245</v>
      </c>
      <c r="J1478" s="111">
        <v>247</v>
      </c>
      <c r="K1478" s="111">
        <f t="shared" si="210"/>
        <v>249</v>
      </c>
      <c r="L1478" s="111">
        <f>200000*0.7</f>
        <v>140000</v>
      </c>
      <c r="M1478" s="111">
        <f t="shared" si="211"/>
        <v>63000</v>
      </c>
      <c r="N1478" s="111">
        <f t="shared" si="212"/>
        <v>63000</v>
      </c>
      <c r="O1478" s="111">
        <f t="shared" si="213"/>
        <v>12600</v>
      </c>
      <c r="P1478" s="111">
        <f t="shared" si="214"/>
        <v>14000</v>
      </c>
      <c r="Q1478" s="111">
        <v>50000</v>
      </c>
      <c r="R1478" s="111">
        <v>5</v>
      </c>
      <c r="S1478" s="111">
        <f t="shared" si="215"/>
        <v>5000</v>
      </c>
      <c r="T1478" s="111">
        <f t="shared" si="216"/>
        <v>190000</v>
      </c>
      <c r="U1478" s="111">
        <f t="shared" si="217"/>
        <v>1900</v>
      </c>
      <c r="V1478" s="111">
        <f t="shared" si="218"/>
        <v>191900</v>
      </c>
      <c r="W1478" t="s">
        <v>3939</v>
      </c>
    </row>
    <row r="1479" spans="1:23" x14ac:dyDescent="0.3">
      <c r="A1479" s="110">
        <v>2000115</v>
      </c>
      <c r="B1479" s="110" t="s">
        <v>1647</v>
      </c>
      <c r="C1479" s="110" t="s">
        <v>1647</v>
      </c>
      <c r="D1479" s="110" t="s">
        <v>1647</v>
      </c>
      <c r="E1479" s="110" t="s">
        <v>1654</v>
      </c>
      <c r="F1479" s="110" t="s">
        <v>119</v>
      </c>
      <c r="G1479" s="110" t="s">
        <v>114</v>
      </c>
      <c r="H1479" s="111">
        <v>857</v>
      </c>
      <c r="I1479" s="111">
        <v>845</v>
      </c>
      <c r="J1479" s="111">
        <v>860</v>
      </c>
      <c r="K1479" s="111">
        <f t="shared" si="210"/>
        <v>854</v>
      </c>
      <c r="L1479" s="111">
        <f>300000*0.7</f>
        <v>210000</v>
      </c>
      <c r="M1479" s="111">
        <f t="shared" si="211"/>
        <v>94500</v>
      </c>
      <c r="N1479" s="111">
        <f t="shared" si="212"/>
        <v>94500</v>
      </c>
      <c r="O1479" s="111">
        <f t="shared" si="213"/>
        <v>18900</v>
      </c>
      <c r="P1479" s="111">
        <f t="shared" si="214"/>
        <v>21000</v>
      </c>
      <c r="Q1479" s="111">
        <v>60000</v>
      </c>
      <c r="R1479" s="111">
        <v>6</v>
      </c>
      <c r="S1479" s="111">
        <f t="shared" si="215"/>
        <v>6000</v>
      </c>
      <c r="T1479" s="111">
        <f t="shared" si="216"/>
        <v>270000</v>
      </c>
      <c r="U1479" s="111">
        <f t="shared" si="217"/>
        <v>2700</v>
      </c>
      <c r="V1479" s="111">
        <f t="shared" si="218"/>
        <v>272700</v>
      </c>
      <c r="W1479" t="s">
        <v>3940</v>
      </c>
    </row>
    <row r="1480" spans="1:23" x14ac:dyDescent="0.3">
      <c r="A1480" s="110">
        <v>2000116</v>
      </c>
      <c r="B1480" s="110" t="s">
        <v>1647</v>
      </c>
      <c r="C1480" s="110" t="s">
        <v>1647</v>
      </c>
      <c r="D1480" s="110" t="s">
        <v>1647</v>
      </c>
      <c r="E1480" s="110" t="s">
        <v>1655</v>
      </c>
      <c r="F1480" s="110" t="s">
        <v>113</v>
      </c>
      <c r="G1480" s="110" t="s">
        <v>114</v>
      </c>
      <c r="H1480" s="111">
        <v>653</v>
      </c>
      <c r="I1480" s="111">
        <v>668</v>
      </c>
      <c r="J1480" s="111">
        <v>686</v>
      </c>
      <c r="K1480" s="111">
        <f t="shared" si="210"/>
        <v>669</v>
      </c>
      <c r="L1480" s="111">
        <f>300000*0.7</f>
        <v>210000</v>
      </c>
      <c r="M1480" s="111">
        <f t="shared" si="211"/>
        <v>94500</v>
      </c>
      <c r="N1480" s="111">
        <f t="shared" si="212"/>
        <v>94500</v>
      </c>
      <c r="O1480" s="111">
        <f t="shared" si="213"/>
        <v>18900</v>
      </c>
      <c r="P1480" s="111">
        <f t="shared" si="214"/>
        <v>21000</v>
      </c>
      <c r="Q1480" s="111">
        <v>60000</v>
      </c>
      <c r="R1480" s="111">
        <v>6</v>
      </c>
      <c r="S1480" s="111">
        <f t="shared" si="215"/>
        <v>6000</v>
      </c>
      <c r="T1480" s="111">
        <f t="shared" si="216"/>
        <v>270000</v>
      </c>
      <c r="U1480" s="111">
        <f t="shared" si="217"/>
        <v>2700</v>
      </c>
      <c r="V1480" s="111">
        <f t="shared" si="218"/>
        <v>272700</v>
      </c>
      <c r="W1480" t="s">
        <v>3941</v>
      </c>
    </row>
    <row r="1481" spans="1:23" x14ac:dyDescent="0.3">
      <c r="A1481" s="110">
        <v>2000117</v>
      </c>
      <c r="B1481" s="110" t="s">
        <v>1647</v>
      </c>
      <c r="C1481" s="110" t="s">
        <v>1647</v>
      </c>
      <c r="D1481" s="110" t="s">
        <v>1647</v>
      </c>
      <c r="E1481" s="110" t="s">
        <v>1656</v>
      </c>
      <c r="F1481" s="110" t="s">
        <v>117</v>
      </c>
      <c r="G1481" s="110" t="s">
        <v>125</v>
      </c>
      <c r="H1481" s="111">
        <v>393</v>
      </c>
      <c r="I1481" s="111">
        <v>395</v>
      </c>
      <c r="J1481" s="111">
        <v>409</v>
      </c>
      <c r="K1481" s="111">
        <f t="shared" si="210"/>
        <v>399</v>
      </c>
      <c r="L1481" s="111">
        <v>200000</v>
      </c>
      <c r="M1481" s="111">
        <f t="shared" si="211"/>
        <v>90000</v>
      </c>
      <c r="N1481" s="111">
        <f t="shared" si="212"/>
        <v>90000</v>
      </c>
      <c r="O1481" s="111">
        <f t="shared" si="213"/>
        <v>18000</v>
      </c>
      <c r="P1481" s="111">
        <f t="shared" si="214"/>
        <v>20000</v>
      </c>
      <c r="Q1481" s="111">
        <v>50000</v>
      </c>
      <c r="R1481" s="111">
        <v>5</v>
      </c>
      <c r="S1481" s="111">
        <f t="shared" si="215"/>
        <v>5000</v>
      </c>
      <c r="T1481" s="111">
        <f t="shared" si="216"/>
        <v>250000</v>
      </c>
      <c r="U1481" s="111">
        <f t="shared" si="217"/>
        <v>2500</v>
      </c>
      <c r="V1481" s="111">
        <f t="shared" si="218"/>
        <v>252500</v>
      </c>
      <c r="W1481" t="s">
        <v>3942</v>
      </c>
    </row>
    <row r="1482" spans="1:23" x14ac:dyDescent="0.3">
      <c r="A1482" s="110">
        <v>2000118</v>
      </c>
      <c r="B1482" s="110" t="s">
        <v>1647</v>
      </c>
      <c r="C1482" s="110" t="s">
        <v>1647</v>
      </c>
      <c r="D1482" s="110" t="s">
        <v>1647</v>
      </c>
      <c r="E1482" s="110" t="s">
        <v>1657</v>
      </c>
      <c r="F1482" s="110" t="s">
        <v>117</v>
      </c>
      <c r="G1482" s="110" t="s">
        <v>125</v>
      </c>
      <c r="H1482" s="111">
        <v>223</v>
      </c>
      <c r="I1482" s="111">
        <v>221</v>
      </c>
      <c r="J1482" s="111">
        <v>215</v>
      </c>
      <c r="K1482" s="111">
        <f t="shared" si="210"/>
        <v>219.66666666666666</v>
      </c>
      <c r="L1482" s="111">
        <f>200000*0.7</f>
        <v>140000</v>
      </c>
      <c r="M1482" s="111">
        <f t="shared" si="211"/>
        <v>63000</v>
      </c>
      <c r="N1482" s="111">
        <f t="shared" si="212"/>
        <v>63000</v>
      </c>
      <c r="O1482" s="111">
        <f t="shared" si="213"/>
        <v>12600</v>
      </c>
      <c r="P1482" s="111">
        <f t="shared" si="214"/>
        <v>14000</v>
      </c>
      <c r="Q1482" s="111">
        <v>50000</v>
      </c>
      <c r="R1482" s="111">
        <v>5</v>
      </c>
      <c r="S1482" s="111">
        <f t="shared" si="215"/>
        <v>5000</v>
      </c>
      <c r="T1482" s="111">
        <f t="shared" si="216"/>
        <v>190000</v>
      </c>
      <c r="U1482" s="111">
        <f t="shared" si="217"/>
        <v>1900</v>
      </c>
      <c r="V1482" s="111">
        <f t="shared" si="218"/>
        <v>191900</v>
      </c>
      <c r="W1482" t="s">
        <v>3943</v>
      </c>
    </row>
    <row r="1483" spans="1:23" x14ac:dyDescent="0.3">
      <c r="A1483" s="110">
        <v>2000119</v>
      </c>
      <c r="B1483" s="110" t="s">
        <v>1647</v>
      </c>
      <c r="C1483" s="110" t="s">
        <v>1647</v>
      </c>
      <c r="D1483" s="110" t="s">
        <v>1647</v>
      </c>
      <c r="E1483" s="110" t="s">
        <v>1658</v>
      </c>
      <c r="F1483" s="110" t="s">
        <v>117</v>
      </c>
      <c r="G1483" s="110" t="s">
        <v>125</v>
      </c>
      <c r="H1483" s="111">
        <v>554</v>
      </c>
      <c r="I1483" s="111">
        <v>590</v>
      </c>
      <c r="J1483" s="111">
        <v>629</v>
      </c>
      <c r="K1483" s="111">
        <f t="shared" si="210"/>
        <v>591</v>
      </c>
      <c r="L1483" s="111">
        <f>300000</f>
        <v>300000</v>
      </c>
      <c r="M1483" s="111">
        <f t="shared" si="211"/>
        <v>135000</v>
      </c>
      <c r="N1483" s="111">
        <f t="shared" si="212"/>
        <v>135000</v>
      </c>
      <c r="O1483" s="111">
        <f t="shared" si="213"/>
        <v>27000</v>
      </c>
      <c r="P1483" s="111">
        <f t="shared" si="214"/>
        <v>30000</v>
      </c>
      <c r="Q1483" s="111">
        <v>60000</v>
      </c>
      <c r="R1483" s="111">
        <v>6</v>
      </c>
      <c r="S1483" s="111">
        <f t="shared" si="215"/>
        <v>6000</v>
      </c>
      <c r="T1483" s="111">
        <f t="shared" si="216"/>
        <v>360000</v>
      </c>
      <c r="U1483" s="111">
        <f t="shared" si="217"/>
        <v>3600</v>
      </c>
      <c r="V1483" s="111">
        <f t="shared" si="218"/>
        <v>363600</v>
      </c>
      <c r="W1483" t="s">
        <v>3944</v>
      </c>
    </row>
    <row r="1484" spans="1:23" x14ac:dyDescent="0.3">
      <c r="A1484" s="110">
        <v>2000120</v>
      </c>
      <c r="B1484" s="110" t="s">
        <v>1647</v>
      </c>
      <c r="C1484" s="110" t="s">
        <v>1647</v>
      </c>
      <c r="D1484" s="110" t="s">
        <v>1647</v>
      </c>
      <c r="E1484" s="110" t="s">
        <v>1659</v>
      </c>
      <c r="F1484" s="110" t="s">
        <v>117</v>
      </c>
      <c r="G1484" s="110" t="s">
        <v>125</v>
      </c>
      <c r="H1484" s="111">
        <v>502</v>
      </c>
      <c r="I1484" s="111">
        <v>504</v>
      </c>
      <c r="J1484" s="111">
        <v>503</v>
      </c>
      <c r="K1484" s="111">
        <f t="shared" si="210"/>
        <v>503</v>
      </c>
      <c r="L1484" s="111">
        <f>300000*0.7</f>
        <v>210000</v>
      </c>
      <c r="M1484" s="111">
        <f t="shared" si="211"/>
        <v>94500</v>
      </c>
      <c r="N1484" s="111">
        <f t="shared" si="212"/>
        <v>94500</v>
      </c>
      <c r="O1484" s="111">
        <f t="shared" si="213"/>
        <v>18900</v>
      </c>
      <c r="P1484" s="111">
        <f t="shared" si="214"/>
        <v>21000</v>
      </c>
      <c r="Q1484" s="111">
        <v>60000</v>
      </c>
      <c r="R1484" s="111">
        <v>6</v>
      </c>
      <c r="S1484" s="111">
        <f t="shared" si="215"/>
        <v>6000</v>
      </c>
      <c r="T1484" s="111">
        <f t="shared" si="216"/>
        <v>270000</v>
      </c>
      <c r="U1484" s="111">
        <f t="shared" si="217"/>
        <v>2700</v>
      </c>
      <c r="V1484" s="111">
        <f t="shared" si="218"/>
        <v>272700</v>
      </c>
      <c r="W1484" t="s">
        <v>3945</v>
      </c>
    </row>
    <row r="1485" spans="1:23" x14ac:dyDescent="0.3">
      <c r="A1485" s="110">
        <v>2000122</v>
      </c>
      <c r="B1485" s="110" t="s">
        <v>1647</v>
      </c>
      <c r="C1485" s="110" t="s">
        <v>1647</v>
      </c>
      <c r="D1485" s="110" t="s">
        <v>1647</v>
      </c>
      <c r="E1485" s="110" t="s">
        <v>1660</v>
      </c>
      <c r="F1485" s="110" t="s">
        <v>117</v>
      </c>
      <c r="G1485" s="110" t="s">
        <v>125</v>
      </c>
      <c r="H1485" s="111">
        <v>184</v>
      </c>
      <c r="I1485" s="111">
        <v>210</v>
      </c>
      <c r="J1485" s="111">
        <v>200</v>
      </c>
      <c r="K1485" s="111">
        <f t="shared" si="210"/>
        <v>198</v>
      </c>
      <c r="L1485" s="111">
        <f>150000*0.7</f>
        <v>105000</v>
      </c>
      <c r="M1485" s="111">
        <f t="shared" si="211"/>
        <v>47250</v>
      </c>
      <c r="N1485" s="111">
        <f t="shared" si="212"/>
        <v>47250</v>
      </c>
      <c r="O1485" s="111">
        <f t="shared" si="213"/>
        <v>9450</v>
      </c>
      <c r="P1485" s="111">
        <f t="shared" si="214"/>
        <v>10500</v>
      </c>
      <c r="Q1485" s="111">
        <v>30000</v>
      </c>
      <c r="R1485" s="111">
        <v>3</v>
      </c>
      <c r="S1485" s="111">
        <f t="shared" si="215"/>
        <v>3000</v>
      </c>
      <c r="T1485" s="111">
        <f t="shared" si="216"/>
        <v>135000</v>
      </c>
      <c r="U1485" s="111">
        <f t="shared" si="217"/>
        <v>1350</v>
      </c>
      <c r="V1485" s="111">
        <f t="shared" si="218"/>
        <v>136350</v>
      </c>
      <c r="W1485" t="s">
        <v>3946</v>
      </c>
    </row>
    <row r="1486" spans="1:23" x14ac:dyDescent="0.3">
      <c r="A1486" s="110">
        <v>2000123</v>
      </c>
      <c r="B1486" s="110" t="s">
        <v>1647</v>
      </c>
      <c r="C1486" s="110" t="s">
        <v>1647</v>
      </c>
      <c r="D1486" s="110" t="s">
        <v>1647</v>
      </c>
      <c r="E1486" s="110" t="s">
        <v>1661</v>
      </c>
      <c r="F1486" s="110" t="s">
        <v>117</v>
      </c>
      <c r="G1486" s="110" t="s">
        <v>125</v>
      </c>
      <c r="H1486" s="111">
        <v>541</v>
      </c>
      <c r="I1486" s="111">
        <v>498</v>
      </c>
      <c r="J1486" s="111">
        <v>507</v>
      </c>
      <c r="K1486" s="111">
        <f t="shared" si="210"/>
        <v>515.33333333333337</v>
      </c>
      <c r="L1486" s="111">
        <f>300000</f>
        <v>300000</v>
      </c>
      <c r="M1486" s="111">
        <f t="shared" si="211"/>
        <v>135000</v>
      </c>
      <c r="N1486" s="111">
        <f t="shared" si="212"/>
        <v>135000</v>
      </c>
      <c r="O1486" s="111">
        <f t="shared" si="213"/>
        <v>27000</v>
      </c>
      <c r="P1486" s="111">
        <f t="shared" si="214"/>
        <v>30000</v>
      </c>
      <c r="Q1486" s="111">
        <v>60000</v>
      </c>
      <c r="R1486" s="111">
        <v>6</v>
      </c>
      <c r="S1486" s="111">
        <f t="shared" si="215"/>
        <v>6000</v>
      </c>
      <c r="T1486" s="111">
        <f t="shared" si="216"/>
        <v>360000</v>
      </c>
      <c r="U1486" s="111">
        <f t="shared" si="217"/>
        <v>3600</v>
      </c>
      <c r="V1486" s="111">
        <f t="shared" si="218"/>
        <v>363600</v>
      </c>
      <c r="W1486" t="s">
        <v>3947</v>
      </c>
    </row>
    <row r="1487" spans="1:23" x14ac:dyDescent="0.3">
      <c r="A1487" s="110">
        <v>2000126</v>
      </c>
      <c r="B1487" s="110" t="s">
        <v>1647</v>
      </c>
      <c r="C1487" s="110" t="s">
        <v>1647</v>
      </c>
      <c r="D1487" s="110" t="s">
        <v>1647</v>
      </c>
      <c r="E1487" s="110" t="s">
        <v>1662</v>
      </c>
      <c r="F1487" s="110" t="s">
        <v>122</v>
      </c>
      <c r="G1487" s="110" t="s">
        <v>114</v>
      </c>
      <c r="H1487" s="111">
        <v>893</v>
      </c>
      <c r="I1487" s="111">
        <v>863</v>
      </c>
      <c r="J1487" s="111">
        <v>832</v>
      </c>
      <c r="K1487" s="111">
        <f t="shared" si="210"/>
        <v>862.66666666666663</v>
      </c>
      <c r="L1487" s="111">
        <f>300000*0.7</f>
        <v>210000</v>
      </c>
      <c r="M1487" s="111">
        <f t="shared" si="211"/>
        <v>94500</v>
      </c>
      <c r="N1487" s="111">
        <f t="shared" si="212"/>
        <v>94500</v>
      </c>
      <c r="O1487" s="111">
        <f t="shared" si="213"/>
        <v>18900</v>
      </c>
      <c r="P1487" s="111">
        <f t="shared" si="214"/>
        <v>21000</v>
      </c>
      <c r="Q1487" s="111">
        <v>60000</v>
      </c>
      <c r="R1487" s="111">
        <v>6</v>
      </c>
      <c r="S1487" s="111">
        <f t="shared" si="215"/>
        <v>6000</v>
      </c>
      <c r="T1487" s="111">
        <f t="shared" si="216"/>
        <v>270000</v>
      </c>
      <c r="U1487" s="111">
        <f t="shared" si="217"/>
        <v>2700</v>
      </c>
      <c r="V1487" s="111">
        <f t="shared" si="218"/>
        <v>272700</v>
      </c>
      <c r="W1487" t="s">
        <v>3948</v>
      </c>
    </row>
    <row r="1488" spans="1:23" x14ac:dyDescent="0.3">
      <c r="A1488" s="110">
        <v>2000127</v>
      </c>
      <c r="B1488" s="110" t="s">
        <v>1647</v>
      </c>
      <c r="C1488" s="110" t="s">
        <v>1647</v>
      </c>
      <c r="D1488" s="110" t="s">
        <v>1647</v>
      </c>
      <c r="E1488" s="110" t="s">
        <v>1663</v>
      </c>
      <c r="F1488" s="110" t="s">
        <v>122</v>
      </c>
      <c r="G1488" s="110" t="s">
        <v>114</v>
      </c>
      <c r="H1488" s="111">
        <v>702</v>
      </c>
      <c r="I1488" s="111">
        <v>718</v>
      </c>
      <c r="J1488" s="111">
        <v>693</v>
      </c>
      <c r="K1488" s="111">
        <f t="shared" si="210"/>
        <v>704.33333333333337</v>
      </c>
      <c r="L1488" s="111">
        <f>300000</f>
        <v>300000</v>
      </c>
      <c r="M1488" s="111">
        <f t="shared" si="211"/>
        <v>135000</v>
      </c>
      <c r="N1488" s="111">
        <f t="shared" si="212"/>
        <v>135000</v>
      </c>
      <c r="O1488" s="111">
        <f t="shared" si="213"/>
        <v>27000</v>
      </c>
      <c r="P1488" s="111">
        <f t="shared" si="214"/>
        <v>30000</v>
      </c>
      <c r="Q1488" s="111">
        <v>60000</v>
      </c>
      <c r="R1488" s="111">
        <v>6</v>
      </c>
      <c r="S1488" s="111">
        <f t="shared" si="215"/>
        <v>6000</v>
      </c>
      <c r="T1488" s="111">
        <f t="shared" si="216"/>
        <v>360000</v>
      </c>
      <c r="U1488" s="111">
        <f t="shared" si="217"/>
        <v>3600</v>
      </c>
      <c r="V1488" s="111">
        <f t="shared" si="218"/>
        <v>363600</v>
      </c>
      <c r="W1488" t="s">
        <v>3949</v>
      </c>
    </row>
    <row r="1489" spans="1:23" x14ac:dyDescent="0.3">
      <c r="A1489" s="110">
        <v>2000128</v>
      </c>
      <c r="B1489" s="110" t="s">
        <v>1647</v>
      </c>
      <c r="C1489" s="110" t="s">
        <v>1647</v>
      </c>
      <c r="D1489" s="110" t="s">
        <v>1647</v>
      </c>
      <c r="E1489" s="110" t="s">
        <v>1664</v>
      </c>
      <c r="F1489" s="110" t="s">
        <v>296</v>
      </c>
      <c r="G1489" s="110" t="s">
        <v>114</v>
      </c>
      <c r="H1489" s="111">
        <v>305</v>
      </c>
      <c r="I1489" s="111">
        <v>309</v>
      </c>
      <c r="J1489" s="111">
        <v>309</v>
      </c>
      <c r="K1489" s="111">
        <f t="shared" si="210"/>
        <v>307.66666666666669</v>
      </c>
      <c r="L1489" s="111">
        <v>200000</v>
      </c>
      <c r="M1489" s="111">
        <f t="shared" si="211"/>
        <v>90000</v>
      </c>
      <c r="N1489" s="111">
        <f t="shared" si="212"/>
        <v>90000</v>
      </c>
      <c r="O1489" s="111">
        <f t="shared" si="213"/>
        <v>18000</v>
      </c>
      <c r="P1489" s="111">
        <f t="shared" si="214"/>
        <v>20000</v>
      </c>
      <c r="Q1489" s="111">
        <v>50000</v>
      </c>
      <c r="R1489" s="111">
        <v>5</v>
      </c>
      <c r="S1489" s="111">
        <f t="shared" si="215"/>
        <v>5000</v>
      </c>
      <c r="T1489" s="111">
        <f t="shared" si="216"/>
        <v>250000</v>
      </c>
      <c r="U1489" s="111">
        <f t="shared" si="217"/>
        <v>2500</v>
      </c>
      <c r="V1489" s="111">
        <f t="shared" si="218"/>
        <v>252500</v>
      </c>
      <c r="W1489" t="s">
        <v>3950</v>
      </c>
    </row>
    <row r="1490" spans="1:23" x14ac:dyDescent="0.3">
      <c r="A1490" s="110">
        <v>2000129</v>
      </c>
      <c r="B1490" s="110" t="s">
        <v>1647</v>
      </c>
      <c r="C1490" s="110" t="s">
        <v>1647</v>
      </c>
      <c r="D1490" s="110" t="s">
        <v>1647</v>
      </c>
      <c r="E1490" s="110" t="s">
        <v>1665</v>
      </c>
      <c r="F1490" s="110" t="s">
        <v>122</v>
      </c>
      <c r="G1490" s="110" t="s">
        <v>114</v>
      </c>
      <c r="H1490" s="111">
        <v>159</v>
      </c>
      <c r="I1490" s="111">
        <v>200</v>
      </c>
      <c r="J1490" s="111">
        <v>232</v>
      </c>
      <c r="K1490" s="111">
        <f t="shared" si="210"/>
        <v>197</v>
      </c>
      <c r="L1490" s="111">
        <v>150000</v>
      </c>
      <c r="M1490" s="111">
        <f t="shared" si="211"/>
        <v>67500</v>
      </c>
      <c r="N1490" s="111">
        <f t="shared" si="212"/>
        <v>67500</v>
      </c>
      <c r="O1490" s="111">
        <f t="shared" si="213"/>
        <v>13500</v>
      </c>
      <c r="P1490" s="111">
        <f t="shared" si="214"/>
        <v>15000</v>
      </c>
      <c r="Q1490" s="111">
        <v>30000</v>
      </c>
      <c r="R1490" s="111">
        <v>3</v>
      </c>
      <c r="S1490" s="111">
        <f t="shared" si="215"/>
        <v>3000</v>
      </c>
      <c r="T1490" s="111">
        <f t="shared" si="216"/>
        <v>180000</v>
      </c>
      <c r="U1490" s="111">
        <f t="shared" si="217"/>
        <v>1800</v>
      </c>
      <c r="V1490" s="111">
        <f t="shared" si="218"/>
        <v>181800</v>
      </c>
      <c r="W1490" t="s">
        <v>3951</v>
      </c>
    </row>
    <row r="1491" spans="1:23" x14ac:dyDescent="0.3">
      <c r="A1491" s="110">
        <v>2000130</v>
      </c>
      <c r="B1491" s="110" t="s">
        <v>1647</v>
      </c>
      <c r="C1491" s="110" t="s">
        <v>1647</v>
      </c>
      <c r="D1491" s="110" t="s">
        <v>1647</v>
      </c>
      <c r="E1491" s="110" t="s">
        <v>1666</v>
      </c>
      <c r="F1491" s="110" t="s">
        <v>135</v>
      </c>
      <c r="G1491" s="110" t="s">
        <v>125</v>
      </c>
      <c r="H1491" s="111">
        <v>52</v>
      </c>
      <c r="I1491" s="111">
        <v>53</v>
      </c>
      <c r="J1491" s="111">
        <v>52</v>
      </c>
      <c r="K1491" s="111">
        <f t="shared" si="210"/>
        <v>52.333333333333336</v>
      </c>
      <c r="L1491" s="111">
        <v>150000</v>
      </c>
      <c r="M1491" s="111">
        <f t="shared" si="211"/>
        <v>67500</v>
      </c>
      <c r="N1491" s="111">
        <f t="shared" si="212"/>
        <v>67500</v>
      </c>
      <c r="O1491" s="111">
        <f t="shared" si="213"/>
        <v>13500</v>
      </c>
      <c r="P1491" s="111">
        <f t="shared" si="214"/>
        <v>15000</v>
      </c>
      <c r="Q1491" s="111">
        <v>30000</v>
      </c>
      <c r="R1491" s="111">
        <v>3</v>
      </c>
      <c r="S1491" s="111">
        <f t="shared" si="215"/>
        <v>3000</v>
      </c>
      <c r="T1491" s="111">
        <f t="shared" si="216"/>
        <v>180000</v>
      </c>
      <c r="U1491" s="111">
        <f t="shared" si="217"/>
        <v>1800</v>
      </c>
      <c r="V1491" s="111">
        <f t="shared" si="218"/>
        <v>181800</v>
      </c>
      <c r="W1491" t="s">
        <v>3952</v>
      </c>
    </row>
    <row r="1492" spans="1:23" x14ac:dyDescent="0.3">
      <c r="A1492" s="110">
        <v>2000131</v>
      </c>
      <c r="B1492" s="110" t="s">
        <v>1647</v>
      </c>
      <c r="C1492" s="110" t="s">
        <v>1647</v>
      </c>
      <c r="D1492" s="110" t="s">
        <v>603</v>
      </c>
      <c r="E1492" s="110" t="s">
        <v>1667</v>
      </c>
      <c r="F1492" s="110" t="s">
        <v>113</v>
      </c>
      <c r="G1492" s="110" t="s">
        <v>114</v>
      </c>
      <c r="H1492" s="111">
        <v>26</v>
      </c>
      <c r="I1492" s="111">
        <v>28</v>
      </c>
      <c r="J1492" s="111">
        <v>26</v>
      </c>
      <c r="K1492" s="111">
        <f t="shared" si="210"/>
        <v>26.666666666666668</v>
      </c>
      <c r="L1492" s="111">
        <v>50000</v>
      </c>
      <c r="M1492" s="111">
        <f t="shared" si="211"/>
        <v>22500</v>
      </c>
      <c r="N1492" s="111">
        <f t="shared" si="212"/>
        <v>22500</v>
      </c>
      <c r="O1492" s="111">
        <f t="shared" si="213"/>
        <v>4500</v>
      </c>
      <c r="P1492" s="111">
        <f t="shared" si="214"/>
        <v>5000</v>
      </c>
      <c r="Q1492" s="111">
        <v>10000</v>
      </c>
      <c r="R1492" s="111">
        <v>1</v>
      </c>
      <c r="S1492" s="111">
        <f t="shared" si="215"/>
        <v>1000</v>
      </c>
      <c r="T1492" s="111">
        <f t="shared" si="216"/>
        <v>60000</v>
      </c>
      <c r="U1492" s="111">
        <f t="shared" si="217"/>
        <v>600</v>
      </c>
      <c r="V1492" s="111">
        <f t="shared" si="218"/>
        <v>60600</v>
      </c>
      <c r="W1492" t="s">
        <v>3953</v>
      </c>
    </row>
    <row r="1493" spans="1:23" x14ac:dyDescent="0.3">
      <c r="A1493" s="110">
        <v>2000132</v>
      </c>
      <c r="B1493" s="110" t="s">
        <v>1647</v>
      </c>
      <c r="C1493" s="110" t="s">
        <v>1647</v>
      </c>
      <c r="D1493" s="110" t="s">
        <v>1668</v>
      </c>
      <c r="E1493" s="110" t="s">
        <v>247</v>
      </c>
      <c r="F1493" s="110" t="s">
        <v>113</v>
      </c>
      <c r="G1493" s="110" t="s">
        <v>114</v>
      </c>
      <c r="H1493" s="111">
        <v>287</v>
      </c>
      <c r="I1493" s="111">
        <v>293</v>
      </c>
      <c r="J1493" s="111">
        <v>291</v>
      </c>
      <c r="K1493" s="111">
        <f t="shared" si="210"/>
        <v>290.33333333333331</v>
      </c>
      <c r="L1493" s="111">
        <v>200000</v>
      </c>
      <c r="M1493" s="111">
        <f t="shared" si="211"/>
        <v>90000</v>
      </c>
      <c r="N1493" s="111">
        <f t="shared" si="212"/>
        <v>90000</v>
      </c>
      <c r="O1493" s="111">
        <f t="shared" si="213"/>
        <v>18000</v>
      </c>
      <c r="P1493" s="111">
        <f t="shared" si="214"/>
        <v>20000</v>
      </c>
      <c r="Q1493" s="111">
        <v>50000</v>
      </c>
      <c r="R1493" s="111">
        <v>5</v>
      </c>
      <c r="S1493" s="111">
        <f t="shared" si="215"/>
        <v>5000</v>
      </c>
      <c r="T1493" s="111">
        <f t="shared" si="216"/>
        <v>250000</v>
      </c>
      <c r="U1493" s="111">
        <f t="shared" si="217"/>
        <v>2500</v>
      </c>
      <c r="V1493" s="111">
        <f t="shared" si="218"/>
        <v>252500</v>
      </c>
      <c r="W1493" t="s">
        <v>3954</v>
      </c>
    </row>
    <row r="1494" spans="1:23" x14ac:dyDescent="0.3">
      <c r="A1494" s="110">
        <v>2000136</v>
      </c>
      <c r="B1494" s="110" t="s">
        <v>1647</v>
      </c>
      <c r="C1494" s="110" t="s">
        <v>1647</v>
      </c>
      <c r="D1494" s="110" t="s">
        <v>1669</v>
      </c>
      <c r="E1494" s="110" t="s">
        <v>1670</v>
      </c>
      <c r="F1494" s="110" t="s">
        <v>113</v>
      </c>
      <c r="G1494" s="110" t="s">
        <v>114</v>
      </c>
      <c r="H1494" s="111">
        <v>229</v>
      </c>
      <c r="I1494" s="111">
        <v>212</v>
      </c>
      <c r="J1494" s="111">
        <v>214</v>
      </c>
      <c r="K1494" s="111">
        <f t="shared" si="210"/>
        <v>218.33333333333334</v>
      </c>
      <c r="L1494" s="111">
        <v>200000</v>
      </c>
      <c r="M1494" s="111">
        <f t="shared" si="211"/>
        <v>90000</v>
      </c>
      <c r="N1494" s="111">
        <f t="shared" si="212"/>
        <v>90000</v>
      </c>
      <c r="O1494" s="111">
        <f t="shared" si="213"/>
        <v>18000</v>
      </c>
      <c r="P1494" s="111">
        <f t="shared" si="214"/>
        <v>20000</v>
      </c>
      <c r="Q1494" s="111">
        <v>50000</v>
      </c>
      <c r="R1494" s="111">
        <v>5</v>
      </c>
      <c r="S1494" s="111">
        <f t="shared" si="215"/>
        <v>5000</v>
      </c>
      <c r="T1494" s="111">
        <f t="shared" si="216"/>
        <v>250000</v>
      </c>
      <c r="U1494" s="111">
        <f t="shared" si="217"/>
        <v>2500</v>
      </c>
      <c r="V1494" s="111">
        <f t="shared" si="218"/>
        <v>252500</v>
      </c>
      <c r="W1494" t="s">
        <v>3955</v>
      </c>
    </row>
    <row r="1495" spans="1:23" x14ac:dyDescent="0.3">
      <c r="A1495" s="110">
        <v>2000138</v>
      </c>
      <c r="B1495" s="110" t="s">
        <v>1647</v>
      </c>
      <c r="C1495" s="110" t="s">
        <v>1647</v>
      </c>
      <c r="D1495" s="110" t="s">
        <v>1671</v>
      </c>
      <c r="E1495" s="110" t="s">
        <v>399</v>
      </c>
      <c r="F1495" s="110" t="s">
        <v>113</v>
      </c>
      <c r="G1495" s="110" t="s">
        <v>114</v>
      </c>
      <c r="H1495" s="111">
        <v>158</v>
      </c>
      <c r="I1495" s="111">
        <v>157</v>
      </c>
      <c r="J1495" s="111">
        <v>162</v>
      </c>
      <c r="K1495" s="111">
        <f t="shared" si="210"/>
        <v>159</v>
      </c>
      <c r="L1495" s="111">
        <v>150000</v>
      </c>
      <c r="M1495" s="111">
        <f t="shared" si="211"/>
        <v>67500</v>
      </c>
      <c r="N1495" s="111">
        <f t="shared" si="212"/>
        <v>67500</v>
      </c>
      <c r="O1495" s="111">
        <f t="shared" si="213"/>
        <v>13500</v>
      </c>
      <c r="P1495" s="111">
        <f t="shared" si="214"/>
        <v>15000</v>
      </c>
      <c r="Q1495" s="111">
        <v>30000</v>
      </c>
      <c r="R1495" s="111">
        <v>3</v>
      </c>
      <c r="S1495" s="111">
        <f t="shared" si="215"/>
        <v>3000</v>
      </c>
      <c r="T1495" s="111">
        <f t="shared" si="216"/>
        <v>180000</v>
      </c>
      <c r="U1495" s="111">
        <f t="shared" si="217"/>
        <v>1800</v>
      </c>
      <c r="V1495" s="111">
        <f t="shared" si="218"/>
        <v>181800</v>
      </c>
      <c r="W1495" t="s">
        <v>3956</v>
      </c>
    </row>
    <row r="1496" spans="1:23" x14ac:dyDescent="0.3">
      <c r="A1496" s="110">
        <v>2000139</v>
      </c>
      <c r="B1496" s="110" t="s">
        <v>1647</v>
      </c>
      <c r="C1496" s="110" t="s">
        <v>1647</v>
      </c>
      <c r="D1496" s="110" t="s">
        <v>1672</v>
      </c>
      <c r="E1496" s="110" t="s">
        <v>226</v>
      </c>
      <c r="F1496" s="110" t="s">
        <v>113</v>
      </c>
      <c r="G1496" s="110" t="s">
        <v>114</v>
      </c>
      <c r="H1496" s="111">
        <v>106</v>
      </c>
      <c r="I1496" s="111">
        <v>112</v>
      </c>
      <c r="J1496" s="111">
        <v>124</v>
      </c>
      <c r="K1496" s="111">
        <f t="shared" si="210"/>
        <v>114</v>
      </c>
      <c r="L1496" s="111">
        <v>150000</v>
      </c>
      <c r="M1496" s="111">
        <f t="shared" si="211"/>
        <v>67500</v>
      </c>
      <c r="N1496" s="111">
        <f t="shared" si="212"/>
        <v>67500</v>
      </c>
      <c r="O1496" s="111">
        <f t="shared" si="213"/>
        <v>13500</v>
      </c>
      <c r="P1496" s="111">
        <f t="shared" si="214"/>
        <v>15000</v>
      </c>
      <c r="Q1496" s="111">
        <v>30000</v>
      </c>
      <c r="R1496" s="111">
        <v>3</v>
      </c>
      <c r="S1496" s="111">
        <f t="shared" si="215"/>
        <v>3000</v>
      </c>
      <c r="T1496" s="111">
        <f t="shared" si="216"/>
        <v>180000</v>
      </c>
      <c r="U1496" s="111">
        <f t="shared" si="217"/>
        <v>1800</v>
      </c>
      <c r="V1496" s="111">
        <f t="shared" si="218"/>
        <v>181800</v>
      </c>
      <c r="W1496" t="s">
        <v>3957</v>
      </c>
    </row>
    <row r="1497" spans="1:23" x14ac:dyDescent="0.3">
      <c r="A1497" s="110">
        <v>2000140</v>
      </c>
      <c r="B1497" s="110" t="s">
        <v>1647</v>
      </c>
      <c r="C1497" s="110" t="s">
        <v>1647</v>
      </c>
      <c r="D1497" s="110" t="s">
        <v>1673</v>
      </c>
      <c r="E1497" s="110" t="s">
        <v>353</v>
      </c>
      <c r="F1497" s="110" t="s">
        <v>113</v>
      </c>
      <c r="G1497" s="110" t="s">
        <v>114</v>
      </c>
      <c r="H1497" s="111">
        <v>122</v>
      </c>
      <c r="I1497" s="111">
        <v>123</v>
      </c>
      <c r="J1497" s="111">
        <v>134</v>
      </c>
      <c r="K1497" s="111">
        <f t="shared" si="210"/>
        <v>126.33333333333333</v>
      </c>
      <c r="L1497" s="111">
        <v>150000</v>
      </c>
      <c r="M1497" s="111">
        <f t="shared" si="211"/>
        <v>67500</v>
      </c>
      <c r="N1497" s="111">
        <f t="shared" si="212"/>
        <v>67500</v>
      </c>
      <c r="O1497" s="111">
        <f t="shared" si="213"/>
        <v>13500</v>
      </c>
      <c r="P1497" s="111">
        <f t="shared" si="214"/>
        <v>15000</v>
      </c>
      <c r="Q1497" s="111">
        <v>30000</v>
      </c>
      <c r="R1497" s="111">
        <v>3</v>
      </c>
      <c r="S1497" s="111">
        <f t="shared" si="215"/>
        <v>3000</v>
      </c>
      <c r="T1497" s="111">
        <f t="shared" si="216"/>
        <v>180000</v>
      </c>
      <c r="U1497" s="111">
        <f t="shared" si="217"/>
        <v>1800</v>
      </c>
      <c r="V1497" s="111">
        <f t="shared" si="218"/>
        <v>181800</v>
      </c>
      <c r="W1497" t="s">
        <v>3958</v>
      </c>
    </row>
    <row r="1498" spans="1:23" x14ac:dyDescent="0.3">
      <c r="A1498" s="110">
        <v>2000141</v>
      </c>
      <c r="B1498" s="110" t="s">
        <v>1647</v>
      </c>
      <c r="C1498" s="110" t="s">
        <v>1647</v>
      </c>
      <c r="D1498" s="110" t="s">
        <v>545</v>
      </c>
      <c r="E1498" s="110" t="s">
        <v>588</v>
      </c>
      <c r="F1498" s="110" t="s">
        <v>113</v>
      </c>
      <c r="G1498" s="110" t="s">
        <v>114</v>
      </c>
      <c r="H1498" s="111">
        <v>147</v>
      </c>
      <c r="I1498" s="111">
        <v>147</v>
      </c>
      <c r="J1498" s="111">
        <v>143</v>
      </c>
      <c r="K1498" s="111">
        <f t="shared" si="210"/>
        <v>145.66666666666666</v>
      </c>
      <c r="L1498" s="111">
        <v>150000</v>
      </c>
      <c r="M1498" s="111">
        <f t="shared" si="211"/>
        <v>67500</v>
      </c>
      <c r="N1498" s="111">
        <f t="shared" si="212"/>
        <v>67500</v>
      </c>
      <c r="O1498" s="111">
        <f t="shared" si="213"/>
        <v>13500</v>
      </c>
      <c r="P1498" s="111">
        <f t="shared" si="214"/>
        <v>15000</v>
      </c>
      <c r="Q1498" s="111">
        <v>30000</v>
      </c>
      <c r="R1498" s="111">
        <v>3</v>
      </c>
      <c r="S1498" s="111">
        <f t="shared" si="215"/>
        <v>3000</v>
      </c>
      <c r="T1498" s="111">
        <f t="shared" si="216"/>
        <v>180000</v>
      </c>
      <c r="U1498" s="111">
        <f t="shared" si="217"/>
        <v>1800</v>
      </c>
      <c r="V1498" s="111">
        <f t="shared" si="218"/>
        <v>181800</v>
      </c>
      <c r="W1498" t="s">
        <v>3959</v>
      </c>
    </row>
    <row r="1499" spans="1:23" x14ac:dyDescent="0.3">
      <c r="A1499" s="110">
        <v>2000142</v>
      </c>
      <c r="B1499" s="110" t="s">
        <v>1647</v>
      </c>
      <c r="C1499" s="110" t="s">
        <v>1647</v>
      </c>
      <c r="D1499" s="110" t="s">
        <v>1674</v>
      </c>
      <c r="E1499" s="110" t="s">
        <v>1675</v>
      </c>
      <c r="F1499" s="110" t="s">
        <v>168</v>
      </c>
      <c r="G1499" s="110" t="s">
        <v>114</v>
      </c>
      <c r="H1499" s="111">
        <v>183</v>
      </c>
      <c r="I1499" s="111">
        <v>196</v>
      </c>
      <c r="J1499" s="111">
        <v>171</v>
      </c>
      <c r="K1499" s="111">
        <f t="shared" si="210"/>
        <v>183.33333333333334</v>
      </c>
      <c r="L1499" s="111">
        <v>150000</v>
      </c>
      <c r="M1499" s="111">
        <f t="shared" si="211"/>
        <v>67500</v>
      </c>
      <c r="N1499" s="111">
        <f t="shared" si="212"/>
        <v>67500</v>
      </c>
      <c r="O1499" s="111">
        <f t="shared" si="213"/>
        <v>13500</v>
      </c>
      <c r="P1499" s="111">
        <f t="shared" si="214"/>
        <v>15000</v>
      </c>
      <c r="Q1499" s="111">
        <v>30000</v>
      </c>
      <c r="R1499" s="111">
        <v>3</v>
      </c>
      <c r="S1499" s="111">
        <f t="shared" si="215"/>
        <v>3000</v>
      </c>
      <c r="T1499" s="111">
        <f t="shared" si="216"/>
        <v>180000</v>
      </c>
      <c r="U1499" s="111">
        <f t="shared" si="217"/>
        <v>1800</v>
      </c>
      <c r="V1499" s="111">
        <f t="shared" si="218"/>
        <v>181800</v>
      </c>
      <c r="W1499" t="s">
        <v>3960</v>
      </c>
    </row>
    <row r="1500" spans="1:23" x14ac:dyDescent="0.3">
      <c r="A1500" s="110">
        <v>2000146</v>
      </c>
      <c r="B1500" s="110" t="s">
        <v>1647</v>
      </c>
      <c r="C1500" s="110" t="s">
        <v>1647</v>
      </c>
      <c r="D1500" s="110" t="s">
        <v>1676</v>
      </c>
      <c r="E1500" s="110" t="s">
        <v>190</v>
      </c>
      <c r="F1500" s="110" t="s">
        <v>113</v>
      </c>
      <c r="G1500" s="110" t="s">
        <v>114</v>
      </c>
      <c r="H1500" s="111">
        <v>400</v>
      </c>
      <c r="I1500" s="111">
        <v>424</v>
      </c>
      <c r="J1500" s="111">
        <v>385</v>
      </c>
      <c r="K1500" s="111">
        <f t="shared" si="210"/>
        <v>403</v>
      </c>
      <c r="L1500" s="111">
        <f>300000</f>
        <v>300000</v>
      </c>
      <c r="M1500" s="111">
        <f t="shared" si="211"/>
        <v>135000</v>
      </c>
      <c r="N1500" s="111">
        <f t="shared" si="212"/>
        <v>135000</v>
      </c>
      <c r="O1500" s="111">
        <f t="shared" si="213"/>
        <v>27000</v>
      </c>
      <c r="P1500" s="111">
        <f t="shared" si="214"/>
        <v>30000</v>
      </c>
      <c r="Q1500" s="111">
        <v>60000</v>
      </c>
      <c r="R1500" s="111">
        <v>6</v>
      </c>
      <c r="S1500" s="111">
        <f t="shared" si="215"/>
        <v>6000</v>
      </c>
      <c r="T1500" s="111">
        <f t="shared" si="216"/>
        <v>360000</v>
      </c>
      <c r="U1500" s="111">
        <f t="shared" si="217"/>
        <v>3600</v>
      </c>
      <c r="V1500" s="111">
        <f t="shared" si="218"/>
        <v>363600</v>
      </c>
      <c r="W1500" t="s">
        <v>3961</v>
      </c>
    </row>
    <row r="1501" spans="1:23" x14ac:dyDescent="0.3">
      <c r="A1501" s="110">
        <v>2000147</v>
      </c>
      <c r="B1501" s="110" t="s">
        <v>1647</v>
      </c>
      <c r="C1501" s="110" t="s">
        <v>1647</v>
      </c>
      <c r="D1501" s="110" t="s">
        <v>1677</v>
      </c>
      <c r="E1501" s="110" t="s">
        <v>184</v>
      </c>
      <c r="F1501" s="110" t="s">
        <v>113</v>
      </c>
      <c r="G1501" s="110" t="s">
        <v>114</v>
      </c>
      <c r="H1501" s="111">
        <v>318</v>
      </c>
      <c r="I1501" s="111">
        <v>298</v>
      </c>
      <c r="J1501" s="111">
        <v>288</v>
      </c>
      <c r="K1501" s="111">
        <f t="shared" si="210"/>
        <v>301.33333333333331</v>
      </c>
      <c r="L1501" s="111">
        <v>200000</v>
      </c>
      <c r="M1501" s="111">
        <f t="shared" si="211"/>
        <v>90000</v>
      </c>
      <c r="N1501" s="111">
        <f t="shared" si="212"/>
        <v>90000</v>
      </c>
      <c r="O1501" s="111">
        <f t="shared" si="213"/>
        <v>18000</v>
      </c>
      <c r="P1501" s="111">
        <f t="shared" si="214"/>
        <v>20000</v>
      </c>
      <c r="Q1501" s="111">
        <v>50000</v>
      </c>
      <c r="R1501" s="111">
        <v>5</v>
      </c>
      <c r="S1501" s="111">
        <f t="shared" si="215"/>
        <v>5000</v>
      </c>
      <c r="T1501" s="111">
        <f t="shared" si="216"/>
        <v>250000</v>
      </c>
      <c r="U1501" s="111">
        <f t="shared" si="217"/>
        <v>2500</v>
      </c>
      <c r="V1501" s="111">
        <f t="shared" si="218"/>
        <v>252500</v>
      </c>
      <c r="W1501" t="s">
        <v>3962</v>
      </c>
    </row>
    <row r="1502" spans="1:23" x14ac:dyDescent="0.3">
      <c r="A1502" s="110">
        <v>2000148</v>
      </c>
      <c r="B1502" s="110" t="s">
        <v>1647</v>
      </c>
      <c r="C1502" s="110" t="s">
        <v>1647</v>
      </c>
      <c r="D1502" s="110" t="s">
        <v>1678</v>
      </c>
      <c r="E1502" s="110" t="s">
        <v>319</v>
      </c>
      <c r="F1502" s="110" t="s">
        <v>113</v>
      </c>
      <c r="G1502" s="110" t="s">
        <v>114</v>
      </c>
      <c r="H1502" s="111">
        <v>51</v>
      </c>
      <c r="I1502" s="111">
        <v>46</v>
      </c>
      <c r="J1502" s="111">
        <v>44</v>
      </c>
      <c r="K1502" s="111">
        <f t="shared" si="210"/>
        <v>47</v>
      </c>
      <c r="L1502" s="111">
        <v>50000</v>
      </c>
      <c r="M1502" s="111">
        <f t="shared" si="211"/>
        <v>22500</v>
      </c>
      <c r="N1502" s="111">
        <f t="shared" si="212"/>
        <v>22500</v>
      </c>
      <c r="O1502" s="111">
        <f t="shared" si="213"/>
        <v>4500</v>
      </c>
      <c r="P1502" s="111">
        <f t="shared" si="214"/>
        <v>5000</v>
      </c>
      <c r="Q1502" s="111">
        <v>10000</v>
      </c>
      <c r="R1502" s="111">
        <v>1</v>
      </c>
      <c r="S1502" s="111">
        <f t="shared" si="215"/>
        <v>1000</v>
      </c>
      <c r="T1502" s="111">
        <f t="shared" si="216"/>
        <v>60000</v>
      </c>
      <c r="U1502" s="111">
        <f t="shared" si="217"/>
        <v>600</v>
      </c>
      <c r="V1502" s="111">
        <f t="shared" si="218"/>
        <v>60600</v>
      </c>
      <c r="W1502" t="s">
        <v>3963</v>
      </c>
    </row>
    <row r="1503" spans="1:23" x14ac:dyDescent="0.3">
      <c r="A1503" s="110">
        <v>2000149</v>
      </c>
      <c r="B1503" s="110" t="s">
        <v>1647</v>
      </c>
      <c r="C1503" s="110" t="s">
        <v>1647</v>
      </c>
      <c r="D1503" s="110" t="s">
        <v>1679</v>
      </c>
      <c r="E1503" s="110" t="s">
        <v>1667</v>
      </c>
      <c r="F1503" s="110" t="s">
        <v>113</v>
      </c>
      <c r="G1503" s="110" t="s">
        <v>114</v>
      </c>
      <c r="H1503" s="111">
        <v>191</v>
      </c>
      <c r="I1503" s="111">
        <v>173</v>
      </c>
      <c r="J1503" s="111">
        <v>166</v>
      </c>
      <c r="K1503" s="111">
        <f t="shared" si="210"/>
        <v>176.66666666666666</v>
      </c>
      <c r="L1503" s="111">
        <v>150000</v>
      </c>
      <c r="M1503" s="111">
        <f t="shared" si="211"/>
        <v>67500</v>
      </c>
      <c r="N1503" s="111">
        <f t="shared" si="212"/>
        <v>67500</v>
      </c>
      <c r="O1503" s="111">
        <f t="shared" si="213"/>
        <v>13500</v>
      </c>
      <c r="P1503" s="111">
        <f t="shared" si="214"/>
        <v>15000</v>
      </c>
      <c r="Q1503" s="111">
        <v>30000</v>
      </c>
      <c r="R1503" s="111">
        <v>3</v>
      </c>
      <c r="S1503" s="111">
        <f t="shared" si="215"/>
        <v>3000</v>
      </c>
      <c r="T1503" s="111">
        <f t="shared" si="216"/>
        <v>180000</v>
      </c>
      <c r="U1503" s="111">
        <f t="shared" si="217"/>
        <v>1800</v>
      </c>
      <c r="V1503" s="111">
        <f t="shared" si="218"/>
        <v>181800</v>
      </c>
      <c r="W1503" t="s">
        <v>3964</v>
      </c>
    </row>
    <row r="1504" spans="1:23" x14ac:dyDescent="0.3">
      <c r="A1504" s="110">
        <v>2000150</v>
      </c>
      <c r="B1504" s="110" t="s">
        <v>1647</v>
      </c>
      <c r="C1504" s="110" t="s">
        <v>1647</v>
      </c>
      <c r="D1504" s="110" t="s">
        <v>1680</v>
      </c>
      <c r="E1504" s="110" t="s">
        <v>190</v>
      </c>
      <c r="F1504" s="110" t="s">
        <v>113</v>
      </c>
      <c r="G1504" s="110" t="s">
        <v>114</v>
      </c>
      <c r="H1504" s="111">
        <v>478</v>
      </c>
      <c r="I1504" s="111">
        <v>502</v>
      </c>
      <c r="J1504" s="111">
        <v>517</v>
      </c>
      <c r="K1504" s="111">
        <f t="shared" si="210"/>
        <v>499</v>
      </c>
      <c r="L1504" s="111">
        <f>300000</f>
        <v>300000</v>
      </c>
      <c r="M1504" s="111">
        <f t="shared" si="211"/>
        <v>135000</v>
      </c>
      <c r="N1504" s="111">
        <f t="shared" si="212"/>
        <v>135000</v>
      </c>
      <c r="O1504" s="111">
        <f t="shared" si="213"/>
        <v>27000</v>
      </c>
      <c r="P1504" s="111">
        <f t="shared" si="214"/>
        <v>30000</v>
      </c>
      <c r="Q1504" s="111">
        <v>60000</v>
      </c>
      <c r="R1504" s="111">
        <v>6</v>
      </c>
      <c r="S1504" s="111">
        <f t="shared" si="215"/>
        <v>6000</v>
      </c>
      <c r="T1504" s="111">
        <f t="shared" si="216"/>
        <v>360000</v>
      </c>
      <c r="U1504" s="111">
        <f t="shared" si="217"/>
        <v>3600</v>
      </c>
      <c r="V1504" s="111">
        <f t="shared" si="218"/>
        <v>363600</v>
      </c>
      <c r="W1504" t="s">
        <v>3965</v>
      </c>
    </row>
    <row r="1505" spans="1:23" x14ac:dyDescent="0.3">
      <c r="A1505" s="110">
        <v>2000151</v>
      </c>
      <c r="B1505" s="110" t="s">
        <v>1647</v>
      </c>
      <c r="C1505" s="110" t="s">
        <v>1647</v>
      </c>
      <c r="D1505" s="110" t="s">
        <v>1681</v>
      </c>
      <c r="E1505" s="110" t="s">
        <v>646</v>
      </c>
      <c r="F1505" s="110" t="s">
        <v>209</v>
      </c>
      <c r="G1505" s="110" t="s">
        <v>114</v>
      </c>
      <c r="H1505" s="111">
        <v>66</v>
      </c>
      <c r="I1505" s="111">
        <v>70</v>
      </c>
      <c r="J1505" s="111">
        <v>70</v>
      </c>
      <c r="K1505" s="111">
        <f t="shared" si="210"/>
        <v>68.666666666666671</v>
      </c>
      <c r="L1505" s="111">
        <v>150000</v>
      </c>
      <c r="M1505" s="111">
        <f t="shared" si="211"/>
        <v>67500</v>
      </c>
      <c r="N1505" s="111">
        <f t="shared" si="212"/>
        <v>67500</v>
      </c>
      <c r="O1505" s="111">
        <f t="shared" si="213"/>
        <v>13500</v>
      </c>
      <c r="P1505" s="111">
        <f t="shared" si="214"/>
        <v>15000</v>
      </c>
      <c r="Q1505" s="111">
        <v>30000</v>
      </c>
      <c r="R1505" s="111">
        <v>3</v>
      </c>
      <c r="S1505" s="111">
        <f t="shared" si="215"/>
        <v>3000</v>
      </c>
      <c r="T1505" s="111">
        <f t="shared" si="216"/>
        <v>180000</v>
      </c>
      <c r="U1505" s="111">
        <f t="shared" si="217"/>
        <v>1800</v>
      </c>
      <c r="V1505" s="111">
        <f t="shared" si="218"/>
        <v>181800</v>
      </c>
      <c r="W1505" t="s">
        <v>3966</v>
      </c>
    </row>
    <row r="1506" spans="1:23" x14ac:dyDescent="0.3">
      <c r="A1506" s="110">
        <v>2000201</v>
      </c>
      <c r="B1506" s="110" t="s">
        <v>1647</v>
      </c>
      <c r="C1506" s="110" t="s">
        <v>1682</v>
      </c>
      <c r="D1506" s="110" t="s">
        <v>1682</v>
      </c>
      <c r="E1506" s="110" t="s">
        <v>474</v>
      </c>
      <c r="F1506" s="110" t="s">
        <v>119</v>
      </c>
      <c r="G1506" s="110" t="s">
        <v>114</v>
      </c>
      <c r="H1506" s="111">
        <v>648</v>
      </c>
      <c r="I1506" s="111">
        <v>627</v>
      </c>
      <c r="J1506" s="111">
        <v>647</v>
      </c>
      <c r="K1506" s="111">
        <f t="shared" si="210"/>
        <v>640.66666666666663</v>
      </c>
      <c r="L1506" s="111">
        <f>300000</f>
        <v>300000</v>
      </c>
      <c r="M1506" s="111">
        <f t="shared" si="211"/>
        <v>135000</v>
      </c>
      <c r="N1506" s="111">
        <f t="shared" si="212"/>
        <v>135000</v>
      </c>
      <c r="O1506" s="111">
        <f t="shared" si="213"/>
        <v>27000</v>
      </c>
      <c r="P1506" s="111">
        <f t="shared" si="214"/>
        <v>30000</v>
      </c>
      <c r="Q1506" s="111">
        <v>60000</v>
      </c>
      <c r="R1506" s="111">
        <v>6</v>
      </c>
      <c r="S1506" s="111">
        <f t="shared" si="215"/>
        <v>6000</v>
      </c>
      <c r="T1506" s="111">
        <f t="shared" si="216"/>
        <v>360000</v>
      </c>
      <c r="U1506" s="111">
        <f t="shared" si="217"/>
        <v>3600</v>
      </c>
      <c r="V1506" s="111">
        <f t="shared" si="218"/>
        <v>363600</v>
      </c>
      <c r="W1506" t="s">
        <v>3967</v>
      </c>
    </row>
    <row r="1507" spans="1:23" x14ac:dyDescent="0.3">
      <c r="A1507" s="110">
        <v>2000204</v>
      </c>
      <c r="B1507" s="110" t="s">
        <v>1647</v>
      </c>
      <c r="C1507" s="110" t="s">
        <v>1682</v>
      </c>
      <c r="D1507" s="110" t="s">
        <v>1350</v>
      </c>
      <c r="E1507" s="110" t="s">
        <v>1683</v>
      </c>
      <c r="F1507" s="110" t="s">
        <v>113</v>
      </c>
      <c r="G1507" s="110" t="s">
        <v>114</v>
      </c>
      <c r="H1507" s="111">
        <v>13</v>
      </c>
      <c r="I1507" s="111">
        <v>12</v>
      </c>
      <c r="J1507" s="111">
        <v>11</v>
      </c>
      <c r="K1507" s="111">
        <f t="shared" si="210"/>
        <v>12</v>
      </c>
      <c r="L1507" s="111">
        <v>50000</v>
      </c>
      <c r="M1507" s="111">
        <f t="shared" si="211"/>
        <v>22500</v>
      </c>
      <c r="N1507" s="111">
        <f t="shared" si="212"/>
        <v>22500</v>
      </c>
      <c r="O1507" s="111">
        <f t="shared" si="213"/>
        <v>4500</v>
      </c>
      <c r="P1507" s="111">
        <f t="shared" si="214"/>
        <v>5000</v>
      </c>
      <c r="Q1507" s="111">
        <v>10000</v>
      </c>
      <c r="R1507" s="111">
        <v>1</v>
      </c>
      <c r="S1507" s="111">
        <f t="shared" si="215"/>
        <v>1000</v>
      </c>
      <c r="T1507" s="111">
        <f t="shared" si="216"/>
        <v>60000</v>
      </c>
      <c r="U1507" s="111">
        <f t="shared" si="217"/>
        <v>600</v>
      </c>
      <c r="V1507" s="111">
        <f t="shared" si="218"/>
        <v>60600</v>
      </c>
      <c r="W1507" t="s">
        <v>3968</v>
      </c>
    </row>
    <row r="1508" spans="1:23" x14ac:dyDescent="0.3">
      <c r="A1508" s="110">
        <v>2000205</v>
      </c>
      <c r="B1508" s="110" t="s">
        <v>1647</v>
      </c>
      <c r="C1508" s="110" t="s">
        <v>1682</v>
      </c>
      <c r="D1508" s="110" t="s">
        <v>1684</v>
      </c>
      <c r="E1508" s="110" t="s">
        <v>184</v>
      </c>
      <c r="F1508" s="110" t="s">
        <v>113</v>
      </c>
      <c r="G1508" s="110" t="s">
        <v>114</v>
      </c>
      <c r="H1508" s="111">
        <v>32</v>
      </c>
      <c r="I1508" s="111">
        <v>36</v>
      </c>
      <c r="J1508" s="111">
        <v>36</v>
      </c>
      <c r="K1508" s="111">
        <f t="shared" si="210"/>
        <v>34.666666666666664</v>
      </c>
      <c r="L1508" s="111">
        <v>50000</v>
      </c>
      <c r="M1508" s="111">
        <f t="shared" si="211"/>
        <v>22500</v>
      </c>
      <c r="N1508" s="111">
        <f t="shared" si="212"/>
        <v>22500</v>
      </c>
      <c r="O1508" s="111">
        <f t="shared" si="213"/>
        <v>4500</v>
      </c>
      <c r="P1508" s="111">
        <f t="shared" si="214"/>
        <v>5000</v>
      </c>
      <c r="Q1508" s="111">
        <v>10000</v>
      </c>
      <c r="R1508" s="111">
        <v>1</v>
      </c>
      <c r="S1508" s="111">
        <f t="shared" si="215"/>
        <v>1000</v>
      </c>
      <c r="T1508" s="111">
        <f t="shared" si="216"/>
        <v>60000</v>
      </c>
      <c r="U1508" s="111">
        <f t="shared" si="217"/>
        <v>600</v>
      </c>
      <c r="V1508" s="111">
        <f t="shared" si="218"/>
        <v>60600</v>
      </c>
      <c r="W1508" t="s">
        <v>3969</v>
      </c>
    </row>
    <row r="1509" spans="1:23" x14ac:dyDescent="0.3">
      <c r="A1509" s="110">
        <v>2000206</v>
      </c>
      <c r="B1509" s="110" t="s">
        <v>1647</v>
      </c>
      <c r="C1509" s="110" t="s">
        <v>1682</v>
      </c>
      <c r="D1509" s="110" t="s">
        <v>1685</v>
      </c>
      <c r="E1509" s="110" t="s">
        <v>1686</v>
      </c>
      <c r="F1509" s="110" t="s">
        <v>113</v>
      </c>
      <c r="G1509" s="110" t="s">
        <v>114</v>
      </c>
      <c r="H1509" s="111">
        <v>356</v>
      </c>
      <c r="I1509" s="111">
        <v>377</v>
      </c>
      <c r="J1509" s="111">
        <v>377</v>
      </c>
      <c r="K1509" s="111">
        <f t="shared" si="210"/>
        <v>370</v>
      </c>
      <c r="L1509" s="111">
        <f>200000*0.7</f>
        <v>140000</v>
      </c>
      <c r="M1509" s="111">
        <f t="shared" si="211"/>
        <v>63000</v>
      </c>
      <c r="N1509" s="111">
        <f t="shared" si="212"/>
        <v>63000</v>
      </c>
      <c r="O1509" s="111">
        <f t="shared" si="213"/>
        <v>12600</v>
      </c>
      <c r="P1509" s="111">
        <f t="shared" si="214"/>
        <v>14000</v>
      </c>
      <c r="Q1509" s="111">
        <v>50000</v>
      </c>
      <c r="R1509" s="111">
        <v>5</v>
      </c>
      <c r="S1509" s="111">
        <f t="shared" si="215"/>
        <v>5000</v>
      </c>
      <c r="T1509" s="111">
        <f t="shared" si="216"/>
        <v>190000</v>
      </c>
      <c r="U1509" s="111">
        <f t="shared" si="217"/>
        <v>1900</v>
      </c>
      <c r="V1509" s="111">
        <f t="shared" si="218"/>
        <v>191900</v>
      </c>
      <c r="W1509" t="s">
        <v>3970</v>
      </c>
    </row>
    <row r="1510" spans="1:23" x14ac:dyDescent="0.3">
      <c r="A1510" s="110">
        <v>2000208</v>
      </c>
      <c r="B1510" s="110" t="s">
        <v>1647</v>
      </c>
      <c r="C1510" s="110" t="s">
        <v>1682</v>
      </c>
      <c r="D1510" s="110" t="s">
        <v>1687</v>
      </c>
      <c r="E1510" s="110" t="s">
        <v>143</v>
      </c>
      <c r="F1510" s="110" t="s">
        <v>113</v>
      </c>
      <c r="G1510" s="110" t="s">
        <v>114</v>
      </c>
      <c r="H1510" s="111">
        <v>29</v>
      </c>
      <c r="I1510" s="111">
        <v>26</v>
      </c>
      <c r="J1510" s="111">
        <v>28</v>
      </c>
      <c r="K1510" s="111">
        <f t="shared" si="210"/>
        <v>27.666666666666668</v>
      </c>
      <c r="L1510" s="111">
        <v>50000</v>
      </c>
      <c r="M1510" s="111">
        <f t="shared" si="211"/>
        <v>22500</v>
      </c>
      <c r="N1510" s="111">
        <f t="shared" si="212"/>
        <v>22500</v>
      </c>
      <c r="O1510" s="111">
        <f t="shared" si="213"/>
        <v>4500</v>
      </c>
      <c r="P1510" s="111">
        <f t="shared" si="214"/>
        <v>5000</v>
      </c>
      <c r="Q1510" s="111">
        <v>10000</v>
      </c>
      <c r="R1510" s="111">
        <v>1</v>
      </c>
      <c r="S1510" s="111">
        <f t="shared" si="215"/>
        <v>1000</v>
      </c>
      <c r="T1510" s="111">
        <f t="shared" si="216"/>
        <v>60000</v>
      </c>
      <c r="U1510" s="111">
        <f t="shared" si="217"/>
        <v>600</v>
      </c>
      <c r="V1510" s="111">
        <f t="shared" si="218"/>
        <v>60600</v>
      </c>
      <c r="W1510" t="s">
        <v>3971</v>
      </c>
    </row>
    <row r="1511" spans="1:23" x14ac:dyDescent="0.3">
      <c r="A1511" s="110">
        <v>2000209</v>
      </c>
      <c r="B1511" s="110" t="s">
        <v>1647</v>
      </c>
      <c r="C1511" s="110" t="s">
        <v>1682</v>
      </c>
      <c r="D1511" s="110" t="s">
        <v>1688</v>
      </c>
      <c r="E1511" s="110" t="s">
        <v>184</v>
      </c>
      <c r="F1511" s="110" t="s">
        <v>113</v>
      </c>
      <c r="G1511" s="110" t="s">
        <v>114</v>
      </c>
      <c r="H1511" s="111">
        <v>55</v>
      </c>
      <c r="I1511" s="111">
        <v>53</v>
      </c>
      <c r="J1511" s="111">
        <v>55</v>
      </c>
      <c r="K1511" s="111">
        <f t="shared" si="210"/>
        <v>54.333333333333336</v>
      </c>
      <c r="L1511" s="111">
        <v>150000</v>
      </c>
      <c r="M1511" s="111">
        <f t="shared" si="211"/>
        <v>67500</v>
      </c>
      <c r="N1511" s="111">
        <f t="shared" si="212"/>
        <v>67500</v>
      </c>
      <c r="O1511" s="111">
        <f t="shared" si="213"/>
        <v>13500</v>
      </c>
      <c r="P1511" s="111">
        <f t="shared" si="214"/>
        <v>15000</v>
      </c>
      <c r="Q1511" s="111">
        <v>30000</v>
      </c>
      <c r="R1511" s="111">
        <v>3</v>
      </c>
      <c r="S1511" s="111">
        <f t="shared" si="215"/>
        <v>3000</v>
      </c>
      <c r="T1511" s="111">
        <f t="shared" si="216"/>
        <v>180000</v>
      </c>
      <c r="U1511" s="111">
        <f t="shared" si="217"/>
        <v>1800</v>
      </c>
      <c r="V1511" s="111">
        <f t="shared" si="218"/>
        <v>181800</v>
      </c>
      <c r="W1511" t="s">
        <v>3972</v>
      </c>
    </row>
    <row r="1512" spans="1:23" x14ac:dyDescent="0.3">
      <c r="A1512" s="110">
        <v>2000212</v>
      </c>
      <c r="B1512" s="110" t="s">
        <v>1647</v>
      </c>
      <c r="C1512" s="110" t="s">
        <v>1682</v>
      </c>
      <c r="D1512" s="110" t="s">
        <v>1689</v>
      </c>
      <c r="E1512" s="110" t="s">
        <v>368</v>
      </c>
      <c r="F1512" s="110" t="s">
        <v>113</v>
      </c>
      <c r="G1512" s="110" t="s">
        <v>114</v>
      </c>
      <c r="H1512" s="111">
        <v>34</v>
      </c>
      <c r="I1512" s="111">
        <v>30</v>
      </c>
      <c r="J1512" s="111">
        <v>36</v>
      </c>
      <c r="K1512" s="111">
        <f t="shared" si="210"/>
        <v>33.333333333333336</v>
      </c>
      <c r="L1512" s="111">
        <v>50000</v>
      </c>
      <c r="M1512" s="111">
        <f t="shared" si="211"/>
        <v>22500</v>
      </c>
      <c r="N1512" s="111">
        <f t="shared" si="212"/>
        <v>22500</v>
      </c>
      <c r="O1512" s="111">
        <f t="shared" si="213"/>
        <v>4500</v>
      </c>
      <c r="P1512" s="111">
        <f t="shared" si="214"/>
        <v>5000</v>
      </c>
      <c r="Q1512" s="111">
        <v>10000</v>
      </c>
      <c r="R1512" s="111">
        <v>1</v>
      </c>
      <c r="S1512" s="111">
        <f t="shared" si="215"/>
        <v>1000</v>
      </c>
      <c r="T1512" s="111">
        <f t="shared" si="216"/>
        <v>60000</v>
      </c>
      <c r="U1512" s="111">
        <f t="shared" si="217"/>
        <v>600</v>
      </c>
      <c r="V1512" s="111">
        <f t="shared" si="218"/>
        <v>60600</v>
      </c>
      <c r="W1512" t="s">
        <v>3973</v>
      </c>
    </row>
    <row r="1513" spans="1:23" x14ac:dyDescent="0.3">
      <c r="A1513" s="110">
        <v>2000213</v>
      </c>
      <c r="B1513" s="110" t="s">
        <v>1647</v>
      </c>
      <c r="C1513" s="110" t="s">
        <v>1682</v>
      </c>
      <c r="D1513" s="110" t="s">
        <v>1690</v>
      </c>
      <c r="E1513" s="110" t="s">
        <v>399</v>
      </c>
      <c r="F1513" s="110" t="s">
        <v>113</v>
      </c>
      <c r="G1513" s="110" t="s">
        <v>114</v>
      </c>
      <c r="H1513" s="111">
        <v>34</v>
      </c>
      <c r="I1513" s="111">
        <v>42</v>
      </c>
      <c r="J1513" s="111">
        <v>32</v>
      </c>
      <c r="K1513" s="111">
        <f t="shared" si="210"/>
        <v>36</v>
      </c>
      <c r="L1513" s="111">
        <v>50000</v>
      </c>
      <c r="M1513" s="111">
        <f t="shared" si="211"/>
        <v>22500</v>
      </c>
      <c r="N1513" s="111">
        <f t="shared" si="212"/>
        <v>22500</v>
      </c>
      <c r="O1513" s="111">
        <f t="shared" si="213"/>
        <v>4500</v>
      </c>
      <c r="P1513" s="111">
        <f t="shared" si="214"/>
        <v>5000</v>
      </c>
      <c r="Q1513" s="111">
        <v>10000</v>
      </c>
      <c r="R1513" s="111">
        <v>1</v>
      </c>
      <c r="S1513" s="111">
        <f t="shared" si="215"/>
        <v>1000</v>
      </c>
      <c r="T1513" s="111">
        <f t="shared" si="216"/>
        <v>60000</v>
      </c>
      <c r="U1513" s="111">
        <f t="shared" si="217"/>
        <v>600</v>
      </c>
      <c r="V1513" s="111">
        <f t="shared" si="218"/>
        <v>60600</v>
      </c>
      <c r="W1513" t="s">
        <v>3974</v>
      </c>
    </row>
    <row r="1514" spans="1:23" x14ac:dyDescent="0.3">
      <c r="A1514" s="110">
        <v>2000214</v>
      </c>
      <c r="B1514" s="110" t="s">
        <v>1647</v>
      </c>
      <c r="C1514" s="110" t="s">
        <v>1682</v>
      </c>
      <c r="D1514" s="110" t="s">
        <v>1691</v>
      </c>
      <c r="E1514" s="110" t="s">
        <v>406</v>
      </c>
      <c r="F1514" s="110" t="s">
        <v>113</v>
      </c>
      <c r="G1514" s="110" t="s">
        <v>114</v>
      </c>
      <c r="H1514" s="111">
        <v>253</v>
      </c>
      <c r="I1514" s="111">
        <v>241</v>
      </c>
      <c r="J1514" s="111">
        <v>206</v>
      </c>
      <c r="K1514" s="111">
        <f t="shared" si="210"/>
        <v>233.33333333333334</v>
      </c>
      <c r="L1514" s="111">
        <v>200000</v>
      </c>
      <c r="M1514" s="111">
        <f t="shared" si="211"/>
        <v>90000</v>
      </c>
      <c r="N1514" s="111">
        <f t="shared" si="212"/>
        <v>90000</v>
      </c>
      <c r="O1514" s="111">
        <f t="shared" si="213"/>
        <v>18000</v>
      </c>
      <c r="P1514" s="111">
        <f t="shared" si="214"/>
        <v>20000</v>
      </c>
      <c r="Q1514" s="111">
        <v>50000</v>
      </c>
      <c r="R1514" s="111">
        <v>5</v>
      </c>
      <c r="S1514" s="111">
        <f t="shared" si="215"/>
        <v>5000</v>
      </c>
      <c r="T1514" s="111">
        <f t="shared" si="216"/>
        <v>250000</v>
      </c>
      <c r="U1514" s="111">
        <f t="shared" si="217"/>
        <v>2500</v>
      </c>
      <c r="V1514" s="111">
        <f t="shared" si="218"/>
        <v>252500</v>
      </c>
      <c r="W1514" t="s">
        <v>3975</v>
      </c>
    </row>
    <row r="1515" spans="1:23" x14ac:dyDescent="0.3">
      <c r="A1515" s="110">
        <v>2000301</v>
      </c>
      <c r="B1515" s="110" t="s">
        <v>1647</v>
      </c>
      <c r="C1515" s="110" t="s">
        <v>1692</v>
      </c>
      <c r="D1515" s="110" t="s">
        <v>1692</v>
      </c>
      <c r="E1515" s="110" t="s">
        <v>1693</v>
      </c>
      <c r="F1515" s="110" t="s">
        <v>209</v>
      </c>
      <c r="G1515" s="110" t="s">
        <v>114</v>
      </c>
      <c r="H1515" s="111">
        <v>141</v>
      </c>
      <c r="I1515" s="111">
        <v>143</v>
      </c>
      <c r="J1515" s="111">
        <v>139</v>
      </c>
      <c r="K1515" s="111">
        <f t="shared" si="210"/>
        <v>141</v>
      </c>
      <c r="L1515" s="111">
        <v>150000</v>
      </c>
      <c r="M1515" s="111">
        <f t="shared" si="211"/>
        <v>67500</v>
      </c>
      <c r="N1515" s="111">
        <f t="shared" si="212"/>
        <v>67500</v>
      </c>
      <c r="O1515" s="111">
        <f t="shared" si="213"/>
        <v>13500</v>
      </c>
      <c r="P1515" s="111">
        <f t="shared" si="214"/>
        <v>15000</v>
      </c>
      <c r="Q1515" s="111">
        <v>30000</v>
      </c>
      <c r="R1515" s="111">
        <v>3</v>
      </c>
      <c r="S1515" s="111">
        <f t="shared" si="215"/>
        <v>3000</v>
      </c>
      <c r="T1515" s="111">
        <f t="shared" si="216"/>
        <v>180000</v>
      </c>
      <c r="U1515" s="111">
        <f t="shared" si="217"/>
        <v>1800</v>
      </c>
      <c r="V1515" s="111">
        <f t="shared" si="218"/>
        <v>181800</v>
      </c>
      <c r="W1515" t="s">
        <v>3976</v>
      </c>
    </row>
    <row r="1516" spans="1:23" x14ac:dyDescent="0.3">
      <c r="A1516" s="110">
        <v>2000302</v>
      </c>
      <c r="B1516" s="110" t="s">
        <v>1647</v>
      </c>
      <c r="C1516" s="110" t="s">
        <v>1692</v>
      </c>
      <c r="D1516" s="110" t="s">
        <v>1692</v>
      </c>
      <c r="E1516" s="110" t="s">
        <v>995</v>
      </c>
      <c r="F1516" s="110" t="s">
        <v>209</v>
      </c>
      <c r="G1516" s="110" t="s">
        <v>114</v>
      </c>
      <c r="H1516" s="111">
        <v>188</v>
      </c>
      <c r="I1516" s="111">
        <v>191</v>
      </c>
      <c r="J1516" s="111">
        <v>192</v>
      </c>
      <c r="K1516" s="111">
        <f t="shared" si="210"/>
        <v>190.33333333333334</v>
      </c>
      <c r="L1516" s="111">
        <v>150000</v>
      </c>
      <c r="M1516" s="111">
        <f t="shared" si="211"/>
        <v>67500</v>
      </c>
      <c r="N1516" s="111">
        <f t="shared" si="212"/>
        <v>67500</v>
      </c>
      <c r="O1516" s="111">
        <f t="shared" si="213"/>
        <v>13500</v>
      </c>
      <c r="P1516" s="111">
        <f t="shared" si="214"/>
        <v>15000</v>
      </c>
      <c r="Q1516" s="111">
        <v>30000</v>
      </c>
      <c r="R1516" s="111">
        <v>3</v>
      </c>
      <c r="S1516" s="111">
        <f t="shared" si="215"/>
        <v>3000</v>
      </c>
      <c r="T1516" s="111">
        <f t="shared" si="216"/>
        <v>180000</v>
      </c>
      <c r="U1516" s="111">
        <f t="shared" si="217"/>
        <v>1800</v>
      </c>
      <c r="V1516" s="111">
        <f t="shared" si="218"/>
        <v>181800</v>
      </c>
      <c r="W1516" t="s">
        <v>3977</v>
      </c>
    </row>
    <row r="1517" spans="1:23" x14ac:dyDescent="0.3">
      <c r="A1517" s="110">
        <v>2000303</v>
      </c>
      <c r="B1517" s="110" t="s">
        <v>1647</v>
      </c>
      <c r="C1517" s="110" t="s">
        <v>1692</v>
      </c>
      <c r="D1517" s="110" t="s">
        <v>1692</v>
      </c>
      <c r="E1517" s="110" t="s">
        <v>353</v>
      </c>
      <c r="F1517" s="110" t="s">
        <v>113</v>
      </c>
      <c r="G1517" s="110" t="s">
        <v>114</v>
      </c>
      <c r="H1517" s="111">
        <v>368</v>
      </c>
      <c r="I1517" s="111">
        <v>363</v>
      </c>
      <c r="J1517" s="111">
        <v>295</v>
      </c>
      <c r="K1517" s="111">
        <f t="shared" si="210"/>
        <v>342</v>
      </c>
      <c r="L1517" s="111">
        <v>200000</v>
      </c>
      <c r="M1517" s="111">
        <f t="shared" si="211"/>
        <v>90000</v>
      </c>
      <c r="N1517" s="111">
        <f t="shared" si="212"/>
        <v>90000</v>
      </c>
      <c r="O1517" s="111">
        <f t="shared" si="213"/>
        <v>18000</v>
      </c>
      <c r="P1517" s="111">
        <f t="shared" si="214"/>
        <v>20000</v>
      </c>
      <c r="Q1517" s="111">
        <v>50000</v>
      </c>
      <c r="R1517" s="111">
        <v>5</v>
      </c>
      <c r="S1517" s="111">
        <f t="shared" si="215"/>
        <v>5000</v>
      </c>
      <c r="T1517" s="111">
        <f t="shared" si="216"/>
        <v>250000</v>
      </c>
      <c r="U1517" s="111">
        <f t="shared" si="217"/>
        <v>2500</v>
      </c>
      <c r="V1517" s="111">
        <f t="shared" si="218"/>
        <v>252500</v>
      </c>
      <c r="W1517" t="s">
        <v>3978</v>
      </c>
    </row>
    <row r="1518" spans="1:23" x14ac:dyDescent="0.3">
      <c r="A1518" s="110">
        <v>2000304</v>
      </c>
      <c r="B1518" s="110" t="s">
        <v>1647</v>
      </c>
      <c r="C1518" s="110" t="s">
        <v>1692</v>
      </c>
      <c r="D1518" s="110" t="s">
        <v>1692</v>
      </c>
      <c r="E1518" s="110" t="s">
        <v>137</v>
      </c>
      <c r="F1518" s="110" t="s">
        <v>119</v>
      </c>
      <c r="G1518" s="110" t="s">
        <v>114</v>
      </c>
      <c r="H1518" s="111">
        <v>318</v>
      </c>
      <c r="I1518" s="111">
        <v>313</v>
      </c>
      <c r="J1518" s="111">
        <v>328</v>
      </c>
      <c r="K1518" s="111">
        <f t="shared" si="210"/>
        <v>319.66666666666669</v>
      </c>
      <c r="L1518" s="111">
        <v>200000</v>
      </c>
      <c r="M1518" s="111">
        <f t="shared" si="211"/>
        <v>90000</v>
      </c>
      <c r="N1518" s="111">
        <f t="shared" si="212"/>
        <v>90000</v>
      </c>
      <c r="O1518" s="111">
        <f t="shared" si="213"/>
        <v>18000</v>
      </c>
      <c r="P1518" s="111">
        <f t="shared" si="214"/>
        <v>20000</v>
      </c>
      <c r="Q1518" s="111">
        <v>50000</v>
      </c>
      <c r="R1518" s="111">
        <v>5</v>
      </c>
      <c r="S1518" s="111">
        <f t="shared" si="215"/>
        <v>5000</v>
      </c>
      <c r="T1518" s="111">
        <f t="shared" si="216"/>
        <v>250000</v>
      </c>
      <c r="U1518" s="111">
        <f t="shared" si="217"/>
        <v>2500</v>
      </c>
      <c r="V1518" s="111">
        <f t="shared" si="218"/>
        <v>252500</v>
      </c>
      <c r="W1518" t="s">
        <v>3979</v>
      </c>
    </row>
    <row r="1519" spans="1:23" x14ac:dyDescent="0.3">
      <c r="A1519" s="110">
        <v>2000305</v>
      </c>
      <c r="B1519" s="110" t="s">
        <v>1647</v>
      </c>
      <c r="C1519" s="110" t="s">
        <v>1692</v>
      </c>
      <c r="D1519" s="110" t="s">
        <v>1692</v>
      </c>
      <c r="E1519" s="110" t="s">
        <v>272</v>
      </c>
      <c r="F1519" s="110" t="s">
        <v>119</v>
      </c>
      <c r="G1519" s="110" t="s">
        <v>114</v>
      </c>
      <c r="H1519" s="111">
        <v>998</v>
      </c>
      <c r="I1519" s="111">
        <v>996</v>
      </c>
      <c r="J1519" s="111">
        <v>950</v>
      </c>
      <c r="K1519" s="111">
        <f t="shared" si="210"/>
        <v>981.33333333333337</v>
      </c>
      <c r="L1519" s="111">
        <f>300000</f>
        <v>300000</v>
      </c>
      <c r="M1519" s="111">
        <f t="shared" si="211"/>
        <v>135000</v>
      </c>
      <c r="N1519" s="111">
        <f t="shared" si="212"/>
        <v>135000</v>
      </c>
      <c r="O1519" s="111">
        <f t="shared" si="213"/>
        <v>27000</v>
      </c>
      <c r="P1519" s="111">
        <f t="shared" si="214"/>
        <v>30000</v>
      </c>
      <c r="Q1519" s="111">
        <v>60000</v>
      </c>
      <c r="R1519" s="111">
        <v>6</v>
      </c>
      <c r="S1519" s="111">
        <f t="shared" si="215"/>
        <v>6000</v>
      </c>
      <c r="T1519" s="111">
        <f t="shared" si="216"/>
        <v>360000</v>
      </c>
      <c r="U1519" s="111">
        <f t="shared" si="217"/>
        <v>3600</v>
      </c>
      <c r="V1519" s="111">
        <f t="shared" si="218"/>
        <v>363600</v>
      </c>
      <c r="W1519" t="s">
        <v>3980</v>
      </c>
    </row>
    <row r="1520" spans="1:23" x14ac:dyDescent="0.3">
      <c r="A1520" s="110">
        <v>2000306</v>
      </c>
      <c r="B1520" s="110" t="s">
        <v>1647</v>
      </c>
      <c r="C1520" s="110" t="s">
        <v>1692</v>
      </c>
      <c r="D1520" s="110" t="s">
        <v>1692</v>
      </c>
      <c r="E1520" s="110" t="s">
        <v>357</v>
      </c>
      <c r="F1520" s="110" t="s">
        <v>117</v>
      </c>
      <c r="G1520" s="110" t="s">
        <v>114</v>
      </c>
      <c r="H1520" s="111">
        <v>364</v>
      </c>
      <c r="I1520" s="111">
        <v>365</v>
      </c>
      <c r="J1520" s="111">
        <v>339</v>
      </c>
      <c r="K1520" s="111">
        <f t="shared" si="210"/>
        <v>356</v>
      </c>
      <c r="L1520" s="111">
        <v>200000</v>
      </c>
      <c r="M1520" s="111">
        <f t="shared" si="211"/>
        <v>90000</v>
      </c>
      <c r="N1520" s="111">
        <f t="shared" si="212"/>
        <v>90000</v>
      </c>
      <c r="O1520" s="111">
        <f t="shared" si="213"/>
        <v>18000</v>
      </c>
      <c r="P1520" s="111">
        <f t="shared" si="214"/>
        <v>20000</v>
      </c>
      <c r="Q1520" s="111">
        <v>50000</v>
      </c>
      <c r="R1520" s="111">
        <v>5</v>
      </c>
      <c r="S1520" s="111">
        <f t="shared" si="215"/>
        <v>5000</v>
      </c>
      <c r="T1520" s="111">
        <f t="shared" si="216"/>
        <v>250000</v>
      </c>
      <c r="U1520" s="111">
        <f t="shared" si="217"/>
        <v>2500</v>
      </c>
      <c r="V1520" s="111">
        <f t="shared" si="218"/>
        <v>252500</v>
      </c>
      <c r="W1520" t="s">
        <v>3981</v>
      </c>
    </row>
    <row r="1521" spans="1:23" x14ac:dyDescent="0.3">
      <c r="A1521" s="110">
        <v>2000307</v>
      </c>
      <c r="B1521" s="110" t="s">
        <v>1647</v>
      </c>
      <c r="C1521" s="110" t="s">
        <v>1692</v>
      </c>
      <c r="D1521" s="110" t="s">
        <v>1692</v>
      </c>
      <c r="E1521" s="110" t="s">
        <v>1694</v>
      </c>
      <c r="F1521" s="110" t="s">
        <v>117</v>
      </c>
      <c r="G1521" s="110" t="s">
        <v>125</v>
      </c>
      <c r="H1521" s="111">
        <v>205</v>
      </c>
      <c r="I1521" s="111">
        <v>240</v>
      </c>
      <c r="J1521" s="111">
        <v>253</v>
      </c>
      <c r="K1521" s="111">
        <f t="shared" si="210"/>
        <v>232.66666666666666</v>
      </c>
      <c r="L1521" s="111">
        <v>200000</v>
      </c>
      <c r="M1521" s="111">
        <f t="shared" si="211"/>
        <v>90000</v>
      </c>
      <c r="N1521" s="111">
        <f t="shared" si="212"/>
        <v>90000</v>
      </c>
      <c r="O1521" s="111">
        <f t="shared" si="213"/>
        <v>18000</v>
      </c>
      <c r="P1521" s="111">
        <f t="shared" si="214"/>
        <v>20000</v>
      </c>
      <c r="Q1521" s="111">
        <v>50000</v>
      </c>
      <c r="R1521" s="111">
        <v>5</v>
      </c>
      <c r="S1521" s="111">
        <f t="shared" si="215"/>
        <v>5000</v>
      </c>
      <c r="T1521" s="111">
        <f t="shared" si="216"/>
        <v>250000</v>
      </c>
      <c r="U1521" s="111">
        <f t="shared" si="217"/>
        <v>2500</v>
      </c>
      <c r="V1521" s="111">
        <f t="shared" si="218"/>
        <v>252500</v>
      </c>
      <c r="W1521" t="s">
        <v>3982</v>
      </c>
    </row>
    <row r="1522" spans="1:23" x14ac:dyDescent="0.3">
      <c r="A1522" s="110">
        <v>2000308</v>
      </c>
      <c r="B1522" s="110" t="s">
        <v>1647</v>
      </c>
      <c r="C1522" s="110" t="s">
        <v>1692</v>
      </c>
      <c r="D1522" s="110" t="s">
        <v>1692</v>
      </c>
      <c r="E1522" s="110" t="s">
        <v>850</v>
      </c>
      <c r="F1522" s="110" t="s">
        <v>135</v>
      </c>
      <c r="G1522" s="110" t="s">
        <v>114</v>
      </c>
      <c r="H1522" s="111">
        <v>37</v>
      </c>
      <c r="I1522" s="111">
        <v>38</v>
      </c>
      <c r="J1522" s="111">
        <v>40</v>
      </c>
      <c r="K1522" s="111">
        <f t="shared" si="210"/>
        <v>38.333333333333336</v>
      </c>
      <c r="L1522" s="111">
        <v>50000</v>
      </c>
      <c r="M1522" s="111">
        <f t="shared" si="211"/>
        <v>22500</v>
      </c>
      <c r="N1522" s="111">
        <f t="shared" si="212"/>
        <v>22500</v>
      </c>
      <c r="O1522" s="111">
        <f t="shared" si="213"/>
        <v>4500</v>
      </c>
      <c r="P1522" s="111">
        <f t="shared" si="214"/>
        <v>5000</v>
      </c>
      <c r="Q1522" s="111">
        <v>10000</v>
      </c>
      <c r="R1522" s="111">
        <v>1</v>
      </c>
      <c r="S1522" s="111">
        <f t="shared" si="215"/>
        <v>1000</v>
      </c>
      <c r="T1522" s="111">
        <f t="shared" si="216"/>
        <v>60000</v>
      </c>
      <c r="U1522" s="111">
        <f t="shared" si="217"/>
        <v>600</v>
      </c>
      <c r="V1522" s="111">
        <f t="shared" si="218"/>
        <v>60600</v>
      </c>
      <c r="W1522" t="s">
        <v>3983</v>
      </c>
    </row>
    <row r="1523" spans="1:23" x14ac:dyDescent="0.3">
      <c r="A1523" s="110">
        <v>2000310</v>
      </c>
      <c r="B1523" s="110" t="s">
        <v>1647</v>
      </c>
      <c r="C1523" s="110" t="s">
        <v>1692</v>
      </c>
      <c r="D1523" s="110" t="s">
        <v>198</v>
      </c>
      <c r="E1523" s="110" t="s">
        <v>1695</v>
      </c>
      <c r="F1523" s="110" t="s">
        <v>113</v>
      </c>
      <c r="G1523" s="110" t="s">
        <v>114</v>
      </c>
      <c r="H1523" s="111">
        <v>100</v>
      </c>
      <c r="I1523" s="111">
        <v>90</v>
      </c>
      <c r="J1523" s="111">
        <v>75</v>
      </c>
      <c r="K1523" s="111">
        <f t="shared" si="210"/>
        <v>88.333333333333329</v>
      </c>
      <c r="L1523" s="111">
        <v>150000</v>
      </c>
      <c r="M1523" s="111">
        <f t="shared" si="211"/>
        <v>67500</v>
      </c>
      <c r="N1523" s="111">
        <f t="shared" si="212"/>
        <v>67500</v>
      </c>
      <c r="O1523" s="111">
        <f t="shared" si="213"/>
        <v>13500</v>
      </c>
      <c r="P1523" s="111">
        <f t="shared" si="214"/>
        <v>15000</v>
      </c>
      <c r="Q1523" s="111">
        <v>30000</v>
      </c>
      <c r="R1523" s="111">
        <v>3</v>
      </c>
      <c r="S1523" s="111">
        <f t="shared" si="215"/>
        <v>3000</v>
      </c>
      <c r="T1523" s="111">
        <f t="shared" si="216"/>
        <v>180000</v>
      </c>
      <c r="U1523" s="111">
        <f t="shared" si="217"/>
        <v>1800</v>
      </c>
      <c r="V1523" s="111">
        <f t="shared" si="218"/>
        <v>181800</v>
      </c>
      <c r="W1523" t="s">
        <v>3984</v>
      </c>
    </row>
    <row r="1524" spans="1:23" x14ac:dyDescent="0.3">
      <c r="A1524" s="110">
        <v>2000313</v>
      </c>
      <c r="B1524" s="110" t="s">
        <v>1647</v>
      </c>
      <c r="C1524" s="110" t="s">
        <v>1692</v>
      </c>
      <c r="D1524" s="110" t="s">
        <v>1696</v>
      </c>
      <c r="E1524" s="110" t="s">
        <v>709</v>
      </c>
      <c r="F1524" s="110" t="s">
        <v>209</v>
      </c>
      <c r="G1524" s="110" t="s">
        <v>114</v>
      </c>
      <c r="H1524" s="111">
        <v>45</v>
      </c>
      <c r="I1524" s="111">
        <v>43</v>
      </c>
      <c r="J1524" s="111">
        <v>46</v>
      </c>
      <c r="K1524" s="111">
        <f t="shared" si="210"/>
        <v>44.666666666666664</v>
      </c>
      <c r="L1524" s="111">
        <v>50000</v>
      </c>
      <c r="M1524" s="111">
        <f t="shared" si="211"/>
        <v>22500</v>
      </c>
      <c r="N1524" s="111">
        <f t="shared" si="212"/>
        <v>22500</v>
      </c>
      <c r="O1524" s="111">
        <f t="shared" si="213"/>
        <v>4500</v>
      </c>
      <c r="P1524" s="111">
        <f t="shared" si="214"/>
        <v>5000</v>
      </c>
      <c r="Q1524" s="111">
        <v>10000</v>
      </c>
      <c r="R1524" s="111">
        <v>1</v>
      </c>
      <c r="S1524" s="111">
        <f t="shared" si="215"/>
        <v>1000</v>
      </c>
      <c r="T1524" s="111">
        <f t="shared" si="216"/>
        <v>60000</v>
      </c>
      <c r="U1524" s="111">
        <f t="shared" si="217"/>
        <v>600</v>
      </c>
      <c r="V1524" s="111">
        <f t="shared" si="218"/>
        <v>60600</v>
      </c>
      <c r="W1524" t="s">
        <v>3985</v>
      </c>
    </row>
    <row r="1525" spans="1:23" x14ac:dyDescent="0.3">
      <c r="A1525" s="110">
        <v>2000314</v>
      </c>
      <c r="B1525" s="110" t="s">
        <v>1647</v>
      </c>
      <c r="C1525" s="110" t="s">
        <v>1692</v>
      </c>
      <c r="D1525" s="110" t="s">
        <v>1697</v>
      </c>
      <c r="E1525" s="110" t="s">
        <v>143</v>
      </c>
      <c r="F1525" s="110" t="s">
        <v>113</v>
      </c>
      <c r="G1525" s="110" t="s">
        <v>114</v>
      </c>
      <c r="H1525" s="111">
        <v>89</v>
      </c>
      <c r="I1525" s="111">
        <v>83</v>
      </c>
      <c r="J1525" s="111">
        <v>80</v>
      </c>
      <c r="K1525" s="111">
        <f t="shared" si="210"/>
        <v>84</v>
      </c>
      <c r="L1525" s="111">
        <v>150000</v>
      </c>
      <c r="M1525" s="111">
        <f t="shared" si="211"/>
        <v>67500</v>
      </c>
      <c r="N1525" s="111">
        <f t="shared" si="212"/>
        <v>67500</v>
      </c>
      <c r="O1525" s="111">
        <f t="shared" si="213"/>
        <v>13500</v>
      </c>
      <c r="P1525" s="111">
        <f t="shared" si="214"/>
        <v>15000</v>
      </c>
      <c r="Q1525" s="111">
        <v>30000</v>
      </c>
      <c r="R1525" s="111">
        <v>3</v>
      </c>
      <c r="S1525" s="111">
        <f t="shared" si="215"/>
        <v>3000</v>
      </c>
      <c r="T1525" s="111">
        <f t="shared" si="216"/>
        <v>180000</v>
      </c>
      <c r="U1525" s="111">
        <f t="shared" si="217"/>
        <v>1800</v>
      </c>
      <c r="V1525" s="111">
        <f t="shared" si="218"/>
        <v>181800</v>
      </c>
      <c r="W1525" t="s">
        <v>3986</v>
      </c>
    </row>
    <row r="1526" spans="1:23" x14ac:dyDescent="0.3">
      <c r="A1526" s="110">
        <v>2000315</v>
      </c>
      <c r="B1526" s="110" t="s">
        <v>1647</v>
      </c>
      <c r="C1526" s="110" t="s">
        <v>1692</v>
      </c>
      <c r="D1526" s="110" t="s">
        <v>1698</v>
      </c>
      <c r="E1526" s="110" t="s">
        <v>308</v>
      </c>
      <c r="F1526" s="110" t="s">
        <v>113</v>
      </c>
      <c r="G1526" s="110" t="s">
        <v>114</v>
      </c>
      <c r="H1526" s="111">
        <v>75</v>
      </c>
      <c r="I1526" s="111">
        <v>87</v>
      </c>
      <c r="J1526" s="111">
        <v>85</v>
      </c>
      <c r="K1526" s="111">
        <f t="shared" si="210"/>
        <v>82.333333333333329</v>
      </c>
      <c r="L1526" s="111">
        <v>150000</v>
      </c>
      <c r="M1526" s="111">
        <f t="shared" si="211"/>
        <v>67500</v>
      </c>
      <c r="N1526" s="111">
        <f t="shared" si="212"/>
        <v>67500</v>
      </c>
      <c r="O1526" s="111">
        <f t="shared" si="213"/>
        <v>13500</v>
      </c>
      <c r="P1526" s="111">
        <f t="shared" si="214"/>
        <v>15000</v>
      </c>
      <c r="Q1526" s="111">
        <v>30000</v>
      </c>
      <c r="R1526" s="111">
        <v>3</v>
      </c>
      <c r="S1526" s="111">
        <f t="shared" si="215"/>
        <v>3000</v>
      </c>
      <c r="T1526" s="111">
        <f t="shared" si="216"/>
        <v>180000</v>
      </c>
      <c r="U1526" s="111">
        <f t="shared" si="217"/>
        <v>1800</v>
      </c>
      <c r="V1526" s="111">
        <f t="shared" si="218"/>
        <v>181800</v>
      </c>
      <c r="W1526" t="s">
        <v>3987</v>
      </c>
    </row>
    <row r="1527" spans="1:23" x14ac:dyDescent="0.3">
      <c r="A1527" s="110">
        <v>2000316</v>
      </c>
      <c r="B1527" s="110" t="s">
        <v>1647</v>
      </c>
      <c r="C1527" s="110" t="s">
        <v>1692</v>
      </c>
      <c r="D1527" s="110" t="s">
        <v>1699</v>
      </c>
      <c r="E1527" s="110" t="s">
        <v>1700</v>
      </c>
      <c r="F1527" s="110" t="s">
        <v>113</v>
      </c>
      <c r="G1527" s="110" t="s">
        <v>114</v>
      </c>
      <c r="H1527" s="111">
        <v>35</v>
      </c>
      <c r="I1527" s="111">
        <v>35</v>
      </c>
      <c r="J1527" s="111">
        <v>38</v>
      </c>
      <c r="K1527" s="111">
        <f t="shared" si="210"/>
        <v>36</v>
      </c>
      <c r="L1527" s="111">
        <v>50000</v>
      </c>
      <c r="M1527" s="111">
        <f t="shared" si="211"/>
        <v>22500</v>
      </c>
      <c r="N1527" s="111">
        <f t="shared" si="212"/>
        <v>22500</v>
      </c>
      <c r="O1527" s="111">
        <f t="shared" si="213"/>
        <v>4500</v>
      </c>
      <c r="P1527" s="111">
        <f t="shared" si="214"/>
        <v>5000</v>
      </c>
      <c r="Q1527" s="111">
        <v>10000</v>
      </c>
      <c r="R1527" s="111">
        <v>1</v>
      </c>
      <c r="S1527" s="111">
        <f t="shared" si="215"/>
        <v>1000</v>
      </c>
      <c r="T1527" s="111">
        <f t="shared" si="216"/>
        <v>60000</v>
      </c>
      <c r="U1527" s="111">
        <f t="shared" si="217"/>
        <v>600</v>
      </c>
      <c r="V1527" s="111">
        <f t="shared" si="218"/>
        <v>60600</v>
      </c>
      <c r="W1527" t="s">
        <v>3988</v>
      </c>
    </row>
    <row r="1528" spans="1:23" x14ac:dyDescent="0.3">
      <c r="A1528" s="110">
        <v>2000321</v>
      </c>
      <c r="B1528" s="110" t="s">
        <v>1647</v>
      </c>
      <c r="C1528" s="110" t="s">
        <v>1692</v>
      </c>
      <c r="D1528" s="110" t="s">
        <v>1701</v>
      </c>
      <c r="E1528" s="110" t="s">
        <v>1702</v>
      </c>
      <c r="F1528" s="110" t="s">
        <v>113</v>
      </c>
      <c r="G1528" s="110" t="s">
        <v>114</v>
      </c>
      <c r="H1528" s="111">
        <v>134</v>
      </c>
      <c r="I1528" s="111">
        <v>117</v>
      </c>
      <c r="J1528" s="111">
        <v>133</v>
      </c>
      <c r="K1528" s="111">
        <f t="shared" si="210"/>
        <v>128</v>
      </c>
      <c r="L1528" s="111">
        <v>150000</v>
      </c>
      <c r="M1528" s="111">
        <f t="shared" si="211"/>
        <v>67500</v>
      </c>
      <c r="N1528" s="111">
        <f t="shared" si="212"/>
        <v>67500</v>
      </c>
      <c r="O1528" s="111">
        <f t="shared" si="213"/>
        <v>13500</v>
      </c>
      <c r="P1528" s="111">
        <f t="shared" si="214"/>
        <v>15000</v>
      </c>
      <c r="Q1528" s="111">
        <v>30000</v>
      </c>
      <c r="R1528" s="111">
        <v>3</v>
      </c>
      <c r="S1528" s="111">
        <f t="shared" si="215"/>
        <v>3000</v>
      </c>
      <c r="T1528" s="111">
        <f t="shared" si="216"/>
        <v>180000</v>
      </c>
      <c r="U1528" s="111">
        <f t="shared" si="217"/>
        <v>1800</v>
      </c>
      <c r="V1528" s="111">
        <f t="shared" si="218"/>
        <v>181800</v>
      </c>
      <c r="W1528" t="s">
        <v>3989</v>
      </c>
    </row>
    <row r="1529" spans="1:23" x14ac:dyDescent="0.3">
      <c r="A1529" s="110">
        <v>2000322</v>
      </c>
      <c r="B1529" s="110" t="s">
        <v>1647</v>
      </c>
      <c r="C1529" s="110" t="s">
        <v>1692</v>
      </c>
      <c r="D1529" s="110" t="s">
        <v>1703</v>
      </c>
      <c r="E1529" s="110" t="s">
        <v>184</v>
      </c>
      <c r="F1529" s="110" t="s">
        <v>113</v>
      </c>
      <c r="G1529" s="110" t="s">
        <v>114</v>
      </c>
      <c r="H1529" s="111">
        <v>123</v>
      </c>
      <c r="I1529" s="111">
        <v>133</v>
      </c>
      <c r="J1529" s="111">
        <v>124</v>
      </c>
      <c r="K1529" s="111">
        <f t="shared" si="210"/>
        <v>126.66666666666667</v>
      </c>
      <c r="L1529" s="111">
        <v>150000</v>
      </c>
      <c r="M1529" s="111">
        <f t="shared" si="211"/>
        <v>67500</v>
      </c>
      <c r="N1529" s="111">
        <f t="shared" si="212"/>
        <v>67500</v>
      </c>
      <c r="O1529" s="111">
        <f t="shared" si="213"/>
        <v>13500</v>
      </c>
      <c r="P1529" s="111">
        <f t="shared" si="214"/>
        <v>15000</v>
      </c>
      <c r="Q1529" s="111">
        <v>30000</v>
      </c>
      <c r="R1529" s="111">
        <v>3</v>
      </c>
      <c r="S1529" s="111">
        <f t="shared" si="215"/>
        <v>3000</v>
      </c>
      <c r="T1529" s="111">
        <f t="shared" si="216"/>
        <v>180000</v>
      </c>
      <c r="U1529" s="111">
        <f t="shared" si="217"/>
        <v>1800</v>
      </c>
      <c r="V1529" s="111">
        <f t="shared" si="218"/>
        <v>181800</v>
      </c>
      <c r="W1529" t="s">
        <v>3990</v>
      </c>
    </row>
    <row r="1530" spans="1:23" x14ac:dyDescent="0.3">
      <c r="A1530" s="110">
        <v>2000402</v>
      </c>
      <c r="B1530" s="110" t="s">
        <v>1647</v>
      </c>
      <c r="C1530" s="110" t="s">
        <v>1704</v>
      </c>
      <c r="D1530" s="110" t="s">
        <v>1704</v>
      </c>
      <c r="E1530" s="110" t="s">
        <v>245</v>
      </c>
      <c r="F1530" s="110" t="s">
        <v>119</v>
      </c>
      <c r="G1530" s="110" t="s">
        <v>114</v>
      </c>
      <c r="H1530" s="111">
        <v>847</v>
      </c>
      <c r="I1530" s="111">
        <v>867</v>
      </c>
      <c r="J1530" s="111">
        <v>854</v>
      </c>
      <c r="K1530" s="111">
        <f t="shared" si="210"/>
        <v>856</v>
      </c>
      <c r="L1530" s="111">
        <f>300000</f>
        <v>300000</v>
      </c>
      <c r="M1530" s="111">
        <f t="shared" si="211"/>
        <v>135000</v>
      </c>
      <c r="N1530" s="111">
        <f t="shared" si="212"/>
        <v>135000</v>
      </c>
      <c r="O1530" s="111">
        <f t="shared" si="213"/>
        <v>27000</v>
      </c>
      <c r="P1530" s="111">
        <f t="shared" si="214"/>
        <v>30000</v>
      </c>
      <c r="Q1530" s="111">
        <v>60000</v>
      </c>
      <c r="R1530" s="111">
        <v>6</v>
      </c>
      <c r="S1530" s="111">
        <f t="shared" si="215"/>
        <v>6000</v>
      </c>
      <c r="T1530" s="111">
        <f t="shared" si="216"/>
        <v>360000</v>
      </c>
      <c r="U1530" s="111">
        <f t="shared" si="217"/>
        <v>3600</v>
      </c>
      <c r="V1530" s="111">
        <f t="shared" si="218"/>
        <v>363600</v>
      </c>
      <c r="W1530" t="s">
        <v>3991</v>
      </c>
    </row>
    <row r="1531" spans="1:23" x14ac:dyDescent="0.3">
      <c r="A1531" s="110">
        <v>2000405</v>
      </c>
      <c r="B1531" s="110" t="s">
        <v>1647</v>
      </c>
      <c r="C1531" s="110" t="s">
        <v>1704</v>
      </c>
      <c r="D1531" s="110" t="s">
        <v>1705</v>
      </c>
      <c r="E1531" s="110" t="s">
        <v>406</v>
      </c>
      <c r="F1531" s="110" t="s">
        <v>113</v>
      </c>
      <c r="G1531" s="110" t="s">
        <v>114</v>
      </c>
      <c r="H1531" s="111">
        <v>54</v>
      </c>
      <c r="I1531" s="111">
        <v>50</v>
      </c>
      <c r="J1531" s="111">
        <v>44</v>
      </c>
      <c r="K1531" s="111">
        <f t="shared" si="210"/>
        <v>49.333333333333336</v>
      </c>
      <c r="L1531" s="111">
        <v>50000</v>
      </c>
      <c r="M1531" s="111">
        <f t="shared" si="211"/>
        <v>22500</v>
      </c>
      <c r="N1531" s="111">
        <f t="shared" si="212"/>
        <v>22500</v>
      </c>
      <c r="O1531" s="111">
        <f t="shared" si="213"/>
        <v>4500</v>
      </c>
      <c r="P1531" s="111">
        <f t="shared" si="214"/>
        <v>5000</v>
      </c>
      <c r="Q1531" s="111">
        <v>10000</v>
      </c>
      <c r="R1531" s="111">
        <v>1</v>
      </c>
      <c r="S1531" s="111">
        <f t="shared" si="215"/>
        <v>1000</v>
      </c>
      <c r="T1531" s="111">
        <f t="shared" si="216"/>
        <v>60000</v>
      </c>
      <c r="U1531" s="111">
        <f t="shared" si="217"/>
        <v>600</v>
      </c>
      <c r="V1531" s="111">
        <f t="shared" si="218"/>
        <v>60600</v>
      </c>
      <c r="W1531" t="s">
        <v>3992</v>
      </c>
    </row>
    <row r="1532" spans="1:23" x14ac:dyDescent="0.3">
      <c r="A1532" s="110">
        <v>2000406</v>
      </c>
      <c r="B1532" s="110" t="s">
        <v>1647</v>
      </c>
      <c r="C1532" s="110" t="s">
        <v>1704</v>
      </c>
      <c r="D1532" s="110" t="s">
        <v>1706</v>
      </c>
      <c r="E1532" s="110" t="s">
        <v>646</v>
      </c>
      <c r="F1532" s="110" t="s">
        <v>209</v>
      </c>
      <c r="G1532" s="110" t="s">
        <v>114</v>
      </c>
      <c r="H1532" s="111">
        <v>23</v>
      </c>
      <c r="I1532" s="111">
        <v>30</v>
      </c>
      <c r="J1532" s="111">
        <v>26</v>
      </c>
      <c r="K1532" s="111">
        <f t="shared" si="210"/>
        <v>26.333333333333332</v>
      </c>
      <c r="L1532" s="111">
        <v>50000</v>
      </c>
      <c r="M1532" s="111">
        <f t="shared" si="211"/>
        <v>22500</v>
      </c>
      <c r="N1532" s="111">
        <f t="shared" si="212"/>
        <v>22500</v>
      </c>
      <c r="O1532" s="111">
        <f t="shared" si="213"/>
        <v>4500</v>
      </c>
      <c r="P1532" s="111">
        <f t="shared" si="214"/>
        <v>5000</v>
      </c>
      <c r="Q1532" s="111">
        <v>10000</v>
      </c>
      <c r="R1532" s="111">
        <v>1</v>
      </c>
      <c r="S1532" s="111">
        <f t="shared" si="215"/>
        <v>1000</v>
      </c>
      <c r="T1532" s="111">
        <f t="shared" si="216"/>
        <v>60000</v>
      </c>
      <c r="U1532" s="111">
        <f t="shared" si="217"/>
        <v>600</v>
      </c>
      <c r="V1532" s="111">
        <f t="shared" si="218"/>
        <v>60600</v>
      </c>
      <c r="W1532" t="s">
        <v>3993</v>
      </c>
    </row>
    <row r="1533" spans="1:23" x14ac:dyDescent="0.3">
      <c r="A1533" s="110">
        <v>2000407</v>
      </c>
      <c r="B1533" s="110" t="s">
        <v>1647</v>
      </c>
      <c r="C1533" s="110" t="s">
        <v>1704</v>
      </c>
      <c r="D1533" s="110" t="s">
        <v>1707</v>
      </c>
      <c r="E1533" s="110" t="s">
        <v>1708</v>
      </c>
      <c r="F1533" s="110" t="s">
        <v>113</v>
      </c>
      <c r="G1533" s="110" t="s">
        <v>114</v>
      </c>
      <c r="H1533" s="111">
        <v>203</v>
      </c>
      <c r="I1533" s="111">
        <v>193</v>
      </c>
      <c r="J1533" s="111">
        <v>192</v>
      </c>
      <c r="K1533" s="111">
        <f t="shared" si="210"/>
        <v>196</v>
      </c>
      <c r="L1533" s="111">
        <v>150000</v>
      </c>
      <c r="M1533" s="111">
        <f t="shared" si="211"/>
        <v>67500</v>
      </c>
      <c r="N1533" s="111">
        <f t="shared" si="212"/>
        <v>67500</v>
      </c>
      <c r="O1533" s="111">
        <f t="shared" si="213"/>
        <v>13500</v>
      </c>
      <c r="P1533" s="111">
        <f t="shared" si="214"/>
        <v>15000</v>
      </c>
      <c r="Q1533" s="111">
        <v>30000</v>
      </c>
      <c r="R1533" s="111">
        <v>3</v>
      </c>
      <c r="S1533" s="111">
        <f t="shared" si="215"/>
        <v>3000</v>
      </c>
      <c r="T1533" s="111">
        <f t="shared" si="216"/>
        <v>180000</v>
      </c>
      <c r="U1533" s="111">
        <f t="shared" si="217"/>
        <v>1800</v>
      </c>
      <c r="V1533" s="111">
        <f t="shared" si="218"/>
        <v>181800</v>
      </c>
      <c r="W1533" t="s">
        <v>3994</v>
      </c>
    </row>
    <row r="1534" spans="1:23" x14ac:dyDescent="0.3">
      <c r="A1534" s="110">
        <v>2000408</v>
      </c>
      <c r="B1534" s="110" t="s">
        <v>1647</v>
      </c>
      <c r="C1534" s="110" t="s">
        <v>1704</v>
      </c>
      <c r="D1534" s="110" t="s">
        <v>1709</v>
      </c>
      <c r="E1534" s="110" t="s">
        <v>1710</v>
      </c>
      <c r="F1534" s="110" t="s">
        <v>119</v>
      </c>
      <c r="G1534" s="110" t="s">
        <v>114</v>
      </c>
      <c r="H1534" s="111">
        <v>609</v>
      </c>
      <c r="I1534" s="111">
        <v>588</v>
      </c>
      <c r="J1534" s="111">
        <v>597</v>
      </c>
      <c r="K1534" s="111">
        <f t="shared" si="210"/>
        <v>598</v>
      </c>
      <c r="L1534" s="111">
        <f>300000</f>
        <v>300000</v>
      </c>
      <c r="M1534" s="111">
        <f t="shared" si="211"/>
        <v>135000</v>
      </c>
      <c r="N1534" s="111">
        <f t="shared" si="212"/>
        <v>135000</v>
      </c>
      <c r="O1534" s="111">
        <f t="shared" si="213"/>
        <v>27000</v>
      </c>
      <c r="P1534" s="111">
        <f t="shared" si="214"/>
        <v>30000</v>
      </c>
      <c r="Q1534" s="111">
        <v>60000</v>
      </c>
      <c r="R1534" s="111">
        <v>6</v>
      </c>
      <c r="S1534" s="111">
        <f t="shared" si="215"/>
        <v>6000</v>
      </c>
      <c r="T1534" s="111">
        <f t="shared" si="216"/>
        <v>360000</v>
      </c>
      <c r="U1534" s="111">
        <f t="shared" si="217"/>
        <v>3600</v>
      </c>
      <c r="V1534" s="111">
        <f t="shared" si="218"/>
        <v>363600</v>
      </c>
      <c r="W1534" t="s">
        <v>3995</v>
      </c>
    </row>
    <row r="1535" spans="1:23" x14ac:dyDescent="0.3">
      <c r="A1535" s="110">
        <v>2100103</v>
      </c>
      <c r="B1535" s="110" t="s">
        <v>1711</v>
      </c>
      <c r="C1535" s="110" t="s">
        <v>1711</v>
      </c>
      <c r="D1535" s="110" t="s">
        <v>1711</v>
      </c>
      <c r="E1535" s="110" t="s">
        <v>177</v>
      </c>
      <c r="F1535" s="110" t="s">
        <v>119</v>
      </c>
      <c r="G1535" s="110" t="s">
        <v>114</v>
      </c>
      <c r="H1535" s="111">
        <v>535</v>
      </c>
      <c r="I1535" s="111">
        <v>491</v>
      </c>
      <c r="J1535" s="111">
        <v>460</v>
      </c>
      <c r="K1535" s="111">
        <f t="shared" si="210"/>
        <v>495.33333333333331</v>
      </c>
      <c r="L1535" s="111">
        <f>300000</f>
        <v>300000</v>
      </c>
      <c r="M1535" s="111">
        <f t="shared" si="211"/>
        <v>135000</v>
      </c>
      <c r="N1535" s="111">
        <f t="shared" si="212"/>
        <v>135000</v>
      </c>
      <c r="O1535" s="111">
        <f t="shared" si="213"/>
        <v>27000</v>
      </c>
      <c r="P1535" s="111">
        <f t="shared" si="214"/>
        <v>30000</v>
      </c>
      <c r="Q1535" s="111">
        <v>60000</v>
      </c>
      <c r="R1535" s="111">
        <v>6</v>
      </c>
      <c r="S1535" s="111">
        <f t="shared" si="215"/>
        <v>6000</v>
      </c>
      <c r="T1535" s="111">
        <f t="shared" si="216"/>
        <v>360000</v>
      </c>
      <c r="U1535" s="111">
        <f t="shared" si="217"/>
        <v>3600</v>
      </c>
      <c r="V1535" s="111">
        <f t="shared" si="218"/>
        <v>363600</v>
      </c>
      <c r="W1535" t="s">
        <v>3996</v>
      </c>
    </row>
    <row r="1536" spans="1:23" x14ac:dyDescent="0.3">
      <c r="A1536" s="110">
        <v>2100104</v>
      </c>
      <c r="B1536" s="110" t="s">
        <v>1711</v>
      </c>
      <c r="C1536" s="110" t="s">
        <v>1711</v>
      </c>
      <c r="D1536" s="110" t="s">
        <v>1711</v>
      </c>
      <c r="E1536" s="110" t="s">
        <v>1712</v>
      </c>
      <c r="F1536" s="110" t="s">
        <v>113</v>
      </c>
      <c r="G1536" s="110" t="s">
        <v>114</v>
      </c>
      <c r="H1536" s="111">
        <v>98</v>
      </c>
      <c r="I1536" s="111">
        <v>85</v>
      </c>
      <c r="J1536" s="111">
        <v>80</v>
      </c>
      <c r="K1536" s="111">
        <f t="shared" si="210"/>
        <v>87.666666666666671</v>
      </c>
      <c r="L1536" s="111">
        <v>150000</v>
      </c>
      <c r="M1536" s="111">
        <f t="shared" si="211"/>
        <v>67500</v>
      </c>
      <c r="N1536" s="111">
        <f t="shared" si="212"/>
        <v>67500</v>
      </c>
      <c r="O1536" s="111">
        <f t="shared" si="213"/>
        <v>13500</v>
      </c>
      <c r="P1536" s="111">
        <f t="shared" si="214"/>
        <v>15000</v>
      </c>
      <c r="Q1536" s="111">
        <v>30000</v>
      </c>
      <c r="R1536" s="111">
        <v>3</v>
      </c>
      <c r="S1536" s="111">
        <f t="shared" si="215"/>
        <v>3000</v>
      </c>
      <c r="T1536" s="111">
        <f t="shared" si="216"/>
        <v>180000</v>
      </c>
      <c r="U1536" s="111">
        <f t="shared" si="217"/>
        <v>1800</v>
      </c>
      <c r="V1536" s="111">
        <f t="shared" si="218"/>
        <v>181800</v>
      </c>
      <c r="W1536" t="s">
        <v>3997</v>
      </c>
    </row>
    <row r="1537" spans="1:23" x14ac:dyDescent="0.3">
      <c r="A1537" s="110">
        <v>2100105</v>
      </c>
      <c r="B1537" s="110" t="s">
        <v>1711</v>
      </c>
      <c r="C1537" s="110" t="s">
        <v>1711</v>
      </c>
      <c r="D1537" s="110" t="s">
        <v>1711</v>
      </c>
      <c r="E1537" s="110" t="s">
        <v>746</v>
      </c>
      <c r="F1537" s="110" t="s">
        <v>119</v>
      </c>
      <c r="G1537" s="110" t="s">
        <v>114</v>
      </c>
      <c r="H1537" s="111">
        <v>182</v>
      </c>
      <c r="I1537" s="111">
        <v>175</v>
      </c>
      <c r="J1537" s="111">
        <v>169</v>
      </c>
      <c r="K1537" s="111">
        <f t="shared" si="210"/>
        <v>175.33333333333334</v>
      </c>
      <c r="L1537" s="111">
        <v>150000</v>
      </c>
      <c r="M1537" s="111">
        <f t="shared" si="211"/>
        <v>67500</v>
      </c>
      <c r="N1537" s="111">
        <f t="shared" si="212"/>
        <v>67500</v>
      </c>
      <c r="O1537" s="111">
        <f t="shared" si="213"/>
        <v>13500</v>
      </c>
      <c r="P1537" s="111">
        <f t="shared" si="214"/>
        <v>15000</v>
      </c>
      <c r="Q1537" s="111">
        <v>30000</v>
      </c>
      <c r="R1537" s="111">
        <v>3</v>
      </c>
      <c r="S1537" s="111">
        <f t="shared" si="215"/>
        <v>3000</v>
      </c>
      <c r="T1537" s="111">
        <f t="shared" si="216"/>
        <v>180000</v>
      </c>
      <c r="U1537" s="111">
        <f t="shared" si="217"/>
        <v>1800</v>
      </c>
      <c r="V1537" s="111">
        <f t="shared" si="218"/>
        <v>181800</v>
      </c>
      <c r="W1537" t="s">
        <v>3998</v>
      </c>
    </row>
    <row r="1538" spans="1:23" x14ac:dyDescent="0.3">
      <c r="A1538" s="110">
        <v>2100107</v>
      </c>
      <c r="B1538" s="110" t="s">
        <v>1711</v>
      </c>
      <c r="C1538" s="110" t="s">
        <v>1711</v>
      </c>
      <c r="D1538" s="110" t="s">
        <v>1711</v>
      </c>
      <c r="E1538" s="110" t="s">
        <v>1338</v>
      </c>
      <c r="F1538" s="110" t="s">
        <v>113</v>
      </c>
      <c r="G1538" s="110" t="s">
        <v>114</v>
      </c>
      <c r="H1538" s="111">
        <v>332</v>
      </c>
      <c r="I1538" s="111">
        <v>327</v>
      </c>
      <c r="J1538" s="111">
        <v>340</v>
      </c>
      <c r="K1538" s="111">
        <f t="shared" ref="K1538:K1601" si="219">+(H1538+I1538+J1538)/3</f>
        <v>333</v>
      </c>
      <c r="L1538" s="111">
        <v>200000</v>
      </c>
      <c r="M1538" s="111">
        <f t="shared" ref="M1538:M1601" si="220">+L1538*0.45</f>
        <v>90000</v>
      </c>
      <c r="N1538" s="111">
        <f t="shared" ref="N1538:N1601" si="221">+L1538*0.45</f>
        <v>90000</v>
      </c>
      <c r="O1538" s="111">
        <f t="shared" ref="O1538:O1601" si="222">+N1538*0.2</f>
        <v>18000</v>
      </c>
      <c r="P1538" s="111">
        <f t="shared" ref="P1538:P1601" si="223">++L1538*0.1</f>
        <v>20000</v>
      </c>
      <c r="Q1538" s="111">
        <v>50000</v>
      </c>
      <c r="R1538" s="111">
        <v>5</v>
      </c>
      <c r="S1538" s="111">
        <f t="shared" ref="S1538:S1601" si="224">+Q1538*0.1</f>
        <v>5000</v>
      </c>
      <c r="T1538" s="111">
        <f t="shared" ref="T1538:T1601" si="225">+L1538+Q1538</f>
        <v>250000</v>
      </c>
      <c r="U1538" s="111">
        <f t="shared" ref="U1538:U1601" si="226">+T1538*0.01</f>
        <v>2500</v>
      </c>
      <c r="V1538" s="111">
        <f t="shared" ref="V1538:V1601" si="227">+T1538+U1538</f>
        <v>252500</v>
      </c>
      <c r="W1538" t="s">
        <v>3999</v>
      </c>
    </row>
    <row r="1539" spans="1:23" x14ac:dyDescent="0.3">
      <c r="A1539" s="110">
        <v>2100109</v>
      </c>
      <c r="B1539" s="110" t="s">
        <v>1711</v>
      </c>
      <c r="C1539" s="110" t="s">
        <v>1711</v>
      </c>
      <c r="D1539" s="110" t="s">
        <v>1711</v>
      </c>
      <c r="E1539" s="110" t="s">
        <v>1713</v>
      </c>
      <c r="F1539" s="110" t="s">
        <v>113</v>
      </c>
      <c r="G1539" s="110" t="s">
        <v>114</v>
      </c>
      <c r="H1539" s="111">
        <v>215</v>
      </c>
      <c r="I1539" s="111">
        <v>210</v>
      </c>
      <c r="J1539" s="111">
        <v>199</v>
      </c>
      <c r="K1539" s="111">
        <f t="shared" si="219"/>
        <v>208</v>
      </c>
      <c r="L1539" s="111">
        <f>200000*0.7</f>
        <v>140000</v>
      </c>
      <c r="M1539" s="111">
        <f t="shared" si="220"/>
        <v>63000</v>
      </c>
      <c r="N1539" s="111">
        <f t="shared" si="221"/>
        <v>63000</v>
      </c>
      <c r="O1539" s="111">
        <f t="shared" si="222"/>
        <v>12600</v>
      </c>
      <c r="P1539" s="111">
        <f t="shared" si="223"/>
        <v>14000</v>
      </c>
      <c r="Q1539" s="111">
        <v>50000</v>
      </c>
      <c r="R1539" s="111">
        <v>5</v>
      </c>
      <c r="S1539" s="111">
        <f t="shared" si="224"/>
        <v>5000</v>
      </c>
      <c r="T1539" s="111">
        <f t="shared" si="225"/>
        <v>190000</v>
      </c>
      <c r="U1539" s="111">
        <f t="shared" si="226"/>
        <v>1900</v>
      </c>
      <c r="V1539" s="111">
        <f t="shared" si="227"/>
        <v>191900</v>
      </c>
      <c r="W1539" t="s">
        <v>4000</v>
      </c>
    </row>
    <row r="1540" spans="1:23" x14ac:dyDescent="0.3">
      <c r="A1540" s="110">
        <v>2100110</v>
      </c>
      <c r="B1540" s="110" t="s">
        <v>1711</v>
      </c>
      <c r="C1540" s="110" t="s">
        <v>1711</v>
      </c>
      <c r="D1540" s="110" t="s">
        <v>1711</v>
      </c>
      <c r="E1540" s="110" t="s">
        <v>1714</v>
      </c>
      <c r="F1540" s="110" t="s">
        <v>113</v>
      </c>
      <c r="G1540" s="110" t="s">
        <v>114</v>
      </c>
      <c r="H1540" s="111">
        <v>556</v>
      </c>
      <c r="I1540" s="111">
        <v>549</v>
      </c>
      <c r="J1540" s="111">
        <v>523</v>
      </c>
      <c r="K1540" s="111">
        <f t="shared" si="219"/>
        <v>542.66666666666663</v>
      </c>
      <c r="L1540" s="111">
        <f>300000</f>
        <v>300000</v>
      </c>
      <c r="M1540" s="111">
        <f t="shared" si="220"/>
        <v>135000</v>
      </c>
      <c r="N1540" s="111">
        <f t="shared" si="221"/>
        <v>135000</v>
      </c>
      <c r="O1540" s="111">
        <f t="shared" si="222"/>
        <v>27000</v>
      </c>
      <c r="P1540" s="111">
        <f t="shared" si="223"/>
        <v>30000</v>
      </c>
      <c r="Q1540" s="111">
        <v>60000</v>
      </c>
      <c r="R1540" s="111">
        <v>6</v>
      </c>
      <c r="S1540" s="111">
        <f t="shared" si="224"/>
        <v>6000</v>
      </c>
      <c r="T1540" s="111">
        <f t="shared" si="225"/>
        <v>360000</v>
      </c>
      <c r="U1540" s="111">
        <f t="shared" si="226"/>
        <v>3600</v>
      </c>
      <c r="V1540" s="111">
        <f t="shared" si="227"/>
        <v>363600</v>
      </c>
      <c r="W1540" t="s">
        <v>4001</v>
      </c>
    </row>
    <row r="1541" spans="1:23" x14ac:dyDescent="0.3">
      <c r="A1541" s="110">
        <v>2100111</v>
      </c>
      <c r="B1541" s="110" t="s">
        <v>1711</v>
      </c>
      <c r="C1541" s="110" t="s">
        <v>1711</v>
      </c>
      <c r="D1541" s="110" t="s">
        <v>1711</v>
      </c>
      <c r="E1541" s="110" t="s">
        <v>1715</v>
      </c>
      <c r="F1541" s="110" t="s">
        <v>117</v>
      </c>
      <c r="G1541" s="110" t="s">
        <v>125</v>
      </c>
      <c r="H1541" s="111">
        <v>239</v>
      </c>
      <c r="I1541" s="111">
        <v>225</v>
      </c>
      <c r="J1541" s="111">
        <v>232</v>
      </c>
      <c r="K1541" s="111">
        <f t="shared" si="219"/>
        <v>232</v>
      </c>
      <c r="L1541" s="111">
        <v>200000</v>
      </c>
      <c r="M1541" s="111">
        <f t="shared" si="220"/>
        <v>90000</v>
      </c>
      <c r="N1541" s="111">
        <f t="shared" si="221"/>
        <v>90000</v>
      </c>
      <c r="O1541" s="111">
        <f t="shared" si="222"/>
        <v>18000</v>
      </c>
      <c r="P1541" s="111">
        <f t="shared" si="223"/>
        <v>20000</v>
      </c>
      <c r="Q1541" s="111">
        <v>50000</v>
      </c>
      <c r="R1541" s="111">
        <v>5</v>
      </c>
      <c r="S1541" s="111">
        <f t="shared" si="224"/>
        <v>5000</v>
      </c>
      <c r="T1541" s="111">
        <f t="shared" si="225"/>
        <v>250000</v>
      </c>
      <c r="U1541" s="111">
        <f t="shared" si="226"/>
        <v>2500</v>
      </c>
      <c r="V1541" s="111">
        <f t="shared" si="227"/>
        <v>252500</v>
      </c>
      <c r="W1541" t="s">
        <v>4002</v>
      </c>
    </row>
    <row r="1542" spans="1:23" x14ac:dyDescent="0.3">
      <c r="A1542" s="110">
        <v>2100113</v>
      </c>
      <c r="B1542" s="110" t="s">
        <v>1711</v>
      </c>
      <c r="C1542" s="110" t="s">
        <v>1711</v>
      </c>
      <c r="D1542" s="110" t="s">
        <v>1711</v>
      </c>
      <c r="E1542" s="110" t="s">
        <v>1716</v>
      </c>
      <c r="F1542" s="110" t="s">
        <v>117</v>
      </c>
      <c r="G1542" s="110" t="s">
        <v>125</v>
      </c>
      <c r="H1542" s="111">
        <v>281</v>
      </c>
      <c r="I1542" s="111">
        <v>251</v>
      </c>
      <c r="J1542" s="111">
        <v>259</v>
      </c>
      <c r="K1542" s="111">
        <f t="shared" si="219"/>
        <v>263.66666666666669</v>
      </c>
      <c r="L1542" s="111">
        <v>200000</v>
      </c>
      <c r="M1542" s="111">
        <f t="shared" si="220"/>
        <v>90000</v>
      </c>
      <c r="N1542" s="111">
        <f t="shared" si="221"/>
        <v>90000</v>
      </c>
      <c r="O1542" s="111">
        <f t="shared" si="222"/>
        <v>18000</v>
      </c>
      <c r="P1542" s="111">
        <f t="shared" si="223"/>
        <v>20000</v>
      </c>
      <c r="Q1542" s="111">
        <v>50000</v>
      </c>
      <c r="R1542" s="111">
        <v>5</v>
      </c>
      <c r="S1542" s="111">
        <f t="shared" si="224"/>
        <v>5000</v>
      </c>
      <c r="T1542" s="111">
        <f t="shared" si="225"/>
        <v>250000</v>
      </c>
      <c r="U1542" s="111">
        <f t="shared" si="226"/>
        <v>2500</v>
      </c>
      <c r="V1542" s="111">
        <f t="shared" si="227"/>
        <v>252500</v>
      </c>
      <c r="W1542" t="s">
        <v>4003</v>
      </c>
    </row>
    <row r="1543" spans="1:23" x14ac:dyDescent="0.3">
      <c r="A1543" s="110">
        <v>2100115</v>
      </c>
      <c r="B1543" s="110" t="s">
        <v>1711</v>
      </c>
      <c r="C1543" s="110" t="s">
        <v>1711</v>
      </c>
      <c r="D1543" s="110" t="s">
        <v>1711</v>
      </c>
      <c r="E1543" s="110" t="s">
        <v>1717</v>
      </c>
      <c r="F1543" s="110" t="s">
        <v>117</v>
      </c>
      <c r="G1543" s="110" t="s">
        <v>125</v>
      </c>
      <c r="H1543" s="111">
        <v>137</v>
      </c>
      <c r="I1543" s="111">
        <v>156</v>
      </c>
      <c r="J1543" s="111">
        <v>170</v>
      </c>
      <c r="K1543" s="111">
        <f t="shared" si="219"/>
        <v>154.33333333333334</v>
      </c>
      <c r="L1543" s="111">
        <v>150000</v>
      </c>
      <c r="M1543" s="111">
        <f t="shared" si="220"/>
        <v>67500</v>
      </c>
      <c r="N1543" s="111">
        <f t="shared" si="221"/>
        <v>67500</v>
      </c>
      <c r="O1543" s="111">
        <f t="shared" si="222"/>
        <v>13500</v>
      </c>
      <c r="P1543" s="111">
        <f t="shared" si="223"/>
        <v>15000</v>
      </c>
      <c r="Q1543" s="111">
        <v>30000</v>
      </c>
      <c r="R1543" s="111">
        <v>3</v>
      </c>
      <c r="S1543" s="111">
        <f t="shared" si="224"/>
        <v>3000</v>
      </c>
      <c r="T1543" s="111">
        <f t="shared" si="225"/>
        <v>180000</v>
      </c>
      <c r="U1543" s="111">
        <f t="shared" si="226"/>
        <v>1800</v>
      </c>
      <c r="V1543" s="111">
        <f t="shared" si="227"/>
        <v>181800</v>
      </c>
      <c r="W1543" t="s">
        <v>4004</v>
      </c>
    </row>
    <row r="1544" spans="1:23" x14ac:dyDescent="0.3">
      <c r="A1544" s="110">
        <v>2100119</v>
      </c>
      <c r="B1544" s="110" t="s">
        <v>1711</v>
      </c>
      <c r="C1544" s="110" t="s">
        <v>1711</v>
      </c>
      <c r="D1544" s="110" t="s">
        <v>1718</v>
      </c>
      <c r="E1544" s="110" t="s">
        <v>201</v>
      </c>
      <c r="F1544" s="110" t="s">
        <v>113</v>
      </c>
      <c r="G1544" s="110" t="s">
        <v>114</v>
      </c>
      <c r="H1544" s="111">
        <v>12</v>
      </c>
      <c r="I1544" s="111">
        <v>11</v>
      </c>
      <c r="J1544" s="111">
        <v>13</v>
      </c>
      <c r="K1544" s="111">
        <f t="shared" si="219"/>
        <v>12</v>
      </c>
      <c r="L1544" s="111">
        <v>50000</v>
      </c>
      <c r="M1544" s="111">
        <f t="shared" si="220"/>
        <v>22500</v>
      </c>
      <c r="N1544" s="111">
        <f t="shared" si="221"/>
        <v>22500</v>
      </c>
      <c r="O1544" s="111">
        <f t="shared" si="222"/>
        <v>4500</v>
      </c>
      <c r="P1544" s="111">
        <f t="shared" si="223"/>
        <v>5000</v>
      </c>
      <c r="Q1544" s="111">
        <v>10000</v>
      </c>
      <c r="R1544" s="111">
        <v>1</v>
      </c>
      <c r="S1544" s="111">
        <f t="shared" si="224"/>
        <v>1000</v>
      </c>
      <c r="T1544" s="111">
        <f t="shared" si="225"/>
        <v>60000</v>
      </c>
      <c r="U1544" s="111">
        <f t="shared" si="226"/>
        <v>600</v>
      </c>
      <c r="V1544" s="111">
        <f t="shared" si="227"/>
        <v>60600</v>
      </c>
      <c r="W1544" t="s">
        <v>4005</v>
      </c>
    </row>
    <row r="1545" spans="1:23" x14ac:dyDescent="0.3">
      <c r="A1545" s="110">
        <v>2100122</v>
      </c>
      <c r="B1545" s="110" t="s">
        <v>1711</v>
      </c>
      <c r="C1545" s="110" t="s">
        <v>1711</v>
      </c>
      <c r="D1545" s="110" t="s">
        <v>1719</v>
      </c>
      <c r="E1545" s="110" t="s">
        <v>201</v>
      </c>
      <c r="F1545" s="110" t="s">
        <v>113</v>
      </c>
      <c r="G1545" s="110" t="s">
        <v>114</v>
      </c>
      <c r="H1545" s="111">
        <v>53</v>
      </c>
      <c r="I1545" s="111">
        <v>51</v>
      </c>
      <c r="J1545" s="111">
        <v>42</v>
      </c>
      <c r="K1545" s="111">
        <f t="shared" si="219"/>
        <v>48.666666666666664</v>
      </c>
      <c r="L1545" s="111">
        <v>50000</v>
      </c>
      <c r="M1545" s="111">
        <f t="shared" si="220"/>
        <v>22500</v>
      </c>
      <c r="N1545" s="111">
        <f t="shared" si="221"/>
        <v>22500</v>
      </c>
      <c r="O1545" s="111">
        <f t="shared" si="222"/>
        <v>4500</v>
      </c>
      <c r="P1545" s="111">
        <f t="shared" si="223"/>
        <v>5000</v>
      </c>
      <c r="Q1545" s="111">
        <v>10000</v>
      </c>
      <c r="R1545" s="111">
        <v>1</v>
      </c>
      <c r="S1545" s="111">
        <f t="shared" si="224"/>
        <v>1000</v>
      </c>
      <c r="T1545" s="111">
        <f t="shared" si="225"/>
        <v>60000</v>
      </c>
      <c r="U1545" s="111">
        <f t="shared" si="226"/>
        <v>600</v>
      </c>
      <c r="V1545" s="111">
        <f t="shared" si="227"/>
        <v>60600</v>
      </c>
      <c r="W1545" t="s">
        <v>4006</v>
      </c>
    </row>
    <row r="1546" spans="1:23" x14ac:dyDescent="0.3">
      <c r="A1546" s="110">
        <v>2100124</v>
      </c>
      <c r="B1546" s="110" t="s">
        <v>1711</v>
      </c>
      <c r="C1546" s="110" t="s">
        <v>1711</v>
      </c>
      <c r="D1546" s="110" t="s">
        <v>1720</v>
      </c>
      <c r="E1546" s="110" t="s">
        <v>1580</v>
      </c>
      <c r="F1546" s="110" t="s">
        <v>113</v>
      </c>
      <c r="G1546" s="110" t="s">
        <v>114</v>
      </c>
      <c r="H1546" s="111">
        <v>113</v>
      </c>
      <c r="I1546" s="111">
        <v>114</v>
      </c>
      <c r="J1546" s="111">
        <v>119</v>
      </c>
      <c r="K1546" s="111">
        <f t="shared" si="219"/>
        <v>115.33333333333333</v>
      </c>
      <c r="L1546" s="111">
        <f>150000*0.7</f>
        <v>105000</v>
      </c>
      <c r="M1546" s="111">
        <f t="shared" si="220"/>
        <v>47250</v>
      </c>
      <c r="N1546" s="111">
        <f t="shared" si="221"/>
        <v>47250</v>
      </c>
      <c r="O1546" s="111">
        <f t="shared" si="222"/>
        <v>9450</v>
      </c>
      <c r="P1546" s="111">
        <f t="shared" si="223"/>
        <v>10500</v>
      </c>
      <c r="Q1546" s="111">
        <v>30000</v>
      </c>
      <c r="R1546" s="111">
        <v>3</v>
      </c>
      <c r="S1546" s="111">
        <f t="shared" si="224"/>
        <v>3000</v>
      </c>
      <c r="T1546" s="111">
        <f t="shared" si="225"/>
        <v>135000</v>
      </c>
      <c r="U1546" s="111">
        <f t="shared" si="226"/>
        <v>1350</v>
      </c>
      <c r="V1546" s="111">
        <f t="shared" si="227"/>
        <v>136350</v>
      </c>
      <c r="W1546" t="s">
        <v>4007</v>
      </c>
    </row>
    <row r="1547" spans="1:23" x14ac:dyDescent="0.3">
      <c r="A1547" s="110">
        <v>2100125</v>
      </c>
      <c r="B1547" s="110" t="s">
        <v>1711</v>
      </c>
      <c r="C1547" s="110" t="s">
        <v>1711</v>
      </c>
      <c r="D1547" s="110" t="s">
        <v>1721</v>
      </c>
      <c r="E1547" s="110" t="s">
        <v>1713</v>
      </c>
      <c r="F1547" s="110" t="s">
        <v>113</v>
      </c>
      <c r="G1547" s="110" t="s">
        <v>114</v>
      </c>
      <c r="H1547" s="111">
        <v>78</v>
      </c>
      <c r="I1547" s="111">
        <v>75</v>
      </c>
      <c r="J1547" s="111">
        <v>59</v>
      </c>
      <c r="K1547" s="111">
        <f t="shared" si="219"/>
        <v>70.666666666666671</v>
      </c>
      <c r="L1547" s="111">
        <f>150000*0.7</f>
        <v>105000</v>
      </c>
      <c r="M1547" s="111">
        <f t="shared" si="220"/>
        <v>47250</v>
      </c>
      <c r="N1547" s="111">
        <f t="shared" si="221"/>
        <v>47250</v>
      </c>
      <c r="O1547" s="111">
        <f t="shared" si="222"/>
        <v>9450</v>
      </c>
      <c r="P1547" s="111">
        <f t="shared" si="223"/>
        <v>10500</v>
      </c>
      <c r="Q1547" s="111">
        <v>30000</v>
      </c>
      <c r="R1547" s="111">
        <v>3</v>
      </c>
      <c r="S1547" s="111">
        <f t="shared" si="224"/>
        <v>3000</v>
      </c>
      <c r="T1547" s="111">
        <f t="shared" si="225"/>
        <v>135000</v>
      </c>
      <c r="U1547" s="111">
        <f t="shared" si="226"/>
        <v>1350</v>
      </c>
      <c r="V1547" s="111">
        <f t="shared" si="227"/>
        <v>136350</v>
      </c>
      <c r="W1547" t="s">
        <v>4008</v>
      </c>
    </row>
    <row r="1548" spans="1:23" x14ac:dyDescent="0.3">
      <c r="A1548" s="110">
        <v>2100128</v>
      </c>
      <c r="B1548" s="110" t="s">
        <v>1711</v>
      </c>
      <c r="C1548" s="110" t="s">
        <v>1711</v>
      </c>
      <c r="D1548" s="110" t="s">
        <v>1722</v>
      </c>
      <c r="E1548" s="110" t="s">
        <v>406</v>
      </c>
      <c r="F1548" s="110" t="s">
        <v>113</v>
      </c>
      <c r="G1548" s="110" t="s">
        <v>114</v>
      </c>
      <c r="H1548" s="111">
        <v>23</v>
      </c>
      <c r="I1548" s="111">
        <v>20</v>
      </c>
      <c r="J1548" s="111">
        <v>19</v>
      </c>
      <c r="K1548" s="111">
        <f t="shared" si="219"/>
        <v>20.666666666666668</v>
      </c>
      <c r="L1548" s="111">
        <v>50000</v>
      </c>
      <c r="M1548" s="111">
        <f t="shared" si="220"/>
        <v>22500</v>
      </c>
      <c r="N1548" s="111">
        <f t="shared" si="221"/>
        <v>22500</v>
      </c>
      <c r="O1548" s="111">
        <f t="shared" si="222"/>
        <v>4500</v>
      </c>
      <c r="P1548" s="111">
        <f t="shared" si="223"/>
        <v>5000</v>
      </c>
      <c r="Q1548" s="111">
        <v>10000</v>
      </c>
      <c r="R1548" s="111">
        <v>1</v>
      </c>
      <c r="S1548" s="111">
        <f t="shared" si="224"/>
        <v>1000</v>
      </c>
      <c r="T1548" s="111">
        <f t="shared" si="225"/>
        <v>60000</v>
      </c>
      <c r="U1548" s="111">
        <f t="shared" si="226"/>
        <v>600</v>
      </c>
      <c r="V1548" s="111">
        <f t="shared" si="227"/>
        <v>60600</v>
      </c>
      <c r="W1548" t="s">
        <v>4009</v>
      </c>
    </row>
    <row r="1549" spans="1:23" x14ac:dyDescent="0.3">
      <c r="A1549" s="110">
        <v>2100201</v>
      </c>
      <c r="B1549" s="110" t="s">
        <v>1711</v>
      </c>
      <c r="C1549" s="110" t="s">
        <v>1723</v>
      </c>
      <c r="D1549" s="110" t="s">
        <v>1723</v>
      </c>
      <c r="E1549" s="110" t="s">
        <v>272</v>
      </c>
      <c r="F1549" s="110" t="s">
        <v>119</v>
      </c>
      <c r="G1549" s="110" t="s">
        <v>114</v>
      </c>
      <c r="H1549" s="111">
        <v>148</v>
      </c>
      <c r="I1549" s="111">
        <v>144</v>
      </c>
      <c r="J1549" s="111">
        <v>142</v>
      </c>
      <c r="K1549" s="111">
        <f t="shared" si="219"/>
        <v>144.66666666666666</v>
      </c>
      <c r="L1549" s="111">
        <v>150000</v>
      </c>
      <c r="M1549" s="111">
        <f t="shared" si="220"/>
        <v>67500</v>
      </c>
      <c r="N1549" s="111">
        <f t="shared" si="221"/>
        <v>67500</v>
      </c>
      <c r="O1549" s="111">
        <f t="shared" si="222"/>
        <v>13500</v>
      </c>
      <c r="P1549" s="111">
        <f t="shared" si="223"/>
        <v>15000</v>
      </c>
      <c r="Q1549" s="111">
        <v>30000</v>
      </c>
      <c r="R1549" s="111">
        <v>3</v>
      </c>
      <c r="S1549" s="111">
        <f t="shared" si="224"/>
        <v>3000</v>
      </c>
      <c r="T1549" s="111">
        <f t="shared" si="225"/>
        <v>180000</v>
      </c>
      <c r="U1549" s="111">
        <f t="shared" si="226"/>
        <v>1800</v>
      </c>
      <c r="V1549" s="111">
        <f t="shared" si="227"/>
        <v>181800</v>
      </c>
      <c r="W1549" t="s">
        <v>4010</v>
      </c>
    </row>
    <row r="1550" spans="1:23" x14ac:dyDescent="0.3">
      <c r="A1550" s="110">
        <v>2100203</v>
      </c>
      <c r="B1550" s="110" t="s">
        <v>1711</v>
      </c>
      <c r="C1550" s="110" t="s">
        <v>1723</v>
      </c>
      <c r="D1550" s="110" t="s">
        <v>1724</v>
      </c>
      <c r="E1550" s="110" t="s">
        <v>222</v>
      </c>
      <c r="F1550" s="110" t="s">
        <v>113</v>
      </c>
      <c r="G1550" s="110" t="s">
        <v>114</v>
      </c>
      <c r="H1550" s="111">
        <v>33</v>
      </c>
      <c r="I1550" s="111">
        <v>24</v>
      </c>
      <c r="J1550" s="111">
        <v>20</v>
      </c>
      <c r="K1550" s="111">
        <f t="shared" si="219"/>
        <v>25.666666666666668</v>
      </c>
      <c r="L1550" s="111">
        <v>50000</v>
      </c>
      <c r="M1550" s="111">
        <f t="shared" si="220"/>
        <v>22500</v>
      </c>
      <c r="N1550" s="111">
        <f t="shared" si="221"/>
        <v>22500</v>
      </c>
      <c r="O1550" s="111">
        <f t="shared" si="222"/>
        <v>4500</v>
      </c>
      <c r="P1550" s="111">
        <f t="shared" si="223"/>
        <v>5000</v>
      </c>
      <c r="Q1550" s="111">
        <v>10000</v>
      </c>
      <c r="R1550" s="111">
        <v>1</v>
      </c>
      <c r="S1550" s="111">
        <f t="shared" si="224"/>
        <v>1000</v>
      </c>
      <c r="T1550" s="111">
        <f t="shared" si="225"/>
        <v>60000</v>
      </c>
      <c r="U1550" s="111">
        <f t="shared" si="226"/>
        <v>600</v>
      </c>
      <c r="V1550" s="111">
        <f t="shared" si="227"/>
        <v>60600</v>
      </c>
      <c r="W1550" t="s">
        <v>4011</v>
      </c>
    </row>
    <row r="1551" spans="1:23" x14ac:dyDescent="0.3">
      <c r="A1551" s="110">
        <v>2100301</v>
      </c>
      <c r="B1551" s="110" t="s">
        <v>1711</v>
      </c>
      <c r="C1551" s="110" t="s">
        <v>1725</v>
      </c>
      <c r="D1551" s="110" t="s">
        <v>1725</v>
      </c>
      <c r="E1551" s="110" t="s">
        <v>178</v>
      </c>
      <c r="F1551" s="110" t="s">
        <v>119</v>
      </c>
      <c r="G1551" s="110" t="s">
        <v>114</v>
      </c>
      <c r="H1551" s="111">
        <v>135</v>
      </c>
      <c r="I1551" s="111">
        <v>132</v>
      </c>
      <c r="J1551" s="111">
        <v>135</v>
      </c>
      <c r="K1551" s="111">
        <f t="shared" si="219"/>
        <v>134</v>
      </c>
      <c r="L1551" s="111">
        <v>150000</v>
      </c>
      <c r="M1551" s="111">
        <f t="shared" si="220"/>
        <v>67500</v>
      </c>
      <c r="N1551" s="111">
        <f t="shared" si="221"/>
        <v>67500</v>
      </c>
      <c r="O1551" s="111">
        <f t="shared" si="222"/>
        <v>13500</v>
      </c>
      <c r="P1551" s="111">
        <f t="shared" si="223"/>
        <v>15000</v>
      </c>
      <c r="Q1551" s="111">
        <v>30000</v>
      </c>
      <c r="R1551" s="111">
        <v>3</v>
      </c>
      <c r="S1551" s="111">
        <f t="shared" si="224"/>
        <v>3000</v>
      </c>
      <c r="T1551" s="111">
        <f t="shared" si="225"/>
        <v>180000</v>
      </c>
      <c r="U1551" s="111">
        <f t="shared" si="226"/>
        <v>1800</v>
      </c>
      <c r="V1551" s="111">
        <f t="shared" si="227"/>
        <v>181800</v>
      </c>
      <c r="W1551" t="s">
        <v>4012</v>
      </c>
    </row>
    <row r="1552" spans="1:23" x14ac:dyDescent="0.3">
      <c r="A1552" s="110">
        <v>2100303</v>
      </c>
      <c r="B1552" s="110" t="s">
        <v>1711</v>
      </c>
      <c r="C1552" s="110" t="s">
        <v>1725</v>
      </c>
      <c r="D1552" s="110" t="s">
        <v>1726</v>
      </c>
      <c r="E1552" s="110" t="s">
        <v>390</v>
      </c>
      <c r="F1552" s="110" t="s">
        <v>113</v>
      </c>
      <c r="G1552" s="110" t="s">
        <v>114</v>
      </c>
      <c r="H1552" s="111">
        <v>15</v>
      </c>
      <c r="I1552" s="111">
        <v>13</v>
      </c>
      <c r="J1552" s="111">
        <v>10</v>
      </c>
      <c r="K1552" s="111">
        <f t="shared" si="219"/>
        <v>12.666666666666666</v>
      </c>
      <c r="L1552" s="111">
        <v>50000</v>
      </c>
      <c r="M1552" s="111">
        <f t="shared" si="220"/>
        <v>22500</v>
      </c>
      <c r="N1552" s="111">
        <f t="shared" si="221"/>
        <v>22500</v>
      </c>
      <c r="O1552" s="111">
        <f t="shared" si="222"/>
        <v>4500</v>
      </c>
      <c r="P1552" s="111">
        <f t="shared" si="223"/>
        <v>5000</v>
      </c>
      <c r="Q1552" s="111">
        <v>10000</v>
      </c>
      <c r="R1552" s="111">
        <v>1</v>
      </c>
      <c r="S1552" s="111">
        <f t="shared" si="224"/>
        <v>1000</v>
      </c>
      <c r="T1552" s="111">
        <f t="shared" si="225"/>
        <v>60000</v>
      </c>
      <c r="U1552" s="111">
        <f t="shared" si="226"/>
        <v>600</v>
      </c>
      <c r="V1552" s="111">
        <f t="shared" si="227"/>
        <v>60600</v>
      </c>
      <c r="W1552" t="s">
        <v>4013</v>
      </c>
    </row>
    <row r="1553" spans="1:23" x14ac:dyDescent="0.3">
      <c r="A1553" s="110">
        <v>2100401</v>
      </c>
      <c r="B1553" s="110" t="s">
        <v>1711</v>
      </c>
      <c r="C1553" s="110" t="s">
        <v>1727</v>
      </c>
      <c r="D1553" s="110" t="s">
        <v>1727</v>
      </c>
      <c r="E1553" s="110" t="s">
        <v>272</v>
      </c>
      <c r="F1553" s="110" t="s">
        <v>119</v>
      </c>
      <c r="G1553" s="110" t="s">
        <v>114</v>
      </c>
      <c r="H1553" s="111">
        <v>614</v>
      </c>
      <c r="I1553" s="111">
        <v>576</v>
      </c>
      <c r="J1553" s="111">
        <v>558</v>
      </c>
      <c r="K1553" s="111">
        <f t="shared" si="219"/>
        <v>582.66666666666663</v>
      </c>
      <c r="L1553" s="111">
        <f>300000*0.7</f>
        <v>210000</v>
      </c>
      <c r="M1553" s="111">
        <f t="shared" si="220"/>
        <v>94500</v>
      </c>
      <c r="N1553" s="111">
        <f t="shared" si="221"/>
        <v>94500</v>
      </c>
      <c r="O1553" s="111">
        <f t="shared" si="222"/>
        <v>18900</v>
      </c>
      <c r="P1553" s="111">
        <f t="shared" si="223"/>
        <v>21000</v>
      </c>
      <c r="Q1553" s="111">
        <v>60000</v>
      </c>
      <c r="R1553" s="111">
        <v>6</v>
      </c>
      <c r="S1553" s="111">
        <f t="shared" si="224"/>
        <v>6000</v>
      </c>
      <c r="T1553" s="111">
        <f t="shared" si="225"/>
        <v>270000</v>
      </c>
      <c r="U1553" s="111">
        <f t="shared" si="226"/>
        <v>2700</v>
      </c>
      <c r="V1553" s="111">
        <f t="shared" si="227"/>
        <v>272700</v>
      </c>
      <c r="W1553" t="s">
        <v>4014</v>
      </c>
    </row>
    <row r="1554" spans="1:23" x14ac:dyDescent="0.3">
      <c r="A1554" s="110">
        <v>2100402</v>
      </c>
      <c r="B1554" s="110" t="s">
        <v>1711</v>
      </c>
      <c r="C1554" s="110" t="s">
        <v>1727</v>
      </c>
      <c r="D1554" s="110" t="s">
        <v>1727</v>
      </c>
      <c r="E1554" s="110" t="s">
        <v>1728</v>
      </c>
      <c r="F1554" s="110" t="s">
        <v>117</v>
      </c>
      <c r="G1554" s="110" t="s">
        <v>114</v>
      </c>
      <c r="H1554" s="111">
        <v>119</v>
      </c>
      <c r="I1554" s="111">
        <v>120</v>
      </c>
      <c r="J1554" s="111">
        <v>122</v>
      </c>
      <c r="K1554" s="111">
        <f t="shared" si="219"/>
        <v>120.33333333333333</v>
      </c>
      <c r="L1554" s="111">
        <v>150000</v>
      </c>
      <c r="M1554" s="111">
        <f t="shared" si="220"/>
        <v>67500</v>
      </c>
      <c r="N1554" s="111">
        <f t="shared" si="221"/>
        <v>67500</v>
      </c>
      <c r="O1554" s="111">
        <f t="shared" si="222"/>
        <v>13500</v>
      </c>
      <c r="P1554" s="111">
        <f t="shared" si="223"/>
        <v>15000</v>
      </c>
      <c r="Q1554" s="111">
        <v>30000</v>
      </c>
      <c r="R1554" s="111">
        <v>3</v>
      </c>
      <c r="S1554" s="111">
        <f t="shared" si="224"/>
        <v>3000</v>
      </c>
      <c r="T1554" s="111">
        <f t="shared" si="225"/>
        <v>180000</v>
      </c>
      <c r="U1554" s="111">
        <f t="shared" si="226"/>
        <v>1800</v>
      </c>
      <c r="V1554" s="111">
        <f t="shared" si="227"/>
        <v>181800</v>
      </c>
      <c r="W1554" t="s">
        <v>4015</v>
      </c>
    </row>
    <row r="1555" spans="1:23" x14ac:dyDescent="0.3">
      <c r="A1555" s="110">
        <v>2100405</v>
      </c>
      <c r="B1555" s="110" t="s">
        <v>1711</v>
      </c>
      <c r="C1555" s="110" t="s">
        <v>1727</v>
      </c>
      <c r="D1555" s="110" t="s">
        <v>1729</v>
      </c>
      <c r="E1555" s="110" t="s">
        <v>1412</v>
      </c>
      <c r="F1555" s="110" t="s">
        <v>113</v>
      </c>
      <c r="G1555" s="110" t="s">
        <v>114</v>
      </c>
      <c r="H1555" s="111">
        <v>52</v>
      </c>
      <c r="I1555" s="111">
        <v>41</v>
      </c>
      <c r="J1555" s="111">
        <v>36</v>
      </c>
      <c r="K1555" s="111">
        <f t="shared" si="219"/>
        <v>43</v>
      </c>
      <c r="L1555" s="111">
        <v>50000</v>
      </c>
      <c r="M1555" s="111">
        <f t="shared" si="220"/>
        <v>22500</v>
      </c>
      <c r="N1555" s="111">
        <f t="shared" si="221"/>
        <v>22500</v>
      </c>
      <c r="O1555" s="111">
        <f t="shared" si="222"/>
        <v>4500</v>
      </c>
      <c r="P1555" s="111">
        <f t="shared" si="223"/>
        <v>5000</v>
      </c>
      <c r="Q1555" s="111">
        <v>10000</v>
      </c>
      <c r="R1555" s="111">
        <v>1</v>
      </c>
      <c r="S1555" s="111">
        <f t="shared" si="224"/>
        <v>1000</v>
      </c>
      <c r="T1555" s="111">
        <f t="shared" si="225"/>
        <v>60000</v>
      </c>
      <c r="U1555" s="111">
        <f t="shared" si="226"/>
        <v>600</v>
      </c>
      <c r="V1555" s="111">
        <f t="shared" si="227"/>
        <v>60600</v>
      </c>
      <c r="W1555" t="s">
        <v>4016</v>
      </c>
    </row>
    <row r="1556" spans="1:23" x14ac:dyDescent="0.3">
      <c r="A1556" s="110">
        <v>2100406</v>
      </c>
      <c r="B1556" s="110" t="s">
        <v>1711</v>
      </c>
      <c r="C1556" s="110" t="s">
        <v>1727</v>
      </c>
      <c r="D1556" s="110" t="s">
        <v>1730</v>
      </c>
      <c r="E1556" s="110" t="s">
        <v>165</v>
      </c>
      <c r="F1556" s="110" t="s">
        <v>113</v>
      </c>
      <c r="G1556" s="110" t="s">
        <v>114</v>
      </c>
      <c r="H1556" s="111">
        <v>54</v>
      </c>
      <c r="I1556" s="111">
        <v>63</v>
      </c>
      <c r="J1556" s="111">
        <v>62</v>
      </c>
      <c r="K1556" s="111">
        <f t="shared" si="219"/>
        <v>59.666666666666664</v>
      </c>
      <c r="L1556" s="111">
        <v>150000</v>
      </c>
      <c r="M1556" s="111">
        <f t="shared" si="220"/>
        <v>67500</v>
      </c>
      <c r="N1556" s="111">
        <f t="shared" si="221"/>
        <v>67500</v>
      </c>
      <c r="O1556" s="111">
        <f t="shared" si="222"/>
        <v>13500</v>
      </c>
      <c r="P1556" s="111">
        <f t="shared" si="223"/>
        <v>15000</v>
      </c>
      <c r="Q1556" s="111">
        <v>30000</v>
      </c>
      <c r="R1556" s="111">
        <v>3</v>
      </c>
      <c r="S1556" s="111">
        <f t="shared" si="224"/>
        <v>3000</v>
      </c>
      <c r="T1556" s="111">
        <f t="shared" si="225"/>
        <v>180000</v>
      </c>
      <c r="U1556" s="111">
        <f t="shared" si="226"/>
        <v>1800</v>
      </c>
      <c r="V1556" s="111">
        <f t="shared" si="227"/>
        <v>181800</v>
      </c>
      <c r="W1556" t="s">
        <v>4017</v>
      </c>
    </row>
    <row r="1557" spans="1:23" x14ac:dyDescent="0.3">
      <c r="A1557" s="110">
        <v>2100407</v>
      </c>
      <c r="B1557" s="110" t="s">
        <v>1711</v>
      </c>
      <c r="C1557" s="110" t="s">
        <v>1727</v>
      </c>
      <c r="D1557" s="110" t="s">
        <v>923</v>
      </c>
      <c r="E1557" s="110" t="s">
        <v>184</v>
      </c>
      <c r="F1557" s="110" t="s">
        <v>113</v>
      </c>
      <c r="G1557" s="110" t="s">
        <v>114</v>
      </c>
      <c r="H1557" s="111">
        <v>11</v>
      </c>
      <c r="I1557" s="111">
        <v>8</v>
      </c>
      <c r="J1557" s="111">
        <v>5</v>
      </c>
      <c r="K1557" s="111">
        <f t="shared" si="219"/>
        <v>8</v>
      </c>
      <c r="L1557" s="111">
        <v>50000</v>
      </c>
      <c r="M1557" s="111">
        <f t="shared" si="220"/>
        <v>22500</v>
      </c>
      <c r="N1557" s="111">
        <f t="shared" si="221"/>
        <v>22500</v>
      </c>
      <c r="O1557" s="111">
        <f t="shared" si="222"/>
        <v>4500</v>
      </c>
      <c r="P1557" s="111">
        <f t="shared" si="223"/>
        <v>5000</v>
      </c>
      <c r="Q1557" s="111">
        <v>10000</v>
      </c>
      <c r="R1557" s="111">
        <v>1</v>
      </c>
      <c r="S1557" s="111">
        <f t="shared" si="224"/>
        <v>1000</v>
      </c>
      <c r="T1557" s="111">
        <f t="shared" si="225"/>
        <v>60000</v>
      </c>
      <c r="U1557" s="111">
        <f t="shared" si="226"/>
        <v>600</v>
      </c>
      <c r="V1557" s="111">
        <f t="shared" si="227"/>
        <v>60600</v>
      </c>
      <c r="W1557" t="s">
        <v>4018</v>
      </c>
    </row>
    <row r="1558" spans="1:23" x14ac:dyDescent="0.3">
      <c r="A1558" s="110">
        <v>2100409</v>
      </c>
      <c r="B1558" s="110" t="s">
        <v>1711</v>
      </c>
      <c r="C1558" s="110" t="s">
        <v>1727</v>
      </c>
      <c r="D1558" s="110" t="s">
        <v>1727</v>
      </c>
      <c r="E1558" s="110" t="s">
        <v>301</v>
      </c>
      <c r="F1558" s="110" t="s">
        <v>113</v>
      </c>
      <c r="G1558" s="110" t="s">
        <v>114</v>
      </c>
      <c r="H1558" s="111">
        <v>26</v>
      </c>
      <c r="I1558" s="111">
        <v>29</v>
      </c>
      <c r="J1558" s="111">
        <v>24</v>
      </c>
      <c r="K1558" s="111">
        <f t="shared" si="219"/>
        <v>26.333333333333332</v>
      </c>
      <c r="L1558" s="111">
        <v>50000</v>
      </c>
      <c r="M1558" s="111">
        <f t="shared" si="220"/>
        <v>22500</v>
      </c>
      <c r="N1558" s="111">
        <f t="shared" si="221"/>
        <v>22500</v>
      </c>
      <c r="O1558" s="111">
        <f t="shared" si="222"/>
        <v>4500</v>
      </c>
      <c r="P1558" s="111">
        <f t="shared" si="223"/>
        <v>5000</v>
      </c>
      <c r="Q1558" s="111">
        <v>10000</v>
      </c>
      <c r="R1558" s="111">
        <v>1</v>
      </c>
      <c r="S1558" s="111">
        <f t="shared" si="224"/>
        <v>1000</v>
      </c>
      <c r="T1558" s="111">
        <f t="shared" si="225"/>
        <v>60000</v>
      </c>
      <c r="U1558" s="111">
        <f t="shared" si="226"/>
        <v>600</v>
      </c>
      <c r="V1558" s="111">
        <f t="shared" si="227"/>
        <v>60600</v>
      </c>
      <c r="W1558" t="s">
        <v>4019</v>
      </c>
    </row>
    <row r="1559" spans="1:23" x14ac:dyDescent="0.3">
      <c r="A1559" s="110">
        <v>2100413</v>
      </c>
      <c r="B1559" s="110" t="s">
        <v>1711</v>
      </c>
      <c r="C1559" s="110" t="s">
        <v>1727</v>
      </c>
      <c r="D1559" s="110" t="s">
        <v>1731</v>
      </c>
      <c r="E1559" s="110" t="s">
        <v>320</v>
      </c>
      <c r="F1559" s="110" t="s">
        <v>113</v>
      </c>
      <c r="G1559" s="110" t="s">
        <v>114</v>
      </c>
      <c r="H1559" s="111">
        <v>10</v>
      </c>
      <c r="I1559" s="111">
        <v>11</v>
      </c>
      <c r="J1559" s="111">
        <v>10</v>
      </c>
      <c r="K1559" s="111">
        <f t="shared" si="219"/>
        <v>10.333333333333334</v>
      </c>
      <c r="L1559" s="111">
        <v>50000</v>
      </c>
      <c r="M1559" s="111">
        <f t="shared" si="220"/>
        <v>22500</v>
      </c>
      <c r="N1559" s="111">
        <f t="shared" si="221"/>
        <v>22500</v>
      </c>
      <c r="O1559" s="111">
        <f t="shared" si="222"/>
        <v>4500</v>
      </c>
      <c r="P1559" s="111">
        <f t="shared" si="223"/>
        <v>5000</v>
      </c>
      <c r="Q1559" s="111">
        <v>10000</v>
      </c>
      <c r="R1559" s="111">
        <v>1</v>
      </c>
      <c r="S1559" s="111">
        <f t="shared" si="224"/>
        <v>1000</v>
      </c>
      <c r="T1559" s="111">
        <f t="shared" si="225"/>
        <v>60000</v>
      </c>
      <c r="U1559" s="111">
        <f t="shared" si="226"/>
        <v>600</v>
      </c>
      <c r="V1559" s="111">
        <f t="shared" si="227"/>
        <v>60600</v>
      </c>
      <c r="W1559" t="s">
        <v>4020</v>
      </c>
    </row>
    <row r="1560" spans="1:23" x14ac:dyDescent="0.3">
      <c r="A1560" s="110">
        <v>2100501</v>
      </c>
      <c r="B1560" s="110" t="s">
        <v>1711</v>
      </c>
      <c r="C1560" s="110" t="s">
        <v>1732</v>
      </c>
      <c r="D1560" s="110" t="s">
        <v>1732</v>
      </c>
      <c r="E1560" s="110" t="s">
        <v>1733</v>
      </c>
      <c r="F1560" s="110" t="s">
        <v>119</v>
      </c>
      <c r="G1560" s="110" t="s">
        <v>114</v>
      </c>
      <c r="H1560" s="111">
        <v>336</v>
      </c>
      <c r="I1560" s="111">
        <v>326</v>
      </c>
      <c r="J1560" s="111">
        <v>317</v>
      </c>
      <c r="K1560" s="111">
        <f t="shared" si="219"/>
        <v>326.33333333333331</v>
      </c>
      <c r="L1560" s="111">
        <f>200000*0.7</f>
        <v>140000</v>
      </c>
      <c r="M1560" s="111">
        <f t="shared" si="220"/>
        <v>63000</v>
      </c>
      <c r="N1560" s="111">
        <f t="shared" si="221"/>
        <v>63000</v>
      </c>
      <c r="O1560" s="111">
        <f t="shared" si="222"/>
        <v>12600</v>
      </c>
      <c r="P1560" s="111">
        <f t="shared" si="223"/>
        <v>14000</v>
      </c>
      <c r="Q1560" s="111">
        <v>50000</v>
      </c>
      <c r="R1560" s="111">
        <v>5</v>
      </c>
      <c r="S1560" s="111">
        <f t="shared" si="224"/>
        <v>5000</v>
      </c>
      <c r="T1560" s="111">
        <f t="shared" si="225"/>
        <v>190000</v>
      </c>
      <c r="U1560" s="111">
        <f t="shared" si="226"/>
        <v>1900</v>
      </c>
      <c r="V1560" s="111">
        <f t="shared" si="227"/>
        <v>191900</v>
      </c>
      <c r="W1560" t="s">
        <v>4021</v>
      </c>
    </row>
    <row r="1561" spans="1:23" x14ac:dyDescent="0.3">
      <c r="A1561" s="110">
        <v>2100602</v>
      </c>
      <c r="B1561" s="110" t="s">
        <v>1711</v>
      </c>
      <c r="C1561" s="110" t="s">
        <v>1734</v>
      </c>
      <c r="D1561" s="110" t="s">
        <v>1735</v>
      </c>
      <c r="E1561" s="110" t="s">
        <v>1736</v>
      </c>
      <c r="F1561" s="110" t="s">
        <v>119</v>
      </c>
      <c r="G1561" s="110" t="s">
        <v>114</v>
      </c>
      <c r="H1561" s="111">
        <v>107</v>
      </c>
      <c r="I1561" s="111">
        <v>108</v>
      </c>
      <c r="J1561" s="111">
        <v>108</v>
      </c>
      <c r="K1561" s="111">
        <f t="shared" si="219"/>
        <v>107.66666666666667</v>
      </c>
      <c r="L1561" s="111">
        <v>150000</v>
      </c>
      <c r="M1561" s="111">
        <f t="shared" si="220"/>
        <v>67500</v>
      </c>
      <c r="N1561" s="111">
        <f t="shared" si="221"/>
        <v>67500</v>
      </c>
      <c r="O1561" s="111">
        <f t="shared" si="222"/>
        <v>13500</v>
      </c>
      <c r="P1561" s="111">
        <f t="shared" si="223"/>
        <v>15000</v>
      </c>
      <c r="Q1561" s="111">
        <v>30000</v>
      </c>
      <c r="R1561" s="111">
        <v>3</v>
      </c>
      <c r="S1561" s="111">
        <f t="shared" si="224"/>
        <v>3000</v>
      </c>
      <c r="T1561" s="111">
        <f t="shared" si="225"/>
        <v>180000</v>
      </c>
      <c r="U1561" s="111">
        <f t="shared" si="226"/>
        <v>1800</v>
      </c>
      <c r="V1561" s="111">
        <f t="shared" si="227"/>
        <v>181800</v>
      </c>
      <c r="W1561" t="s">
        <v>4022</v>
      </c>
    </row>
    <row r="1562" spans="1:23" x14ac:dyDescent="0.3">
      <c r="A1562" s="110">
        <v>2100605</v>
      </c>
      <c r="B1562" s="110" t="s">
        <v>1711</v>
      </c>
      <c r="C1562" s="110" t="s">
        <v>1734</v>
      </c>
      <c r="D1562" s="110" t="s">
        <v>290</v>
      </c>
      <c r="E1562" s="110" t="s">
        <v>1737</v>
      </c>
      <c r="F1562" s="110" t="s">
        <v>113</v>
      </c>
      <c r="G1562" s="110" t="s">
        <v>114</v>
      </c>
      <c r="H1562" s="111">
        <v>49</v>
      </c>
      <c r="I1562" s="111">
        <v>40</v>
      </c>
      <c r="J1562" s="111">
        <v>43</v>
      </c>
      <c r="K1562" s="111">
        <f t="shared" si="219"/>
        <v>44</v>
      </c>
      <c r="L1562" s="111">
        <v>50000</v>
      </c>
      <c r="M1562" s="111">
        <f t="shared" si="220"/>
        <v>22500</v>
      </c>
      <c r="N1562" s="111">
        <f t="shared" si="221"/>
        <v>22500</v>
      </c>
      <c r="O1562" s="111">
        <f t="shared" si="222"/>
        <v>4500</v>
      </c>
      <c r="P1562" s="111">
        <f t="shared" si="223"/>
        <v>5000</v>
      </c>
      <c r="Q1562" s="111">
        <v>10000</v>
      </c>
      <c r="R1562" s="111">
        <v>1</v>
      </c>
      <c r="S1562" s="111">
        <f t="shared" si="224"/>
        <v>1000</v>
      </c>
      <c r="T1562" s="111">
        <f t="shared" si="225"/>
        <v>60000</v>
      </c>
      <c r="U1562" s="111">
        <f t="shared" si="226"/>
        <v>600</v>
      </c>
      <c r="V1562" s="111">
        <f t="shared" si="227"/>
        <v>60600</v>
      </c>
      <c r="W1562" t="s">
        <v>4023</v>
      </c>
    </row>
    <row r="1563" spans="1:23" x14ac:dyDescent="0.3">
      <c r="A1563" s="110">
        <v>2100606</v>
      </c>
      <c r="B1563" s="110" t="s">
        <v>1711</v>
      </c>
      <c r="C1563" s="110" t="s">
        <v>1734</v>
      </c>
      <c r="D1563" s="110" t="s">
        <v>1734</v>
      </c>
      <c r="E1563" s="110" t="s">
        <v>319</v>
      </c>
      <c r="F1563" s="110" t="s">
        <v>113</v>
      </c>
      <c r="G1563" s="110" t="s">
        <v>114</v>
      </c>
      <c r="H1563" s="111">
        <v>294</v>
      </c>
      <c r="I1563" s="111">
        <v>269</v>
      </c>
      <c r="J1563" s="111">
        <v>265</v>
      </c>
      <c r="K1563" s="111">
        <f t="shared" si="219"/>
        <v>276</v>
      </c>
      <c r="L1563" s="111">
        <v>200000</v>
      </c>
      <c r="M1563" s="111">
        <f t="shared" si="220"/>
        <v>90000</v>
      </c>
      <c r="N1563" s="111">
        <f t="shared" si="221"/>
        <v>90000</v>
      </c>
      <c r="O1563" s="111">
        <f t="shared" si="222"/>
        <v>18000</v>
      </c>
      <c r="P1563" s="111">
        <f t="shared" si="223"/>
        <v>20000</v>
      </c>
      <c r="Q1563" s="111">
        <v>50000</v>
      </c>
      <c r="R1563" s="111">
        <v>5</v>
      </c>
      <c r="S1563" s="111">
        <f t="shared" si="224"/>
        <v>5000</v>
      </c>
      <c r="T1563" s="111">
        <f t="shared" si="225"/>
        <v>250000</v>
      </c>
      <c r="U1563" s="111">
        <f t="shared" si="226"/>
        <v>2500</v>
      </c>
      <c r="V1563" s="111">
        <f t="shared" si="227"/>
        <v>252500</v>
      </c>
      <c r="W1563" t="s">
        <v>4024</v>
      </c>
    </row>
    <row r="1564" spans="1:23" x14ac:dyDescent="0.3">
      <c r="A1564" s="110">
        <v>2100607</v>
      </c>
      <c r="B1564" s="110" t="s">
        <v>1711</v>
      </c>
      <c r="C1564" s="110" t="s">
        <v>1734</v>
      </c>
      <c r="D1564" s="110" t="s">
        <v>1738</v>
      </c>
      <c r="E1564" s="110" t="s">
        <v>319</v>
      </c>
      <c r="F1564" s="110" t="s">
        <v>113</v>
      </c>
      <c r="G1564" s="110" t="s">
        <v>114</v>
      </c>
      <c r="H1564" s="111">
        <v>13</v>
      </c>
      <c r="I1564" s="111">
        <v>12</v>
      </c>
      <c r="J1564" s="111">
        <v>12</v>
      </c>
      <c r="K1564" s="111">
        <f t="shared" si="219"/>
        <v>12.333333333333334</v>
      </c>
      <c r="L1564" s="111">
        <v>50000</v>
      </c>
      <c r="M1564" s="111">
        <f t="shared" si="220"/>
        <v>22500</v>
      </c>
      <c r="N1564" s="111">
        <f t="shared" si="221"/>
        <v>22500</v>
      </c>
      <c r="O1564" s="111">
        <f t="shared" si="222"/>
        <v>4500</v>
      </c>
      <c r="P1564" s="111">
        <f t="shared" si="223"/>
        <v>5000</v>
      </c>
      <c r="Q1564" s="111">
        <v>10000</v>
      </c>
      <c r="R1564" s="111">
        <v>1</v>
      </c>
      <c r="S1564" s="111">
        <f t="shared" si="224"/>
        <v>1000</v>
      </c>
      <c r="T1564" s="111">
        <f t="shared" si="225"/>
        <v>60000</v>
      </c>
      <c r="U1564" s="111">
        <f t="shared" si="226"/>
        <v>600</v>
      </c>
      <c r="V1564" s="111">
        <f t="shared" si="227"/>
        <v>60600</v>
      </c>
      <c r="W1564" t="s">
        <v>4025</v>
      </c>
    </row>
    <row r="1565" spans="1:23" x14ac:dyDescent="0.3">
      <c r="A1565" s="110">
        <v>2100701</v>
      </c>
      <c r="B1565" s="110" t="s">
        <v>1711</v>
      </c>
      <c r="C1565" s="110" t="s">
        <v>1049</v>
      </c>
      <c r="D1565" s="110" t="s">
        <v>1049</v>
      </c>
      <c r="E1565" s="110" t="s">
        <v>746</v>
      </c>
      <c r="F1565" s="110" t="s">
        <v>119</v>
      </c>
      <c r="G1565" s="110" t="s">
        <v>114</v>
      </c>
      <c r="H1565" s="111">
        <v>608</v>
      </c>
      <c r="I1565" s="111">
        <v>600</v>
      </c>
      <c r="J1565" s="111">
        <v>615</v>
      </c>
      <c r="K1565" s="111">
        <f t="shared" si="219"/>
        <v>607.66666666666663</v>
      </c>
      <c r="L1565" s="111">
        <f>300000</f>
        <v>300000</v>
      </c>
      <c r="M1565" s="111">
        <f t="shared" si="220"/>
        <v>135000</v>
      </c>
      <c r="N1565" s="111">
        <f t="shared" si="221"/>
        <v>135000</v>
      </c>
      <c r="O1565" s="111">
        <f t="shared" si="222"/>
        <v>27000</v>
      </c>
      <c r="P1565" s="111">
        <f t="shared" si="223"/>
        <v>30000</v>
      </c>
      <c r="Q1565" s="111">
        <v>60000</v>
      </c>
      <c r="R1565" s="111">
        <v>6</v>
      </c>
      <c r="S1565" s="111">
        <f t="shared" si="224"/>
        <v>6000</v>
      </c>
      <c r="T1565" s="111">
        <f t="shared" si="225"/>
        <v>360000</v>
      </c>
      <c r="U1565" s="111">
        <f t="shared" si="226"/>
        <v>3600</v>
      </c>
      <c r="V1565" s="111">
        <f t="shared" si="227"/>
        <v>363600</v>
      </c>
      <c r="W1565" t="s">
        <v>4026</v>
      </c>
    </row>
    <row r="1566" spans="1:23" x14ac:dyDescent="0.3">
      <c r="A1566" s="110">
        <v>2100704</v>
      </c>
      <c r="B1566" s="110" t="s">
        <v>1711</v>
      </c>
      <c r="C1566" s="110" t="s">
        <v>1049</v>
      </c>
      <c r="D1566" s="110" t="s">
        <v>1049</v>
      </c>
      <c r="E1566" s="110" t="s">
        <v>406</v>
      </c>
      <c r="F1566" s="110" t="s">
        <v>113</v>
      </c>
      <c r="G1566" s="110" t="s">
        <v>114</v>
      </c>
      <c r="H1566" s="111">
        <v>56</v>
      </c>
      <c r="I1566" s="111">
        <v>48</v>
      </c>
      <c r="J1566" s="111">
        <v>42</v>
      </c>
      <c r="K1566" s="111">
        <f t="shared" si="219"/>
        <v>48.666666666666664</v>
      </c>
      <c r="L1566" s="111">
        <v>50000</v>
      </c>
      <c r="M1566" s="111">
        <f t="shared" si="220"/>
        <v>22500</v>
      </c>
      <c r="N1566" s="111">
        <f t="shared" si="221"/>
        <v>22500</v>
      </c>
      <c r="O1566" s="111">
        <f t="shared" si="222"/>
        <v>4500</v>
      </c>
      <c r="P1566" s="111">
        <f t="shared" si="223"/>
        <v>5000</v>
      </c>
      <c r="Q1566" s="111">
        <v>10000</v>
      </c>
      <c r="R1566" s="111">
        <v>1</v>
      </c>
      <c r="S1566" s="111">
        <f t="shared" si="224"/>
        <v>1000</v>
      </c>
      <c r="T1566" s="111">
        <f t="shared" si="225"/>
        <v>60000</v>
      </c>
      <c r="U1566" s="111">
        <f t="shared" si="226"/>
        <v>600</v>
      </c>
      <c r="V1566" s="111">
        <f t="shared" si="227"/>
        <v>60600</v>
      </c>
      <c r="W1566" t="s">
        <v>4027</v>
      </c>
    </row>
    <row r="1567" spans="1:23" x14ac:dyDescent="0.3">
      <c r="A1567" s="110">
        <v>2100706</v>
      </c>
      <c r="B1567" s="110" t="s">
        <v>1711</v>
      </c>
      <c r="C1567" s="110" t="s">
        <v>1049</v>
      </c>
      <c r="D1567" s="110" t="s">
        <v>1739</v>
      </c>
      <c r="E1567" s="110" t="s">
        <v>1740</v>
      </c>
      <c r="F1567" s="110" t="s">
        <v>113</v>
      </c>
      <c r="G1567" s="110" t="s">
        <v>114</v>
      </c>
      <c r="H1567" s="111">
        <v>15</v>
      </c>
      <c r="I1567" s="111">
        <v>13</v>
      </c>
      <c r="J1567" s="111">
        <v>7</v>
      </c>
      <c r="K1567" s="111">
        <f t="shared" si="219"/>
        <v>11.666666666666666</v>
      </c>
      <c r="L1567" s="111">
        <v>50000</v>
      </c>
      <c r="M1567" s="111">
        <f t="shared" si="220"/>
        <v>22500</v>
      </c>
      <c r="N1567" s="111">
        <f t="shared" si="221"/>
        <v>22500</v>
      </c>
      <c r="O1567" s="111">
        <f t="shared" si="222"/>
        <v>4500</v>
      </c>
      <c r="P1567" s="111">
        <f t="shared" si="223"/>
        <v>5000</v>
      </c>
      <c r="Q1567" s="111">
        <v>10000</v>
      </c>
      <c r="R1567" s="111">
        <v>1</v>
      </c>
      <c r="S1567" s="111">
        <f t="shared" si="224"/>
        <v>1000</v>
      </c>
      <c r="T1567" s="111">
        <f t="shared" si="225"/>
        <v>60000</v>
      </c>
      <c r="U1567" s="111">
        <f t="shared" si="226"/>
        <v>600</v>
      </c>
      <c r="V1567" s="111">
        <f t="shared" si="227"/>
        <v>60600</v>
      </c>
      <c r="W1567" t="s">
        <v>4028</v>
      </c>
    </row>
    <row r="1568" spans="1:23" x14ac:dyDescent="0.3">
      <c r="A1568" s="110">
        <v>2100708</v>
      </c>
      <c r="B1568" s="110" t="s">
        <v>1711</v>
      </c>
      <c r="C1568" s="110" t="s">
        <v>1049</v>
      </c>
      <c r="D1568" s="110" t="s">
        <v>1741</v>
      </c>
      <c r="E1568" s="110" t="s">
        <v>1742</v>
      </c>
      <c r="F1568" s="110" t="s">
        <v>113</v>
      </c>
      <c r="G1568" s="110" t="s">
        <v>114</v>
      </c>
      <c r="H1568" s="111">
        <v>7</v>
      </c>
      <c r="I1568" s="111">
        <v>9</v>
      </c>
      <c r="J1568" s="111">
        <v>8</v>
      </c>
      <c r="K1568" s="111">
        <f t="shared" si="219"/>
        <v>8</v>
      </c>
      <c r="L1568" s="111">
        <v>50000</v>
      </c>
      <c r="M1568" s="111">
        <f t="shared" si="220"/>
        <v>22500</v>
      </c>
      <c r="N1568" s="111">
        <f t="shared" si="221"/>
        <v>22500</v>
      </c>
      <c r="O1568" s="111">
        <f t="shared" si="222"/>
        <v>4500</v>
      </c>
      <c r="P1568" s="111">
        <f t="shared" si="223"/>
        <v>5000</v>
      </c>
      <c r="Q1568" s="111">
        <v>10000</v>
      </c>
      <c r="R1568" s="111">
        <v>1</v>
      </c>
      <c r="S1568" s="111">
        <f t="shared" si="224"/>
        <v>1000</v>
      </c>
      <c r="T1568" s="111">
        <f t="shared" si="225"/>
        <v>60000</v>
      </c>
      <c r="U1568" s="111">
        <f t="shared" si="226"/>
        <v>600</v>
      </c>
      <c r="V1568" s="111">
        <f t="shared" si="227"/>
        <v>60600</v>
      </c>
      <c r="W1568" t="s">
        <v>4029</v>
      </c>
    </row>
    <row r="1569" spans="1:23" x14ac:dyDescent="0.3">
      <c r="A1569" s="110">
        <v>2100709</v>
      </c>
      <c r="B1569" s="110" t="s">
        <v>1711</v>
      </c>
      <c r="C1569" s="110" t="s">
        <v>1049</v>
      </c>
      <c r="D1569" s="110" t="s">
        <v>1743</v>
      </c>
      <c r="E1569" s="110" t="s">
        <v>1744</v>
      </c>
      <c r="F1569" s="110" t="s">
        <v>113</v>
      </c>
      <c r="G1569" s="110" t="s">
        <v>114</v>
      </c>
      <c r="H1569" s="111">
        <v>73</v>
      </c>
      <c r="I1569" s="111">
        <v>70</v>
      </c>
      <c r="J1569" s="111">
        <v>54</v>
      </c>
      <c r="K1569" s="111">
        <f t="shared" si="219"/>
        <v>65.666666666666671</v>
      </c>
      <c r="L1569" s="111">
        <f>150000*0.7</f>
        <v>105000</v>
      </c>
      <c r="M1569" s="111">
        <f t="shared" si="220"/>
        <v>47250</v>
      </c>
      <c r="N1569" s="111">
        <f t="shared" si="221"/>
        <v>47250</v>
      </c>
      <c r="O1569" s="111">
        <f t="shared" si="222"/>
        <v>9450</v>
      </c>
      <c r="P1569" s="111">
        <f t="shared" si="223"/>
        <v>10500</v>
      </c>
      <c r="Q1569" s="111">
        <v>30000</v>
      </c>
      <c r="R1569" s="111">
        <v>3</v>
      </c>
      <c r="S1569" s="111">
        <f t="shared" si="224"/>
        <v>3000</v>
      </c>
      <c r="T1569" s="111">
        <f t="shared" si="225"/>
        <v>135000</v>
      </c>
      <c r="U1569" s="111">
        <f t="shared" si="226"/>
        <v>1350</v>
      </c>
      <c r="V1569" s="111">
        <f t="shared" si="227"/>
        <v>136350</v>
      </c>
      <c r="W1569" t="s">
        <v>4030</v>
      </c>
    </row>
    <row r="1570" spans="1:23" x14ac:dyDescent="0.3">
      <c r="A1570" s="110">
        <v>2100801</v>
      </c>
      <c r="B1570" s="110" t="s">
        <v>1711</v>
      </c>
      <c r="C1570" s="110" t="s">
        <v>1745</v>
      </c>
      <c r="D1570" s="110" t="s">
        <v>1745</v>
      </c>
      <c r="E1570" s="110" t="s">
        <v>1746</v>
      </c>
      <c r="F1570" s="110" t="s">
        <v>119</v>
      </c>
      <c r="G1570" s="110" t="s">
        <v>114</v>
      </c>
      <c r="H1570" s="111">
        <v>595</v>
      </c>
      <c r="I1570" s="111">
        <v>576</v>
      </c>
      <c r="J1570" s="111">
        <v>575</v>
      </c>
      <c r="K1570" s="111">
        <f t="shared" si="219"/>
        <v>582</v>
      </c>
      <c r="L1570" s="111">
        <f>300000</f>
        <v>300000</v>
      </c>
      <c r="M1570" s="111">
        <f t="shared" si="220"/>
        <v>135000</v>
      </c>
      <c r="N1570" s="111">
        <f t="shared" si="221"/>
        <v>135000</v>
      </c>
      <c r="O1570" s="111">
        <f t="shared" si="222"/>
        <v>27000</v>
      </c>
      <c r="P1570" s="111">
        <f t="shared" si="223"/>
        <v>30000</v>
      </c>
      <c r="Q1570" s="111">
        <v>60000</v>
      </c>
      <c r="R1570" s="111">
        <v>6</v>
      </c>
      <c r="S1570" s="111">
        <f t="shared" si="224"/>
        <v>6000</v>
      </c>
      <c r="T1570" s="111">
        <f t="shared" si="225"/>
        <v>360000</v>
      </c>
      <c r="U1570" s="111">
        <f t="shared" si="226"/>
        <v>3600</v>
      </c>
      <c r="V1570" s="111">
        <f t="shared" si="227"/>
        <v>363600</v>
      </c>
      <c r="W1570" t="s">
        <v>4031</v>
      </c>
    </row>
    <row r="1571" spans="1:23" x14ac:dyDescent="0.3">
      <c r="A1571" s="110">
        <v>2100802</v>
      </c>
      <c r="B1571" s="110" t="s">
        <v>1711</v>
      </c>
      <c r="C1571" s="110" t="s">
        <v>1745</v>
      </c>
      <c r="D1571" s="110" t="s">
        <v>1747</v>
      </c>
      <c r="E1571" s="110" t="s">
        <v>272</v>
      </c>
      <c r="F1571" s="110" t="s">
        <v>119</v>
      </c>
      <c r="G1571" s="110" t="s">
        <v>114</v>
      </c>
      <c r="H1571" s="111">
        <v>243</v>
      </c>
      <c r="I1571" s="111">
        <v>234</v>
      </c>
      <c r="J1571" s="111">
        <v>242</v>
      </c>
      <c r="K1571" s="111">
        <f t="shared" si="219"/>
        <v>239.66666666666666</v>
      </c>
      <c r="L1571" s="111">
        <v>200000</v>
      </c>
      <c r="M1571" s="111">
        <f t="shared" si="220"/>
        <v>90000</v>
      </c>
      <c r="N1571" s="111">
        <f t="shared" si="221"/>
        <v>90000</v>
      </c>
      <c r="O1571" s="111">
        <f t="shared" si="222"/>
        <v>18000</v>
      </c>
      <c r="P1571" s="111">
        <f t="shared" si="223"/>
        <v>20000</v>
      </c>
      <c r="Q1571" s="111">
        <v>50000</v>
      </c>
      <c r="R1571" s="111">
        <v>5</v>
      </c>
      <c r="S1571" s="111">
        <f t="shared" si="224"/>
        <v>5000</v>
      </c>
      <c r="T1571" s="111">
        <f t="shared" si="225"/>
        <v>250000</v>
      </c>
      <c r="U1571" s="111">
        <f t="shared" si="226"/>
        <v>2500</v>
      </c>
      <c r="V1571" s="111">
        <f t="shared" si="227"/>
        <v>252500</v>
      </c>
      <c r="W1571" t="s">
        <v>4032</v>
      </c>
    </row>
    <row r="1572" spans="1:23" x14ac:dyDescent="0.3">
      <c r="A1572" s="110">
        <v>2100804</v>
      </c>
      <c r="B1572" s="110" t="s">
        <v>1711</v>
      </c>
      <c r="C1572" s="110" t="s">
        <v>1745</v>
      </c>
      <c r="D1572" s="110" t="s">
        <v>1748</v>
      </c>
      <c r="E1572" s="110" t="s">
        <v>184</v>
      </c>
      <c r="F1572" s="110" t="s">
        <v>113</v>
      </c>
      <c r="G1572" s="110" t="s">
        <v>114</v>
      </c>
      <c r="H1572" s="111">
        <v>57</v>
      </c>
      <c r="I1572" s="111">
        <v>61</v>
      </c>
      <c r="J1572" s="111">
        <v>61</v>
      </c>
      <c r="K1572" s="111">
        <f t="shared" si="219"/>
        <v>59.666666666666664</v>
      </c>
      <c r="L1572" s="111">
        <v>150000</v>
      </c>
      <c r="M1572" s="111">
        <f t="shared" si="220"/>
        <v>67500</v>
      </c>
      <c r="N1572" s="111">
        <f t="shared" si="221"/>
        <v>67500</v>
      </c>
      <c r="O1572" s="111">
        <f t="shared" si="222"/>
        <v>13500</v>
      </c>
      <c r="P1572" s="111">
        <f t="shared" si="223"/>
        <v>15000</v>
      </c>
      <c r="Q1572" s="111">
        <v>30000</v>
      </c>
      <c r="R1572" s="111">
        <v>3</v>
      </c>
      <c r="S1572" s="111">
        <f t="shared" si="224"/>
        <v>3000</v>
      </c>
      <c r="T1572" s="111">
        <f t="shared" si="225"/>
        <v>180000</v>
      </c>
      <c r="U1572" s="111">
        <f t="shared" si="226"/>
        <v>1800</v>
      </c>
      <c r="V1572" s="111">
        <f t="shared" si="227"/>
        <v>181800</v>
      </c>
      <c r="W1572" t="s">
        <v>4033</v>
      </c>
    </row>
    <row r="1573" spans="1:23" x14ac:dyDescent="0.3">
      <c r="A1573" s="110">
        <v>2100901</v>
      </c>
      <c r="B1573" s="110" t="s">
        <v>1711</v>
      </c>
      <c r="C1573" s="110" t="s">
        <v>1749</v>
      </c>
      <c r="D1573" s="110" t="s">
        <v>1749</v>
      </c>
      <c r="E1573" s="110" t="s">
        <v>1750</v>
      </c>
      <c r="F1573" s="110" t="s">
        <v>119</v>
      </c>
      <c r="G1573" s="110" t="s">
        <v>114</v>
      </c>
      <c r="H1573" s="111">
        <v>308</v>
      </c>
      <c r="I1573" s="111">
        <v>301</v>
      </c>
      <c r="J1573" s="111">
        <v>298</v>
      </c>
      <c r="K1573" s="111">
        <f t="shared" si="219"/>
        <v>302.33333333333331</v>
      </c>
      <c r="L1573" s="111">
        <v>200000</v>
      </c>
      <c r="M1573" s="111">
        <f t="shared" si="220"/>
        <v>90000</v>
      </c>
      <c r="N1573" s="111">
        <f t="shared" si="221"/>
        <v>90000</v>
      </c>
      <c r="O1573" s="111">
        <f t="shared" si="222"/>
        <v>18000</v>
      </c>
      <c r="P1573" s="111">
        <f t="shared" si="223"/>
        <v>20000</v>
      </c>
      <c r="Q1573" s="111">
        <v>50000</v>
      </c>
      <c r="R1573" s="111">
        <v>5</v>
      </c>
      <c r="S1573" s="111">
        <f t="shared" si="224"/>
        <v>5000</v>
      </c>
      <c r="T1573" s="111">
        <f t="shared" si="225"/>
        <v>250000</v>
      </c>
      <c r="U1573" s="111">
        <f t="shared" si="226"/>
        <v>2500</v>
      </c>
      <c r="V1573" s="111">
        <f t="shared" si="227"/>
        <v>252500</v>
      </c>
      <c r="W1573" t="s">
        <v>4034</v>
      </c>
    </row>
    <row r="1574" spans="1:23" x14ac:dyDescent="0.3">
      <c r="A1574" s="110">
        <v>2100903</v>
      </c>
      <c r="B1574" s="110" t="s">
        <v>1711</v>
      </c>
      <c r="C1574" s="110" t="s">
        <v>1749</v>
      </c>
      <c r="D1574" s="110" t="s">
        <v>1749</v>
      </c>
      <c r="E1574" s="110" t="s">
        <v>1751</v>
      </c>
      <c r="F1574" s="110" t="s">
        <v>117</v>
      </c>
      <c r="G1574" s="110" t="s">
        <v>114</v>
      </c>
      <c r="H1574" s="111">
        <v>144</v>
      </c>
      <c r="I1574" s="111">
        <v>125</v>
      </c>
      <c r="J1574" s="111">
        <v>114</v>
      </c>
      <c r="K1574" s="111">
        <f t="shared" si="219"/>
        <v>127.66666666666667</v>
      </c>
      <c r="L1574" s="111">
        <v>150000</v>
      </c>
      <c r="M1574" s="111">
        <f t="shared" si="220"/>
        <v>67500</v>
      </c>
      <c r="N1574" s="111">
        <f t="shared" si="221"/>
        <v>67500</v>
      </c>
      <c r="O1574" s="111">
        <f t="shared" si="222"/>
        <v>13500</v>
      </c>
      <c r="P1574" s="111">
        <f t="shared" si="223"/>
        <v>15000</v>
      </c>
      <c r="Q1574" s="111">
        <v>30000</v>
      </c>
      <c r="R1574" s="111">
        <v>3</v>
      </c>
      <c r="S1574" s="111">
        <f t="shared" si="224"/>
        <v>3000</v>
      </c>
      <c r="T1574" s="111">
        <f t="shared" si="225"/>
        <v>180000</v>
      </c>
      <c r="U1574" s="111">
        <f t="shared" si="226"/>
        <v>1800</v>
      </c>
      <c r="V1574" s="111">
        <f t="shared" si="227"/>
        <v>181800</v>
      </c>
      <c r="W1574" t="s">
        <v>4035</v>
      </c>
    </row>
    <row r="1575" spans="1:23" x14ac:dyDescent="0.3">
      <c r="A1575" s="110">
        <v>2100905</v>
      </c>
      <c r="B1575" s="110" t="s">
        <v>1711</v>
      </c>
      <c r="C1575" s="110" t="s">
        <v>1749</v>
      </c>
      <c r="D1575" s="110" t="s">
        <v>1752</v>
      </c>
      <c r="E1575" s="110" t="s">
        <v>452</v>
      </c>
      <c r="F1575" s="110" t="s">
        <v>113</v>
      </c>
      <c r="G1575" s="110" t="s">
        <v>114</v>
      </c>
      <c r="H1575" s="111">
        <v>12</v>
      </c>
      <c r="I1575" s="111">
        <v>6</v>
      </c>
      <c r="J1575" s="111">
        <v>6</v>
      </c>
      <c r="K1575" s="111">
        <f t="shared" si="219"/>
        <v>8</v>
      </c>
      <c r="L1575" s="111">
        <v>50000</v>
      </c>
      <c r="M1575" s="111">
        <f t="shared" si="220"/>
        <v>22500</v>
      </c>
      <c r="N1575" s="111">
        <f t="shared" si="221"/>
        <v>22500</v>
      </c>
      <c r="O1575" s="111">
        <f t="shared" si="222"/>
        <v>4500</v>
      </c>
      <c r="P1575" s="111">
        <f t="shared" si="223"/>
        <v>5000</v>
      </c>
      <c r="Q1575" s="111">
        <v>10000</v>
      </c>
      <c r="R1575" s="111">
        <v>1</v>
      </c>
      <c r="S1575" s="111">
        <f t="shared" si="224"/>
        <v>1000</v>
      </c>
      <c r="T1575" s="111">
        <f t="shared" si="225"/>
        <v>60000</v>
      </c>
      <c r="U1575" s="111">
        <f t="shared" si="226"/>
        <v>600</v>
      </c>
      <c r="V1575" s="111">
        <f t="shared" si="227"/>
        <v>60600</v>
      </c>
      <c r="W1575" t="s">
        <v>4036</v>
      </c>
    </row>
    <row r="1576" spans="1:23" x14ac:dyDescent="0.3">
      <c r="A1576" s="110">
        <v>2100907</v>
      </c>
      <c r="B1576" s="110" t="s">
        <v>1711</v>
      </c>
      <c r="C1576" s="110" t="s">
        <v>1749</v>
      </c>
      <c r="D1576" s="110" t="s">
        <v>1753</v>
      </c>
      <c r="E1576" s="110" t="s">
        <v>563</v>
      </c>
      <c r="F1576" s="110" t="s">
        <v>113</v>
      </c>
      <c r="G1576" s="110" t="s">
        <v>114</v>
      </c>
      <c r="H1576" s="111">
        <v>20</v>
      </c>
      <c r="I1576" s="111">
        <v>21</v>
      </c>
      <c r="J1576" s="111">
        <v>19</v>
      </c>
      <c r="K1576" s="111">
        <f t="shared" si="219"/>
        <v>20</v>
      </c>
      <c r="L1576" s="111">
        <v>50000</v>
      </c>
      <c r="M1576" s="111">
        <f t="shared" si="220"/>
        <v>22500</v>
      </c>
      <c r="N1576" s="111">
        <f t="shared" si="221"/>
        <v>22500</v>
      </c>
      <c r="O1576" s="111">
        <f t="shared" si="222"/>
        <v>4500</v>
      </c>
      <c r="P1576" s="111">
        <f t="shared" si="223"/>
        <v>5000</v>
      </c>
      <c r="Q1576" s="111">
        <v>10000</v>
      </c>
      <c r="R1576" s="111">
        <v>1</v>
      </c>
      <c r="S1576" s="111">
        <f t="shared" si="224"/>
        <v>1000</v>
      </c>
      <c r="T1576" s="111">
        <f t="shared" si="225"/>
        <v>60000</v>
      </c>
      <c r="U1576" s="111">
        <f t="shared" si="226"/>
        <v>600</v>
      </c>
      <c r="V1576" s="111">
        <f t="shared" si="227"/>
        <v>60600</v>
      </c>
      <c r="W1576" t="s">
        <v>4037</v>
      </c>
    </row>
    <row r="1577" spans="1:23" x14ac:dyDescent="0.3">
      <c r="A1577" s="110">
        <v>2100920</v>
      </c>
      <c r="B1577" s="110" t="s">
        <v>1711</v>
      </c>
      <c r="C1577" s="110" t="s">
        <v>1749</v>
      </c>
      <c r="D1577" s="110" t="s">
        <v>1749</v>
      </c>
      <c r="E1577" s="110" t="s">
        <v>1754</v>
      </c>
      <c r="F1577" s="110" t="s">
        <v>296</v>
      </c>
      <c r="G1577" s="110" t="s">
        <v>114</v>
      </c>
      <c r="H1577" s="111">
        <v>36</v>
      </c>
      <c r="I1577" s="111">
        <v>24</v>
      </c>
      <c r="J1577" s="111">
        <v>25</v>
      </c>
      <c r="K1577" s="111">
        <f t="shared" si="219"/>
        <v>28.333333333333332</v>
      </c>
      <c r="L1577" s="111">
        <v>50000</v>
      </c>
      <c r="M1577" s="111">
        <f t="shared" si="220"/>
        <v>22500</v>
      </c>
      <c r="N1577" s="111">
        <f t="shared" si="221"/>
        <v>22500</v>
      </c>
      <c r="O1577" s="111">
        <f t="shared" si="222"/>
        <v>4500</v>
      </c>
      <c r="P1577" s="111">
        <f t="shared" si="223"/>
        <v>5000</v>
      </c>
      <c r="Q1577" s="111">
        <v>10000</v>
      </c>
      <c r="R1577" s="111">
        <v>1</v>
      </c>
      <c r="S1577" s="111">
        <f t="shared" si="224"/>
        <v>1000</v>
      </c>
      <c r="T1577" s="111">
        <f t="shared" si="225"/>
        <v>60000</v>
      </c>
      <c r="U1577" s="111">
        <f t="shared" si="226"/>
        <v>600</v>
      </c>
      <c r="V1577" s="111">
        <f t="shared" si="227"/>
        <v>60600</v>
      </c>
      <c r="W1577" t="s">
        <v>4038</v>
      </c>
    </row>
    <row r="1578" spans="1:23" x14ac:dyDescent="0.3">
      <c r="A1578" s="110">
        <v>2101001</v>
      </c>
      <c r="B1578" s="110" t="s">
        <v>1711</v>
      </c>
      <c r="C1578" s="110" t="s">
        <v>1755</v>
      </c>
      <c r="D1578" s="110" t="s">
        <v>1755</v>
      </c>
      <c r="E1578" s="110" t="s">
        <v>531</v>
      </c>
      <c r="F1578" s="110" t="s">
        <v>119</v>
      </c>
      <c r="G1578" s="110" t="s">
        <v>114</v>
      </c>
      <c r="H1578" s="111">
        <v>301</v>
      </c>
      <c r="I1578" s="111">
        <v>287</v>
      </c>
      <c r="J1578" s="111">
        <v>284</v>
      </c>
      <c r="K1578" s="111">
        <f t="shared" si="219"/>
        <v>290.66666666666669</v>
      </c>
      <c r="L1578" s="111">
        <f>200000*0.7</f>
        <v>140000</v>
      </c>
      <c r="M1578" s="111">
        <f t="shared" si="220"/>
        <v>63000</v>
      </c>
      <c r="N1578" s="111">
        <f t="shared" si="221"/>
        <v>63000</v>
      </c>
      <c r="O1578" s="111">
        <f t="shared" si="222"/>
        <v>12600</v>
      </c>
      <c r="P1578" s="111">
        <f t="shared" si="223"/>
        <v>14000</v>
      </c>
      <c r="Q1578" s="111">
        <v>50000</v>
      </c>
      <c r="R1578" s="111">
        <v>5</v>
      </c>
      <c r="S1578" s="111">
        <f t="shared" si="224"/>
        <v>5000</v>
      </c>
      <c r="T1578" s="111">
        <f t="shared" si="225"/>
        <v>190000</v>
      </c>
      <c r="U1578" s="111">
        <f t="shared" si="226"/>
        <v>1900</v>
      </c>
      <c r="V1578" s="111">
        <f t="shared" si="227"/>
        <v>191900</v>
      </c>
      <c r="W1578" t="s">
        <v>4039</v>
      </c>
    </row>
    <row r="1579" spans="1:23" x14ac:dyDescent="0.3">
      <c r="A1579" s="110">
        <v>2101003</v>
      </c>
      <c r="B1579" s="110" t="s">
        <v>1711</v>
      </c>
      <c r="C1579" s="110" t="s">
        <v>1755</v>
      </c>
      <c r="D1579" s="110" t="s">
        <v>1756</v>
      </c>
      <c r="E1579" s="110" t="s">
        <v>319</v>
      </c>
      <c r="F1579" s="110" t="s">
        <v>113</v>
      </c>
      <c r="G1579" s="110" t="s">
        <v>114</v>
      </c>
      <c r="H1579" s="111">
        <v>45</v>
      </c>
      <c r="I1579" s="111">
        <v>52</v>
      </c>
      <c r="J1579" s="111">
        <v>52</v>
      </c>
      <c r="K1579" s="111">
        <f t="shared" si="219"/>
        <v>49.666666666666664</v>
      </c>
      <c r="L1579" s="111">
        <v>50000</v>
      </c>
      <c r="M1579" s="111">
        <f t="shared" si="220"/>
        <v>22500</v>
      </c>
      <c r="N1579" s="111">
        <f t="shared" si="221"/>
        <v>22500</v>
      </c>
      <c r="O1579" s="111">
        <f t="shared" si="222"/>
        <v>4500</v>
      </c>
      <c r="P1579" s="111">
        <f t="shared" si="223"/>
        <v>5000</v>
      </c>
      <c r="Q1579" s="111">
        <v>10000</v>
      </c>
      <c r="R1579" s="111">
        <v>1</v>
      </c>
      <c r="S1579" s="111">
        <f t="shared" si="224"/>
        <v>1000</v>
      </c>
      <c r="T1579" s="111">
        <f t="shared" si="225"/>
        <v>60000</v>
      </c>
      <c r="U1579" s="111">
        <f t="shared" si="226"/>
        <v>600</v>
      </c>
      <c r="V1579" s="111">
        <f t="shared" si="227"/>
        <v>60600</v>
      </c>
      <c r="W1579" t="s">
        <v>4040</v>
      </c>
    </row>
    <row r="1580" spans="1:23" x14ac:dyDescent="0.3">
      <c r="A1580" s="110">
        <v>2101004</v>
      </c>
      <c r="B1580" s="110" t="s">
        <v>1711</v>
      </c>
      <c r="C1580" s="110" t="s">
        <v>1755</v>
      </c>
      <c r="D1580" s="110" t="s">
        <v>1757</v>
      </c>
      <c r="E1580" s="110" t="s">
        <v>184</v>
      </c>
      <c r="F1580" s="110" t="s">
        <v>113</v>
      </c>
      <c r="G1580" s="110" t="s">
        <v>114</v>
      </c>
      <c r="H1580" s="111">
        <v>64</v>
      </c>
      <c r="I1580" s="111">
        <v>61</v>
      </c>
      <c r="J1580" s="111">
        <v>59</v>
      </c>
      <c r="K1580" s="111">
        <f t="shared" si="219"/>
        <v>61.333333333333336</v>
      </c>
      <c r="L1580" s="111">
        <v>150000</v>
      </c>
      <c r="M1580" s="111">
        <f t="shared" si="220"/>
        <v>67500</v>
      </c>
      <c r="N1580" s="111">
        <f t="shared" si="221"/>
        <v>67500</v>
      </c>
      <c r="O1580" s="111">
        <f t="shared" si="222"/>
        <v>13500</v>
      </c>
      <c r="P1580" s="111">
        <f t="shared" si="223"/>
        <v>15000</v>
      </c>
      <c r="Q1580" s="111">
        <v>30000</v>
      </c>
      <c r="R1580" s="111">
        <v>3</v>
      </c>
      <c r="S1580" s="111">
        <f t="shared" si="224"/>
        <v>3000</v>
      </c>
      <c r="T1580" s="111">
        <f t="shared" si="225"/>
        <v>180000</v>
      </c>
      <c r="U1580" s="111">
        <f t="shared" si="226"/>
        <v>1800</v>
      </c>
      <c r="V1580" s="111">
        <f t="shared" si="227"/>
        <v>181800</v>
      </c>
      <c r="W1580" t="s">
        <v>4041</v>
      </c>
    </row>
    <row r="1581" spans="1:23" x14ac:dyDescent="0.3">
      <c r="A1581" s="110">
        <v>2101005</v>
      </c>
      <c r="B1581" s="110" t="s">
        <v>1711</v>
      </c>
      <c r="C1581" s="110" t="s">
        <v>1755</v>
      </c>
      <c r="D1581" s="110" t="s">
        <v>1758</v>
      </c>
      <c r="E1581" s="110" t="s">
        <v>406</v>
      </c>
      <c r="F1581" s="110" t="s">
        <v>113</v>
      </c>
      <c r="G1581" s="110" t="s">
        <v>114</v>
      </c>
      <c r="H1581" s="111">
        <v>81</v>
      </c>
      <c r="I1581" s="111">
        <v>75</v>
      </c>
      <c r="J1581" s="111">
        <v>70</v>
      </c>
      <c r="K1581" s="111">
        <f t="shared" si="219"/>
        <v>75.333333333333329</v>
      </c>
      <c r="L1581" s="111">
        <v>150000</v>
      </c>
      <c r="M1581" s="111">
        <f t="shared" si="220"/>
        <v>67500</v>
      </c>
      <c r="N1581" s="111">
        <f t="shared" si="221"/>
        <v>67500</v>
      </c>
      <c r="O1581" s="111">
        <f t="shared" si="222"/>
        <v>13500</v>
      </c>
      <c r="P1581" s="111">
        <f t="shared" si="223"/>
        <v>15000</v>
      </c>
      <c r="Q1581" s="111">
        <v>30000</v>
      </c>
      <c r="R1581" s="111">
        <v>3</v>
      </c>
      <c r="S1581" s="111">
        <f t="shared" si="224"/>
        <v>3000</v>
      </c>
      <c r="T1581" s="111">
        <f t="shared" si="225"/>
        <v>180000</v>
      </c>
      <c r="U1581" s="111">
        <f t="shared" si="226"/>
        <v>1800</v>
      </c>
      <c r="V1581" s="111">
        <f t="shared" si="227"/>
        <v>181800</v>
      </c>
      <c r="W1581" t="s">
        <v>4042</v>
      </c>
    </row>
    <row r="1582" spans="1:23" x14ac:dyDescent="0.3">
      <c r="A1582" s="110">
        <v>2101006</v>
      </c>
      <c r="B1582" s="110" t="s">
        <v>1711</v>
      </c>
      <c r="C1582" s="110" t="s">
        <v>1755</v>
      </c>
      <c r="D1582" s="110" t="s">
        <v>1759</v>
      </c>
      <c r="E1582" s="110" t="s">
        <v>319</v>
      </c>
      <c r="F1582" s="110" t="s">
        <v>113</v>
      </c>
      <c r="G1582" s="110" t="s">
        <v>114</v>
      </c>
      <c r="H1582" s="111">
        <v>12</v>
      </c>
      <c r="I1582" s="111">
        <v>14</v>
      </c>
      <c r="J1582" s="111">
        <v>13</v>
      </c>
      <c r="K1582" s="111">
        <f t="shared" si="219"/>
        <v>13</v>
      </c>
      <c r="L1582" s="111">
        <v>50000</v>
      </c>
      <c r="M1582" s="111">
        <f t="shared" si="220"/>
        <v>22500</v>
      </c>
      <c r="N1582" s="111">
        <f t="shared" si="221"/>
        <v>22500</v>
      </c>
      <c r="O1582" s="111">
        <f t="shared" si="222"/>
        <v>4500</v>
      </c>
      <c r="P1582" s="111">
        <f t="shared" si="223"/>
        <v>5000</v>
      </c>
      <c r="Q1582" s="111">
        <v>10000</v>
      </c>
      <c r="R1582" s="111">
        <v>1</v>
      </c>
      <c r="S1582" s="111">
        <f t="shared" si="224"/>
        <v>1000</v>
      </c>
      <c r="T1582" s="111">
        <f t="shared" si="225"/>
        <v>60000</v>
      </c>
      <c r="U1582" s="111">
        <f t="shared" si="226"/>
        <v>600</v>
      </c>
      <c r="V1582" s="111">
        <f t="shared" si="227"/>
        <v>60600</v>
      </c>
      <c r="W1582" t="s">
        <v>4043</v>
      </c>
    </row>
    <row r="1583" spans="1:23" x14ac:dyDescent="0.3">
      <c r="A1583" s="110">
        <v>2101007</v>
      </c>
      <c r="B1583" s="110" t="s">
        <v>1711</v>
      </c>
      <c r="C1583" s="110" t="s">
        <v>1755</v>
      </c>
      <c r="D1583" s="110" t="s">
        <v>1760</v>
      </c>
      <c r="E1583" s="110" t="s">
        <v>184</v>
      </c>
      <c r="F1583" s="110" t="s">
        <v>113</v>
      </c>
      <c r="G1583" s="110" t="s">
        <v>114</v>
      </c>
      <c r="H1583" s="111">
        <v>33</v>
      </c>
      <c r="I1583" s="111">
        <v>32</v>
      </c>
      <c r="J1583" s="111">
        <v>34</v>
      </c>
      <c r="K1583" s="111">
        <f t="shared" si="219"/>
        <v>33</v>
      </c>
      <c r="L1583" s="111">
        <v>50000</v>
      </c>
      <c r="M1583" s="111">
        <f t="shared" si="220"/>
        <v>22500</v>
      </c>
      <c r="N1583" s="111">
        <f t="shared" si="221"/>
        <v>22500</v>
      </c>
      <c r="O1583" s="111">
        <f t="shared" si="222"/>
        <v>4500</v>
      </c>
      <c r="P1583" s="111">
        <f t="shared" si="223"/>
        <v>5000</v>
      </c>
      <c r="Q1583" s="111">
        <v>10000</v>
      </c>
      <c r="R1583" s="111">
        <v>1</v>
      </c>
      <c r="S1583" s="111">
        <f t="shared" si="224"/>
        <v>1000</v>
      </c>
      <c r="T1583" s="111">
        <f t="shared" si="225"/>
        <v>60000</v>
      </c>
      <c r="U1583" s="111">
        <f t="shared" si="226"/>
        <v>600</v>
      </c>
      <c r="V1583" s="111">
        <f t="shared" si="227"/>
        <v>60600</v>
      </c>
      <c r="W1583" t="s">
        <v>4044</v>
      </c>
    </row>
    <row r="1584" spans="1:23" x14ac:dyDescent="0.3">
      <c r="A1584" s="110">
        <v>2101008</v>
      </c>
      <c r="B1584" s="110" t="s">
        <v>1711</v>
      </c>
      <c r="C1584" s="110" t="s">
        <v>1755</v>
      </c>
      <c r="D1584" s="110" t="s">
        <v>1761</v>
      </c>
      <c r="E1584" s="110" t="s">
        <v>1762</v>
      </c>
      <c r="F1584" s="110" t="s">
        <v>113</v>
      </c>
      <c r="G1584" s="110" t="s">
        <v>114</v>
      </c>
      <c r="H1584" s="111">
        <v>29</v>
      </c>
      <c r="I1584" s="111">
        <v>26</v>
      </c>
      <c r="J1584" s="111">
        <v>24</v>
      </c>
      <c r="K1584" s="111">
        <f t="shared" si="219"/>
        <v>26.333333333333332</v>
      </c>
      <c r="L1584" s="111">
        <v>50000</v>
      </c>
      <c r="M1584" s="111">
        <f t="shared" si="220"/>
        <v>22500</v>
      </c>
      <c r="N1584" s="111">
        <f t="shared" si="221"/>
        <v>22500</v>
      </c>
      <c r="O1584" s="111">
        <f t="shared" si="222"/>
        <v>4500</v>
      </c>
      <c r="P1584" s="111">
        <f t="shared" si="223"/>
        <v>5000</v>
      </c>
      <c r="Q1584" s="111">
        <v>10000</v>
      </c>
      <c r="R1584" s="111">
        <v>1</v>
      </c>
      <c r="S1584" s="111">
        <f t="shared" si="224"/>
        <v>1000</v>
      </c>
      <c r="T1584" s="111">
        <f t="shared" si="225"/>
        <v>60000</v>
      </c>
      <c r="U1584" s="111">
        <f t="shared" si="226"/>
        <v>600</v>
      </c>
      <c r="V1584" s="111">
        <f t="shared" si="227"/>
        <v>60600</v>
      </c>
      <c r="W1584" t="s">
        <v>4045</v>
      </c>
    </row>
    <row r="1585" spans="1:23" x14ac:dyDescent="0.3">
      <c r="A1585" s="110">
        <v>2101009</v>
      </c>
      <c r="B1585" s="110" t="s">
        <v>1711</v>
      </c>
      <c r="C1585" s="110" t="s">
        <v>1755</v>
      </c>
      <c r="D1585" s="110" t="s">
        <v>1763</v>
      </c>
      <c r="E1585" s="110" t="s">
        <v>1764</v>
      </c>
      <c r="F1585" s="110" t="s">
        <v>113</v>
      </c>
      <c r="G1585" s="110" t="s">
        <v>114</v>
      </c>
      <c r="H1585" s="111">
        <v>52</v>
      </c>
      <c r="I1585" s="111">
        <v>44</v>
      </c>
      <c r="J1585" s="111">
        <v>41</v>
      </c>
      <c r="K1585" s="111">
        <f t="shared" si="219"/>
        <v>45.666666666666664</v>
      </c>
      <c r="L1585" s="111">
        <v>50000</v>
      </c>
      <c r="M1585" s="111">
        <f t="shared" si="220"/>
        <v>22500</v>
      </c>
      <c r="N1585" s="111">
        <f t="shared" si="221"/>
        <v>22500</v>
      </c>
      <c r="O1585" s="111">
        <f t="shared" si="222"/>
        <v>4500</v>
      </c>
      <c r="P1585" s="111">
        <f t="shared" si="223"/>
        <v>5000</v>
      </c>
      <c r="Q1585" s="111">
        <v>10000</v>
      </c>
      <c r="R1585" s="111">
        <v>1</v>
      </c>
      <c r="S1585" s="111">
        <f t="shared" si="224"/>
        <v>1000</v>
      </c>
      <c r="T1585" s="111">
        <f t="shared" si="225"/>
        <v>60000</v>
      </c>
      <c r="U1585" s="111">
        <f t="shared" si="226"/>
        <v>600</v>
      </c>
      <c r="V1585" s="111">
        <f t="shared" si="227"/>
        <v>60600</v>
      </c>
      <c r="W1585" t="s">
        <v>4046</v>
      </c>
    </row>
    <row r="1586" spans="1:23" x14ac:dyDescent="0.3">
      <c r="A1586" s="110">
        <v>2102145</v>
      </c>
      <c r="B1586" s="110" t="s">
        <v>1711</v>
      </c>
      <c r="C1586" s="110" t="s">
        <v>1049</v>
      </c>
      <c r="D1586" s="110" t="s">
        <v>1049</v>
      </c>
      <c r="E1586" s="110" t="s">
        <v>1765</v>
      </c>
      <c r="F1586" s="110" t="s">
        <v>117</v>
      </c>
      <c r="G1586" s="110" t="s">
        <v>125</v>
      </c>
      <c r="H1586" s="111">
        <v>170</v>
      </c>
      <c r="I1586" s="111">
        <v>171</v>
      </c>
      <c r="J1586" s="111">
        <v>167</v>
      </c>
      <c r="K1586" s="111">
        <f t="shared" si="219"/>
        <v>169.33333333333334</v>
      </c>
      <c r="L1586" s="111">
        <v>150000</v>
      </c>
      <c r="M1586" s="111">
        <f t="shared" si="220"/>
        <v>67500</v>
      </c>
      <c r="N1586" s="111">
        <f t="shared" si="221"/>
        <v>67500</v>
      </c>
      <c r="O1586" s="111">
        <f t="shared" si="222"/>
        <v>13500</v>
      </c>
      <c r="P1586" s="111">
        <f t="shared" si="223"/>
        <v>15000</v>
      </c>
      <c r="Q1586" s="111">
        <v>30000</v>
      </c>
      <c r="R1586" s="111">
        <v>3</v>
      </c>
      <c r="S1586" s="111">
        <f t="shared" si="224"/>
        <v>3000</v>
      </c>
      <c r="T1586" s="111">
        <f t="shared" si="225"/>
        <v>180000</v>
      </c>
      <c r="U1586" s="111">
        <f t="shared" si="226"/>
        <v>1800</v>
      </c>
      <c r="V1586" s="111">
        <f t="shared" si="227"/>
        <v>181800</v>
      </c>
      <c r="W1586" t="s">
        <v>4047</v>
      </c>
    </row>
    <row r="1587" spans="1:23" x14ac:dyDescent="0.3">
      <c r="A1587" s="110">
        <v>2103232</v>
      </c>
      <c r="B1587" s="110" t="s">
        <v>1711</v>
      </c>
      <c r="C1587" s="110" t="s">
        <v>1734</v>
      </c>
      <c r="D1587" s="110" t="s">
        <v>1734</v>
      </c>
      <c r="E1587" s="110" t="s">
        <v>1766</v>
      </c>
      <c r="F1587" s="110" t="s">
        <v>119</v>
      </c>
      <c r="G1587" s="110" t="s">
        <v>114</v>
      </c>
      <c r="H1587" s="111">
        <v>378</v>
      </c>
      <c r="I1587" s="111">
        <v>387</v>
      </c>
      <c r="J1587" s="111">
        <v>379</v>
      </c>
      <c r="K1587" s="111">
        <f t="shared" si="219"/>
        <v>381.33333333333331</v>
      </c>
      <c r="L1587" s="111">
        <v>200000</v>
      </c>
      <c r="M1587" s="111">
        <f t="shared" si="220"/>
        <v>90000</v>
      </c>
      <c r="N1587" s="111">
        <f t="shared" si="221"/>
        <v>90000</v>
      </c>
      <c r="O1587" s="111">
        <f t="shared" si="222"/>
        <v>18000</v>
      </c>
      <c r="P1587" s="111">
        <f t="shared" si="223"/>
        <v>20000</v>
      </c>
      <c r="Q1587" s="111">
        <v>50000</v>
      </c>
      <c r="R1587" s="111">
        <v>5</v>
      </c>
      <c r="S1587" s="111">
        <f t="shared" si="224"/>
        <v>5000</v>
      </c>
      <c r="T1587" s="111">
        <f t="shared" si="225"/>
        <v>250000</v>
      </c>
      <c r="U1587" s="111">
        <f t="shared" si="226"/>
        <v>2500</v>
      </c>
      <c r="V1587" s="111">
        <f t="shared" si="227"/>
        <v>252500</v>
      </c>
      <c r="W1587" t="s">
        <v>4048</v>
      </c>
    </row>
    <row r="1588" spans="1:23" x14ac:dyDescent="0.3">
      <c r="A1588" s="110">
        <v>2103321</v>
      </c>
      <c r="B1588" s="110" t="s">
        <v>1711</v>
      </c>
      <c r="C1588" s="110" t="s">
        <v>1711</v>
      </c>
      <c r="D1588" s="110" t="s">
        <v>1711</v>
      </c>
      <c r="E1588" s="110" t="s">
        <v>1767</v>
      </c>
      <c r="F1588" s="110" t="s">
        <v>122</v>
      </c>
      <c r="G1588" s="110" t="s">
        <v>114</v>
      </c>
      <c r="H1588" s="111">
        <v>487</v>
      </c>
      <c r="I1588" s="111">
        <v>477</v>
      </c>
      <c r="J1588" s="111">
        <v>453</v>
      </c>
      <c r="K1588" s="111">
        <f t="shared" si="219"/>
        <v>472.33333333333331</v>
      </c>
      <c r="L1588" s="111">
        <f>300000</f>
        <v>300000</v>
      </c>
      <c r="M1588" s="111">
        <f t="shared" si="220"/>
        <v>135000</v>
      </c>
      <c r="N1588" s="111">
        <f t="shared" si="221"/>
        <v>135000</v>
      </c>
      <c r="O1588" s="111">
        <f t="shared" si="222"/>
        <v>27000</v>
      </c>
      <c r="P1588" s="111">
        <f t="shared" si="223"/>
        <v>30000</v>
      </c>
      <c r="Q1588" s="111">
        <v>60000</v>
      </c>
      <c r="R1588" s="111">
        <v>6</v>
      </c>
      <c r="S1588" s="111">
        <f t="shared" si="224"/>
        <v>6000</v>
      </c>
      <c r="T1588" s="111">
        <f t="shared" si="225"/>
        <v>360000</v>
      </c>
      <c r="U1588" s="111">
        <f t="shared" si="226"/>
        <v>3600</v>
      </c>
      <c r="V1588" s="111">
        <f t="shared" si="227"/>
        <v>363600</v>
      </c>
      <c r="W1588" t="s">
        <v>4049</v>
      </c>
    </row>
    <row r="1589" spans="1:23" x14ac:dyDescent="0.3">
      <c r="A1589" s="110">
        <v>2103331</v>
      </c>
      <c r="B1589" s="110" t="s">
        <v>1711</v>
      </c>
      <c r="C1589" s="110" t="s">
        <v>1711</v>
      </c>
      <c r="D1589" s="110" t="s">
        <v>1711</v>
      </c>
      <c r="E1589" s="110" t="s">
        <v>1485</v>
      </c>
      <c r="F1589" s="110" t="s">
        <v>122</v>
      </c>
      <c r="G1589" s="110" t="s">
        <v>114</v>
      </c>
      <c r="H1589" s="111">
        <v>418</v>
      </c>
      <c r="I1589" s="111">
        <v>397</v>
      </c>
      <c r="J1589" s="111">
        <v>384</v>
      </c>
      <c r="K1589" s="111">
        <f t="shared" si="219"/>
        <v>399.66666666666669</v>
      </c>
      <c r="L1589" s="111">
        <v>200000</v>
      </c>
      <c r="M1589" s="111">
        <f t="shared" si="220"/>
        <v>90000</v>
      </c>
      <c r="N1589" s="111">
        <f t="shared" si="221"/>
        <v>90000</v>
      </c>
      <c r="O1589" s="111">
        <f t="shared" si="222"/>
        <v>18000</v>
      </c>
      <c r="P1589" s="111">
        <f t="shared" si="223"/>
        <v>20000</v>
      </c>
      <c r="Q1589" s="111">
        <v>50000</v>
      </c>
      <c r="R1589" s="111">
        <v>5</v>
      </c>
      <c r="S1589" s="111">
        <f t="shared" si="224"/>
        <v>5000</v>
      </c>
      <c r="T1589" s="111">
        <f t="shared" si="225"/>
        <v>250000</v>
      </c>
      <c r="U1589" s="111">
        <f t="shared" si="226"/>
        <v>2500</v>
      </c>
      <c r="V1589" s="111">
        <f t="shared" si="227"/>
        <v>252500</v>
      </c>
      <c r="W1589" t="s">
        <v>4050</v>
      </c>
    </row>
    <row r="1590" spans="1:23" x14ac:dyDescent="0.3">
      <c r="A1590" s="110">
        <v>2103341</v>
      </c>
      <c r="B1590" s="110" t="s">
        <v>1711</v>
      </c>
      <c r="C1590" s="110" t="s">
        <v>1049</v>
      </c>
      <c r="D1590" s="110" t="s">
        <v>1768</v>
      </c>
      <c r="E1590" s="110" t="s">
        <v>682</v>
      </c>
      <c r="F1590" s="110" t="s">
        <v>119</v>
      </c>
      <c r="G1590" s="110" t="s">
        <v>114</v>
      </c>
      <c r="H1590" s="111">
        <v>59</v>
      </c>
      <c r="I1590" s="111">
        <v>52</v>
      </c>
      <c r="J1590" s="111">
        <v>46</v>
      </c>
      <c r="K1590" s="111">
        <f t="shared" si="219"/>
        <v>52.333333333333336</v>
      </c>
      <c r="L1590" s="111">
        <f>150000*0.7</f>
        <v>105000</v>
      </c>
      <c r="M1590" s="111">
        <f t="shared" si="220"/>
        <v>47250</v>
      </c>
      <c r="N1590" s="111">
        <f t="shared" si="221"/>
        <v>47250</v>
      </c>
      <c r="O1590" s="111">
        <f t="shared" si="222"/>
        <v>9450</v>
      </c>
      <c r="P1590" s="111">
        <f t="shared" si="223"/>
        <v>10500</v>
      </c>
      <c r="Q1590" s="111">
        <v>30000</v>
      </c>
      <c r="R1590" s="111">
        <v>3</v>
      </c>
      <c r="S1590" s="111">
        <f t="shared" si="224"/>
        <v>3000</v>
      </c>
      <c r="T1590" s="111">
        <f t="shared" si="225"/>
        <v>135000</v>
      </c>
      <c r="U1590" s="111">
        <f t="shared" si="226"/>
        <v>1350</v>
      </c>
      <c r="V1590" s="111">
        <f t="shared" si="227"/>
        <v>136350</v>
      </c>
      <c r="W1590" t="s">
        <v>4051</v>
      </c>
    </row>
    <row r="1591" spans="1:23" x14ac:dyDescent="0.3">
      <c r="A1591" s="110">
        <v>2201078</v>
      </c>
      <c r="B1591" s="110" t="s">
        <v>1769</v>
      </c>
      <c r="C1591" s="110" t="s">
        <v>1770</v>
      </c>
      <c r="D1591" s="110" t="s">
        <v>1771</v>
      </c>
      <c r="E1591" s="110" t="s">
        <v>1772</v>
      </c>
      <c r="F1591" s="110" t="s">
        <v>119</v>
      </c>
      <c r="G1591" s="110" t="s">
        <v>114</v>
      </c>
      <c r="H1591" s="111">
        <v>713</v>
      </c>
      <c r="I1591" s="111">
        <v>766</v>
      </c>
      <c r="J1591" s="111">
        <v>789</v>
      </c>
      <c r="K1591" s="111">
        <f t="shared" si="219"/>
        <v>756</v>
      </c>
      <c r="L1591" s="111">
        <f>300000*0.7</f>
        <v>210000</v>
      </c>
      <c r="M1591" s="111">
        <f t="shared" si="220"/>
        <v>94500</v>
      </c>
      <c r="N1591" s="111">
        <f t="shared" si="221"/>
        <v>94500</v>
      </c>
      <c r="O1591" s="111">
        <f t="shared" si="222"/>
        <v>18900</v>
      </c>
      <c r="P1591" s="111">
        <f t="shared" si="223"/>
        <v>21000</v>
      </c>
      <c r="Q1591" s="111">
        <v>60000</v>
      </c>
      <c r="R1591" s="111">
        <v>6</v>
      </c>
      <c r="S1591" s="111">
        <f t="shared" si="224"/>
        <v>6000</v>
      </c>
      <c r="T1591" s="111">
        <f t="shared" si="225"/>
        <v>270000</v>
      </c>
      <c r="U1591" s="111">
        <f t="shared" si="226"/>
        <v>2700</v>
      </c>
      <c r="V1591" s="111">
        <f t="shared" si="227"/>
        <v>272700</v>
      </c>
      <c r="W1591" t="s">
        <v>4052</v>
      </c>
    </row>
    <row r="1592" spans="1:23" x14ac:dyDescent="0.3">
      <c r="A1592" s="110">
        <v>2201400</v>
      </c>
      <c r="B1592" s="110" t="s">
        <v>1769</v>
      </c>
      <c r="C1592" s="110" t="s">
        <v>1770</v>
      </c>
      <c r="D1592" s="110" t="s">
        <v>1771</v>
      </c>
      <c r="E1592" s="110" t="s">
        <v>391</v>
      </c>
      <c r="F1592" s="110" t="s">
        <v>117</v>
      </c>
      <c r="G1592" s="110" t="s">
        <v>125</v>
      </c>
      <c r="H1592" s="111">
        <v>429</v>
      </c>
      <c r="I1592" s="111">
        <v>409</v>
      </c>
      <c r="J1592" s="111">
        <v>377</v>
      </c>
      <c r="K1592" s="111">
        <f t="shared" si="219"/>
        <v>405</v>
      </c>
      <c r="L1592" s="111">
        <f>300000</f>
        <v>300000</v>
      </c>
      <c r="M1592" s="111">
        <f t="shared" si="220"/>
        <v>135000</v>
      </c>
      <c r="N1592" s="111">
        <f t="shared" si="221"/>
        <v>135000</v>
      </c>
      <c r="O1592" s="111">
        <f t="shared" si="222"/>
        <v>27000</v>
      </c>
      <c r="P1592" s="111">
        <f t="shared" si="223"/>
        <v>30000</v>
      </c>
      <c r="Q1592" s="111">
        <v>60000</v>
      </c>
      <c r="R1592" s="111">
        <v>6</v>
      </c>
      <c r="S1592" s="111">
        <f t="shared" si="224"/>
        <v>6000</v>
      </c>
      <c r="T1592" s="111">
        <f t="shared" si="225"/>
        <v>360000</v>
      </c>
      <c r="U1592" s="111">
        <f t="shared" si="226"/>
        <v>3600</v>
      </c>
      <c r="V1592" s="111">
        <f t="shared" si="227"/>
        <v>363600</v>
      </c>
      <c r="W1592" t="s">
        <v>4053</v>
      </c>
    </row>
    <row r="1593" spans="1:23" x14ac:dyDescent="0.3">
      <c r="A1593" s="110">
        <v>2202002</v>
      </c>
      <c r="B1593" s="110" t="s">
        <v>1769</v>
      </c>
      <c r="C1593" s="110" t="s">
        <v>1770</v>
      </c>
      <c r="D1593" s="110" t="s">
        <v>1773</v>
      </c>
      <c r="E1593" s="110" t="s">
        <v>1774</v>
      </c>
      <c r="F1593" s="110" t="s">
        <v>119</v>
      </c>
      <c r="G1593" s="110" t="s">
        <v>114</v>
      </c>
      <c r="H1593" s="111">
        <v>1497</v>
      </c>
      <c r="I1593" s="111">
        <v>1500</v>
      </c>
      <c r="J1593" s="111">
        <v>1480</v>
      </c>
      <c r="K1593" s="111">
        <f t="shared" si="219"/>
        <v>1492.3333333333333</v>
      </c>
      <c r="L1593" s="111">
        <f>600000</f>
        <v>600000</v>
      </c>
      <c r="M1593" s="111">
        <f t="shared" si="220"/>
        <v>270000</v>
      </c>
      <c r="N1593" s="111">
        <f t="shared" si="221"/>
        <v>270000</v>
      </c>
      <c r="O1593" s="111">
        <f t="shared" si="222"/>
        <v>54000</v>
      </c>
      <c r="P1593" s="111">
        <f t="shared" si="223"/>
        <v>60000</v>
      </c>
      <c r="Q1593" s="111">
        <v>80000</v>
      </c>
      <c r="R1593" s="111">
        <v>8</v>
      </c>
      <c r="S1593" s="111">
        <f t="shared" si="224"/>
        <v>8000</v>
      </c>
      <c r="T1593" s="111">
        <f t="shared" si="225"/>
        <v>680000</v>
      </c>
      <c r="U1593" s="111">
        <f t="shared" si="226"/>
        <v>6800</v>
      </c>
      <c r="V1593" s="111">
        <f t="shared" si="227"/>
        <v>686800</v>
      </c>
      <c r="W1593" t="s">
        <v>4054</v>
      </c>
    </row>
    <row r="1594" spans="1:23" x14ac:dyDescent="0.3">
      <c r="A1594" s="110">
        <v>2202005</v>
      </c>
      <c r="B1594" s="110" t="s">
        <v>1769</v>
      </c>
      <c r="C1594" s="110" t="s">
        <v>1770</v>
      </c>
      <c r="D1594" s="110" t="s">
        <v>1773</v>
      </c>
      <c r="E1594" s="110" t="s">
        <v>1775</v>
      </c>
      <c r="F1594" s="110" t="s">
        <v>113</v>
      </c>
      <c r="G1594" s="110" t="s">
        <v>114</v>
      </c>
      <c r="H1594" s="111">
        <v>629</v>
      </c>
      <c r="I1594" s="111">
        <v>656</v>
      </c>
      <c r="J1594" s="111">
        <v>670</v>
      </c>
      <c r="K1594" s="111">
        <f t="shared" si="219"/>
        <v>651.66666666666663</v>
      </c>
      <c r="L1594" s="111">
        <f>300000</f>
        <v>300000</v>
      </c>
      <c r="M1594" s="111">
        <f t="shared" si="220"/>
        <v>135000</v>
      </c>
      <c r="N1594" s="111">
        <f t="shared" si="221"/>
        <v>135000</v>
      </c>
      <c r="O1594" s="111">
        <f t="shared" si="222"/>
        <v>27000</v>
      </c>
      <c r="P1594" s="111">
        <f t="shared" si="223"/>
        <v>30000</v>
      </c>
      <c r="Q1594" s="111">
        <v>60000</v>
      </c>
      <c r="R1594" s="111">
        <v>6</v>
      </c>
      <c r="S1594" s="111">
        <f t="shared" si="224"/>
        <v>6000</v>
      </c>
      <c r="T1594" s="111">
        <f t="shared" si="225"/>
        <v>360000</v>
      </c>
      <c r="U1594" s="111">
        <f t="shared" si="226"/>
        <v>3600</v>
      </c>
      <c r="V1594" s="111">
        <f t="shared" si="227"/>
        <v>363600</v>
      </c>
      <c r="W1594" t="s">
        <v>4055</v>
      </c>
    </row>
    <row r="1595" spans="1:23" x14ac:dyDescent="0.3">
      <c r="A1595" s="110">
        <v>2202026</v>
      </c>
      <c r="B1595" s="110" t="s">
        <v>1769</v>
      </c>
      <c r="C1595" s="110" t="s">
        <v>1770</v>
      </c>
      <c r="D1595" s="110" t="s">
        <v>1773</v>
      </c>
      <c r="E1595" s="110" t="s">
        <v>1776</v>
      </c>
      <c r="F1595" s="110" t="s">
        <v>119</v>
      </c>
      <c r="G1595" s="110" t="s">
        <v>114</v>
      </c>
      <c r="H1595" s="111">
        <v>439</v>
      </c>
      <c r="I1595" s="111">
        <v>473</v>
      </c>
      <c r="J1595" s="111">
        <v>513</v>
      </c>
      <c r="K1595" s="111">
        <f t="shared" si="219"/>
        <v>475</v>
      </c>
      <c r="L1595" s="111">
        <f>300000</f>
        <v>300000</v>
      </c>
      <c r="M1595" s="111">
        <f t="shared" si="220"/>
        <v>135000</v>
      </c>
      <c r="N1595" s="111">
        <f t="shared" si="221"/>
        <v>135000</v>
      </c>
      <c r="O1595" s="111">
        <f t="shared" si="222"/>
        <v>27000</v>
      </c>
      <c r="P1595" s="111">
        <f t="shared" si="223"/>
        <v>30000</v>
      </c>
      <c r="Q1595" s="111">
        <v>60000</v>
      </c>
      <c r="R1595" s="111">
        <v>6</v>
      </c>
      <c r="S1595" s="111">
        <f t="shared" si="224"/>
        <v>6000</v>
      </c>
      <c r="T1595" s="111">
        <f t="shared" si="225"/>
        <v>360000</v>
      </c>
      <c r="U1595" s="111">
        <f t="shared" si="226"/>
        <v>3600</v>
      </c>
      <c r="V1595" s="111">
        <f t="shared" si="227"/>
        <v>363600</v>
      </c>
      <c r="W1595" t="s">
        <v>4056</v>
      </c>
    </row>
    <row r="1596" spans="1:23" x14ac:dyDescent="0.3">
      <c r="A1596" s="110">
        <v>2202050</v>
      </c>
      <c r="B1596" s="110" t="s">
        <v>1769</v>
      </c>
      <c r="C1596" s="110" t="s">
        <v>1770</v>
      </c>
      <c r="D1596" s="110" t="s">
        <v>1773</v>
      </c>
      <c r="E1596" s="110" t="s">
        <v>1777</v>
      </c>
      <c r="F1596" s="110" t="s">
        <v>113</v>
      </c>
      <c r="G1596" s="110" t="s">
        <v>114</v>
      </c>
      <c r="H1596" s="111">
        <v>366</v>
      </c>
      <c r="I1596" s="111">
        <v>414</v>
      </c>
      <c r="J1596" s="111">
        <v>450</v>
      </c>
      <c r="K1596" s="111">
        <f t="shared" si="219"/>
        <v>410</v>
      </c>
      <c r="L1596" s="111">
        <f>300000</f>
        <v>300000</v>
      </c>
      <c r="M1596" s="111">
        <f t="shared" si="220"/>
        <v>135000</v>
      </c>
      <c r="N1596" s="111">
        <f t="shared" si="221"/>
        <v>135000</v>
      </c>
      <c r="O1596" s="111">
        <f t="shared" si="222"/>
        <v>27000</v>
      </c>
      <c r="P1596" s="111">
        <f t="shared" si="223"/>
        <v>30000</v>
      </c>
      <c r="Q1596" s="111">
        <v>60000</v>
      </c>
      <c r="R1596" s="111">
        <v>6</v>
      </c>
      <c r="S1596" s="111">
        <f t="shared" si="224"/>
        <v>6000</v>
      </c>
      <c r="T1596" s="111">
        <f t="shared" si="225"/>
        <v>360000</v>
      </c>
      <c r="U1596" s="111">
        <f t="shared" si="226"/>
        <v>3600</v>
      </c>
      <c r="V1596" s="111">
        <f t="shared" si="227"/>
        <v>363600</v>
      </c>
      <c r="W1596" t="s">
        <v>4057</v>
      </c>
    </row>
    <row r="1597" spans="1:23" x14ac:dyDescent="0.3">
      <c r="A1597" s="110">
        <v>2202052</v>
      </c>
      <c r="B1597" s="110" t="s">
        <v>1769</v>
      </c>
      <c r="C1597" s="110" t="s">
        <v>1770</v>
      </c>
      <c r="D1597" s="110" t="s">
        <v>1773</v>
      </c>
      <c r="E1597" s="110" t="s">
        <v>1778</v>
      </c>
      <c r="F1597" s="110" t="s">
        <v>113</v>
      </c>
      <c r="G1597" s="110" t="s">
        <v>114</v>
      </c>
      <c r="H1597" s="111">
        <v>485</v>
      </c>
      <c r="I1597" s="111">
        <v>494</v>
      </c>
      <c r="J1597" s="111">
        <v>492</v>
      </c>
      <c r="K1597" s="111">
        <f t="shared" si="219"/>
        <v>490.33333333333331</v>
      </c>
      <c r="L1597" s="111">
        <f>300000</f>
        <v>300000</v>
      </c>
      <c r="M1597" s="111">
        <f t="shared" si="220"/>
        <v>135000</v>
      </c>
      <c r="N1597" s="111">
        <f t="shared" si="221"/>
        <v>135000</v>
      </c>
      <c r="O1597" s="111">
        <f t="shared" si="222"/>
        <v>27000</v>
      </c>
      <c r="P1597" s="111">
        <f t="shared" si="223"/>
        <v>30000</v>
      </c>
      <c r="Q1597" s="111">
        <v>60000</v>
      </c>
      <c r="R1597" s="111">
        <v>6</v>
      </c>
      <c r="S1597" s="111">
        <f t="shared" si="224"/>
        <v>6000</v>
      </c>
      <c r="T1597" s="111">
        <f t="shared" si="225"/>
        <v>360000</v>
      </c>
      <c r="U1597" s="111">
        <f t="shared" si="226"/>
        <v>3600</v>
      </c>
      <c r="V1597" s="111">
        <f t="shared" si="227"/>
        <v>363600</v>
      </c>
      <c r="W1597" t="s">
        <v>4058</v>
      </c>
    </row>
    <row r="1598" spans="1:23" x14ac:dyDescent="0.3">
      <c r="A1598" s="110">
        <v>2202064</v>
      </c>
      <c r="B1598" s="110" t="s">
        <v>1769</v>
      </c>
      <c r="C1598" s="110" t="s">
        <v>1770</v>
      </c>
      <c r="D1598" s="110" t="s">
        <v>1773</v>
      </c>
      <c r="E1598" s="110" t="s">
        <v>1779</v>
      </c>
      <c r="F1598" s="110" t="s">
        <v>113</v>
      </c>
      <c r="G1598" s="110" t="s">
        <v>114</v>
      </c>
      <c r="H1598" s="111">
        <v>320</v>
      </c>
      <c r="I1598" s="111">
        <v>337</v>
      </c>
      <c r="J1598" s="111">
        <v>364</v>
      </c>
      <c r="K1598" s="111">
        <f t="shared" si="219"/>
        <v>340.33333333333331</v>
      </c>
      <c r="L1598" s="111">
        <v>200000</v>
      </c>
      <c r="M1598" s="111">
        <f t="shared" si="220"/>
        <v>90000</v>
      </c>
      <c r="N1598" s="111">
        <f t="shared" si="221"/>
        <v>90000</v>
      </c>
      <c r="O1598" s="111">
        <f t="shared" si="222"/>
        <v>18000</v>
      </c>
      <c r="P1598" s="111">
        <f t="shared" si="223"/>
        <v>20000</v>
      </c>
      <c r="Q1598" s="111">
        <v>50000</v>
      </c>
      <c r="R1598" s="111">
        <v>5</v>
      </c>
      <c r="S1598" s="111">
        <f t="shared" si="224"/>
        <v>5000</v>
      </c>
      <c r="T1598" s="111">
        <f t="shared" si="225"/>
        <v>250000</v>
      </c>
      <c r="U1598" s="111">
        <f t="shared" si="226"/>
        <v>2500</v>
      </c>
      <c r="V1598" s="111">
        <f t="shared" si="227"/>
        <v>252500</v>
      </c>
      <c r="W1598" t="s">
        <v>4059</v>
      </c>
    </row>
    <row r="1599" spans="1:23" x14ac:dyDescent="0.3">
      <c r="A1599" s="110">
        <v>2202086</v>
      </c>
      <c r="B1599" s="110" t="s">
        <v>1769</v>
      </c>
      <c r="C1599" s="110" t="s">
        <v>1770</v>
      </c>
      <c r="D1599" s="110" t="s">
        <v>1780</v>
      </c>
      <c r="E1599" s="110" t="s">
        <v>1781</v>
      </c>
      <c r="F1599" s="110" t="s">
        <v>113</v>
      </c>
      <c r="G1599" s="110" t="s">
        <v>114</v>
      </c>
      <c r="H1599" s="111">
        <v>118</v>
      </c>
      <c r="I1599" s="111">
        <v>114</v>
      </c>
      <c r="J1599" s="111">
        <v>117</v>
      </c>
      <c r="K1599" s="111">
        <f t="shared" si="219"/>
        <v>116.33333333333333</v>
      </c>
      <c r="L1599" s="111">
        <v>150000</v>
      </c>
      <c r="M1599" s="111">
        <f t="shared" si="220"/>
        <v>67500</v>
      </c>
      <c r="N1599" s="111">
        <f t="shared" si="221"/>
        <v>67500</v>
      </c>
      <c r="O1599" s="111">
        <f t="shared" si="222"/>
        <v>13500</v>
      </c>
      <c r="P1599" s="111">
        <f t="shared" si="223"/>
        <v>15000</v>
      </c>
      <c r="Q1599" s="111">
        <v>30000</v>
      </c>
      <c r="R1599" s="111">
        <v>3</v>
      </c>
      <c r="S1599" s="111">
        <f t="shared" si="224"/>
        <v>3000</v>
      </c>
      <c r="T1599" s="111">
        <f t="shared" si="225"/>
        <v>180000</v>
      </c>
      <c r="U1599" s="111">
        <f t="shared" si="226"/>
        <v>1800</v>
      </c>
      <c r="V1599" s="111">
        <f t="shared" si="227"/>
        <v>181800</v>
      </c>
      <c r="W1599" t="s">
        <v>4060</v>
      </c>
    </row>
    <row r="1600" spans="1:23" x14ac:dyDescent="0.3">
      <c r="A1600" s="110">
        <v>2202152</v>
      </c>
      <c r="B1600" s="110" t="s">
        <v>1769</v>
      </c>
      <c r="C1600" s="110" t="s">
        <v>1770</v>
      </c>
      <c r="D1600" s="110" t="s">
        <v>1782</v>
      </c>
      <c r="E1600" s="110" t="s">
        <v>1783</v>
      </c>
      <c r="F1600" s="110" t="s">
        <v>113</v>
      </c>
      <c r="G1600" s="110" t="s">
        <v>114</v>
      </c>
      <c r="H1600" s="111">
        <v>54</v>
      </c>
      <c r="I1600" s="111">
        <v>48</v>
      </c>
      <c r="J1600" s="111">
        <v>46</v>
      </c>
      <c r="K1600" s="111">
        <f t="shared" si="219"/>
        <v>49.333333333333336</v>
      </c>
      <c r="L1600" s="111">
        <v>50000</v>
      </c>
      <c r="M1600" s="111">
        <f t="shared" si="220"/>
        <v>22500</v>
      </c>
      <c r="N1600" s="111">
        <f t="shared" si="221"/>
        <v>22500</v>
      </c>
      <c r="O1600" s="111">
        <f t="shared" si="222"/>
        <v>4500</v>
      </c>
      <c r="P1600" s="111">
        <f t="shared" si="223"/>
        <v>5000</v>
      </c>
      <c r="Q1600" s="111">
        <v>10000</v>
      </c>
      <c r="R1600" s="111">
        <v>1</v>
      </c>
      <c r="S1600" s="111">
        <f t="shared" si="224"/>
        <v>1000</v>
      </c>
      <c r="T1600" s="111">
        <f t="shared" si="225"/>
        <v>60000</v>
      </c>
      <c r="U1600" s="111">
        <f t="shared" si="226"/>
        <v>600</v>
      </c>
      <c r="V1600" s="111">
        <f t="shared" si="227"/>
        <v>60600</v>
      </c>
      <c r="W1600" t="s">
        <v>4061</v>
      </c>
    </row>
    <row r="1601" spans="1:23" x14ac:dyDescent="0.3">
      <c r="A1601" s="110">
        <v>2202401</v>
      </c>
      <c r="B1601" s="110" t="s">
        <v>1769</v>
      </c>
      <c r="C1601" s="110" t="s">
        <v>1770</v>
      </c>
      <c r="D1601" s="110" t="s">
        <v>1773</v>
      </c>
      <c r="E1601" s="110" t="s">
        <v>1784</v>
      </c>
      <c r="F1601" s="110" t="s">
        <v>117</v>
      </c>
      <c r="G1601" s="110" t="s">
        <v>125</v>
      </c>
      <c r="H1601" s="111">
        <v>319</v>
      </c>
      <c r="I1601" s="111">
        <v>350</v>
      </c>
      <c r="J1601" s="111">
        <v>391</v>
      </c>
      <c r="K1601" s="111">
        <f t="shared" si="219"/>
        <v>353.33333333333331</v>
      </c>
      <c r="L1601" s="111">
        <v>200000</v>
      </c>
      <c r="M1601" s="111">
        <f t="shared" si="220"/>
        <v>90000</v>
      </c>
      <c r="N1601" s="111">
        <f t="shared" si="221"/>
        <v>90000</v>
      </c>
      <c r="O1601" s="111">
        <f t="shared" si="222"/>
        <v>18000</v>
      </c>
      <c r="P1601" s="111">
        <f t="shared" si="223"/>
        <v>20000</v>
      </c>
      <c r="Q1601" s="111">
        <v>50000</v>
      </c>
      <c r="R1601" s="111">
        <v>5</v>
      </c>
      <c r="S1601" s="111">
        <f t="shared" si="224"/>
        <v>5000</v>
      </c>
      <c r="T1601" s="111">
        <f t="shared" si="225"/>
        <v>250000</v>
      </c>
      <c r="U1601" s="111">
        <f t="shared" si="226"/>
        <v>2500</v>
      </c>
      <c r="V1601" s="111">
        <f t="shared" si="227"/>
        <v>252500</v>
      </c>
      <c r="W1601" t="s">
        <v>4062</v>
      </c>
    </row>
    <row r="1602" spans="1:23" x14ac:dyDescent="0.3">
      <c r="A1602" s="110">
        <v>2202602</v>
      </c>
      <c r="B1602" s="110" t="s">
        <v>1769</v>
      </c>
      <c r="C1602" s="110" t="s">
        <v>1770</v>
      </c>
      <c r="D1602" s="110" t="s">
        <v>1773</v>
      </c>
      <c r="E1602" s="110" t="s">
        <v>1785</v>
      </c>
      <c r="F1602" s="110" t="s">
        <v>135</v>
      </c>
      <c r="G1602" s="110" t="s">
        <v>125</v>
      </c>
      <c r="H1602" s="111">
        <v>74</v>
      </c>
      <c r="I1602" s="111">
        <v>71</v>
      </c>
      <c r="J1602" s="111">
        <v>68</v>
      </c>
      <c r="K1602" s="111">
        <f t="shared" ref="K1602:K1665" si="228">+(H1602+I1602+J1602)/3</f>
        <v>71</v>
      </c>
      <c r="L1602" s="111">
        <v>150000</v>
      </c>
      <c r="M1602" s="111">
        <f t="shared" ref="M1602:M1665" si="229">+L1602*0.45</f>
        <v>67500</v>
      </c>
      <c r="N1602" s="111">
        <f t="shared" ref="N1602:N1665" si="230">+L1602*0.45</f>
        <v>67500</v>
      </c>
      <c r="O1602" s="111">
        <f t="shared" ref="O1602:O1665" si="231">+N1602*0.2</f>
        <v>13500</v>
      </c>
      <c r="P1602" s="111">
        <f t="shared" ref="P1602:P1665" si="232">++L1602*0.1</f>
        <v>15000</v>
      </c>
      <c r="Q1602" s="111">
        <v>30000</v>
      </c>
      <c r="R1602" s="111">
        <v>3</v>
      </c>
      <c r="S1602" s="111">
        <f t="shared" ref="S1602:S1665" si="233">+Q1602*0.1</f>
        <v>3000</v>
      </c>
      <c r="T1602" s="111">
        <f t="shared" ref="T1602:T1665" si="234">+L1602+Q1602</f>
        <v>180000</v>
      </c>
      <c r="U1602" s="111">
        <f t="shared" ref="U1602:U1665" si="235">+T1602*0.01</f>
        <v>1800</v>
      </c>
      <c r="V1602" s="111">
        <f t="shared" ref="V1602:V1665" si="236">+T1602+U1602</f>
        <v>181800</v>
      </c>
      <c r="W1602" t="s">
        <v>4063</v>
      </c>
    </row>
    <row r="1603" spans="1:23" x14ac:dyDescent="0.3">
      <c r="A1603" s="110">
        <v>2202612</v>
      </c>
      <c r="B1603" s="110" t="s">
        <v>1769</v>
      </c>
      <c r="C1603" s="110" t="s">
        <v>1770</v>
      </c>
      <c r="D1603" s="110" t="s">
        <v>1773</v>
      </c>
      <c r="E1603" s="110" t="s">
        <v>1786</v>
      </c>
      <c r="F1603" s="110" t="s">
        <v>1474</v>
      </c>
      <c r="G1603" s="110" t="s">
        <v>125</v>
      </c>
      <c r="H1603" s="111">
        <v>188</v>
      </c>
      <c r="I1603" s="111">
        <v>193</v>
      </c>
      <c r="J1603" s="111">
        <v>204</v>
      </c>
      <c r="K1603" s="111">
        <f t="shared" si="228"/>
        <v>195</v>
      </c>
      <c r="L1603" s="111">
        <v>150000</v>
      </c>
      <c r="M1603" s="111">
        <f t="shared" si="229"/>
        <v>67500</v>
      </c>
      <c r="N1603" s="111">
        <f t="shared" si="230"/>
        <v>67500</v>
      </c>
      <c r="O1603" s="111">
        <f t="shared" si="231"/>
        <v>13500</v>
      </c>
      <c r="P1603" s="111">
        <f t="shared" si="232"/>
        <v>15000</v>
      </c>
      <c r="Q1603" s="111">
        <v>30000</v>
      </c>
      <c r="R1603" s="111">
        <v>3</v>
      </c>
      <c r="S1603" s="111">
        <f t="shared" si="233"/>
        <v>3000</v>
      </c>
      <c r="T1603" s="111">
        <f t="shared" si="234"/>
        <v>180000</v>
      </c>
      <c r="U1603" s="111">
        <f t="shared" si="235"/>
        <v>1800</v>
      </c>
      <c r="V1603" s="111">
        <f t="shared" si="236"/>
        <v>181800</v>
      </c>
      <c r="W1603" t="s">
        <v>4064</v>
      </c>
    </row>
    <row r="1604" spans="1:23" x14ac:dyDescent="0.3">
      <c r="A1604" s="110">
        <v>2203061</v>
      </c>
      <c r="B1604" s="110" t="s">
        <v>1769</v>
      </c>
      <c r="C1604" s="110" t="s">
        <v>1770</v>
      </c>
      <c r="D1604" s="110" t="s">
        <v>1773</v>
      </c>
      <c r="E1604" s="110" t="s">
        <v>1787</v>
      </c>
      <c r="F1604" s="110" t="s">
        <v>113</v>
      </c>
      <c r="G1604" s="110" t="s">
        <v>114</v>
      </c>
      <c r="H1604" s="111">
        <v>596</v>
      </c>
      <c r="I1604" s="111">
        <v>612</v>
      </c>
      <c r="J1604" s="111">
        <v>611</v>
      </c>
      <c r="K1604" s="111">
        <f t="shared" si="228"/>
        <v>606.33333333333337</v>
      </c>
      <c r="L1604" s="111">
        <f>300000</f>
        <v>300000</v>
      </c>
      <c r="M1604" s="111">
        <f t="shared" si="229"/>
        <v>135000</v>
      </c>
      <c r="N1604" s="111">
        <f t="shared" si="230"/>
        <v>135000</v>
      </c>
      <c r="O1604" s="111">
        <f t="shared" si="231"/>
        <v>27000</v>
      </c>
      <c r="P1604" s="111">
        <f t="shared" si="232"/>
        <v>30000</v>
      </c>
      <c r="Q1604" s="111">
        <v>60000</v>
      </c>
      <c r="R1604" s="111">
        <v>6</v>
      </c>
      <c r="S1604" s="111">
        <f t="shared" si="233"/>
        <v>6000</v>
      </c>
      <c r="T1604" s="111">
        <f t="shared" si="234"/>
        <v>360000</v>
      </c>
      <c r="U1604" s="111">
        <f t="shared" si="235"/>
        <v>3600</v>
      </c>
      <c r="V1604" s="111">
        <f t="shared" si="236"/>
        <v>363600</v>
      </c>
      <c r="W1604" t="s">
        <v>4065</v>
      </c>
    </row>
    <row r="1605" spans="1:23" x14ac:dyDescent="0.3">
      <c r="A1605" s="110">
        <v>2203062</v>
      </c>
      <c r="B1605" s="110" t="s">
        <v>1769</v>
      </c>
      <c r="C1605" s="110" t="s">
        <v>1770</v>
      </c>
      <c r="D1605" s="110" t="s">
        <v>1773</v>
      </c>
      <c r="E1605" s="110" t="s">
        <v>1788</v>
      </c>
      <c r="F1605" s="110" t="s">
        <v>113</v>
      </c>
      <c r="G1605" s="110" t="s">
        <v>114</v>
      </c>
      <c r="H1605" s="111">
        <v>223</v>
      </c>
      <c r="I1605" s="111">
        <v>259</v>
      </c>
      <c r="J1605" s="111">
        <v>257</v>
      </c>
      <c r="K1605" s="111">
        <f t="shared" si="228"/>
        <v>246.33333333333334</v>
      </c>
      <c r="L1605" s="111">
        <v>200000</v>
      </c>
      <c r="M1605" s="111">
        <f t="shared" si="229"/>
        <v>90000</v>
      </c>
      <c r="N1605" s="111">
        <f t="shared" si="230"/>
        <v>90000</v>
      </c>
      <c r="O1605" s="111">
        <f t="shared" si="231"/>
        <v>18000</v>
      </c>
      <c r="P1605" s="111">
        <f t="shared" si="232"/>
        <v>20000</v>
      </c>
      <c r="Q1605" s="111">
        <v>50000</v>
      </c>
      <c r="R1605" s="111">
        <v>5</v>
      </c>
      <c r="S1605" s="111">
        <f t="shared" si="233"/>
        <v>5000</v>
      </c>
      <c r="T1605" s="111">
        <f t="shared" si="234"/>
        <v>250000</v>
      </c>
      <c r="U1605" s="111">
        <f t="shared" si="235"/>
        <v>2500</v>
      </c>
      <c r="V1605" s="111">
        <f t="shared" si="236"/>
        <v>252500</v>
      </c>
      <c r="W1605" t="s">
        <v>4066</v>
      </c>
    </row>
    <row r="1606" spans="1:23" x14ac:dyDescent="0.3">
      <c r="A1606" s="110">
        <v>2203070</v>
      </c>
      <c r="B1606" s="110" t="s">
        <v>1769</v>
      </c>
      <c r="C1606" s="110" t="s">
        <v>1770</v>
      </c>
      <c r="D1606" s="110" t="s">
        <v>1773</v>
      </c>
      <c r="E1606" s="110" t="s">
        <v>1789</v>
      </c>
      <c r="F1606" s="110" t="s">
        <v>113</v>
      </c>
      <c r="G1606" s="110" t="s">
        <v>114</v>
      </c>
      <c r="H1606" s="111">
        <v>131</v>
      </c>
      <c r="I1606" s="111">
        <v>134</v>
      </c>
      <c r="J1606" s="111">
        <v>143</v>
      </c>
      <c r="K1606" s="111">
        <f t="shared" si="228"/>
        <v>136</v>
      </c>
      <c r="L1606" s="111">
        <v>150000</v>
      </c>
      <c r="M1606" s="111">
        <f t="shared" si="229"/>
        <v>67500</v>
      </c>
      <c r="N1606" s="111">
        <f t="shared" si="230"/>
        <v>67500</v>
      </c>
      <c r="O1606" s="111">
        <f t="shared" si="231"/>
        <v>13500</v>
      </c>
      <c r="P1606" s="111">
        <f t="shared" si="232"/>
        <v>15000</v>
      </c>
      <c r="Q1606" s="111">
        <v>30000</v>
      </c>
      <c r="R1606" s="111">
        <v>3</v>
      </c>
      <c r="S1606" s="111">
        <f t="shared" si="233"/>
        <v>3000</v>
      </c>
      <c r="T1606" s="111">
        <f t="shared" si="234"/>
        <v>180000</v>
      </c>
      <c r="U1606" s="111">
        <f t="shared" si="235"/>
        <v>1800</v>
      </c>
      <c r="V1606" s="111">
        <f t="shared" si="236"/>
        <v>181800</v>
      </c>
      <c r="W1606" t="s">
        <v>4067</v>
      </c>
    </row>
    <row r="1607" spans="1:23" x14ac:dyDescent="0.3">
      <c r="A1607" s="110">
        <v>2203074</v>
      </c>
      <c r="B1607" s="110" t="s">
        <v>1769</v>
      </c>
      <c r="C1607" s="110" t="s">
        <v>1770</v>
      </c>
      <c r="D1607" s="110" t="s">
        <v>1773</v>
      </c>
      <c r="E1607" s="110" t="s">
        <v>1790</v>
      </c>
      <c r="F1607" s="110" t="s">
        <v>119</v>
      </c>
      <c r="G1607" s="110" t="s">
        <v>114</v>
      </c>
      <c r="H1607" s="111">
        <v>681</v>
      </c>
      <c r="I1607" s="111">
        <v>673</v>
      </c>
      <c r="J1607" s="111">
        <v>682</v>
      </c>
      <c r="K1607" s="111">
        <f t="shared" si="228"/>
        <v>678.66666666666663</v>
      </c>
      <c r="L1607" s="111">
        <f>300000</f>
        <v>300000</v>
      </c>
      <c r="M1607" s="111">
        <f t="shared" si="229"/>
        <v>135000</v>
      </c>
      <c r="N1607" s="111">
        <f t="shared" si="230"/>
        <v>135000</v>
      </c>
      <c r="O1607" s="111">
        <f t="shared" si="231"/>
        <v>27000</v>
      </c>
      <c r="P1607" s="111">
        <f t="shared" si="232"/>
        <v>30000</v>
      </c>
      <c r="Q1607" s="111">
        <v>60000</v>
      </c>
      <c r="R1607" s="111">
        <v>6</v>
      </c>
      <c r="S1607" s="111">
        <f t="shared" si="233"/>
        <v>6000</v>
      </c>
      <c r="T1607" s="111">
        <f t="shared" si="234"/>
        <v>360000</v>
      </c>
      <c r="U1607" s="111">
        <f t="shared" si="235"/>
        <v>3600</v>
      </c>
      <c r="V1607" s="111">
        <f t="shared" si="236"/>
        <v>363600</v>
      </c>
      <c r="W1607" t="s">
        <v>4068</v>
      </c>
    </row>
    <row r="1608" spans="1:23" x14ac:dyDescent="0.3">
      <c r="A1608" s="110">
        <v>2203140</v>
      </c>
      <c r="B1608" s="110" t="s">
        <v>1769</v>
      </c>
      <c r="C1608" s="110" t="s">
        <v>1770</v>
      </c>
      <c r="D1608" s="110" t="s">
        <v>1773</v>
      </c>
      <c r="E1608" s="110" t="s">
        <v>1791</v>
      </c>
      <c r="F1608" s="110" t="s">
        <v>119</v>
      </c>
      <c r="G1608" s="110" t="s">
        <v>114</v>
      </c>
      <c r="H1608" s="111">
        <v>657</v>
      </c>
      <c r="I1608" s="111">
        <v>682</v>
      </c>
      <c r="J1608" s="111">
        <v>751</v>
      </c>
      <c r="K1608" s="111">
        <f t="shared" si="228"/>
        <v>696.66666666666663</v>
      </c>
      <c r="L1608" s="111">
        <f>300000</f>
        <v>300000</v>
      </c>
      <c r="M1608" s="111">
        <f t="shared" si="229"/>
        <v>135000</v>
      </c>
      <c r="N1608" s="111">
        <f t="shared" si="230"/>
        <v>135000</v>
      </c>
      <c r="O1608" s="111">
        <f t="shared" si="231"/>
        <v>27000</v>
      </c>
      <c r="P1608" s="111">
        <f t="shared" si="232"/>
        <v>30000</v>
      </c>
      <c r="Q1608" s="111">
        <v>60000</v>
      </c>
      <c r="R1608" s="111">
        <v>6</v>
      </c>
      <c r="S1608" s="111">
        <f t="shared" si="233"/>
        <v>6000</v>
      </c>
      <c r="T1608" s="111">
        <f t="shared" si="234"/>
        <v>360000</v>
      </c>
      <c r="U1608" s="111">
        <f t="shared" si="235"/>
        <v>3600</v>
      </c>
      <c r="V1608" s="111">
        <f t="shared" si="236"/>
        <v>363600</v>
      </c>
      <c r="W1608" t="s">
        <v>4069</v>
      </c>
    </row>
    <row r="1609" spans="1:23" x14ac:dyDescent="0.3">
      <c r="A1609" s="110">
        <v>2203146</v>
      </c>
      <c r="B1609" s="110" t="s">
        <v>1769</v>
      </c>
      <c r="C1609" s="110" t="s">
        <v>1770</v>
      </c>
      <c r="D1609" s="110" t="s">
        <v>1792</v>
      </c>
      <c r="E1609" s="110" t="s">
        <v>1793</v>
      </c>
      <c r="F1609" s="110" t="s">
        <v>113</v>
      </c>
      <c r="G1609" s="110" t="s">
        <v>114</v>
      </c>
      <c r="H1609" s="111">
        <v>162</v>
      </c>
      <c r="I1609" s="111">
        <v>160</v>
      </c>
      <c r="J1609" s="111">
        <v>153</v>
      </c>
      <c r="K1609" s="111">
        <f t="shared" si="228"/>
        <v>158.33333333333334</v>
      </c>
      <c r="L1609" s="111">
        <v>150000</v>
      </c>
      <c r="M1609" s="111">
        <f t="shared" si="229"/>
        <v>67500</v>
      </c>
      <c r="N1609" s="111">
        <f t="shared" si="230"/>
        <v>67500</v>
      </c>
      <c r="O1609" s="111">
        <f t="shared" si="231"/>
        <v>13500</v>
      </c>
      <c r="P1609" s="111">
        <f t="shared" si="232"/>
        <v>15000</v>
      </c>
      <c r="Q1609" s="111">
        <v>30000</v>
      </c>
      <c r="R1609" s="111">
        <v>3</v>
      </c>
      <c r="S1609" s="111">
        <f t="shared" si="233"/>
        <v>3000</v>
      </c>
      <c r="T1609" s="111">
        <f t="shared" si="234"/>
        <v>180000</v>
      </c>
      <c r="U1609" s="111">
        <f t="shared" si="235"/>
        <v>1800</v>
      </c>
      <c r="V1609" s="111">
        <f t="shared" si="236"/>
        <v>181800</v>
      </c>
      <c r="W1609" t="s">
        <v>4070</v>
      </c>
    </row>
    <row r="1610" spans="1:23" x14ac:dyDescent="0.3">
      <c r="A1610" s="110">
        <v>2203175</v>
      </c>
      <c r="B1610" s="110" t="s">
        <v>1769</v>
      </c>
      <c r="C1610" s="110" t="s">
        <v>1770</v>
      </c>
      <c r="D1610" s="110" t="s">
        <v>1794</v>
      </c>
      <c r="E1610" s="110" t="s">
        <v>1795</v>
      </c>
      <c r="F1610" s="110" t="s">
        <v>113</v>
      </c>
      <c r="G1610" s="110" t="s">
        <v>114</v>
      </c>
      <c r="H1610" s="111">
        <v>150</v>
      </c>
      <c r="I1610" s="111">
        <v>155</v>
      </c>
      <c r="J1610" s="111">
        <v>148</v>
      </c>
      <c r="K1610" s="111">
        <f t="shared" si="228"/>
        <v>151</v>
      </c>
      <c r="L1610" s="111">
        <v>150000</v>
      </c>
      <c r="M1610" s="111">
        <f t="shared" si="229"/>
        <v>67500</v>
      </c>
      <c r="N1610" s="111">
        <f t="shared" si="230"/>
        <v>67500</v>
      </c>
      <c r="O1610" s="111">
        <f t="shared" si="231"/>
        <v>13500</v>
      </c>
      <c r="P1610" s="111">
        <f t="shared" si="232"/>
        <v>15000</v>
      </c>
      <c r="Q1610" s="111">
        <v>30000</v>
      </c>
      <c r="R1610" s="111">
        <v>3</v>
      </c>
      <c r="S1610" s="111">
        <f t="shared" si="233"/>
        <v>3000</v>
      </c>
      <c r="T1610" s="111">
        <f t="shared" si="234"/>
        <v>180000</v>
      </c>
      <c r="U1610" s="111">
        <f t="shared" si="235"/>
        <v>1800</v>
      </c>
      <c r="V1610" s="111">
        <f t="shared" si="236"/>
        <v>181800</v>
      </c>
      <c r="W1610" t="s">
        <v>4071</v>
      </c>
    </row>
    <row r="1611" spans="1:23" x14ac:dyDescent="0.3">
      <c r="A1611" s="110">
        <v>2203603</v>
      </c>
      <c r="B1611" s="110" t="s">
        <v>1769</v>
      </c>
      <c r="C1611" s="110" t="s">
        <v>1770</v>
      </c>
      <c r="D1611" s="110" t="s">
        <v>1773</v>
      </c>
      <c r="E1611" s="110" t="s">
        <v>1796</v>
      </c>
      <c r="F1611" s="110" t="s">
        <v>580</v>
      </c>
      <c r="G1611" s="110" t="s">
        <v>125</v>
      </c>
      <c r="H1611" s="111">
        <v>132</v>
      </c>
      <c r="I1611" s="111">
        <v>130</v>
      </c>
      <c r="J1611" s="111">
        <v>121</v>
      </c>
      <c r="K1611" s="111">
        <f t="shared" si="228"/>
        <v>127.66666666666667</v>
      </c>
      <c r="L1611" s="111">
        <v>150000</v>
      </c>
      <c r="M1611" s="111">
        <f t="shared" si="229"/>
        <v>67500</v>
      </c>
      <c r="N1611" s="111">
        <f t="shared" si="230"/>
        <v>67500</v>
      </c>
      <c r="O1611" s="111">
        <f t="shared" si="231"/>
        <v>13500</v>
      </c>
      <c r="P1611" s="111">
        <f t="shared" si="232"/>
        <v>15000</v>
      </c>
      <c r="Q1611" s="111">
        <v>30000</v>
      </c>
      <c r="R1611" s="111">
        <v>3</v>
      </c>
      <c r="S1611" s="111">
        <f t="shared" si="233"/>
        <v>3000</v>
      </c>
      <c r="T1611" s="111">
        <f t="shared" si="234"/>
        <v>180000</v>
      </c>
      <c r="U1611" s="111">
        <f t="shared" si="235"/>
        <v>1800</v>
      </c>
      <c r="V1611" s="111">
        <f t="shared" si="236"/>
        <v>181800</v>
      </c>
      <c r="W1611" t="s">
        <v>4072</v>
      </c>
    </row>
    <row r="1612" spans="1:23" x14ac:dyDescent="0.3">
      <c r="A1612" s="110">
        <v>2204018</v>
      </c>
      <c r="B1612" s="110" t="s">
        <v>1769</v>
      </c>
      <c r="C1612" s="110" t="s">
        <v>1770</v>
      </c>
      <c r="D1612" s="110" t="s">
        <v>1773</v>
      </c>
      <c r="E1612" s="110" t="s">
        <v>1797</v>
      </c>
      <c r="F1612" s="110" t="s">
        <v>119</v>
      </c>
      <c r="G1612" s="110" t="s">
        <v>114</v>
      </c>
      <c r="H1612" s="111">
        <v>2425</v>
      </c>
      <c r="I1612" s="111">
        <v>2384</v>
      </c>
      <c r="J1612" s="111">
        <v>2338</v>
      </c>
      <c r="K1612" s="111">
        <f t="shared" si="228"/>
        <v>2382.3333333333335</v>
      </c>
      <c r="L1612" s="111">
        <f>600000</f>
        <v>600000</v>
      </c>
      <c r="M1612" s="111">
        <f t="shared" si="229"/>
        <v>270000</v>
      </c>
      <c r="N1612" s="111">
        <f t="shared" si="230"/>
        <v>270000</v>
      </c>
      <c r="O1612" s="111">
        <f t="shared" si="231"/>
        <v>54000</v>
      </c>
      <c r="P1612" s="111">
        <f t="shared" si="232"/>
        <v>60000</v>
      </c>
      <c r="Q1612" s="111">
        <v>80000</v>
      </c>
      <c r="R1612" s="111">
        <v>8</v>
      </c>
      <c r="S1612" s="111">
        <f t="shared" si="233"/>
        <v>8000</v>
      </c>
      <c r="T1612" s="111">
        <f t="shared" si="234"/>
        <v>680000</v>
      </c>
      <c r="U1612" s="111">
        <f t="shared" si="235"/>
        <v>6800</v>
      </c>
      <c r="V1612" s="111">
        <f t="shared" si="236"/>
        <v>686800</v>
      </c>
      <c r="W1612" t="s">
        <v>4073</v>
      </c>
    </row>
    <row r="1613" spans="1:23" x14ac:dyDescent="0.3">
      <c r="A1613" s="110">
        <v>2204030</v>
      </c>
      <c r="B1613" s="110" t="s">
        <v>1769</v>
      </c>
      <c r="C1613" s="110" t="s">
        <v>1770</v>
      </c>
      <c r="D1613" s="110" t="s">
        <v>1773</v>
      </c>
      <c r="E1613" s="110" t="s">
        <v>1798</v>
      </c>
      <c r="F1613" s="110" t="s">
        <v>119</v>
      </c>
      <c r="G1613" s="110" t="s">
        <v>114</v>
      </c>
      <c r="H1613" s="111">
        <v>982</v>
      </c>
      <c r="I1613" s="111">
        <v>1006</v>
      </c>
      <c r="J1613" s="111">
        <v>1025</v>
      </c>
      <c r="K1613" s="111">
        <f t="shared" si="228"/>
        <v>1004.3333333333334</v>
      </c>
      <c r="L1613" s="111">
        <f>600000*0.7</f>
        <v>420000</v>
      </c>
      <c r="M1613" s="111">
        <f t="shared" si="229"/>
        <v>189000</v>
      </c>
      <c r="N1613" s="111">
        <f t="shared" si="230"/>
        <v>189000</v>
      </c>
      <c r="O1613" s="111">
        <f t="shared" si="231"/>
        <v>37800</v>
      </c>
      <c r="P1613" s="111">
        <f t="shared" si="232"/>
        <v>42000</v>
      </c>
      <c r="Q1613" s="111">
        <v>80000</v>
      </c>
      <c r="R1613" s="111">
        <v>8</v>
      </c>
      <c r="S1613" s="111">
        <f t="shared" si="233"/>
        <v>8000</v>
      </c>
      <c r="T1613" s="111">
        <f t="shared" si="234"/>
        <v>500000</v>
      </c>
      <c r="U1613" s="111">
        <f t="shared" si="235"/>
        <v>5000</v>
      </c>
      <c r="V1613" s="111">
        <f t="shared" si="236"/>
        <v>505000</v>
      </c>
      <c r="W1613" t="s">
        <v>4074</v>
      </c>
    </row>
    <row r="1614" spans="1:23" x14ac:dyDescent="0.3">
      <c r="A1614" s="110">
        <v>2204032</v>
      </c>
      <c r="B1614" s="110" t="s">
        <v>1769</v>
      </c>
      <c r="C1614" s="110" t="s">
        <v>1770</v>
      </c>
      <c r="D1614" s="110" t="s">
        <v>1773</v>
      </c>
      <c r="E1614" s="110" t="s">
        <v>1799</v>
      </c>
      <c r="F1614" s="110" t="s">
        <v>119</v>
      </c>
      <c r="G1614" s="110" t="s">
        <v>114</v>
      </c>
      <c r="H1614" s="111">
        <v>1939</v>
      </c>
      <c r="I1614" s="111">
        <v>1917</v>
      </c>
      <c r="J1614" s="111">
        <v>1915</v>
      </c>
      <c r="K1614" s="111">
        <f t="shared" si="228"/>
        <v>1923.6666666666667</v>
      </c>
      <c r="L1614" s="111">
        <f>600000</f>
        <v>600000</v>
      </c>
      <c r="M1614" s="111">
        <f t="shared" si="229"/>
        <v>270000</v>
      </c>
      <c r="N1614" s="111">
        <f t="shared" si="230"/>
        <v>270000</v>
      </c>
      <c r="O1614" s="111">
        <f t="shared" si="231"/>
        <v>54000</v>
      </c>
      <c r="P1614" s="111">
        <f t="shared" si="232"/>
        <v>60000</v>
      </c>
      <c r="Q1614" s="111">
        <v>80000</v>
      </c>
      <c r="R1614" s="111">
        <v>8</v>
      </c>
      <c r="S1614" s="111">
        <f t="shared" si="233"/>
        <v>8000</v>
      </c>
      <c r="T1614" s="111">
        <f t="shared" si="234"/>
        <v>680000</v>
      </c>
      <c r="U1614" s="111">
        <f t="shared" si="235"/>
        <v>6800</v>
      </c>
      <c r="V1614" s="111">
        <f t="shared" si="236"/>
        <v>686800</v>
      </c>
      <c r="W1614" t="s">
        <v>4075</v>
      </c>
    </row>
    <row r="1615" spans="1:23" x14ac:dyDescent="0.3">
      <c r="A1615" s="110">
        <v>2204046</v>
      </c>
      <c r="B1615" s="110" t="s">
        <v>1769</v>
      </c>
      <c r="C1615" s="110" t="s">
        <v>1770</v>
      </c>
      <c r="D1615" s="110" t="s">
        <v>1773</v>
      </c>
      <c r="E1615" s="110" t="s">
        <v>1800</v>
      </c>
      <c r="F1615" s="110" t="s">
        <v>113</v>
      </c>
      <c r="G1615" s="110" t="s">
        <v>114</v>
      </c>
      <c r="H1615" s="111">
        <v>164</v>
      </c>
      <c r="I1615" s="111">
        <v>162</v>
      </c>
      <c r="J1615" s="111">
        <v>138</v>
      </c>
      <c r="K1615" s="111">
        <f t="shared" si="228"/>
        <v>154.66666666666666</v>
      </c>
      <c r="L1615" s="111">
        <v>150000</v>
      </c>
      <c r="M1615" s="111">
        <f t="shared" si="229"/>
        <v>67500</v>
      </c>
      <c r="N1615" s="111">
        <f t="shared" si="230"/>
        <v>67500</v>
      </c>
      <c r="O1615" s="111">
        <f t="shared" si="231"/>
        <v>13500</v>
      </c>
      <c r="P1615" s="111">
        <f t="shared" si="232"/>
        <v>15000</v>
      </c>
      <c r="Q1615" s="111">
        <v>30000</v>
      </c>
      <c r="R1615" s="111">
        <v>3</v>
      </c>
      <c r="S1615" s="111">
        <f t="shared" si="233"/>
        <v>3000</v>
      </c>
      <c r="T1615" s="111">
        <f t="shared" si="234"/>
        <v>180000</v>
      </c>
      <c r="U1615" s="111">
        <f t="shared" si="235"/>
        <v>1800</v>
      </c>
      <c r="V1615" s="111">
        <f t="shared" si="236"/>
        <v>181800</v>
      </c>
      <c r="W1615" t="s">
        <v>4076</v>
      </c>
    </row>
    <row r="1616" spans="1:23" x14ac:dyDescent="0.3">
      <c r="A1616" s="110">
        <v>2204067</v>
      </c>
      <c r="B1616" s="110" t="s">
        <v>1769</v>
      </c>
      <c r="C1616" s="110" t="s">
        <v>1770</v>
      </c>
      <c r="D1616" s="110" t="s">
        <v>1773</v>
      </c>
      <c r="E1616" s="110" t="s">
        <v>1801</v>
      </c>
      <c r="F1616" s="110" t="s">
        <v>113</v>
      </c>
      <c r="G1616" s="110" t="s">
        <v>114</v>
      </c>
      <c r="H1616" s="111">
        <v>358</v>
      </c>
      <c r="I1616" s="111">
        <v>340</v>
      </c>
      <c r="J1616" s="111">
        <v>354</v>
      </c>
      <c r="K1616" s="111">
        <f t="shared" si="228"/>
        <v>350.66666666666669</v>
      </c>
      <c r="L1616" s="111">
        <v>200000</v>
      </c>
      <c r="M1616" s="111">
        <f t="shared" si="229"/>
        <v>90000</v>
      </c>
      <c r="N1616" s="111">
        <f t="shared" si="230"/>
        <v>90000</v>
      </c>
      <c r="O1616" s="111">
        <f t="shared" si="231"/>
        <v>18000</v>
      </c>
      <c r="P1616" s="111">
        <f t="shared" si="232"/>
        <v>20000</v>
      </c>
      <c r="Q1616" s="111">
        <v>50000</v>
      </c>
      <c r="R1616" s="111">
        <v>5</v>
      </c>
      <c r="S1616" s="111">
        <f t="shared" si="233"/>
        <v>5000</v>
      </c>
      <c r="T1616" s="111">
        <f t="shared" si="234"/>
        <v>250000</v>
      </c>
      <c r="U1616" s="111">
        <f t="shared" si="235"/>
        <v>2500</v>
      </c>
      <c r="V1616" s="111">
        <f t="shared" si="236"/>
        <v>252500</v>
      </c>
      <c r="W1616" t="s">
        <v>4077</v>
      </c>
    </row>
    <row r="1617" spans="1:23" x14ac:dyDescent="0.3">
      <c r="A1617" s="110">
        <v>2204076</v>
      </c>
      <c r="B1617" s="110" t="s">
        <v>1769</v>
      </c>
      <c r="C1617" s="110" t="s">
        <v>1770</v>
      </c>
      <c r="D1617" s="110" t="s">
        <v>1773</v>
      </c>
      <c r="E1617" s="110" t="s">
        <v>1802</v>
      </c>
      <c r="F1617" s="110" t="s">
        <v>113</v>
      </c>
      <c r="G1617" s="110" t="s">
        <v>114</v>
      </c>
      <c r="H1617" s="111">
        <v>113</v>
      </c>
      <c r="I1617" s="111">
        <v>96</v>
      </c>
      <c r="J1617" s="111">
        <v>106</v>
      </c>
      <c r="K1617" s="111">
        <f t="shared" si="228"/>
        <v>105</v>
      </c>
      <c r="L1617" s="111">
        <v>150000</v>
      </c>
      <c r="M1617" s="111">
        <f t="shared" si="229"/>
        <v>67500</v>
      </c>
      <c r="N1617" s="111">
        <f t="shared" si="230"/>
        <v>67500</v>
      </c>
      <c r="O1617" s="111">
        <f t="shared" si="231"/>
        <v>13500</v>
      </c>
      <c r="P1617" s="111">
        <f t="shared" si="232"/>
        <v>15000</v>
      </c>
      <c r="Q1617" s="111">
        <v>30000</v>
      </c>
      <c r="R1617" s="111">
        <v>3</v>
      </c>
      <c r="S1617" s="111">
        <f t="shared" si="233"/>
        <v>3000</v>
      </c>
      <c r="T1617" s="111">
        <f t="shared" si="234"/>
        <v>180000</v>
      </c>
      <c r="U1617" s="111">
        <f t="shared" si="235"/>
        <v>1800</v>
      </c>
      <c r="V1617" s="111">
        <f t="shared" si="236"/>
        <v>181800</v>
      </c>
      <c r="W1617" t="s">
        <v>4078</v>
      </c>
    </row>
    <row r="1618" spans="1:23" x14ac:dyDescent="0.3">
      <c r="A1618" s="110">
        <v>2204091</v>
      </c>
      <c r="B1618" s="110" t="s">
        <v>1769</v>
      </c>
      <c r="C1618" s="110" t="s">
        <v>1770</v>
      </c>
      <c r="D1618" s="110" t="s">
        <v>1773</v>
      </c>
      <c r="E1618" s="110" t="s">
        <v>1803</v>
      </c>
      <c r="F1618" s="110" t="s">
        <v>122</v>
      </c>
      <c r="G1618" s="110" t="s">
        <v>114</v>
      </c>
      <c r="H1618" s="111">
        <v>942</v>
      </c>
      <c r="I1618" s="111">
        <v>939</v>
      </c>
      <c r="J1618" s="111">
        <v>941</v>
      </c>
      <c r="K1618" s="111">
        <f t="shared" si="228"/>
        <v>940.66666666666663</v>
      </c>
      <c r="L1618" s="111">
        <f>300000</f>
        <v>300000</v>
      </c>
      <c r="M1618" s="111">
        <f t="shared" si="229"/>
        <v>135000</v>
      </c>
      <c r="N1618" s="111">
        <f t="shared" si="230"/>
        <v>135000</v>
      </c>
      <c r="O1618" s="111">
        <f t="shared" si="231"/>
        <v>27000</v>
      </c>
      <c r="P1618" s="111">
        <f t="shared" si="232"/>
        <v>30000</v>
      </c>
      <c r="Q1618" s="111">
        <v>60000</v>
      </c>
      <c r="R1618" s="111">
        <v>6</v>
      </c>
      <c r="S1618" s="111">
        <f t="shared" si="233"/>
        <v>6000</v>
      </c>
      <c r="T1618" s="111">
        <f t="shared" si="234"/>
        <v>360000</v>
      </c>
      <c r="U1618" s="111">
        <f t="shared" si="235"/>
        <v>3600</v>
      </c>
      <c r="V1618" s="111">
        <f t="shared" si="236"/>
        <v>363600</v>
      </c>
      <c r="W1618" t="s">
        <v>4079</v>
      </c>
    </row>
    <row r="1619" spans="1:23" x14ac:dyDescent="0.3">
      <c r="A1619" s="110">
        <v>2204134</v>
      </c>
      <c r="B1619" s="110" t="s">
        <v>1769</v>
      </c>
      <c r="C1619" s="110" t="s">
        <v>1770</v>
      </c>
      <c r="D1619" s="110" t="s">
        <v>1773</v>
      </c>
      <c r="E1619" s="110" t="s">
        <v>1804</v>
      </c>
      <c r="F1619" s="110" t="s">
        <v>119</v>
      </c>
      <c r="G1619" s="110" t="s">
        <v>125</v>
      </c>
      <c r="H1619" s="111">
        <v>945</v>
      </c>
      <c r="I1619" s="111">
        <v>942</v>
      </c>
      <c r="J1619" s="111">
        <v>933</v>
      </c>
      <c r="K1619" s="111">
        <f t="shared" si="228"/>
        <v>940</v>
      </c>
      <c r="L1619" s="111">
        <f>300000*0.7</f>
        <v>210000</v>
      </c>
      <c r="M1619" s="111">
        <f t="shared" si="229"/>
        <v>94500</v>
      </c>
      <c r="N1619" s="111">
        <f t="shared" si="230"/>
        <v>94500</v>
      </c>
      <c r="O1619" s="111">
        <f t="shared" si="231"/>
        <v>18900</v>
      </c>
      <c r="P1619" s="111">
        <f t="shared" si="232"/>
        <v>21000</v>
      </c>
      <c r="Q1619" s="111">
        <v>60000</v>
      </c>
      <c r="R1619" s="111">
        <v>6</v>
      </c>
      <c r="S1619" s="111">
        <f t="shared" si="233"/>
        <v>6000</v>
      </c>
      <c r="T1619" s="111">
        <f t="shared" si="234"/>
        <v>270000</v>
      </c>
      <c r="U1619" s="111">
        <f t="shared" si="235"/>
        <v>2700</v>
      </c>
      <c r="V1619" s="111">
        <f t="shared" si="236"/>
        <v>272700</v>
      </c>
      <c r="W1619" t="s">
        <v>4080</v>
      </c>
    </row>
    <row r="1620" spans="1:23" x14ac:dyDescent="0.3">
      <c r="A1620" s="110">
        <v>2204136</v>
      </c>
      <c r="B1620" s="110" t="s">
        <v>1769</v>
      </c>
      <c r="C1620" s="110" t="s">
        <v>1770</v>
      </c>
      <c r="D1620" s="110" t="s">
        <v>1773</v>
      </c>
      <c r="E1620" s="110" t="s">
        <v>1805</v>
      </c>
      <c r="F1620" s="110" t="s">
        <v>113</v>
      </c>
      <c r="G1620" s="110" t="s">
        <v>114</v>
      </c>
      <c r="H1620" s="111">
        <v>312</v>
      </c>
      <c r="I1620" s="111">
        <v>307</v>
      </c>
      <c r="J1620" s="111">
        <v>265</v>
      </c>
      <c r="K1620" s="111">
        <f t="shared" si="228"/>
        <v>294.66666666666669</v>
      </c>
      <c r="L1620" s="111">
        <v>200000</v>
      </c>
      <c r="M1620" s="111">
        <f t="shared" si="229"/>
        <v>90000</v>
      </c>
      <c r="N1620" s="111">
        <f t="shared" si="230"/>
        <v>90000</v>
      </c>
      <c r="O1620" s="111">
        <f t="shared" si="231"/>
        <v>18000</v>
      </c>
      <c r="P1620" s="111">
        <f t="shared" si="232"/>
        <v>20000</v>
      </c>
      <c r="Q1620" s="111">
        <v>50000</v>
      </c>
      <c r="R1620" s="111">
        <v>5</v>
      </c>
      <c r="S1620" s="111">
        <f t="shared" si="233"/>
        <v>5000</v>
      </c>
      <c r="T1620" s="111">
        <f t="shared" si="234"/>
        <v>250000</v>
      </c>
      <c r="U1620" s="111">
        <f t="shared" si="235"/>
        <v>2500</v>
      </c>
      <c r="V1620" s="111">
        <f t="shared" si="236"/>
        <v>252500</v>
      </c>
      <c r="W1620" t="s">
        <v>4081</v>
      </c>
    </row>
    <row r="1621" spans="1:23" x14ac:dyDescent="0.3">
      <c r="A1621" s="110">
        <v>2204310</v>
      </c>
      <c r="B1621" s="110" t="s">
        <v>1769</v>
      </c>
      <c r="C1621" s="110" t="s">
        <v>1770</v>
      </c>
      <c r="D1621" s="110" t="s">
        <v>1773</v>
      </c>
      <c r="E1621" s="110" t="s">
        <v>1806</v>
      </c>
      <c r="F1621" s="110" t="s">
        <v>119</v>
      </c>
      <c r="G1621" s="110" t="s">
        <v>114</v>
      </c>
      <c r="H1621" s="111">
        <v>226</v>
      </c>
      <c r="I1621" s="111">
        <v>240</v>
      </c>
      <c r="J1621" s="111">
        <v>238</v>
      </c>
      <c r="K1621" s="111">
        <f t="shared" si="228"/>
        <v>234.66666666666666</v>
      </c>
      <c r="L1621" s="111">
        <v>200000</v>
      </c>
      <c r="M1621" s="111">
        <f t="shared" si="229"/>
        <v>90000</v>
      </c>
      <c r="N1621" s="111">
        <f t="shared" si="230"/>
        <v>90000</v>
      </c>
      <c r="O1621" s="111">
        <f t="shared" si="231"/>
        <v>18000</v>
      </c>
      <c r="P1621" s="111">
        <f t="shared" si="232"/>
        <v>20000</v>
      </c>
      <c r="Q1621" s="111">
        <v>50000</v>
      </c>
      <c r="R1621" s="111">
        <v>5</v>
      </c>
      <c r="S1621" s="111">
        <f t="shared" si="233"/>
        <v>5000</v>
      </c>
      <c r="T1621" s="111">
        <f t="shared" si="234"/>
        <v>250000</v>
      </c>
      <c r="U1621" s="111">
        <f t="shared" si="235"/>
        <v>2500</v>
      </c>
      <c r="V1621" s="111">
        <f t="shared" si="236"/>
        <v>252500</v>
      </c>
      <c r="W1621" t="s">
        <v>4082</v>
      </c>
    </row>
    <row r="1622" spans="1:23" x14ac:dyDescent="0.3">
      <c r="A1622" s="110">
        <v>2204311</v>
      </c>
      <c r="B1622" s="110" t="s">
        <v>1769</v>
      </c>
      <c r="C1622" s="110" t="s">
        <v>1770</v>
      </c>
      <c r="D1622" s="110" t="s">
        <v>1773</v>
      </c>
      <c r="E1622" s="110" t="s">
        <v>1807</v>
      </c>
      <c r="F1622" s="110" t="s">
        <v>122</v>
      </c>
      <c r="G1622" s="110" t="s">
        <v>125</v>
      </c>
      <c r="H1622" s="111">
        <v>180</v>
      </c>
      <c r="I1622" s="111">
        <v>192</v>
      </c>
      <c r="J1622" s="111">
        <v>196</v>
      </c>
      <c r="K1622" s="111">
        <f t="shared" si="228"/>
        <v>189.33333333333334</v>
      </c>
      <c r="L1622" s="111">
        <v>150000</v>
      </c>
      <c r="M1622" s="111">
        <f t="shared" si="229"/>
        <v>67500</v>
      </c>
      <c r="N1622" s="111">
        <f t="shared" si="230"/>
        <v>67500</v>
      </c>
      <c r="O1622" s="111">
        <f t="shared" si="231"/>
        <v>13500</v>
      </c>
      <c r="P1622" s="111">
        <f t="shared" si="232"/>
        <v>15000</v>
      </c>
      <c r="Q1622" s="111">
        <v>30000</v>
      </c>
      <c r="R1622" s="111">
        <v>3</v>
      </c>
      <c r="S1622" s="111">
        <f t="shared" si="233"/>
        <v>3000</v>
      </c>
      <c r="T1622" s="111">
        <f t="shared" si="234"/>
        <v>180000</v>
      </c>
      <c r="U1622" s="111">
        <f t="shared" si="235"/>
        <v>1800</v>
      </c>
      <c r="V1622" s="111">
        <f t="shared" si="236"/>
        <v>181800</v>
      </c>
      <c r="W1622" t="s">
        <v>4083</v>
      </c>
    </row>
    <row r="1623" spans="1:23" x14ac:dyDescent="0.3">
      <c r="A1623" s="110">
        <v>2204402</v>
      </c>
      <c r="B1623" s="110" t="s">
        <v>1769</v>
      </c>
      <c r="C1623" s="110" t="s">
        <v>1770</v>
      </c>
      <c r="D1623" s="110" t="s">
        <v>1773</v>
      </c>
      <c r="E1623" s="110" t="s">
        <v>1808</v>
      </c>
      <c r="F1623" s="110" t="s">
        <v>117</v>
      </c>
      <c r="G1623" s="110" t="s">
        <v>125</v>
      </c>
      <c r="H1623" s="111">
        <v>911</v>
      </c>
      <c r="I1623" s="111">
        <v>908</v>
      </c>
      <c r="J1623" s="111">
        <v>932</v>
      </c>
      <c r="K1623" s="111">
        <f t="shared" si="228"/>
        <v>917</v>
      </c>
      <c r="L1623" s="111">
        <f>300000</f>
        <v>300000</v>
      </c>
      <c r="M1623" s="111">
        <f t="shared" si="229"/>
        <v>135000</v>
      </c>
      <c r="N1623" s="111">
        <f t="shared" si="230"/>
        <v>135000</v>
      </c>
      <c r="O1623" s="111">
        <f t="shared" si="231"/>
        <v>27000</v>
      </c>
      <c r="P1623" s="111">
        <f t="shared" si="232"/>
        <v>30000</v>
      </c>
      <c r="Q1623" s="111">
        <v>60000</v>
      </c>
      <c r="R1623" s="111">
        <v>6</v>
      </c>
      <c r="S1623" s="111">
        <f t="shared" si="233"/>
        <v>6000</v>
      </c>
      <c r="T1623" s="111">
        <f t="shared" si="234"/>
        <v>360000</v>
      </c>
      <c r="U1623" s="111">
        <f t="shared" si="235"/>
        <v>3600</v>
      </c>
      <c r="V1623" s="111">
        <f t="shared" si="236"/>
        <v>363600</v>
      </c>
      <c r="W1623" t="s">
        <v>4084</v>
      </c>
    </row>
    <row r="1624" spans="1:23" x14ac:dyDescent="0.3">
      <c r="A1624" s="110">
        <v>2204403</v>
      </c>
      <c r="B1624" s="110" t="s">
        <v>1769</v>
      </c>
      <c r="C1624" s="110" t="s">
        <v>1770</v>
      </c>
      <c r="D1624" s="110" t="s">
        <v>1773</v>
      </c>
      <c r="E1624" s="110" t="s">
        <v>1809</v>
      </c>
      <c r="F1624" s="110" t="s">
        <v>117</v>
      </c>
      <c r="G1624" s="110" t="s">
        <v>125</v>
      </c>
      <c r="H1624" s="111">
        <v>424</v>
      </c>
      <c r="I1624" s="111">
        <v>464</v>
      </c>
      <c r="J1624" s="111">
        <v>397</v>
      </c>
      <c r="K1624" s="111">
        <f t="shared" si="228"/>
        <v>428.33333333333331</v>
      </c>
      <c r="L1624" s="111">
        <f>300000</f>
        <v>300000</v>
      </c>
      <c r="M1624" s="111">
        <f t="shared" si="229"/>
        <v>135000</v>
      </c>
      <c r="N1624" s="111">
        <f t="shared" si="230"/>
        <v>135000</v>
      </c>
      <c r="O1624" s="111">
        <f t="shared" si="231"/>
        <v>27000</v>
      </c>
      <c r="P1624" s="111">
        <f t="shared" si="232"/>
        <v>30000</v>
      </c>
      <c r="Q1624" s="111">
        <v>60000</v>
      </c>
      <c r="R1624" s="111">
        <v>6</v>
      </c>
      <c r="S1624" s="111">
        <f t="shared" si="233"/>
        <v>6000</v>
      </c>
      <c r="T1624" s="111">
        <f t="shared" si="234"/>
        <v>360000</v>
      </c>
      <c r="U1624" s="111">
        <f t="shared" si="235"/>
        <v>3600</v>
      </c>
      <c r="V1624" s="111">
        <f t="shared" si="236"/>
        <v>363600</v>
      </c>
      <c r="W1624" t="s">
        <v>4085</v>
      </c>
    </row>
    <row r="1625" spans="1:23" x14ac:dyDescent="0.3">
      <c r="A1625" s="110">
        <v>2204405</v>
      </c>
      <c r="B1625" s="110" t="s">
        <v>1769</v>
      </c>
      <c r="C1625" s="110" t="s">
        <v>1770</v>
      </c>
      <c r="D1625" s="110" t="s">
        <v>1773</v>
      </c>
      <c r="E1625" s="110" t="s">
        <v>1810</v>
      </c>
      <c r="F1625" s="110" t="s">
        <v>117</v>
      </c>
      <c r="G1625" s="110" t="s">
        <v>125</v>
      </c>
      <c r="H1625" s="111">
        <v>256</v>
      </c>
      <c r="I1625" s="111">
        <v>271</v>
      </c>
      <c r="J1625" s="111">
        <v>322</v>
      </c>
      <c r="K1625" s="111">
        <f t="shared" si="228"/>
        <v>283</v>
      </c>
      <c r="L1625" s="111">
        <v>200000</v>
      </c>
      <c r="M1625" s="111">
        <f t="shared" si="229"/>
        <v>90000</v>
      </c>
      <c r="N1625" s="111">
        <f t="shared" si="230"/>
        <v>90000</v>
      </c>
      <c r="O1625" s="111">
        <f t="shared" si="231"/>
        <v>18000</v>
      </c>
      <c r="P1625" s="111">
        <f t="shared" si="232"/>
        <v>20000</v>
      </c>
      <c r="Q1625" s="111">
        <v>50000</v>
      </c>
      <c r="R1625" s="111">
        <v>5</v>
      </c>
      <c r="S1625" s="111">
        <f t="shared" si="233"/>
        <v>5000</v>
      </c>
      <c r="T1625" s="111">
        <f t="shared" si="234"/>
        <v>250000</v>
      </c>
      <c r="U1625" s="111">
        <f t="shared" si="235"/>
        <v>2500</v>
      </c>
      <c r="V1625" s="111">
        <f t="shared" si="236"/>
        <v>252500</v>
      </c>
      <c r="W1625" t="s">
        <v>4086</v>
      </c>
    </row>
    <row r="1626" spans="1:23" x14ac:dyDescent="0.3">
      <c r="A1626" s="110">
        <v>2205011</v>
      </c>
      <c r="B1626" s="110" t="s">
        <v>1769</v>
      </c>
      <c r="C1626" s="110" t="s">
        <v>1770</v>
      </c>
      <c r="D1626" s="110" t="s">
        <v>1773</v>
      </c>
      <c r="E1626" s="110" t="s">
        <v>1811</v>
      </c>
      <c r="F1626" s="110" t="s">
        <v>113</v>
      </c>
      <c r="G1626" s="110" t="s">
        <v>114</v>
      </c>
      <c r="H1626" s="111">
        <v>493</v>
      </c>
      <c r="I1626" s="111">
        <v>506</v>
      </c>
      <c r="J1626" s="111">
        <v>503</v>
      </c>
      <c r="K1626" s="111">
        <f t="shared" si="228"/>
        <v>500.66666666666669</v>
      </c>
      <c r="L1626" s="111">
        <f>300000</f>
        <v>300000</v>
      </c>
      <c r="M1626" s="111">
        <f t="shared" si="229"/>
        <v>135000</v>
      </c>
      <c r="N1626" s="111">
        <f t="shared" si="230"/>
        <v>135000</v>
      </c>
      <c r="O1626" s="111">
        <f t="shared" si="231"/>
        <v>27000</v>
      </c>
      <c r="P1626" s="111">
        <f t="shared" si="232"/>
        <v>30000</v>
      </c>
      <c r="Q1626" s="111">
        <v>60000</v>
      </c>
      <c r="R1626" s="111">
        <v>6</v>
      </c>
      <c r="S1626" s="111">
        <f t="shared" si="233"/>
        <v>6000</v>
      </c>
      <c r="T1626" s="111">
        <f t="shared" si="234"/>
        <v>360000</v>
      </c>
      <c r="U1626" s="111">
        <f t="shared" si="235"/>
        <v>3600</v>
      </c>
      <c r="V1626" s="111">
        <f t="shared" si="236"/>
        <v>363600</v>
      </c>
      <c r="W1626" t="s">
        <v>4087</v>
      </c>
    </row>
    <row r="1627" spans="1:23" x14ac:dyDescent="0.3">
      <c r="A1627" s="110">
        <v>2205105</v>
      </c>
      <c r="B1627" s="110" t="s">
        <v>1769</v>
      </c>
      <c r="C1627" s="110" t="s">
        <v>1770</v>
      </c>
      <c r="D1627" s="110" t="s">
        <v>1773</v>
      </c>
      <c r="E1627" s="110" t="s">
        <v>1812</v>
      </c>
      <c r="F1627" s="110" t="s">
        <v>119</v>
      </c>
      <c r="G1627" s="110" t="s">
        <v>114</v>
      </c>
      <c r="H1627" s="111">
        <v>1327</v>
      </c>
      <c r="I1627" s="111">
        <v>1391</v>
      </c>
      <c r="J1627" s="111">
        <v>1398</v>
      </c>
      <c r="K1627" s="111">
        <f t="shared" si="228"/>
        <v>1372</v>
      </c>
      <c r="L1627" s="111">
        <f>600000*0.7</f>
        <v>420000</v>
      </c>
      <c r="M1627" s="111">
        <f t="shared" si="229"/>
        <v>189000</v>
      </c>
      <c r="N1627" s="111">
        <f t="shared" si="230"/>
        <v>189000</v>
      </c>
      <c r="O1627" s="111">
        <f t="shared" si="231"/>
        <v>37800</v>
      </c>
      <c r="P1627" s="111">
        <f t="shared" si="232"/>
        <v>42000</v>
      </c>
      <c r="Q1627" s="111">
        <v>80000</v>
      </c>
      <c r="R1627" s="111">
        <v>8</v>
      </c>
      <c r="S1627" s="111">
        <f t="shared" si="233"/>
        <v>8000</v>
      </c>
      <c r="T1627" s="111">
        <f t="shared" si="234"/>
        <v>500000</v>
      </c>
      <c r="U1627" s="111">
        <f t="shared" si="235"/>
        <v>5000</v>
      </c>
      <c r="V1627" s="111">
        <f t="shared" si="236"/>
        <v>505000</v>
      </c>
      <c r="W1627" t="s">
        <v>4088</v>
      </c>
    </row>
    <row r="1628" spans="1:23" x14ac:dyDescent="0.3">
      <c r="A1628" s="110">
        <v>2205119</v>
      </c>
      <c r="B1628" s="110" t="s">
        <v>1769</v>
      </c>
      <c r="C1628" s="110" t="s">
        <v>1770</v>
      </c>
      <c r="D1628" s="110" t="s">
        <v>1773</v>
      </c>
      <c r="E1628" s="110" t="s">
        <v>1813</v>
      </c>
      <c r="F1628" s="110" t="s">
        <v>119</v>
      </c>
      <c r="G1628" s="110" t="s">
        <v>114</v>
      </c>
      <c r="H1628" s="111">
        <v>1570</v>
      </c>
      <c r="I1628" s="111">
        <v>1543</v>
      </c>
      <c r="J1628" s="111">
        <v>1504</v>
      </c>
      <c r="K1628" s="111">
        <f t="shared" si="228"/>
        <v>1539</v>
      </c>
      <c r="L1628" s="111">
        <f>600000*0.7</f>
        <v>420000</v>
      </c>
      <c r="M1628" s="111">
        <f t="shared" si="229"/>
        <v>189000</v>
      </c>
      <c r="N1628" s="111">
        <f t="shared" si="230"/>
        <v>189000</v>
      </c>
      <c r="O1628" s="111">
        <f t="shared" si="231"/>
        <v>37800</v>
      </c>
      <c r="P1628" s="111">
        <f t="shared" si="232"/>
        <v>42000</v>
      </c>
      <c r="Q1628" s="111">
        <v>80000</v>
      </c>
      <c r="R1628" s="111">
        <v>8</v>
      </c>
      <c r="S1628" s="111">
        <f t="shared" si="233"/>
        <v>8000</v>
      </c>
      <c r="T1628" s="111">
        <f t="shared" si="234"/>
        <v>500000</v>
      </c>
      <c r="U1628" s="111">
        <f t="shared" si="235"/>
        <v>5000</v>
      </c>
      <c r="V1628" s="111">
        <f t="shared" si="236"/>
        <v>505000</v>
      </c>
      <c r="W1628" t="s">
        <v>4089</v>
      </c>
    </row>
    <row r="1629" spans="1:23" x14ac:dyDescent="0.3">
      <c r="A1629" s="110">
        <v>2205407</v>
      </c>
      <c r="B1629" s="110" t="s">
        <v>1769</v>
      </c>
      <c r="C1629" s="110" t="s">
        <v>1770</v>
      </c>
      <c r="D1629" s="110" t="s">
        <v>1773</v>
      </c>
      <c r="E1629" s="110" t="s">
        <v>1814</v>
      </c>
      <c r="F1629" s="110" t="s">
        <v>117</v>
      </c>
      <c r="G1629" s="110" t="s">
        <v>125</v>
      </c>
      <c r="H1629" s="111">
        <v>1135</v>
      </c>
      <c r="I1629" s="111">
        <v>1089</v>
      </c>
      <c r="J1629" s="111">
        <v>1012</v>
      </c>
      <c r="K1629" s="111">
        <f t="shared" si="228"/>
        <v>1078.6666666666667</v>
      </c>
      <c r="L1629" s="111">
        <f>600000*0.7</f>
        <v>420000</v>
      </c>
      <c r="M1629" s="111">
        <f t="shared" si="229"/>
        <v>189000</v>
      </c>
      <c r="N1629" s="111">
        <f t="shared" si="230"/>
        <v>189000</v>
      </c>
      <c r="O1629" s="111">
        <f t="shared" si="231"/>
        <v>37800</v>
      </c>
      <c r="P1629" s="111">
        <f t="shared" si="232"/>
        <v>42000</v>
      </c>
      <c r="Q1629" s="111">
        <v>80000</v>
      </c>
      <c r="R1629" s="111">
        <v>8</v>
      </c>
      <c r="S1629" s="111">
        <f t="shared" si="233"/>
        <v>8000</v>
      </c>
      <c r="T1629" s="111">
        <f t="shared" si="234"/>
        <v>500000</v>
      </c>
      <c r="U1629" s="111">
        <f t="shared" si="235"/>
        <v>5000</v>
      </c>
      <c r="V1629" s="111">
        <f t="shared" si="236"/>
        <v>505000</v>
      </c>
      <c r="W1629" t="s">
        <v>4090</v>
      </c>
    </row>
    <row r="1630" spans="1:23" x14ac:dyDescent="0.3">
      <c r="A1630" s="110">
        <v>2205408</v>
      </c>
      <c r="B1630" s="110" t="s">
        <v>1769</v>
      </c>
      <c r="C1630" s="110" t="s">
        <v>1770</v>
      </c>
      <c r="D1630" s="110" t="s">
        <v>1773</v>
      </c>
      <c r="E1630" s="110" t="s">
        <v>1815</v>
      </c>
      <c r="F1630" s="110" t="s">
        <v>117</v>
      </c>
      <c r="G1630" s="110" t="s">
        <v>125</v>
      </c>
      <c r="H1630" s="111">
        <v>388</v>
      </c>
      <c r="I1630" s="111">
        <v>504</v>
      </c>
      <c r="J1630" s="111">
        <v>668</v>
      </c>
      <c r="K1630" s="111">
        <f t="shared" si="228"/>
        <v>520</v>
      </c>
      <c r="L1630" s="111">
        <f>300000</f>
        <v>300000</v>
      </c>
      <c r="M1630" s="111">
        <f t="shared" si="229"/>
        <v>135000</v>
      </c>
      <c r="N1630" s="111">
        <f t="shared" si="230"/>
        <v>135000</v>
      </c>
      <c r="O1630" s="111">
        <f t="shared" si="231"/>
        <v>27000</v>
      </c>
      <c r="P1630" s="111">
        <f t="shared" si="232"/>
        <v>30000</v>
      </c>
      <c r="Q1630" s="111">
        <v>60000</v>
      </c>
      <c r="R1630" s="111">
        <v>6</v>
      </c>
      <c r="S1630" s="111">
        <f t="shared" si="233"/>
        <v>6000</v>
      </c>
      <c r="T1630" s="111">
        <f t="shared" si="234"/>
        <v>360000</v>
      </c>
      <c r="U1630" s="111">
        <f t="shared" si="235"/>
        <v>3600</v>
      </c>
      <c r="V1630" s="111">
        <f t="shared" si="236"/>
        <v>363600</v>
      </c>
      <c r="W1630" t="s">
        <v>4091</v>
      </c>
    </row>
    <row r="1631" spans="1:23" x14ac:dyDescent="0.3">
      <c r="A1631" s="110">
        <v>2206003</v>
      </c>
      <c r="B1631" s="110" t="s">
        <v>1769</v>
      </c>
      <c r="C1631" s="110" t="s">
        <v>1770</v>
      </c>
      <c r="D1631" s="110" t="s">
        <v>1773</v>
      </c>
      <c r="E1631" s="110" t="s">
        <v>1816</v>
      </c>
      <c r="F1631" s="110" t="s">
        <v>119</v>
      </c>
      <c r="G1631" s="110" t="s">
        <v>114</v>
      </c>
      <c r="H1631" s="111">
        <v>328</v>
      </c>
      <c r="I1631" s="111">
        <v>378</v>
      </c>
      <c r="J1631" s="111">
        <v>457</v>
      </c>
      <c r="K1631" s="111">
        <f t="shared" si="228"/>
        <v>387.66666666666669</v>
      </c>
      <c r="L1631" s="111">
        <v>200000</v>
      </c>
      <c r="M1631" s="111">
        <f t="shared" si="229"/>
        <v>90000</v>
      </c>
      <c r="N1631" s="111">
        <f t="shared" si="230"/>
        <v>90000</v>
      </c>
      <c r="O1631" s="111">
        <f t="shared" si="231"/>
        <v>18000</v>
      </c>
      <c r="P1631" s="111">
        <f t="shared" si="232"/>
        <v>20000</v>
      </c>
      <c r="Q1631" s="111">
        <v>50000</v>
      </c>
      <c r="R1631" s="111">
        <v>5</v>
      </c>
      <c r="S1631" s="111">
        <f t="shared" si="233"/>
        <v>5000</v>
      </c>
      <c r="T1631" s="111">
        <f t="shared" si="234"/>
        <v>250000</v>
      </c>
      <c r="U1631" s="111">
        <f t="shared" si="235"/>
        <v>2500</v>
      </c>
      <c r="V1631" s="111">
        <f t="shared" si="236"/>
        <v>252500</v>
      </c>
      <c r="W1631" t="s">
        <v>4092</v>
      </c>
    </row>
    <row r="1632" spans="1:23" x14ac:dyDescent="0.3">
      <c r="A1632" s="110">
        <v>2206043</v>
      </c>
      <c r="B1632" s="110" t="s">
        <v>1769</v>
      </c>
      <c r="C1632" s="110" t="s">
        <v>1770</v>
      </c>
      <c r="D1632" s="110" t="s">
        <v>1773</v>
      </c>
      <c r="E1632" s="110" t="s">
        <v>1817</v>
      </c>
      <c r="F1632" s="110" t="s">
        <v>113</v>
      </c>
      <c r="G1632" s="110" t="s">
        <v>114</v>
      </c>
      <c r="H1632" s="111">
        <v>706</v>
      </c>
      <c r="I1632" s="111">
        <v>716</v>
      </c>
      <c r="J1632" s="111">
        <v>735</v>
      </c>
      <c r="K1632" s="111">
        <f t="shared" si="228"/>
        <v>719</v>
      </c>
      <c r="L1632" s="111">
        <f>300000</f>
        <v>300000</v>
      </c>
      <c r="M1632" s="111">
        <f t="shared" si="229"/>
        <v>135000</v>
      </c>
      <c r="N1632" s="111">
        <f t="shared" si="230"/>
        <v>135000</v>
      </c>
      <c r="O1632" s="111">
        <f t="shared" si="231"/>
        <v>27000</v>
      </c>
      <c r="P1632" s="111">
        <f t="shared" si="232"/>
        <v>30000</v>
      </c>
      <c r="Q1632" s="111">
        <v>60000</v>
      </c>
      <c r="R1632" s="111">
        <v>6</v>
      </c>
      <c r="S1632" s="111">
        <f t="shared" si="233"/>
        <v>6000</v>
      </c>
      <c r="T1632" s="111">
        <f t="shared" si="234"/>
        <v>360000</v>
      </c>
      <c r="U1632" s="111">
        <f t="shared" si="235"/>
        <v>3600</v>
      </c>
      <c r="V1632" s="111">
        <f t="shared" si="236"/>
        <v>363600</v>
      </c>
      <c r="W1632" t="s">
        <v>4093</v>
      </c>
    </row>
    <row r="1633" spans="1:23" x14ac:dyDescent="0.3">
      <c r="A1633" s="110">
        <v>2206045</v>
      </c>
      <c r="B1633" s="110" t="s">
        <v>1769</v>
      </c>
      <c r="C1633" s="110" t="s">
        <v>1770</v>
      </c>
      <c r="D1633" s="110" t="s">
        <v>1773</v>
      </c>
      <c r="E1633" s="110" t="s">
        <v>1818</v>
      </c>
      <c r="F1633" s="110" t="s">
        <v>113</v>
      </c>
      <c r="G1633" s="110" t="s">
        <v>114</v>
      </c>
      <c r="H1633" s="111">
        <v>740</v>
      </c>
      <c r="I1633" s="111">
        <v>703</v>
      </c>
      <c r="J1633" s="111">
        <v>686</v>
      </c>
      <c r="K1633" s="111">
        <f t="shared" si="228"/>
        <v>709.66666666666663</v>
      </c>
      <c r="L1633" s="111">
        <f>300000</f>
        <v>300000</v>
      </c>
      <c r="M1633" s="111">
        <f t="shared" si="229"/>
        <v>135000</v>
      </c>
      <c r="N1633" s="111">
        <f t="shared" si="230"/>
        <v>135000</v>
      </c>
      <c r="O1633" s="111">
        <f t="shared" si="231"/>
        <v>27000</v>
      </c>
      <c r="P1633" s="111">
        <f t="shared" si="232"/>
        <v>30000</v>
      </c>
      <c r="Q1633" s="111">
        <v>60000</v>
      </c>
      <c r="R1633" s="111">
        <v>6</v>
      </c>
      <c r="S1633" s="111">
        <f t="shared" si="233"/>
        <v>6000</v>
      </c>
      <c r="T1633" s="111">
        <f t="shared" si="234"/>
        <v>360000</v>
      </c>
      <c r="U1633" s="111">
        <f t="shared" si="235"/>
        <v>3600</v>
      </c>
      <c r="V1633" s="111">
        <f t="shared" si="236"/>
        <v>363600</v>
      </c>
      <c r="W1633" t="s">
        <v>4094</v>
      </c>
    </row>
    <row r="1634" spans="1:23" x14ac:dyDescent="0.3">
      <c r="A1634" s="110">
        <v>2206113</v>
      </c>
      <c r="B1634" s="110" t="s">
        <v>1769</v>
      </c>
      <c r="C1634" s="110" t="s">
        <v>1770</v>
      </c>
      <c r="D1634" s="110" t="s">
        <v>1773</v>
      </c>
      <c r="E1634" s="110" t="s">
        <v>1819</v>
      </c>
      <c r="F1634" s="110" t="s">
        <v>119</v>
      </c>
      <c r="G1634" s="110" t="s">
        <v>114</v>
      </c>
      <c r="H1634" s="111">
        <v>278</v>
      </c>
      <c r="I1634" s="111">
        <v>277</v>
      </c>
      <c r="J1634" s="111">
        <v>305</v>
      </c>
      <c r="K1634" s="111">
        <f t="shared" si="228"/>
        <v>286.66666666666669</v>
      </c>
      <c r="L1634" s="111">
        <v>200000</v>
      </c>
      <c r="M1634" s="111">
        <f t="shared" si="229"/>
        <v>90000</v>
      </c>
      <c r="N1634" s="111">
        <f t="shared" si="230"/>
        <v>90000</v>
      </c>
      <c r="O1634" s="111">
        <f t="shared" si="231"/>
        <v>18000</v>
      </c>
      <c r="P1634" s="111">
        <f t="shared" si="232"/>
        <v>20000</v>
      </c>
      <c r="Q1634" s="111">
        <v>50000</v>
      </c>
      <c r="R1634" s="111">
        <v>5</v>
      </c>
      <c r="S1634" s="111">
        <f t="shared" si="233"/>
        <v>5000</v>
      </c>
      <c r="T1634" s="111">
        <f t="shared" si="234"/>
        <v>250000</v>
      </c>
      <c r="U1634" s="111">
        <f t="shared" si="235"/>
        <v>2500</v>
      </c>
      <c r="V1634" s="111">
        <f t="shared" si="236"/>
        <v>252500</v>
      </c>
      <c r="W1634" t="s">
        <v>4095</v>
      </c>
    </row>
    <row r="1635" spans="1:23" x14ac:dyDescent="0.3">
      <c r="A1635" s="110">
        <v>2206302</v>
      </c>
      <c r="B1635" s="110" t="s">
        <v>1769</v>
      </c>
      <c r="C1635" s="110" t="s">
        <v>1770</v>
      </c>
      <c r="D1635" s="110" t="s">
        <v>1773</v>
      </c>
      <c r="E1635" s="110" t="s">
        <v>1820</v>
      </c>
      <c r="F1635" s="110" t="s">
        <v>122</v>
      </c>
      <c r="G1635" s="110" t="s">
        <v>114</v>
      </c>
      <c r="H1635" s="111">
        <v>995</v>
      </c>
      <c r="I1635" s="111">
        <v>980</v>
      </c>
      <c r="J1635" s="111">
        <v>964</v>
      </c>
      <c r="K1635" s="111">
        <f t="shared" si="228"/>
        <v>979.66666666666663</v>
      </c>
      <c r="L1635" s="111">
        <f>300000</f>
        <v>300000</v>
      </c>
      <c r="M1635" s="111">
        <f t="shared" si="229"/>
        <v>135000</v>
      </c>
      <c r="N1635" s="111">
        <f t="shared" si="230"/>
        <v>135000</v>
      </c>
      <c r="O1635" s="111">
        <f t="shared" si="231"/>
        <v>27000</v>
      </c>
      <c r="P1635" s="111">
        <f t="shared" si="232"/>
        <v>30000</v>
      </c>
      <c r="Q1635" s="111">
        <v>60000</v>
      </c>
      <c r="R1635" s="111">
        <v>6</v>
      </c>
      <c r="S1635" s="111">
        <f t="shared" si="233"/>
        <v>6000</v>
      </c>
      <c r="T1635" s="111">
        <f t="shared" si="234"/>
        <v>360000</v>
      </c>
      <c r="U1635" s="111">
        <f t="shared" si="235"/>
        <v>3600</v>
      </c>
      <c r="V1635" s="111">
        <f t="shared" si="236"/>
        <v>363600</v>
      </c>
      <c r="W1635" t="s">
        <v>4096</v>
      </c>
    </row>
    <row r="1636" spans="1:23" x14ac:dyDescent="0.3">
      <c r="A1636" s="110">
        <v>2206409</v>
      </c>
      <c r="B1636" s="110" t="s">
        <v>1769</v>
      </c>
      <c r="C1636" s="110" t="s">
        <v>1770</v>
      </c>
      <c r="D1636" s="110" t="s">
        <v>1773</v>
      </c>
      <c r="E1636" s="110" t="s">
        <v>1821</v>
      </c>
      <c r="F1636" s="110" t="s">
        <v>117</v>
      </c>
      <c r="G1636" s="110" t="s">
        <v>125</v>
      </c>
      <c r="H1636" s="111">
        <v>1013</v>
      </c>
      <c r="I1636" s="111">
        <v>1166</v>
      </c>
      <c r="J1636" s="111">
        <v>1254</v>
      </c>
      <c r="K1636" s="111">
        <f t="shared" si="228"/>
        <v>1144.3333333333333</v>
      </c>
      <c r="L1636" s="111">
        <f>600000*0.7</f>
        <v>420000</v>
      </c>
      <c r="M1636" s="111">
        <f t="shared" si="229"/>
        <v>189000</v>
      </c>
      <c r="N1636" s="111">
        <f t="shared" si="230"/>
        <v>189000</v>
      </c>
      <c r="O1636" s="111">
        <f t="shared" si="231"/>
        <v>37800</v>
      </c>
      <c r="P1636" s="111">
        <f t="shared" si="232"/>
        <v>42000</v>
      </c>
      <c r="Q1636" s="111">
        <v>80000</v>
      </c>
      <c r="R1636" s="111">
        <v>8</v>
      </c>
      <c r="S1636" s="111">
        <f t="shared" si="233"/>
        <v>8000</v>
      </c>
      <c r="T1636" s="111">
        <f t="shared" si="234"/>
        <v>500000</v>
      </c>
      <c r="U1636" s="111">
        <f t="shared" si="235"/>
        <v>5000</v>
      </c>
      <c r="V1636" s="111">
        <f t="shared" si="236"/>
        <v>505000</v>
      </c>
      <c r="W1636" t="s">
        <v>4097</v>
      </c>
    </row>
    <row r="1637" spans="1:23" x14ac:dyDescent="0.3">
      <c r="A1637" s="110">
        <v>2206410</v>
      </c>
      <c r="B1637" s="110" t="s">
        <v>1769</v>
      </c>
      <c r="C1637" s="110" t="s">
        <v>1770</v>
      </c>
      <c r="D1637" s="110" t="s">
        <v>1773</v>
      </c>
      <c r="E1637" s="110" t="s">
        <v>1822</v>
      </c>
      <c r="F1637" s="110" t="s">
        <v>117</v>
      </c>
      <c r="G1637" s="110" t="s">
        <v>125</v>
      </c>
      <c r="H1637" s="111">
        <v>724</v>
      </c>
      <c r="I1637" s="111">
        <v>754</v>
      </c>
      <c r="J1637" s="111">
        <v>797</v>
      </c>
      <c r="K1637" s="111">
        <f t="shared" si="228"/>
        <v>758.33333333333337</v>
      </c>
      <c r="L1637" s="111">
        <f>300000</f>
        <v>300000</v>
      </c>
      <c r="M1637" s="111">
        <f t="shared" si="229"/>
        <v>135000</v>
      </c>
      <c r="N1637" s="111">
        <f t="shared" si="230"/>
        <v>135000</v>
      </c>
      <c r="O1637" s="111">
        <f t="shared" si="231"/>
        <v>27000</v>
      </c>
      <c r="P1637" s="111">
        <f t="shared" si="232"/>
        <v>30000</v>
      </c>
      <c r="Q1637" s="111">
        <v>60000</v>
      </c>
      <c r="R1637" s="111">
        <v>6</v>
      </c>
      <c r="S1637" s="111">
        <f t="shared" si="233"/>
        <v>6000</v>
      </c>
      <c r="T1637" s="111">
        <f t="shared" si="234"/>
        <v>360000</v>
      </c>
      <c r="U1637" s="111">
        <f t="shared" si="235"/>
        <v>3600</v>
      </c>
      <c r="V1637" s="111">
        <f t="shared" si="236"/>
        <v>363600</v>
      </c>
      <c r="W1637" t="s">
        <v>4098</v>
      </c>
    </row>
    <row r="1638" spans="1:23" x14ac:dyDescent="0.3">
      <c r="A1638" s="110">
        <v>2206411</v>
      </c>
      <c r="B1638" s="110" t="s">
        <v>1769</v>
      </c>
      <c r="C1638" s="110" t="s">
        <v>1770</v>
      </c>
      <c r="D1638" s="110" t="s">
        <v>1773</v>
      </c>
      <c r="E1638" s="110" t="s">
        <v>1823</v>
      </c>
      <c r="F1638" s="110" t="s">
        <v>117</v>
      </c>
      <c r="G1638" s="110" t="s">
        <v>114</v>
      </c>
      <c r="H1638" s="111">
        <v>284</v>
      </c>
      <c r="I1638" s="111">
        <v>281</v>
      </c>
      <c r="J1638" s="111">
        <v>296</v>
      </c>
      <c r="K1638" s="111">
        <f t="shared" si="228"/>
        <v>287</v>
      </c>
      <c r="L1638" s="111">
        <f>200000*0.7</f>
        <v>140000</v>
      </c>
      <c r="M1638" s="111">
        <f t="shared" si="229"/>
        <v>63000</v>
      </c>
      <c r="N1638" s="111">
        <f t="shared" si="230"/>
        <v>63000</v>
      </c>
      <c r="O1638" s="111">
        <f t="shared" si="231"/>
        <v>12600</v>
      </c>
      <c r="P1638" s="111">
        <f t="shared" si="232"/>
        <v>14000</v>
      </c>
      <c r="Q1638" s="111">
        <v>50000</v>
      </c>
      <c r="R1638" s="111">
        <v>5</v>
      </c>
      <c r="S1638" s="111">
        <f t="shared" si="233"/>
        <v>5000</v>
      </c>
      <c r="T1638" s="111">
        <f t="shared" si="234"/>
        <v>190000</v>
      </c>
      <c r="U1638" s="111">
        <f t="shared" si="235"/>
        <v>1900</v>
      </c>
      <c r="V1638" s="111">
        <f t="shared" si="236"/>
        <v>191900</v>
      </c>
      <c r="W1638" t="s">
        <v>4099</v>
      </c>
    </row>
    <row r="1639" spans="1:23" x14ac:dyDescent="0.3">
      <c r="A1639" s="110">
        <v>2206613</v>
      </c>
      <c r="B1639" s="110" t="s">
        <v>1769</v>
      </c>
      <c r="C1639" s="110" t="s">
        <v>1770</v>
      </c>
      <c r="D1639" s="110" t="s">
        <v>1773</v>
      </c>
      <c r="E1639" s="110" t="s">
        <v>1824</v>
      </c>
      <c r="F1639" s="110" t="s">
        <v>135</v>
      </c>
      <c r="G1639" s="110" t="s">
        <v>125</v>
      </c>
      <c r="H1639" s="111">
        <v>124</v>
      </c>
      <c r="I1639" s="111">
        <v>112</v>
      </c>
      <c r="J1639" s="111">
        <v>106</v>
      </c>
      <c r="K1639" s="111">
        <f t="shared" si="228"/>
        <v>114</v>
      </c>
      <c r="L1639" s="111">
        <v>150000</v>
      </c>
      <c r="M1639" s="111">
        <f t="shared" si="229"/>
        <v>67500</v>
      </c>
      <c r="N1639" s="111">
        <f t="shared" si="230"/>
        <v>67500</v>
      </c>
      <c r="O1639" s="111">
        <f t="shared" si="231"/>
        <v>13500</v>
      </c>
      <c r="P1639" s="111">
        <f t="shared" si="232"/>
        <v>15000</v>
      </c>
      <c r="Q1639" s="111">
        <v>30000</v>
      </c>
      <c r="R1639" s="111">
        <v>3</v>
      </c>
      <c r="S1639" s="111">
        <f t="shared" si="233"/>
        <v>3000</v>
      </c>
      <c r="T1639" s="111">
        <f t="shared" si="234"/>
        <v>180000</v>
      </c>
      <c r="U1639" s="111">
        <f t="shared" si="235"/>
        <v>1800</v>
      </c>
      <c r="V1639" s="111">
        <f t="shared" si="236"/>
        <v>181800</v>
      </c>
      <c r="W1639" t="s">
        <v>4100</v>
      </c>
    </row>
    <row r="1640" spans="1:23" x14ac:dyDescent="0.3">
      <c r="A1640" s="110">
        <v>2207004</v>
      </c>
      <c r="B1640" s="110" t="s">
        <v>1769</v>
      </c>
      <c r="C1640" s="110" t="s">
        <v>1770</v>
      </c>
      <c r="D1640" s="110" t="s">
        <v>1773</v>
      </c>
      <c r="E1640" s="110" t="s">
        <v>1825</v>
      </c>
      <c r="F1640" s="110" t="s">
        <v>113</v>
      </c>
      <c r="G1640" s="110" t="s">
        <v>114</v>
      </c>
      <c r="H1640" s="111">
        <v>826</v>
      </c>
      <c r="I1640" s="111">
        <v>845</v>
      </c>
      <c r="J1640" s="111">
        <v>835</v>
      </c>
      <c r="K1640" s="111">
        <f t="shared" si="228"/>
        <v>835.33333333333337</v>
      </c>
      <c r="L1640" s="111">
        <f>300000</f>
        <v>300000</v>
      </c>
      <c r="M1640" s="111">
        <f t="shared" si="229"/>
        <v>135000</v>
      </c>
      <c r="N1640" s="111">
        <f t="shared" si="230"/>
        <v>135000</v>
      </c>
      <c r="O1640" s="111">
        <f t="shared" si="231"/>
        <v>27000</v>
      </c>
      <c r="P1640" s="111">
        <f t="shared" si="232"/>
        <v>30000</v>
      </c>
      <c r="Q1640" s="111">
        <v>60000</v>
      </c>
      <c r="R1640" s="111">
        <v>6</v>
      </c>
      <c r="S1640" s="111">
        <f t="shared" si="233"/>
        <v>6000</v>
      </c>
      <c r="T1640" s="111">
        <f t="shared" si="234"/>
        <v>360000</v>
      </c>
      <c r="U1640" s="111">
        <f t="shared" si="235"/>
        <v>3600</v>
      </c>
      <c r="V1640" s="111">
        <f t="shared" si="236"/>
        <v>363600</v>
      </c>
      <c r="W1640" t="s">
        <v>4101</v>
      </c>
    </row>
    <row r="1641" spans="1:23" x14ac:dyDescent="0.3">
      <c r="A1641" s="110">
        <v>2207065</v>
      </c>
      <c r="B1641" s="110" t="s">
        <v>1769</v>
      </c>
      <c r="C1641" s="110" t="s">
        <v>1770</v>
      </c>
      <c r="D1641" s="110" t="s">
        <v>1826</v>
      </c>
      <c r="E1641" s="110" t="s">
        <v>1827</v>
      </c>
      <c r="F1641" s="110" t="s">
        <v>113</v>
      </c>
      <c r="G1641" s="110" t="s">
        <v>114</v>
      </c>
      <c r="H1641" s="111">
        <v>74</v>
      </c>
      <c r="I1641" s="111">
        <v>80</v>
      </c>
      <c r="J1641" s="111">
        <v>91</v>
      </c>
      <c r="K1641" s="111">
        <f t="shared" si="228"/>
        <v>81.666666666666671</v>
      </c>
      <c r="L1641" s="111">
        <f>150000*0.7</f>
        <v>105000</v>
      </c>
      <c r="M1641" s="111">
        <f t="shared" si="229"/>
        <v>47250</v>
      </c>
      <c r="N1641" s="111">
        <f t="shared" si="230"/>
        <v>47250</v>
      </c>
      <c r="O1641" s="111">
        <f t="shared" si="231"/>
        <v>9450</v>
      </c>
      <c r="P1641" s="111">
        <f t="shared" si="232"/>
        <v>10500</v>
      </c>
      <c r="Q1641" s="111">
        <v>30000</v>
      </c>
      <c r="R1641" s="111">
        <v>3</v>
      </c>
      <c r="S1641" s="111">
        <f t="shared" si="233"/>
        <v>3000</v>
      </c>
      <c r="T1641" s="111">
        <f t="shared" si="234"/>
        <v>135000</v>
      </c>
      <c r="U1641" s="111">
        <f t="shared" si="235"/>
        <v>1350</v>
      </c>
      <c r="V1641" s="111">
        <f t="shared" si="236"/>
        <v>136350</v>
      </c>
      <c r="W1641" t="s">
        <v>4102</v>
      </c>
    </row>
    <row r="1642" spans="1:23" x14ac:dyDescent="0.3">
      <c r="A1642" s="110">
        <v>2207068</v>
      </c>
      <c r="B1642" s="110" t="s">
        <v>1769</v>
      </c>
      <c r="C1642" s="110" t="s">
        <v>1770</v>
      </c>
      <c r="D1642" s="110" t="s">
        <v>1773</v>
      </c>
      <c r="E1642" s="110" t="s">
        <v>1828</v>
      </c>
      <c r="F1642" s="110" t="s">
        <v>119</v>
      </c>
      <c r="G1642" s="110" t="s">
        <v>114</v>
      </c>
      <c r="H1642" s="111">
        <v>596</v>
      </c>
      <c r="I1642" s="111">
        <v>613</v>
      </c>
      <c r="J1642" s="111">
        <v>646</v>
      </c>
      <c r="K1642" s="111">
        <f t="shared" si="228"/>
        <v>618.33333333333337</v>
      </c>
      <c r="L1642" s="111">
        <f>300000*0.7</f>
        <v>210000</v>
      </c>
      <c r="M1642" s="111">
        <f t="shared" si="229"/>
        <v>94500</v>
      </c>
      <c r="N1642" s="111">
        <f t="shared" si="230"/>
        <v>94500</v>
      </c>
      <c r="O1642" s="111">
        <f t="shared" si="231"/>
        <v>18900</v>
      </c>
      <c r="P1642" s="111">
        <f t="shared" si="232"/>
        <v>21000</v>
      </c>
      <c r="Q1642" s="111">
        <v>60000</v>
      </c>
      <c r="R1642" s="111">
        <v>6</v>
      </c>
      <c r="S1642" s="111">
        <f t="shared" si="233"/>
        <v>6000</v>
      </c>
      <c r="T1642" s="111">
        <f t="shared" si="234"/>
        <v>270000</v>
      </c>
      <c r="U1642" s="111">
        <f t="shared" si="235"/>
        <v>2700</v>
      </c>
      <c r="V1642" s="111">
        <f t="shared" si="236"/>
        <v>272700</v>
      </c>
      <c r="W1642" t="s">
        <v>4103</v>
      </c>
    </row>
    <row r="1643" spans="1:23" x14ac:dyDescent="0.3">
      <c r="A1643" s="110">
        <v>2207069</v>
      </c>
      <c r="B1643" s="110" t="s">
        <v>1769</v>
      </c>
      <c r="C1643" s="110" t="s">
        <v>1770</v>
      </c>
      <c r="D1643" s="110" t="s">
        <v>1773</v>
      </c>
      <c r="E1643" s="110" t="s">
        <v>1829</v>
      </c>
      <c r="F1643" s="110" t="s">
        <v>119</v>
      </c>
      <c r="G1643" s="110" t="s">
        <v>114</v>
      </c>
      <c r="H1643" s="111">
        <v>275</v>
      </c>
      <c r="I1643" s="111">
        <v>272</v>
      </c>
      <c r="J1643" s="111">
        <v>295</v>
      </c>
      <c r="K1643" s="111">
        <f t="shared" si="228"/>
        <v>280.66666666666669</v>
      </c>
      <c r="L1643" s="111">
        <f>200000*0.7</f>
        <v>140000</v>
      </c>
      <c r="M1643" s="111">
        <f t="shared" si="229"/>
        <v>63000</v>
      </c>
      <c r="N1643" s="111">
        <f t="shared" si="230"/>
        <v>63000</v>
      </c>
      <c r="O1643" s="111">
        <f t="shared" si="231"/>
        <v>12600</v>
      </c>
      <c r="P1643" s="111">
        <f t="shared" si="232"/>
        <v>14000</v>
      </c>
      <c r="Q1643" s="111">
        <v>50000</v>
      </c>
      <c r="R1643" s="111">
        <v>5</v>
      </c>
      <c r="S1643" s="111">
        <f t="shared" si="233"/>
        <v>5000</v>
      </c>
      <c r="T1643" s="111">
        <f t="shared" si="234"/>
        <v>190000</v>
      </c>
      <c r="U1643" s="111">
        <f t="shared" si="235"/>
        <v>1900</v>
      </c>
      <c r="V1643" s="111">
        <f t="shared" si="236"/>
        <v>191900</v>
      </c>
      <c r="W1643" t="s">
        <v>4104</v>
      </c>
    </row>
    <row r="1644" spans="1:23" x14ac:dyDescent="0.3">
      <c r="A1644" s="110">
        <v>2207089</v>
      </c>
      <c r="B1644" s="110" t="s">
        <v>1769</v>
      </c>
      <c r="C1644" s="110" t="s">
        <v>1770</v>
      </c>
      <c r="D1644" s="110" t="s">
        <v>1773</v>
      </c>
      <c r="E1644" s="110" t="s">
        <v>1830</v>
      </c>
      <c r="F1644" s="110" t="s">
        <v>113</v>
      </c>
      <c r="G1644" s="110" t="s">
        <v>114</v>
      </c>
      <c r="H1644" s="111">
        <v>182</v>
      </c>
      <c r="I1644" s="111">
        <v>176</v>
      </c>
      <c r="J1644" s="111">
        <v>170</v>
      </c>
      <c r="K1644" s="111">
        <f t="shared" si="228"/>
        <v>176</v>
      </c>
      <c r="L1644" s="111">
        <v>150000</v>
      </c>
      <c r="M1644" s="111">
        <f t="shared" si="229"/>
        <v>67500</v>
      </c>
      <c r="N1644" s="111">
        <f t="shared" si="230"/>
        <v>67500</v>
      </c>
      <c r="O1644" s="111">
        <f t="shared" si="231"/>
        <v>13500</v>
      </c>
      <c r="P1644" s="111">
        <f t="shared" si="232"/>
        <v>15000</v>
      </c>
      <c r="Q1644" s="111">
        <v>30000</v>
      </c>
      <c r="R1644" s="111">
        <v>3</v>
      </c>
      <c r="S1644" s="111">
        <f t="shared" si="233"/>
        <v>3000</v>
      </c>
      <c r="T1644" s="111">
        <f t="shared" si="234"/>
        <v>180000</v>
      </c>
      <c r="U1644" s="111">
        <f t="shared" si="235"/>
        <v>1800</v>
      </c>
      <c r="V1644" s="111">
        <f t="shared" si="236"/>
        <v>181800</v>
      </c>
      <c r="W1644" t="s">
        <v>4105</v>
      </c>
    </row>
    <row r="1645" spans="1:23" x14ac:dyDescent="0.3">
      <c r="A1645" s="110">
        <v>2207108</v>
      </c>
      <c r="B1645" s="110" t="s">
        <v>1769</v>
      </c>
      <c r="C1645" s="110" t="s">
        <v>1770</v>
      </c>
      <c r="D1645" s="110" t="s">
        <v>1773</v>
      </c>
      <c r="E1645" s="110" t="s">
        <v>1831</v>
      </c>
      <c r="F1645" s="110" t="s">
        <v>119</v>
      </c>
      <c r="G1645" s="110" t="s">
        <v>114</v>
      </c>
      <c r="H1645" s="111">
        <v>728</v>
      </c>
      <c r="I1645" s="111">
        <v>772</v>
      </c>
      <c r="J1645" s="111">
        <v>821</v>
      </c>
      <c r="K1645" s="111">
        <f t="shared" si="228"/>
        <v>773.66666666666663</v>
      </c>
      <c r="L1645" s="111">
        <f>300000</f>
        <v>300000</v>
      </c>
      <c r="M1645" s="111">
        <f t="shared" si="229"/>
        <v>135000</v>
      </c>
      <c r="N1645" s="111">
        <f t="shared" si="230"/>
        <v>135000</v>
      </c>
      <c r="O1645" s="111">
        <f t="shared" si="231"/>
        <v>27000</v>
      </c>
      <c r="P1645" s="111">
        <f t="shared" si="232"/>
        <v>30000</v>
      </c>
      <c r="Q1645" s="111">
        <v>60000</v>
      </c>
      <c r="R1645" s="111">
        <v>6</v>
      </c>
      <c r="S1645" s="111">
        <f t="shared" si="233"/>
        <v>6000</v>
      </c>
      <c r="T1645" s="111">
        <f t="shared" si="234"/>
        <v>360000</v>
      </c>
      <c r="U1645" s="111">
        <f t="shared" si="235"/>
        <v>3600</v>
      </c>
      <c r="V1645" s="111">
        <f t="shared" si="236"/>
        <v>363600</v>
      </c>
      <c r="W1645" t="s">
        <v>4106</v>
      </c>
    </row>
    <row r="1646" spans="1:23" x14ac:dyDescent="0.3">
      <c r="A1646" s="110">
        <v>2207150</v>
      </c>
      <c r="B1646" s="110" t="s">
        <v>1769</v>
      </c>
      <c r="C1646" s="110" t="s">
        <v>1770</v>
      </c>
      <c r="D1646" s="110" t="s">
        <v>1773</v>
      </c>
      <c r="E1646" s="110" t="s">
        <v>1832</v>
      </c>
      <c r="F1646" s="110" t="s">
        <v>113</v>
      </c>
      <c r="G1646" s="110" t="s">
        <v>114</v>
      </c>
      <c r="H1646" s="111">
        <v>364</v>
      </c>
      <c r="I1646" s="111">
        <v>360</v>
      </c>
      <c r="J1646" s="111">
        <v>375</v>
      </c>
      <c r="K1646" s="111">
        <f t="shared" si="228"/>
        <v>366.33333333333331</v>
      </c>
      <c r="L1646" s="111">
        <v>200000</v>
      </c>
      <c r="M1646" s="111">
        <f t="shared" si="229"/>
        <v>90000</v>
      </c>
      <c r="N1646" s="111">
        <f t="shared" si="230"/>
        <v>90000</v>
      </c>
      <c r="O1646" s="111">
        <f t="shared" si="231"/>
        <v>18000</v>
      </c>
      <c r="P1646" s="111">
        <f t="shared" si="232"/>
        <v>20000</v>
      </c>
      <c r="Q1646" s="111">
        <v>50000</v>
      </c>
      <c r="R1646" s="111">
        <v>5</v>
      </c>
      <c r="S1646" s="111">
        <f t="shared" si="233"/>
        <v>5000</v>
      </c>
      <c r="T1646" s="111">
        <f t="shared" si="234"/>
        <v>250000</v>
      </c>
      <c r="U1646" s="111">
        <f t="shared" si="235"/>
        <v>2500</v>
      </c>
      <c r="V1646" s="111">
        <f t="shared" si="236"/>
        <v>252500</v>
      </c>
      <c r="W1646" t="s">
        <v>4107</v>
      </c>
    </row>
    <row r="1647" spans="1:23" x14ac:dyDescent="0.3">
      <c r="A1647" s="110">
        <v>2207163</v>
      </c>
      <c r="B1647" s="110" t="s">
        <v>1769</v>
      </c>
      <c r="C1647" s="110" t="s">
        <v>1770</v>
      </c>
      <c r="D1647" s="110" t="s">
        <v>1773</v>
      </c>
      <c r="E1647" s="110" t="s">
        <v>1833</v>
      </c>
      <c r="F1647" s="110" t="s">
        <v>113</v>
      </c>
      <c r="G1647" s="110" t="s">
        <v>114</v>
      </c>
      <c r="H1647" s="111">
        <v>512</v>
      </c>
      <c r="I1647" s="111">
        <v>527</v>
      </c>
      <c r="J1647" s="111">
        <v>547</v>
      </c>
      <c r="K1647" s="111">
        <f t="shared" si="228"/>
        <v>528.66666666666663</v>
      </c>
      <c r="L1647" s="111">
        <f>300000</f>
        <v>300000</v>
      </c>
      <c r="M1647" s="111">
        <f t="shared" si="229"/>
        <v>135000</v>
      </c>
      <c r="N1647" s="111">
        <f t="shared" si="230"/>
        <v>135000</v>
      </c>
      <c r="O1647" s="111">
        <f t="shared" si="231"/>
        <v>27000</v>
      </c>
      <c r="P1647" s="111">
        <f t="shared" si="232"/>
        <v>30000</v>
      </c>
      <c r="Q1647" s="111">
        <v>60000</v>
      </c>
      <c r="R1647" s="111">
        <v>6</v>
      </c>
      <c r="S1647" s="111">
        <f t="shared" si="233"/>
        <v>6000</v>
      </c>
      <c r="T1647" s="111">
        <f t="shared" si="234"/>
        <v>360000</v>
      </c>
      <c r="U1647" s="111">
        <f t="shared" si="235"/>
        <v>3600</v>
      </c>
      <c r="V1647" s="111">
        <f t="shared" si="236"/>
        <v>363600</v>
      </c>
      <c r="W1647" t="s">
        <v>4108</v>
      </c>
    </row>
    <row r="1648" spans="1:23" x14ac:dyDescent="0.3">
      <c r="A1648" s="110">
        <v>2207412</v>
      </c>
      <c r="B1648" s="110" t="s">
        <v>1769</v>
      </c>
      <c r="C1648" s="110" t="s">
        <v>1770</v>
      </c>
      <c r="D1648" s="110" t="s">
        <v>1773</v>
      </c>
      <c r="E1648" s="110" t="s">
        <v>1089</v>
      </c>
      <c r="F1648" s="110" t="s">
        <v>117</v>
      </c>
      <c r="G1648" s="110" t="s">
        <v>125</v>
      </c>
      <c r="H1648" s="111">
        <v>390</v>
      </c>
      <c r="I1648" s="111">
        <v>454</v>
      </c>
      <c r="J1648" s="111">
        <v>464</v>
      </c>
      <c r="K1648" s="111">
        <f t="shared" si="228"/>
        <v>436</v>
      </c>
      <c r="L1648" s="111">
        <f>300000</f>
        <v>300000</v>
      </c>
      <c r="M1648" s="111">
        <f t="shared" si="229"/>
        <v>135000</v>
      </c>
      <c r="N1648" s="111">
        <f t="shared" si="230"/>
        <v>135000</v>
      </c>
      <c r="O1648" s="111">
        <f t="shared" si="231"/>
        <v>27000</v>
      </c>
      <c r="P1648" s="111">
        <f t="shared" si="232"/>
        <v>30000</v>
      </c>
      <c r="Q1648" s="111">
        <v>60000</v>
      </c>
      <c r="R1648" s="111">
        <v>6</v>
      </c>
      <c r="S1648" s="111">
        <f t="shared" si="233"/>
        <v>6000</v>
      </c>
      <c r="T1648" s="111">
        <f t="shared" si="234"/>
        <v>360000</v>
      </c>
      <c r="U1648" s="111">
        <f t="shared" si="235"/>
        <v>3600</v>
      </c>
      <c r="V1648" s="111">
        <f t="shared" si="236"/>
        <v>363600</v>
      </c>
      <c r="W1648" t="s">
        <v>4109</v>
      </c>
    </row>
    <row r="1649" spans="1:23" x14ac:dyDescent="0.3">
      <c r="A1649" s="110">
        <v>2208017</v>
      </c>
      <c r="B1649" s="110" t="s">
        <v>1769</v>
      </c>
      <c r="C1649" s="110" t="s">
        <v>1770</v>
      </c>
      <c r="D1649" s="110" t="s">
        <v>1773</v>
      </c>
      <c r="E1649" s="110" t="s">
        <v>1834</v>
      </c>
      <c r="F1649" s="110" t="s">
        <v>119</v>
      </c>
      <c r="G1649" s="110" t="s">
        <v>114</v>
      </c>
      <c r="H1649" s="111">
        <v>707</v>
      </c>
      <c r="I1649" s="111">
        <v>652</v>
      </c>
      <c r="J1649" s="111">
        <v>649</v>
      </c>
      <c r="K1649" s="111">
        <f t="shared" si="228"/>
        <v>669.33333333333337</v>
      </c>
      <c r="L1649" s="111">
        <f>300000</f>
        <v>300000</v>
      </c>
      <c r="M1649" s="111">
        <f t="shared" si="229"/>
        <v>135000</v>
      </c>
      <c r="N1649" s="111">
        <f t="shared" si="230"/>
        <v>135000</v>
      </c>
      <c r="O1649" s="111">
        <f t="shared" si="231"/>
        <v>27000</v>
      </c>
      <c r="P1649" s="111">
        <f t="shared" si="232"/>
        <v>30000</v>
      </c>
      <c r="Q1649" s="111">
        <v>60000</v>
      </c>
      <c r="R1649" s="111">
        <v>6</v>
      </c>
      <c r="S1649" s="111">
        <f t="shared" si="233"/>
        <v>6000</v>
      </c>
      <c r="T1649" s="111">
        <f t="shared" si="234"/>
        <v>360000</v>
      </c>
      <c r="U1649" s="111">
        <f t="shared" si="235"/>
        <v>3600</v>
      </c>
      <c r="V1649" s="111">
        <f t="shared" si="236"/>
        <v>363600</v>
      </c>
      <c r="W1649" t="s">
        <v>4110</v>
      </c>
    </row>
    <row r="1650" spans="1:23" x14ac:dyDescent="0.3">
      <c r="A1650" s="110">
        <v>2208028</v>
      </c>
      <c r="B1650" s="110" t="s">
        <v>1769</v>
      </c>
      <c r="C1650" s="110" t="s">
        <v>1770</v>
      </c>
      <c r="D1650" s="110" t="s">
        <v>1773</v>
      </c>
      <c r="E1650" s="110" t="s">
        <v>1835</v>
      </c>
      <c r="F1650" s="110" t="s">
        <v>119</v>
      </c>
      <c r="G1650" s="110" t="s">
        <v>114</v>
      </c>
      <c r="H1650" s="111">
        <v>440</v>
      </c>
      <c r="I1650" s="111">
        <v>422</v>
      </c>
      <c r="J1650" s="111">
        <v>452</v>
      </c>
      <c r="K1650" s="111">
        <f t="shared" si="228"/>
        <v>438</v>
      </c>
      <c r="L1650" s="111">
        <f>300000</f>
        <v>300000</v>
      </c>
      <c r="M1650" s="111">
        <f t="shared" si="229"/>
        <v>135000</v>
      </c>
      <c r="N1650" s="111">
        <f t="shared" si="230"/>
        <v>135000</v>
      </c>
      <c r="O1650" s="111">
        <f t="shared" si="231"/>
        <v>27000</v>
      </c>
      <c r="P1650" s="111">
        <f t="shared" si="232"/>
        <v>30000</v>
      </c>
      <c r="Q1650" s="111">
        <v>60000</v>
      </c>
      <c r="R1650" s="111">
        <v>6</v>
      </c>
      <c r="S1650" s="111">
        <f t="shared" si="233"/>
        <v>6000</v>
      </c>
      <c r="T1650" s="111">
        <f t="shared" si="234"/>
        <v>360000</v>
      </c>
      <c r="U1650" s="111">
        <f t="shared" si="235"/>
        <v>3600</v>
      </c>
      <c r="V1650" s="111">
        <f t="shared" si="236"/>
        <v>363600</v>
      </c>
      <c r="W1650" t="s">
        <v>4111</v>
      </c>
    </row>
    <row r="1651" spans="1:23" x14ac:dyDescent="0.3">
      <c r="A1651" s="110">
        <v>2208057</v>
      </c>
      <c r="B1651" s="110" t="s">
        <v>1769</v>
      </c>
      <c r="C1651" s="110" t="s">
        <v>1770</v>
      </c>
      <c r="D1651" s="110" t="s">
        <v>1773</v>
      </c>
      <c r="E1651" s="110" t="s">
        <v>1836</v>
      </c>
      <c r="F1651" s="110" t="s">
        <v>296</v>
      </c>
      <c r="G1651" s="110" t="s">
        <v>114</v>
      </c>
      <c r="H1651" s="111">
        <v>430</v>
      </c>
      <c r="I1651" s="111">
        <v>439</v>
      </c>
      <c r="J1651" s="111">
        <v>472</v>
      </c>
      <c r="K1651" s="111">
        <f t="shared" si="228"/>
        <v>447</v>
      </c>
      <c r="L1651" s="111">
        <f>300000*0.7</f>
        <v>210000</v>
      </c>
      <c r="M1651" s="111">
        <f t="shared" si="229"/>
        <v>94500</v>
      </c>
      <c r="N1651" s="111">
        <f t="shared" si="230"/>
        <v>94500</v>
      </c>
      <c r="O1651" s="111">
        <f t="shared" si="231"/>
        <v>18900</v>
      </c>
      <c r="P1651" s="111">
        <f t="shared" si="232"/>
        <v>21000</v>
      </c>
      <c r="Q1651" s="111">
        <v>60000</v>
      </c>
      <c r="R1651" s="111">
        <v>6</v>
      </c>
      <c r="S1651" s="111">
        <f t="shared" si="233"/>
        <v>6000</v>
      </c>
      <c r="T1651" s="111">
        <f t="shared" si="234"/>
        <v>270000</v>
      </c>
      <c r="U1651" s="111">
        <f t="shared" si="235"/>
        <v>2700</v>
      </c>
      <c r="V1651" s="111">
        <f t="shared" si="236"/>
        <v>272700</v>
      </c>
      <c r="W1651" t="s">
        <v>4112</v>
      </c>
    </row>
    <row r="1652" spans="1:23" x14ac:dyDescent="0.3">
      <c r="A1652" s="110">
        <v>2208075</v>
      </c>
      <c r="B1652" s="110" t="s">
        <v>1769</v>
      </c>
      <c r="C1652" s="110" t="s">
        <v>1770</v>
      </c>
      <c r="D1652" s="110" t="s">
        <v>1773</v>
      </c>
      <c r="E1652" s="110" t="s">
        <v>1837</v>
      </c>
      <c r="F1652" s="110" t="s">
        <v>113</v>
      </c>
      <c r="G1652" s="110" t="s">
        <v>114</v>
      </c>
      <c r="H1652" s="111">
        <v>756</v>
      </c>
      <c r="I1652" s="111">
        <v>725</v>
      </c>
      <c r="J1652" s="111">
        <v>703</v>
      </c>
      <c r="K1652" s="111">
        <f t="shared" si="228"/>
        <v>728</v>
      </c>
      <c r="L1652" s="111">
        <f>300000</f>
        <v>300000</v>
      </c>
      <c r="M1652" s="111">
        <f t="shared" si="229"/>
        <v>135000</v>
      </c>
      <c r="N1652" s="111">
        <f t="shared" si="230"/>
        <v>135000</v>
      </c>
      <c r="O1652" s="111">
        <f t="shared" si="231"/>
        <v>27000</v>
      </c>
      <c r="P1652" s="111">
        <f t="shared" si="232"/>
        <v>30000</v>
      </c>
      <c r="Q1652" s="111">
        <v>60000</v>
      </c>
      <c r="R1652" s="111">
        <v>6</v>
      </c>
      <c r="S1652" s="111">
        <f t="shared" si="233"/>
        <v>6000</v>
      </c>
      <c r="T1652" s="111">
        <f t="shared" si="234"/>
        <v>360000</v>
      </c>
      <c r="U1652" s="111">
        <f t="shared" si="235"/>
        <v>3600</v>
      </c>
      <c r="V1652" s="111">
        <f t="shared" si="236"/>
        <v>363600</v>
      </c>
      <c r="W1652" t="s">
        <v>4113</v>
      </c>
    </row>
    <row r="1653" spans="1:23" x14ac:dyDescent="0.3">
      <c r="A1653" s="110">
        <v>2208092</v>
      </c>
      <c r="B1653" s="110" t="s">
        <v>1769</v>
      </c>
      <c r="C1653" s="110" t="s">
        <v>1770</v>
      </c>
      <c r="D1653" s="110" t="s">
        <v>1773</v>
      </c>
      <c r="E1653" s="110" t="s">
        <v>1838</v>
      </c>
      <c r="F1653" s="110" t="s">
        <v>113</v>
      </c>
      <c r="G1653" s="110" t="s">
        <v>114</v>
      </c>
      <c r="H1653" s="111">
        <v>515</v>
      </c>
      <c r="I1653" s="111">
        <v>553</v>
      </c>
      <c r="J1653" s="111">
        <v>535</v>
      </c>
      <c r="K1653" s="111">
        <f t="shared" si="228"/>
        <v>534.33333333333337</v>
      </c>
      <c r="L1653" s="111">
        <f>300000</f>
        <v>300000</v>
      </c>
      <c r="M1653" s="111">
        <f t="shared" si="229"/>
        <v>135000</v>
      </c>
      <c r="N1653" s="111">
        <f t="shared" si="230"/>
        <v>135000</v>
      </c>
      <c r="O1653" s="111">
        <f t="shared" si="231"/>
        <v>27000</v>
      </c>
      <c r="P1653" s="111">
        <f t="shared" si="232"/>
        <v>30000</v>
      </c>
      <c r="Q1653" s="111">
        <v>60000</v>
      </c>
      <c r="R1653" s="111">
        <v>6</v>
      </c>
      <c r="S1653" s="111">
        <f t="shared" si="233"/>
        <v>6000</v>
      </c>
      <c r="T1653" s="111">
        <f t="shared" si="234"/>
        <v>360000</v>
      </c>
      <c r="U1653" s="111">
        <f t="shared" si="235"/>
        <v>3600</v>
      </c>
      <c r="V1653" s="111">
        <f t="shared" si="236"/>
        <v>363600</v>
      </c>
      <c r="W1653" t="s">
        <v>4114</v>
      </c>
    </row>
    <row r="1654" spans="1:23" x14ac:dyDescent="0.3">
      <c r="A1654" s="110">
        <v>2208123</v>
      </c>
      <c r="B1654" s="110" t="s">
        <v>1769</v>
      </c>
      <c r="C1654" s="110" t="s">
        <v>1770</v>
      </c>
      <c r="D1654" s="110" t="s">
        <v>1773</v>
      </c>
      <c r="E1654" s="110" t="s">
        <v>1839</v>
      </c>
      <c r="F1654" s="110" t="s">
        <v>119</v>
      </c>
      <c r="G1654" s="110" t="s">
        <v>114</v>
      </c>
      <c r="H1654" s="111">
        <v>505</v>
      </c>
      <c r="I1654" s="111">
        <v>553</v>
      </c>
      <c r="J1654" s="111">
        <v>581</v>
      </c>
      <c r="K1654" s="111">
        <f t="shared" si="228"/>
        <v>546.33333333333337</v>
      </c>
      <c r="L1654" s="111">
        <f>300000</f>
        <v>300000</v>
      </c>
      <c r="M1654" s="111">
        <f t="shared" si="229"/>
        <v>135000</v>
      </c>
      <c r="N1654" s="111">
        <f t="shared" si="230"/>
        <v>135000</v>
      </c>
      <c r="O1654" s="111">
        <f t="shared" si="231"/>
        <v>27000</v>
      </c>
      <c r="P1654" s="111">
        <f t="shared" si="232"/>
        <v>30000</v>
      </c>
      <c r="Q1654" s="111">
        <v>60000</v>
      </c>
      <c r="R1654" s="111">
        <v>6</v>
      </c>
      <c r="S1654" s="111">
        <f t="shared" si="233"/>
        <v>6000</v>
      </c>
      <c r="T1654" s="111">
        <f t="shared" si="234"/>
        <v>360000</v>
      </c>
      <c r="U1654" s="111">
        <f t="shared" si="235"/>
        <v>3600</v>
      </c>
      <c r="V1654" s="111">
        <f t="shared" si="236"/>
        <v>363600</v>
      </c>
      <c r="W1654" t="s">
        <v>4115</v>
      </c>
    </row>
    <row r="1655" spans="1:23" x14ac:dyDescent="0.3">
      <c r="A1655" s="110">
        <v>2208135</v>
      </c>
      <c r="B1655" s="110" t="s">
        <v>1769</v>
      </c>
      <c r="C1655" s="110" t="s">
        <v>1770</v>
      </c>
      <c r="D1655" s="110" t="s">
        <v>1773</v>
      </c>
      <c r="E1655" s="110" t="s">
        <v>1840</v>
      </c>
      <c r="F1655" s="110" t="s">
        <v>119</v>
      </c>
      <c r="G1655" s="110" t="s">
        <v>114</v>
      </c>
      <c r="H1655" s="111">
        <v>449</v>
      </c>
      <c r="I1655" s="111">
        <v>418</v>
      </c>
      <c r="J1655" s="111">
        <v>418</v>
      </c>
      <c r="K1655" s="111">
        <f t="shared" si="228"/>
        <v>428.33333333333331</v>
      </c>
      <c r="L1655" s="111">
        <f>300000</f>
        <v>300000</v>
      </c>
      <c r="M1655" s="111">
        <f t="shared" si="229"/>
        <v>135000</v>
      </c>
      <c r="N1655" s="111">
        <f t="shared" si="230"/>
        <v>135000</v>
      </c>
      <c r="O1655" s="111">
        <f t="shared" si="231"/>
        <v>27000</v>
      </c>
      <c r="P1655" s="111">
        <f t="shared" si="232"/>
        <v>30000</v>
      </c>
      <c r="Q1655" s="111">
        <v>60000</v>
      </c>
      <c r="R1655" s="111">
        <v>6</v>
      </c>
      <c r="S1655" s="111">
        <f t="shared" si="233"/>
        <v>6000</v>
      </c>
      <c r="T1655" s="111">
        <f t="shared" si="234"/>
        <v>360000</v>
      </c>
      <c r="U1655" s="111">
        <f t="shared" si="235"/>
        <v>3600</v>
      </c>
      <c r="V1655" s="111">
        <f t="shared" si="236"/>
        <v>363600</v>
      </c>
      <c r="W1655" t="s">
        <v>4116</v>
      </c>
    </row>
    <row r="1656" spans="1:23" x14ac:dyDescent="0.3">
      <c r="A1656" s="110">
        <v>2208147</v>
      </c>
      <c r="B1656" s="110" t="s">
        <v>1769</v>
      </c>
      <c r="C1656" s="110" t="s">
        <v>1770</v>
      </c>
      <c r="D1656" s="110" t="s">
        <v>1773</v>
      </c>
      <c r="E1656" s="110" t="s">
        <v>1841</v>
      </c>
      <c r="F1656" s="110" t="s">
        <v>113</v>
      </c>
      <c r="G1656" s="110" t="s">
        <v>114</v>
      </c>
      <c r="H1656" s="111">
        <v>120</v>
      </c>
      <c r="I1656" s="111">
        <v>118</v>
      </c>
      <c r="J1656" s="111">
        <v>121</v>
      </c>
      <c r="K1656" s="111">
        <f t="shared" si="228"/>
        <v>119.66666666666667</v>
      </c>
      <c r="L1656" s="111">
        <v>150000</v>
      </c>
      <c r="M1656" s="111">
        <f t="shared" si="229"/>
        <v>67500</v>
      </c>
      <c r="N1656" s="111">
        <f t="shared" si="230"/>
        <v>67500</v>
      </c>
      <c r="O1656" s="111">
        <f t="shared" si="231"/>
        <v>13500</v>
      </c>
      <c r="P1656" s="111">
        <f t="shared" si="232"/>
        <v>15000</v>
      </c>
      <c r="Q1656" s="111">
        <v>30000</v>
      </c>
      <c r="R1656" s="111">
        <v>3</v>
      </c>
      <c r="S1656" s="111">
        <f t="shared" si="233"/>
        <v>3000</v>
      </c>
      <c r="T1656" s="111">
        <f t="shared" si="234"/>
        <v>180000</v>
      </c>
      <c r="U1656" s="111">
        <f t="shared" si="235"/>
        <v>1800</v>
      </c>
      <c r="V1656" s="111">
        <f t="shared" si="236"/>
        <v>181800</v>
      </c>
      <c r="W1656" t="s">
        <v>4117</v>
      </c>
    </row>
    <row r="1657" spans="1:23" x14ac:dyDescent="0.3">
      <c r="A1657" s="110">
        <v>2208413</v>
      </c>
      <c r="B1657" s="110" t="s">
        <v>1769</v>
      </c>
      <c r="C1657" s="110" t="s">
        <v>1770</v>
      </c>
      <c r="D1657" s="110" t="s">
        <v>1773</v>
      </c>
      <c r="E1657" s="110" t="s">
        <v>1842</v>
      </c>
      <c r="F1657" s="110" t="s">
        <v>117</v>
      </c>
      <c r="G1657" s="110" t="s">
        <v>125</v>
      </c>
      <c r="H1657" s="111">
        <v>272</v>
      </c>
      <c r="I1657" s="111">
        <v>295</v>
      </c>
      <c r="J1657" s="111">
        <v>314</v>
      </c>
      <c r="K1657" s="111">
        <f t="shared" si="228"/>
        <v>293.66666666666669</v>
      </c>
      <c r="L1657" s="111">
        <v>200000</v>
      </c>
      <c r="M1657" s="111">
        <f t="shared" si="229"/>
        <v>90000</v>
      </c>
      <c r="N1657" s="111">
        <f t="shared" si="230"/>
        <v>90000</v>
      </c>
      <c r="O1657" s="111">
        <f t="shared" si="231"/>
        <v>18000</v>
      </c>
      <c r="P1657" s="111">
        <f t="shared" si="232"/>
        <v>20000</v>
      </c>
      <c r="Q1657" s="111">
        <v>50000</v>
      </c>
      <c r="R1657" s="111">
        <v>5</v>
      </c>
      <c r="S1657" s="111">
        <f t="shared" si="233"/>
        <v>5000</v>
      </c>
      <c r="T1657" s="111">
        <f t="shared" si="234"/>
        <v>250000</v>
      </c>
      <c r="U1657" s="111">
        <f t="shared" si="235"/>
        <v>2500</v>
      </c>
      <c r="V1657" s="111">
        <f t="shared" si="236"/>
        <v>252500</v>
      </c>
      <c r="W1657" t="s">
        <v>4118</v>
      </c>
    </row>
    <row r="1658" spans="1:23" x14ac:dyDescent="0.3">
      <c r="A1658" s="110">
        <v>2209019</v>
      </c>
      <c r="B1658" s="110" t="s">
        <v>1769</v>
      </c>
      <c r="C1658" s="110" t="s">
        <v>1770</v>
      </c>
      <c r="D1658" s="110" t="s">
        <v>1773</v>
      </c>
      <c r="E1658" s="110" t="s">
        <v>1843</v>
      </c>
      <c r="F1658" s="110" t="s">
        <v>119</v>
      </c>
      <c r="G1658" s="110" t="s">
        <v>114</v>
      </c>
      <c r="H1658" s="111">
        <v>1052</v>
      </c>
      <c r="I1658" s="111">
        <v>1056</v>
      </c>
      <c r="J1658" s="111">
        <v>1065</v>
      </c>
      <c r="K1658" s="111">
        <f t="shared" si="228"/>
        <v>1057.6666666666667</v>
      </c>
      <c r="L1658" s="111">
        <f>600000</f>
        <v>600000</v>
      </c>
      <c r="M1658" s="111">
        <f t="shared" si="229"/>
        <v>270000</v>
      </c>
      <c r="N1658" s="111">
        <f t="shared" si="230"/>
        <v>270000</v>
      </c>
      <c r="O1658" s="111">
        <f t="shared" si="231"/>
        <v>54000</v>
      </c>
      <c r="P1658" s="111">
        <f t="shared" si="232"/>
        <v>60000</v>
      </c>
      <c r="Q1658" s="111">
        <v>80000</v>
      </c>
      <c r="R1658" s="111">
        <v>8</v>
      </c>
      <c r="S1658" s="111">
        <f t="shared" si="233"/>
        <v>8000</v>
      </c>
      <c r="T1658" s="111">
        <f t="shared" si="234"/>
        <v>680000</v>
      </c>
      <c r="U1658" s="111">
        <f t="shared" si="235"/>
        <v>6800</v>
      </c>
      <c r="V1658" s="111">
        <f t="shared" si="236"/>
        <v>686800</v>
      </c>
      <c r="W1658" t="s">
        <v>4119</v>
      </c>
    </row>
    <row r="1659" spans="1:23" x14ac:dyDescent="0.3">
      <c r="A1659" s="110">
        <v>2209025</v>
      </c>
      <c r="B1659" s="110" t="s">
        <v>1769</v>
      </c>
      <c r="C1659" s="110" t="s">
        <v>1770</v>
      </c>
      <c r="D1659" s="110" t="s">
        <v>1773</v>
      </c>
      <c r="E1659" s="110" t="s">
        <v>1844</v>
      </c>
      <c r="F1659" s="110" t="s">
        <v>113</v>
      </c>
      <c r="G1659" s="110" t="s">
        <v>114</v>
      </c>
      <c r="H1659" s="111">
        <v>670</v>
      </c>
      <c r="I1659" s="111">
        <v>679</v>
      </c>
      <c r="J1659" s="111">
        <v>675</v>
      </c>
      <c r="K1659" s="111">
        <f t="shared" si="228"/>
        <v>674.66666666666663</v>
      </c>
      <c r="L1659" s="111">
        <f>300000</f>
        <v>300000</v>
      </c>
      <c r="M1659" s="111">
        <f t="shared" si="229"/>
        <v>135000</v>
      </c>
      <c r="N1659" s="111">
        <f t="shared" si="230"/>
        <v>135000</v>
      </c>
      <c r="O1659" s="111">
        <f t="shared" si="231"/>
        <v>27000</v>
      </c>
      <c r="P1659" s="111">
        <f t="shared" si="232"/>
        <v>30000</v>
      </c>
      <c r="Q1659" s="111">
        <v>60000</v>
      </c>
      <c r="R1659" s="111">
        <v>6</v>
      </c>
      <c r="S1659" s="111">
        <f t="shared" si="233"/>
        <v>6000</v>
      </c>
      <c r="T1659" s="111">
        <f t="shared" si="234"/>
        <v>360000</v>
      </c>
      <c r="U1659" s="111">
        <f t="shared" si="235"/>
        <v>3600</v>
      </c>
      <c r="V1659" s="111">
        <f t="shared" si="236"/>
        <v>363600</v>
      </c>
      <c r="W1659" t="s">
        <v>4120</v>
      </c>
    </row>
    <row r="1660" spans="1:23" x14ac:dyDescent="0.3">
      <c r="A1660" s="110">
        <v>2209034</v>
      </c>
      <c r="B1660" s="110" t="s">
        <v>1769</v>
      </c>
      <c r="C1660" s="110" t="s">
        <v>1770</v>
      </c>
      <c r="D1660" s="110" t="s">
        <v>1773</v>
      </c>
      <c r="E1660" s="110" t="s">
        <v>1845</v>
      </c>
      <c r="F1660" s="110" t="s">
        <v>113</v>
      </c>
      <c r="G1660" s="110" t="s">
        <v>114</v>
      </c>
      <c r="H1660" s="111">
        <v>780</v>
      </c>
      <c r="I1660" s="111">
        <v>817</v>
      </c>
      <c r="J1660" s="111">
        <v>827</v>
      </c>
      <c r="K1660" s="111">
        <f t="shared" si="228"/>
        <v>808</v>
      </c>
      <c r="L1660" s="111">
        <f>300000</f>
        <v>300000</v>
      </c>
      <c r="M1660" s="111">
        <f t="shared" si="229"/>
        <v>135000</v>
      </c>
      <c r="N1660" s="111">
        <f t="shared" si="230"/>
        <v>135000</v>
      </c>
      <c r="O1660" s="111">
        <f t="shared" si="231"/>
        <v>27000</v>
      </c>
      <c r="P1660" s="111">
        <f t="shared" si="232"/>
        <v>30000</v>
      </c>
      <c r="Q1660" s="111">
        <v>60000</v>
      </c>
      <c r="R1660" s="111">
        <v>6</v>
      </c>
      <c r="S1660" s="111">
        <f t="shared" si="233"/>
        <v>6000</v>
      </c>
      <c r="T1660" s="111">
        <f t="shared" si="234"/>
        <v>360000</v>
      </c>
      <c r="U1660" s="111">
        <f t="shared" si="235"/>
        <v>3600</v>
      </c>
      <c r="V1660" s="111">
        <f t="shared" si="236"/>
        <v>363600</v>
      </c>
      <c r="W1660" t="s">
        <v>4121</v>
      </c>
    </row>
    <row r="1661" spans="1:23" x14ac:dyDescent="0.3">
      <c r="A1661" s="110">
        <v>2209036</v>
      </c>
      <c r="B1661" s="110" t="s">
        <v>1769</v>
      </c>
      <c r="C1661" s="110" t="s">
        <v>1770</v>
      </c>
      <c r="D1661" s="110" t="s">
        <v>1773</v>
      </c>
      <c r="E1661" s="110" t="s">
        <v>1846</v>
      </c>
      <c r="F1661" s="110" t="s">
        <v>119</v>
      </c>
      <c r="G1661" s="110" t="s">
        <v>114</v>
      </c>
      <c r="H1661" s="111">
        <v>924</v>
      </c>
      <c r="I1661" s="111">
        <v>928</v>
      </c>
      <c r="J1661" s="111">
        <v>938</v>
      </c>
      <c r="K1661" s="111">
        <f t="shared" si="228"/>
        <v>930</v>
      </c>
      <c r="L1661" s="111">
        <f>300000</f>
        <v>300000</v>
      </c>
      <c r="M1661" s="111">
        <f t="shared" si="229"/>
        <v>135000</v>
      </c>
      <c r="N1661" s="111">
        <f t="shared" si="230"/>
        <v>135000</v>
      </c>
      <c r="O1661" s="111">
        <f t="shared" si="231"/>
        <v>27000</v>
      </c>
      <c r="P1661" s="111">
        <f t="shared" si="232"/>
        <v>30000</v>
      </c>
      <c r="Q1661" s="111">
        <v>60000</v>
      </c>
      <c r="R1661" s="111">
        <v>6</v>
      </c>
      <c r="S1661" s="111">
        <f t="shared" si="233"/>
        <v>6000</v>
      </c>
      <c r="T1661" s="111">
        <f t="shared" si="234"/>
        <v>360000</v>
      </c>
      <c r="U1661" s="111">
        <f t="shared" si="235"/>
        <v>3600</v>
      </c>
      <c r="V1661" s="111">
        <f t="shared" si="236"/>
        <v>363600</v>
      </c>
      <c r="W1661" t="s">
        <v>4122</v>
      </c>
    </row>
    <row r="1662" spans="1:23" x14ac:dyDescent="0.3">
      <c r="A1662" s="110">
        <v>2209051</v>
      </c>
      <c r="B1662" s="110" t="s">
        <v>1769</v>
      </c>
      <c r="C1662" s="110" t="s">
        <v>1770</v>
      </c>
      <c r="D1662" s="110" t="s">
        <v>1773</v>
      </c>
      <c r="E1662" s="110" t="s">
        <v>1847</v>
      </c>
      <c r="F1662" s="110" t="s">
        <v>119</v>
      </c>
      <c r="G1662" s="110" t="s">
        <v>114</v>
      </c>
      <c r="H1662" s="111">
        <v>1242</v>
      </c>
      <c r="I1662" s="111">
        <v>1232</v>
      </c>
      <c r="J1662" s="111">
        <v>1234</v>
      </c>
      <c r="K1662" s="111">
        <f t="shared" si="228"/>
        <v>1236</v>
      </c>
      <c r="L1662" s="111">
        <f>600000*0.7</f>
        <v>420000</v>
      </c>
      <c r="M1662" s="111">
        <f t="shared" si="229"/>
        <v>189000</v>
      </c>
      <c r="N1662" s="111">
        <f t="shared" si="230"/>
        <v>189000</v>
      </c>
      <c r="O1662" s="111">
        <f t="shared" si="231"/>
        <v>37800</v>
      </c>
      <c r="P1662" s="111">
        <f t="shared" si="232"/>
        <v>42000</v>
      </c>
      <c r="Q1662" s="111">
        <v>80000</v>
      </c>
      <c r="R1662" s="111">
        <v>8</v>
      </c>
      <c r="S1662" s="111">
        <f t="shared" si="233"/>
        <v>8000</v>
      </c>
      <c r="T1662" s="111">
        <f t="shared" si="234"/>
        <v>500000</v>
      </c>
      <c r="U1662" s="111">
        <f t="shared" si="235"/>
        <v>5000</v>
      </c>
      <c r="V1662" s="111">
        <f t="shared" si="236"/>
        <v>505000</v>
      </c>
      <c r="W1662" t="s">
        <v>4123</v>
      </c>
    </row>
    <row r="1663" spans="1:23" x14ac:dyDescent="0.3">
      <c r="A1663" s="110">
        <v>2209132</v>
      </c>
      <c r="B1663" s="110" t="s">
        <v>1769</v>
      </c>
      <c r="C1663" s="110" t="s">
        <v>1770</v>
      </c>
      <c r="D1663" s="110" t="s">
        <v>1773</v>
      </c>
      <c r="E1663" s="110" t="s">
        <v>1848</v>
      </c>
      <c r="F1663" s="110" t="s">
        <v>119</v>
      </c>
      <c r="G1663" s="110" t="s">
        <v>114</v>
      </c>
      <c r="H1663" s="111">
        <v>489</v>
      </c>
      <c r="I1663" s="111">
        <v>507</v>
      </c>
      <c r="J1663" s="111">
        <v>545</v>
      </c>
      <c r="K1663" s="111">
        <f t="shared" si="228"/>
        <v>513.66666666666663</v>
      </c>
      <c r="L1663" s="111">
        <f>300000</f>
        <v>300000</v>
      </c>
      <c r="M1663" s="111">
        <f t="shared" si="229"/>
        <v>135000</v>
      </c>
      <c r="N1663" s="111">
        <f t="shared" si="230"/>
        <v>135000</v>
      </c>
      <c r="O1663" s="111">
        <f t="shared" si="231"/>
        <v>27000</v>
      </c>
      <c r="P1663" s="111">
        <f t="shared" si="232"/>
        <v>30000</v>
      </c>
      <c r="Q1663" s="111">
        <v>60000</v>
      </c>
      <c r="R1663" s="111">
        <v>6</v>
      </c>
      <c r="S1663" s="111">
        <f t="shared" si="233"/>
        <v>6000</v>
      </c>
      <c r="T1663" s="111">
        <f t="shared" si="234"/>
        <v>360000</v>
      </c>
      <c r="U1663" s="111">
        <f t="shared" si="235"/>
        <v>3600</v>
      </c>
      <c r="V1663" s="111">
        <f t="shared" si="236"/>
        <v>363600</v>
      </c>
      <c r="W1663" t="s">
        <v>4124</v>
      </c>
    </row>
    <row r="1664" spans="1:23" x14ac:dyDescent="0.3">
      <c r="A1664" s="110">
        <v>2209142</v>
      </c>
      <c r="B1664" s="110" t="s">
        <v>1769</v>
      </c>
      <c r="C1664" s="110" t="s">
        <v>1770</v>
      </c>
      <c r="D1664" s="110" t="s">
        <v>1773</v>
      </c>
      <c r="E1664" s="110" t="s">
        <v>1849</v>
      </c>
      <c r="F1664" s="110" t="s">
        <v>113</v>
      </c>
      <c r="G1664" s="110" t="s">
        <v>114</v>
      </c>
      <c r="H1664" s="111">
        <v>589</v>
      </c>
      <c r="I1664" s="111">
        <v>569</v>
      </c>
      <c r="J1664" s="111">
        <v>562</v>
      </c>
      <c r="K1664" s="111">
        <f t="shared" si="228"/>
        <v>573.33333333333337</v>
      </c>
      <c r="L1664" s="111">
        <f>300000</f>
        <v>300000</v>
      </c>
      <c r="M1664" s="111">
        <f t="shared" si="229"/>
        <v>135000</v>
      </c>
      <c r="N1664" s="111">
        <f t="shared" si="230"/>
        <v>135000</v>
      </c>
      <c r="O1664" s="111">
        <f t="shared" si="231"/>
        <v>27000</v>
      </c>
      <c r="P1664" s="111">
        <f t="shared" si="232"/>
        <v>30000</v>
      </c>
      <c r="Q1664" s="111">
        <v>60000</v>
      </c>
      <c r="R1664" s="111">
        <v>6</v>
      </c>
      <c r="S1664" s="111">
        <f t="shared" si="233"/>
        <v>6000</v>
      </c>
      <c r="T1664" s="111">
        <f t="shared" si="234"/>
        <v>360000</v>
      </c>
      <c r="U1664" s="111">
        <f t="shared" si="235"/>
        <v>3600</v>
      </c>
      <c r="V1664" s="111">
        <f t="shared" si="236"/>
        <v>363600</v>
      </c>
      <c r="W1664" t="s">
        <v>4125</v>
      </c>
    </row>
    <row r="1665" spans="1:23" x14ac:dyDescent="0.3">
      <c r="A1665" s="110">
        <v>2209305</v>
      </c>
      <c r="B1665" s="110" t="s">
        <v>1769</v>
      </c>
      <c r="C1665" s="110" t="s">
        <v>1770</v>
      </c>
      <c r="D1665" s="110" t="s">
        <v>1773</v>
      </c>
      <c r="E1665" s="110" t="s">
        <v>1850</v>
      </c>
      <c r="F1665" s="110" t="s">
        <v>122</v>
      </c>
      <c r="G1665" s="110" t="s">
        <v>114</v>
      </c>
      <c r="H1665" s="111">
        <v>290</v>
      </c>
      <c r="I1665" s="111">
        <v>413</v>
      </c>
      <c r="J1665" s="111">
        <v>493</v>
      </c>
      <c r="K1665" s="111">
        <f t="shared" si="228"/>
        <v>398.66666666666669</v>
      </c>
      <c r="L1665" s="111">
        <f>200000*0.7</f>
        <v>140000</v>
      </c>
      <c r="M1665" s="111">
        <f t="shared" si="229"/>
        <v>63000</v>
      </c>
      <c r="N1665" s="111">
        <f t="shared" si="230"/>
        <v>63000</v>
      </c>
      <c r="O1665" s="111">
        <f t="shared" si="231"/>
        <v>12600</v>
      </c>
      <c r="P1665" s="111">
        <f t="shared" si="232"/>
        <v>14000</v>
      </c>
      <c r="Q1665" s="111">
        <v>50000</v>
      </c>
      <c r="R1665" s="111">
        <v>5</v>
      </c>
      <c r="S1665" s="111">
        <f t="shared" si="233"/>
        <v>5000</v>
      </c>
      <c r="T1665" s="111">
        <f t="shared" si="234"/>
        <v>190000</v>
      </c>
      <c r="U1665" s="111">
        <f t="shared" si="235"/>
        <v>1900</v>
      </c>
      <c r="V1665" s="111">
        <f t="shared" si="236"/>
        <v>191900</v>
      </c>
      <c r="W1665" t="s">
        <v>4126</v>
      </c>
    </row>
    <row r="1666" spans="1:23" x14ac:dyDescent="0.3">
      <c r="A1666" s="110">
        <v>2210085</v>
      </c>
      <c r="B1666" s="110" t="s">
        <v>1769</v>
      </c>
      <c r="C1666" s="110" t="s">
        <v>1770</v>
      </c>
      <c r="D1666" s="110" t="s">
        <v>1773</v>
      </c>
      <c r="E1666" s="110" t="s">
        <v>1851</v>
      </c>
      <c r="F1666" s="110" t="s">
        <v>119</v>
      </c>
      <c r="G1666" s="110" t="s">
        <v>114</v>
      </c>
      <c r="H1666" s="111">
        <v>338</v>
      </c>
      <c r="I1666" s="111">
        <v>337</v>
      </c>
      <c r="J1666" s="111">
        <v>315</v>
      </c>
      <c r="K1666" s="111">
        <f t="shared" ref="K1666:K1729" si="237">+(H1666+I1666+J1666)/3</f>
        <v>330</v>
      </c>
      <c r="L1666" s="111">
        <v>200000</v>
      </c>
      <c r="M1666" s="111">
        <f t="shared" ref="M1666:M1729" si="238">+L1666*0.45</f>
        <v>90000</v>
      </c>
      <c r="N1666" s="111">
        <f t="shared" ref="N1666:N1729" si="239">+L1666*0.45</f>
        <v>90000</v>
      </c>
      <c r="O1666" s="111">
        <f t="shared" ref="O1666:O1729" si="240">+N1666*0.2</f>
        <v>18000</v>
      </c>
      <c r="P1666" s="111">
        <f t="shared" ref="P1666:P1729" si="241">++L1666*0.1</f>
        <v>20000</v>
      </c>
      <c r="Q1666" s="111">
        <v>50000</v>
      </c>
      <c r="R1666" s="111">
        <v>5</v>
      </c>
      <c r="S1666" s="111">
        <f t="shared" ref="S1666:S1729" si="242">+Q1666*0.1</f>
        <v>5000</v>
      </c>
      <c r="T1666" s="111">
        <f t="shared" ref="T1666:T1729" si="243">+L1666+Q1666</f>
        <v>250000</v>
      </c>
      <c r="U1666" s="111">
        <f t="shared" ref="U1666:U1729" si="244">+T1666*0.01</f>
        <v>2500</v>
      </c>
      <c r="V1666" s="111">
        <f t="shared" ref="V1666:V1729" si="245">+T1666+U1666</f>
        <v>252500</v>
      </c>
      <c r="W1666" t="s">
        <v>4127</v>
      </c>
    </row>
    <row r="1667" spans="1:23" x14ac:dyDescent="0.3">
      <c r="A1667" s="110">
        <v>2210115</v>
      </c>
      <c r="B1667" s="110" t="s">
        <v>1769</v>
      </c>
      <c r="C1667" s="110" t="s">
        <v>1770</v>
      </c>
      <c r="D1667" s="110" t="s">
        <v>1852</v>
      </c>
      <c r="E1667" s="110" t="s">
        <v>1853</v>
      </c>
      <c r="F1667" s="110" t="s">
        <v>113</v>
      </c>
      <c r="G1667" s="110" t="s">
        <v>114</v>
      </c>
      <c r="H1667" s="111">
        <v>125</v>
      </c>
      <c r="I1667" s="111">
        <v>129</v>
      </c>
      <c r="J1667" s="111">
        <v>122</v>
      </c>
      <c r="K1667" s="111">
        <f t="shared" si="237"/>
        <v>125.33333333333333</v>
      </c>
      <c r="L1667" s="111">
        <v>150000</v>
      </c>
      <c r="M1667" s="111">
        <f t="shared" si="238"/>
        <v>67500</v>
      </c>
      <c r="N1667" s="111">
        <f t="shared" si="239"/>
        <v>67500</v>
      </c>
      <c r="O1667" s="111">
        <f t="shared" si="240"/>
        <v>13500</v>
      </c>
      <c r="P1667" s="111">
        <f t="shared" si="241"/>
        <v>15000</v>
      </c>
      <c r="Q1667" s="111">
        <v>30000</v>
      </c>
      <c r="R1667" s="111">
        <v>3</v>
      </c>
      <c r="S1667" s="111">
        <f t="shared" si="242"/>
        <v>3000</v>
      </c>
      <c r="T1667" s="111">
        <f t="shared" si="243"/>
        <v>180000</v>
      </c>
      <c r="U1667" s="111">
        <f t="shared" si="244"/>
        <v>1800</v>
      </c>
      <c r="V1667" s="111">
        <f t="shared" si="245"/>
        <v>181800</v>
      </c>
      <c r="W1667" t="s">
        <v>4128</v>
      </c>
    </row>
    <row r="1668" spans="1:23" x14ac:dyDescent="0.3">
      <c r="A1668" s="110">
        <v>2210116</v>
      </c>
      <c r="B1668" s="110" t="s">
        <v>1769</v>
      </c>
      <c r="C1668" s="110" t="s">
        <v>1770</v>
      </c>
      <c r="D1668" s="110" t="s">
        <v>1854</v>
      </c>
      <c r="E1668" s="110" t="s">
        <v>1855</v>
      </c>
      <c r="F1668" s="110" t="s">
        <v>113</v>
      </c>
      <c r="G1668" s="110" t="s">
        <v>114</v>
      </c>
      <c r="H1668" s="111">
        <v>46</v>
      </c>
      <c r="I1668" s="111">
        <v>46</v>
      </c>
      <c r="J1668" s="111">
        <v>47</v>
      </c>
      <c r="K1668" s="111">
        <f t="shared" si="237"/>
        <v>46.333333333333336</v>
      </c>
      <c r="L1668" s="111">
        <v>50000</v>
      </c>
      <c r="M1668" s="111">
        <f t="shared" si="238"/>
        <v>22500</v>
      </c>
      <c r="N1668" s="111">
        <f t="shared" si="239"/>
        <v>22500</v>
      </c>
      <c r="O1668" s="111">
        <f t="shared" si="240"/>
        <v>4500</v>
      </c>
      <c r="P1668" s="111">
        <f t="shared" si="241"/>
        <v>5000</v>
      </c>
      <c r="Q1668" s="111">
        <v>10000</v>
      </c>
      <c r="R1668" s="111">
        <v>1</v>
      </c>
      <c r="S1668" s="111">
        <f t="shared" si="242"/>
        <v>1000</v>
      </c>
      <c r="T1668" s="111">
        <f t="shared" si="243"/>
        <v>60000</v>
      </c>
      <c r="U1668" s="111">
        <f t="shared" si="244"/>
        <v>600</v>
      </c>
      <c r="V1668" s="111">
        <f t="shared" si="245"/>
        <v>60600</v>
      </c>
      <c r="W1668" t="s">
        <v>4129</v>
      </c>
    </row>
    <row r="1669" spans="1:23" x14ac:dyDescent="0.3">
      <c r="A1669" s="110">
        <v>2210117</v>
      </c>
      <c r="B1669" s="110" t="s">
        <v>1769</v>
      </c>
      <c r="C1669" s="110" t="s">
        <v>1770</v>
      </c>
      <c r="D1669" s="110" t="s">
        <v>1856</v>
      </c>
      <c r="E1669" s="110" t="s">
        <v>1857</v>
      </c>
      <c r="F1669" s="110" t="s">
        <v>119</v>
      </c>
      <c r="G1669" s="110" t="s">
        <v>114</v>
      </c>
      <c r="H1669" s="111">
        <v>344</v>
      </c>
      <c r="I1669" s="111">
        <v>331</v>
      </c>
      <c r="J1669" s="111">
        <v>313</v>
      </c>
      <c r="K1669" s="111">
        <f t="shared" si="237"/>
        <v>329.33333333333331</v>
      </c>
      <c r="L1669" s="111">
        <v>200000</v>
      </c>
      <c r="M1669" s="111">
        <f t="shared" si="238"/>
        <v>90000</v>
      </c>
      <c r="N1669" s="111">
        <f t="shared" si="239"/>
        <v>90000</v>
      </c>
      <c r="O1669" s="111">
        <f t="shared" si="240"/>
        <v>18000</v>
      </c>
      <c r="P1669" s="111">
        <f t="shared" si="241"/>
        <v>20000</v>
      </c>
      <c r="Q1669" s="111">
        <v>50000</v>
      </c>
      <c r="R1669" s="111">
        <v>5</v>
      </c>
      <c r="S1669" s="111">
        <f t="shared" si="242"/>
        <v>5000</v>
      </c>
      <c r="T1669" s="111">
        <f t="shared" si="243"/>
        <v>250000</v>
      </c>
      <c r="U1669" s="111">
        <f t="shared" si="244"/>
        <v>2500</v>
      </c>
      <c r="V1669" s="111">
        <f t="shared" si="245"/>
        <v>252500</v>
      </c>
      <c r="W1669" t="s">
        <v>4130</v>
      </c>
    </row>
    <row r="1670" spans="1:23" x14ac:dyDescent="0.3">
      <c r="A1670" s="110">
        <v>2210156</v>
      </c>
      <c r="B1670" s="110" t="s">
        <v>1769</v>
      </c>
      <c r="C1670" s="110" t="s">
        <v>1770</v>
      </c>
      <c r="D1670" s="110" t="s">
        <v>1773</v>
      </c>
      <c r="E1670" s="110" t="s">
        <v>1858</v>
      </c>
      <c r="F1670" s="110" t="s">
        <v>168</v>
      </c>
      <c r="G1670" s="110" t="s">
        <v>114</v>
      </c>
      <c r="H1670" s="111">
        <v>139</v>
      </c>
      <c r="I1670" s="111">
        <v>119</v>
      </c>
      <c r="J1670" s="111">
        <v>130</v>
      </c>
      <c r="K1670" s="111">
        <f t="shared" si="237"/>
        <v>129.33333333333334</v>
      </c>
      <c r="L1670" s="111">
        <f>150000*0.7</f>
        <v>105000</v>
      </c>
      <c r="M1670" s="111">
        <f t="shared" si="238"/>
        <v>47250</v>
      </c>
      <c r="N1670" s="111">
        <f t="shared" si="239"/>
        <v>47250</v>
      </c>
      <c r="O1670" s="111">
        <f t="shared" si="240"/>
        <v>9450</v>
      </c>
      <c r="P1670" s="111">
        <f t="shared" si="241"/>
        <v>10500</v>
      </c>
      <c r="Q1670" s="111">
        <v>30000</v>
      </c>
      <c r="R1670" s="111">
        <v>3</v>
      </c>
      <c r="S1670" s="111">
        <f t="shared" si="242"/>
        <v>3000</v>
      </c>
      <c r="T1670" s="111">
        <f t="shared" si="243"/>
        <v>135000</v>
      </c>
      <c r="U1670" s="111">
        <f t="shared" si="244"/>
        <v>1350</v>
      </c>
      <c r="V1670" s="111">
        <f t="shared" si="245"/>
        <v>136350</v>
      </c>
      <c r="W1670" t="s">
        <v>4131</v>
      </c>
    </row>
    <row r="1671" spans="1:23" x14ac:dyDescent="0.3">
      <c r="A1671" s="110">
        <v>2210159</v>
      </c>
      <c r="B1671" s="110" t="s">
        <v>1769</v>
      </c>
      <c r="C1671" s="110" t="s">
        <v>1770</v>
      </c>
      <c r="D1671" s="110" t="s">
        <v>1773</v>
      </c>
      <c r="E1671" s="110" t="s">
        <v>1859</v>
      </c>
      <c r="F1671" s="110" t="s">
        <v>113</v>
      </c>
      <c r="G1671" s="110" t="s">
        <v>114</v>
      </c>
      <c r="H1671" s="111">
        <v>160</v>
      </c>
      <c r="I1671" s="111">
        <v>160</v>
      </c>
      <c r="J1671" s="111">
        <v>167</v>
      </c>
      <c r="K1671" s="111">
        <f t="shared" si="237"/>
        <v>162.33333333333334</v>
      </c>
      <c r="L1671" s="111">
        <v>150000</v>
      </c>
      <c r="M1671" s="111">
        <f t="shared" si="238"/>
        <v>67500</v>
      </c>
      <c r="N1671" s="111">
        <f t="shared" si="239"/>
        <v>67500</v>
      </c>
      <c r="O1671" s="111">
        <f t="shared" si="240"/>
        <v>13500</v>
      </c>
      <c r="P1671" s="111">
        <f t="shared" si="241"/>
        <v>15000</v>
      </c>
      <c r="Q1671" s="111">
        <v>30000</v>
      </c>
      <c r="R1671" s="111">
        <v>3</v>
      </c>
      <c r="S1671" s="111">
        <f t="shared" si="242"/>
        <v>3000</v>
      </c>
      <c r="T1671" s="111">
        <f t="shared" si="243"/>
        <v>180000</v>
      </c>
      <c r="U1671" s="111">
        <f t="shared" si="244"/>
        <v>1800</v>
      </c>
      <c r="V1671" s="111">
        <f t="shared" si="245"/>
        <v>181800</v>
      </c>
      <c r="W1671" t="s">
        <v>4132</v>
      </c>
    </row>
    <row r="1672" spans="1:23" x14ac:dyDescent="0.3">
      <c r="A1672" s="110">
        <v>2210162</v>
      </c>
      <c r="B1672" s="110" t="s">
        <v>1769</v>
      </c>
      <c r="C1672" s="110" t="s">
        <v>1770</v>
      </c>
      <c r="D1672" s="110" t="s">
        <v>1773</v>
      </c>
      <c r="E1672" s="110" t="s">
        <v>1860</v>
      </c>
      <c r="F1672" s="110" t="s">
        <v>168</v>
      </c>
      <c r="G1672" s="110" t="s">
        <v>114</v>
      </c>
      <c r="H1672" s="111">
        <v>330</v>
      </c>
      <c r="I1672" s="111">
        <v>357</v>
      </c>
      <c r="J1672" s="111">
        <v>356</v>
      </c>
      <c r="K1672" s="111">
        <f t="shared" si="237"/>
        <v>347.66666666666669</v>
      </c>
      <c r="L1672" s="111">
        <v>200000</v>
      </c>
      <c r="M1672" s="111">
        <f t="shared" si="238"/>
        <v>90000</v>
      </c>
      <c r="N1672" s="111">
        <f t="shared" si="239"/>
        <v>90000</v>
      </c>
      <c r="O1672" s="111">
        <f t="shared" si="240"/>
        <v>18000</v>
      </c>
      <c r="P1672" s="111">
        <f t="shared" si="241"/>
        <v>20000</v>
      </c>
      <c r="Q1672" s="111">
        <v>50000</v>
      </c>
      <c r="R1672" s="111">
        <v>5</v>
      </c>
      <c r="S1672" s="111">
        <f t="shared" si="242"/>
        <v>5000</v>
      </c>
      <c r="T1672" s="111">
        <f t="shared" si="243"/>
        <v>250000</v>
      </c>
      <c r="U1672" s="111">
        <f t="shared" si="244"/>
        <v>2500</v>
      </c>
      <c r="V1672" s="111">
        <f t="shared" si="245"/>
        <v>252500</v>
      </c>
      <c r="W1672" t="s">
        <v>4133</v>
      </c>
    </row>
    <row r="1673" spans="1:23" x14ac:dyDescent="0.3">
      <c r="A1673" s="110">
        <v>2211021</v>
      </c>
      <c r="B1673" s="110" t="s">
        <v>1769</v>
      </c>
      <c r="C1673" s="110" t="s">
        <v>1770</v>
      </c>
      <c r="D1673" s="110" t="s">
        <v>1773</v>
      </c>
      <c r="E1673" s="110" t="s">
        <v>1861</v>
      </c>
      <c r="F1673" s="110" t="s">
        <v>119</v>
      </c>
      <c r="G1673" s="110" t="s">
        <v>114</v>
      </c>
      <c r="H1673" s="111">
        <v>613</v>
      </c>
      <c r="I1673" s="111">
        <v>621</v>
      </c>
      <c r="J1673" s="111">
        <v>648</v>
      </c>
      <c r="K1673" s="111">
        <f t="shared" si="237"/>
        <v>627.33333333333337</v>
      </c>
      <c r="L1673" s="111">
        <f>300000</f>
        <v>300000</v>
      </c>
      <c r="M1673" s="111">
        <f t="shared" si="238"/>
        <v>135000</v>
      </c>
      <c r="N1673" s="111">
        <f t="shared" si="239"/>
        <v>135000</v>
      </c>
      <c r="O1673" s="111">
        <f t="shared" si="240"/>
        <v>27000</v>
      </c>
      <c r="P1673" s="111">
        <f t="shared" si="241"/>
        <v>30000</v>
      </c>
      <c r="Q1673" s="111">
        <v>60000</v>
      </c>
      <c r="R1673" s="111">
        <v>6</v>
      </c>
      <c r="S1673" s="111">
        <f t="shared" si="242"/>
        <v>6000</v>
      </c>
      <c r="T1673" s="111">
        <f t="shared" si="243"/>
        <v>360000</v>
      </c>
      <c r="U1673" s="111">
        <f t="shared" si="244"/>
        <v>3600</v>
      </c>
      <c r="V1673" s="111">
        <f t="shared" si="245"/>
        <v>363600</v>
      </c>
      <c r="W1673" t="s">
        <v>4134</v>
      </c>
    </row>
    <row r="1674" spans="1:23" x14ac:dyDescent="0.3">
      <c r="A1674" s="110">
        <v>2211035</v>
      </c>
      <c r="B1674" s="110" t="s">
        <v>1769</v>
      </c>
      <c r="C1674" s="110" t="s">
        <v>1770</v>
      </c>
      <c r="D1674" s="110" t="s">
        <v>1773</v>
      </c>
      <c r="E1674" s="110" t="s">
        <v>1862</v>
      </c>
      <c r="F1674" s="110" t="s">
        <v>119</v>
      </c>
      <c r="G1674" s="110" t="s">
        <v>114</v>
      </c>
      <c r="H1674" s="111">
        <v>1164</v>
      </c>
      <c r="I1674" s="111">
        <v>1174</v>
      </c>
      <c r="J1674" s="111">
        <v>1173</v>
      </c>
      <c r="K1674" s="111">
        <f t="shared" si="237"/>
        <v>1170.3333333333333</v>
      </c>
      <c r="L1674" s="111">
        <f>600000</f>
        <v>600000</v>
      </c>
      <c r="M1674" s="111">
        <f t="shared" si="238"/>
        <v>270000</v>
      </c>
      <c r="N1674" s="111">
        <f t="shared" si="239"/>
        <v>270000</v>
      </c>
      <c r="O1674" s="111">
        <f t="shared" si="240"/>
        <v>54000</v>
      </c>
      <c r="P1674" s="111">
        <f t="shared" si="241"/>
        <v>60000</v>
      </c>
      <c r="Q1674" s="111">
        <v>80000</v>
      </c>
      <c r="R1674" s="111">
        <v>8</v>
      </c>
      <c r="S1674" s="111">
        <f t="shared" si="242"/>
        <v>8000</v>
      </c>
      <c r="T1674" s="111">
        <f t="shared" si="243"/>
        <v>680000</v>
      </c>
      <c r="U1674" s="111">
        <f t="shared" si="244"/>
        <v>6800</v>
      </c>
      <c r="V1674" s="111">
        <f t="shared" si="245"/>
        <v>686800</v>
      </c>
      <c r="W1674" t="s">
        <v>4135</v>
      </c>
    </row>
    <row r="1675" spans="1:23" x14ac:dyDescent="0.3">
      <c r="A1675" s="110">
        <v>2211107</v>
      </c>
      <c r="B1675" s="110" t="s">
        <v>1769</v>
      </c>
      <c r="C1675" s="110" t="s">
        <v>1770</v>
      </c>
      <c r="D1675" s="110" t="s">
        <v>1773</v>
      </c>
      <c r="E1675" s="110" t="s">
        <v>1863</v>
      </c>
      <c r="F1675" s="110" t="s">
        <v>113</v>
      </c>
      <c r="G1675" s="110" t="s">
        <v>114</v>
      </c>
      <c r="H1675" s="111">
        <v>658</v>
      </c>
      <c r="I1675" s="111">
        <v>662</v>
      </c>
      <c r="J1675" s="111">
        <v>669</v>
      </c>
      <c r="K1675" s="111">
        <f t="shared" si="237"/>
        <v>663</v>
      </c>
      <c r="L1675" s="111">
        <f>300000</f>
        <v>300000</v>
      </c>
      <c r="M1675" s="111">
        <f t="shared" si="238"/>
        <v>135000</v>
      </c>
      <c r="N1675" s="111">
        <f t="shared" si="239"/>
        <v>135000</v>
      </c>
      <c r="O1675" s="111">
        <f t="shared" si="240"/>
        <v>27000</v>
      </c>
      <c r="P1675" s="111">
        <f t="shared" si="241"/>
        <v>30000</v>
      </c>
      <c r="Q1675" s="111">
        <v>60000</v>
      </c>
      <c r="R1675" s="111">
        <v>6</v>
      </c>
      <c r="S1675" s="111">
        <f t="shared" si="242"/>
        <v>6000</v>
      </c>
      <c r="T1675" s="111">
        <f t="shared" si="243"/>
        <v>360000</v>
      </c>
      <c r="U1675" s="111">
        <f t="shared" si="244"/>
        <v>3600</v>
      </c>
      <c r="V1675" s="111">
        <f t="shared" si="245"/>
        <v>363600</v>
      </c>
      <c r="W1675" t="s">
        <v>4136</v>
      </c>
    </row>
    <row r="1676" spans="1:23" x14ac:dyDescent="0.3">
      <c r="A1676" s="110">
        <v>2211120</v>
      </c>
      <c r="B1676" s="110" t="s">
        <v>1769</v>
      </c>
      <c r="C1676" s="110" t="s">
        <v>1770</v>
      </c>
      <c r="D1676" s="110" t="s">
        <v>1773</v>
      </c>
      <c r="E1676" s="110" t="s">
        <v>1864</v>
      </c>
      <c r="F1676" s="110" t="s">
        <v>113</v>
      </c>
      <c r="G1676" s="110" t="s">
        <v>114</v>
      </c>
      <c r="H1676" s="111">
        <v>692</v>
      </c>
      <c r="I1676" s="111">
        <v>656</v>
      </c>
      <c r="J1676" s="111">
        <v>659</v>
      </c>
      <c r="K1676" s="111">
        <f t="shared" si="237"/>
        <v>669</v>
      </c>
      <c r="L1676" s="111">
        <f>300000</f>
        <v>300000</v>
      </c>
      <c r="M1676" s="111">
        <f t="shared" si="238"/>
        <v>135000</v>
      </c>
      <c r="N1676" s="111">
        <f t="shared" si="239"/>
        <v>135000</v>
      </c>
      <c r="O1676" s="111">
        <f t="shared" si="240"/>
        <v>27000</v>
      </c>
      <c r="P1676" s="111">
        <f t="shared" si="241"/>
        <v>30000</v>
      </c>
      <c r="Q1676" s="111">
        <v>60000</v>
      </c>
      <c r="R1676" s="111">
        <v>6</v>
      </c>
      <c r="S1676" s="111">
        <f t="shared" si="242"/>
        <v>6000</v>
      </c>
      <c r="T1676" s="111">
        <f t="shared" si="243"/>
        <v>360000</v>
      </c>
      <c r="U1676" s="111">
        <f t="shared" si="244"/>
        <v>3600</v>
      </c>
      <c r="V1676" s="111">
        <f t="shared" si="245"/>
        <v>363600</v>
      </c>
      <c r="W1676" t="s">
        <v>4137</v>
      </c>
    </row>
    <row r="1677" spans="1:23" x14ac:dyDescent="0.3">
      <c r="A1677" s="110">
        <v>2211122</v>
      </c>
      <c r="B1677" s="110" t="s">
        <v>1769</v>
      </c>
      <c r="C1677" s="110" t="s">
        <v>1770</v>
      </c>
      <c r="D1677" s="110" t="s">
        <v>1773</v>
      </c>
      <c r="E1677" s="110" t="s">
        <v>1865</v>
      </c>
      <c r="F1677" s="110" t="s">
        <v>113</v>
      </c>
      <c r="G1677" s="110" t="s">
        <v>114</v>
      </c>
      <c r="H1677" s="111">
        <v>569</v>
      </c>
      <c r="I1677" s="111">
        <v>605</v>
      </c>
      <c r="J1677" s="111">
        <v>627</v>
      </c>
      <c r="K1677" s="111">
        <f t="shared" si="237"/>
        <v>600.33333333333337</v>
      </c>
      <c r="L1677" s="111">
        <f>300000*0.7</f>
        <v>210000</v>
      </c>
      <c r="M1677" s="111">
        <f t="shared" si="238"/>
        <v>94500</v>
      </c>
      <c r="N1677" s="111">
        <f t="shared" si="239"/>
        <v>94500</v>
      </c>
      <c r="O1677" s="111">
        <f t="shared" si="240"/>
        <v>18900</v>
      </c>
      <c r="P1677" s="111">
        <f t="shared" si="241"/>
        <v>21000</v>
      </c>
      <c r="Q1677" s="111">
        <v>60000</v>
      </c>
      <c r="R1677" s="111">
        <v>6</v>
      </c>
      <c r="S1677" s="111">
        <f t="shared" si="242"/>
        <v>6000</v>
      </c>
      <c r="T1677" s="111">
        <f t="shared" si="243"/>
        <v>270000</v>
      </c>
      <c r="U1677" s="111">
        <f t="shared" si="244"/>
        <v>2700</v>
      </c>
      <c r="V1677" s="111">
        <f t="shared" si="245"/>
        <v>272700</v>
      </c>
      <c r="W1677" t="s">
        <v>4138</v>
      </c>
    </row>
    <row r="1678" spans="1:23" x14ac:dyDescent="0.3">
      <c r="A1678" s="110">
        <v>2211139</v>
      </c>
      <c r="B1678" s="110" t="s">
        <v>1769</v>
      </c>
      <c r="C1678" s="110" t="s">
        <v>1770</v>
      </c>
      <c r="D1678" s="110" t="s">
        <v>1773</v>
      </c>
      <c r="E1678" s="110" t="s">
        <v>1866</v>
      </c>
      <c r="F1678" s="110" t="s">
        <v>113</v>
      </c>
      <c r="G1678" s="110" t="s">
        <v>114</v>
      </c>
      <c r="H1678" s="111">
        <v>574</v>
      </c>
      <c r="I1678" s="111">
        <v>585</v>
      </c>
      <c r="J1678" s="111">
        <v>622</v>
      </c>
      <c r="K1678" s="111">
        <f t="shared" si="237"/>
        <v>593.66666666666663</v>
      </c>
      <c r="L1678" s="111">
        <f>300000</f>
        <v>300000</v>
      </c>
      <c r="M1678" s="111">
        <f t="shared" si="238"/>
        <v>135000</v>
      </c>
      <c r="N1678" s="111">
        <f t="shared" si="239"/>
        <v>135000</v>
      </c>
      <c r="O1678" s="111">
        <f t="shared" si="240"/>
        <v>27000</v>
      </c>
      <c r="P1678" s="111">
        <f t="shared" si="241"/>
        <v>30000</v>
      </c>
      <c r="Q1678" s="111">
        <v>60000</v>
      </c>
      <c r="R1678" s="111">
        <v>6</v>
      </c>
      <c r="S1678" s="111">
        <f t="shared" si="242"/>
        <v>6000</v>
      </c>
      <c r="T1678" s="111">
        <f t="shared" si="243"/>
        <v>360000</v>
      </c>
      <c r="U1678" s="111">
        <f t="shared" si="244"/>
        <v>3600</v>
      </c>
      <c r="V1678" s="111">
        <f t="shared" si="245"/>
        <v>363600</v>
      </c>
      <c r="W1678" t="s">
        <v>4139</v>
      </c>
    </row>
    <row r="1679" spans="1:23" x14ac:dyDescent="0.3">
      <c r="A1679" s="110">
        <v>2211304</v>
      </c>
      <c r="B1679" s="110" t="s">
        <v>1769</v>
      </c>
      <c r="C1679" s="110" t="s">
        <v>1770</v>
      </c>
      <c r="D1679" s="110" t="s">
        <v>1773</v>
      </c>
      <c r="E1679" s="110" t="s">
        <v>1867</v>
      </c>
      <c r="F1679" s="110" t="s">
        <v>122</v>
      </c>
      <c r="G1679" s="110" t="s">
        <v>125</v>
      </c>
      <c r="H1679" s="111">
        <v>1212</v>
      </c>
      <c r="I1679" s="111">
        <v>1215</v>
      </c>
      <c r="J1679" s="111">
        <v>1225</v>
      </c>
      <c r="K1679" s="111">
        <f t="shared" si="237"/>
        <v>1217.3333333333333</v>
      </c>
      <c r="L1679" s="111">
        <f>600000</f>
        <v>600000</v>
      </c>
      <c r="M1679" s="111">
        <f t="shared" si="238"/>
        <v>270000</v>
      </c>
      <c r="N1679" s="111">
        <f t="shared" si="239"/>
        <v>270000</v>
      </c>
      <c r="O1679" s="111">
        <f t="shared" si="240"/>
        <v>54000</v>
      </c>
      <c r="P1679" s="111">
        <f t="shared" si="241"/>
        <v>60000</v>
      </c>
      <c r="Q1679" s="111">
        <v>80000</v>
      </c>
      <c r="R1679" s="111">
        <v>8</v>
      </c>
      <c r="S1679" s="111">
        <f t="shared" si="242"/>
        <v>8000</v>
      </c>
      <c r="T1679" s="111">
        <f t="shared" si="243"/>
        <v>680000</v>
      </c>
      <c r="U1679" s="111">
        <f t="shared" si="244"/>
        <v>6800</v>
      </c>
      <c r="V1679" s="111">
        <f t="shared" si="245"/>
        <v>686800</v>
      </c>
      <c r="W1679" t="s">
        <v>4140</v>
      </c>
    </row>
    <row r="1680" spans="1:23" x14ac:dyDescent="0.3">
      <c r="A1680" s="110">
        <v>2211417</v>
      </c>
      <c r="B1680" s="110" t="s">
        <v>1769</v>
      </c>
      <c r="C1680" s="110" t="s">
        <v>1770</v>
      </c>
      <c r="D1680" s="110" t="s">
        <v>1773</v>
      </c>
      <c r="E1680" s="110" t="s">
        <v>1868</v>
      </c>
      <c r="F1680" s="110" t="s">
        <v>117</v>
      </c>
      <c r="G1680" s="110" t="s">
        <v>125</v>
      </c>
      <c r="H1680" s="111">
        <v>325</v>
      </c>
      <c r="I1680" s="111">
        <v>410</v>
      </c>
      <c r="J1680" s="111">
        <v>472</v>
      </c>
      <c r="K1680" s="111">
        <f t="shared" si="237"/>
        <v>402.33333333333331</v>
      </c>
      <c r="L1680" s="111">
        <f>300000</f>
        <v>300000</v>
      </c>
      <c r="M1680" s="111">
        <f t="shared" si="238"/>
        <v>135000</v>
      </c>
      <c r="N1680" s="111">
        <f t="shared" si="239"/>
        <v>135000</v>
      </c>
      <c r="O1680" s="111">
        <f t="shared" si="240"/>
        <v>27000</v>
      </c>
      <c r="P1680" s="111">
        <f t="shared" si="241"/>
        <v>30000</v>
      </c>
      <c r="Q1680" s="111">
        <v>60000</v>
      </c>
      <c r="R1680" s="111">
        <v>6</v>
      </c>
      <c r="S1680" s="111">
        <f t="shared" si="242"/>
        <v>6000</v>
      </c>
      <c r="T1680" s="111">
        <f t="shared" si="243"/>
        <v>360000</v>
      </c>
      <c r="U1680" s="111">
        <f t="shared" si="244"/>
        <v>3600</v>
      </c>
      <c r="V1680" s="111">
        <f t="shared" si="245"/>
        <v>363600</v>
      </c>
      <c r="W1680" t="s">
        <v>4141</v>
      </c>
    </row>
    <row r="1681" spans="1:23" x14ac:dyDescent="0.3">
      <c r="A1681" s="110">
        <v>2211419</v>
      </c>
      <c r="B1681" s="110" t="s">
        <v>1769</v>
      </c>
      <c r="C1681" s="110" t="s">
        <v>1770</v>
      </c>
      <c r="D1681" s="110" t="s">
        <v>1773</v>
      </c>
      <c r="E1681" s="110" t="s">
        <v>1869</v>
      </c>
      <c r="F1681" s="110" t="s">
        <v>117</v>
      </c>
      <c r="G1681" s="110" t="s">
        <v>125</v>
      </c>
      <c r="H1681" s="111">
        <v>917</v>
      </c>
      <c r="I1681" s="111">
        <v>918</v>
      </c>
      <c r="J1681" s="111">
        <v>921</v>
      </c>
      <c r="K1681" s="111">
        <f t="shared" si="237"/>
        <v>918.66666666666663</v>
      </c>
      <c r="L1681" s="111">
        <f>300000*0.7</f>
        <v>210000</v>
      </c>
      <c r="M1681" s="111">
        <f t="shared" si="238"/>
        <v>94500</v>
      </c>
      <c r="N1681" s="111">
        <f t="shared" si="239"/>
        <v>94500</v>
      </c>
      <c r="O1681" s="111">
        <f t="shared" si="240"/>
        <v>18900</v>
      </c>
      <c r="P1681" s="111">
        <f t="shared" si="241"/>
        <v>21000</v>
      </c>
      <c r="Q1681" s="111">
        <v>60000</v>
      </c>
      <c r="R1681" s="111">
        <v>6</v>
      </c>
      <c r="S1681" s="111">
        <f t="shared" si="242"/>
        <v>6000</v>
      </c>
      <c r="T1681" s="111">
        <f t="shared" si="243"/>
        <v>270000</v>
      </c>
      <c r="U1681" s="111">
        <f t="shared" si="244"/>
        <v>2700</v>
      </c>
      <c r="V1681" s="111">
        <f t="shared" si="245"/>
        <v>272700</v>
      </c>
      <c r="W1681" t="s">
        <v>4142</v>
      </c>
    </row>
    <row r="1682" spans="1:23" x14ac:dyDescent="0.3">
      <c r="A1682" s="110">
        <v>2211420</v>
      </c>
      <c r="B1682" s="110" t="s">
        <v>1769</v>
      </c>
      <c r="C1682" s="110" t="s">
        <v>1770</v>
      </c>
      <c r="D1682" s="110" t="s">
        <v>1773</v>
      </c>
      <c r="E1682" s="110" t="s">
        <v>1870</v>
      </c>
      <c r="F1682" s="110" t="s">
        <v>117</v>
      </c>
      <c r="G1682" s="110" t="s">
        <v>125</v>
      </c>
      <c r="H1682" s="111">
        <v>944</v>
      </c>
      <c r="I1682" s="111">
        <v>946</v>
      </c>
      <c r="J1682" s="111">
        <v>961</v>
      </c>
      <c r="K1682" s="111">
        <f t="shared" si="237"/>
        <v>950.33333333333337</v>
      </c>
      <c r="L1682" s="111">
        <f>300000</f>
        <v>300000</v>
      </c>
      <c r="M1682" s="111">
        <f t="shared" si="238"/>
        <v>135000</v>
      </c>
      <c r="N1682" s="111">
        <f t="shared" si="239"/>
        <v>135000</v>
      </c>
      <c r="O1682" s="111">
        <f t="shared" si="240"/>
        <v>27000</v>
      </c>
      <c r="P1682" s="111">
        <f t="shared" si="241"/>
        <v>30000</v>
      </c>
      <c r="Q1682" s="111">
        <v>60000</v>
      </c>
      <c r="R1682" s="111">
        <v>6</v>
      </c>
      <c r="S1682" s="111">
        <f t="shared" si="242"/>
        <v>6000</v>
      </c>
      <c r="T1682" s="111">
        <f t="shared" si="243"/>
        <v>360000</v>
      </c>
      <c r="U1682" s="111">
        <f t="shared" si="244"/>
        <v>3600</v>
      </c>
      <c r="V1682" s="111">
        <f t="shared" si="245"/>
        <v>363600</v>
      </c>
      <c r="W1682" t="s">
        <v>4143</v>
      </c>
    </row>
    <row r="1683" spans="1:23" x14ac:dyDescent="0.3">
      <c r="A1683" s="110">
        <v>2211607</v>
      </c>
      <c r="B1683" s="110" t="s">
        <v>1769</v>
      </c>
      <c r="C1683" s="110" t="s">
        <v>1770</v>
      </c>
      <c r="D1683" s="110" t="s">
        <v>1773</v>
      </c>
      <c r="E1683" s="110" t="s">
        <v>1871</v>
      </c>
      <c r="F1683" s="110" t="s">
        <v>135</v>
      </c>
      <c r="G1683" s="110" t="s">
        <v>125</v>
      </c>
      <c r="H1683" s="111">
        <v>106</v>
      </c>
      <c r="I1683" s="111">
        <v>109</v>
      </c>
      <c r="J1683" s="111">
        <v>106</v>
      </c>
      <c r="K1683" s="111">
        <f t="shared" si="237"/>
        <v>107</v>
      </c>
      <c r="L1683" s="111">
        <v>150000</v>
      </c>
      <c r="M1683" s="111">
        <f t="shared" si="238"/>
        <v>67500</v>
      </c>
      <c r="N1683" s="111">
        <f t="shared" si="239"/>
        <v>67500</v>
      </c>
      <c r="O1683" s="111">
        <f t="shared" si="240"/>
        <v>13500</v>
      </c>
      <c r="P1683" s="111">
        <f t="shared" si="241"/>
        <v>15000</v>
      </c>
      <c r="Q1683" s="111">
        <v>30000</v>
      </c>
      <c r="R1683" s="111">
        <v>3</v>
      </c>
      <c r="S1683" s="111">
        <f t="shared" si="242"/>
        <v>3000</v>
      </c>
      <c r="T1683" s="111">
        <f t="shared" si="243"/>
        <v>180000</v>
      </c>
      <c r="U1683" s="111">
        <f t="shared" si="244"/>
        <v>1800</v>
      </c>
      <c r="V1683" s="111">
        <f t="shared" si="245"/>
        <v>181800</v>
      </c>
      <c r="W1683" t="s">
        <v>4144</v>
      </c>
    </row>
    <row r="1684" spans="1:23" x14ac:dyDescent="0.3">
      <c r="A1684" s="110">
        <v>2212027</v>
      </c>
      <c r="B1684" s="110" t="s">
        <v>1769</v>
      </c>
      <c r="C1684" s="110" t="s">
        <v>1770</v>
      </c>
      <c r="D1684" s="110" t="s">
        <v>1773</v>
      </c>
      <c r="E1684" s="110" t="s">
        <v>1872</v>
      </c>
      <c r="F1684" s="110" t="s">
        <v>119</v>
      </c>
      <c r="G1684" s="110" t="s">
        <v>114</v>
      </c>
      <c r="H1684" s="111">
        <v>216</v>
      </c>
      <c r="I1684" s="111">
        <v>200</v>
      </c>
      <c r="J1684" s="111">
        <v>199</v>
      </c>
      <c r="K1684" s="111">
        <f t="shared" si="237"/>
        <v>205</v>
      </c>
      <c r="L1684" s="111">
        <v>200000</v>
      </c>
      <c r="M1684" s="111">
        <f t="shared" si="238"/>
        <v>90000</v>
      </c>
      <c r="N1684" s="111">
        <f t="shared" si="239"/>
        <v>90000</v>
      </c>
      <c r="O1684" s="111">
        <f t="shared" si="240"/>
        <v>18000</v>
      </c>
      <c r="P1684" s="111">
        <f t="shared" si="241"/>
        <v>20000</v>
      </c>
      <c r="Q1684" s="111">
        <v>50000</v>
      </c>
      <c r="R1684" s="111">
        <v>5</v>
      </c>
      <c r="S1684" s="111">
        <f t="shared" si="242"/>
        <v>5000</v>
      </c>
      <c r="T1684" s="111">
        <f t="shared" si="243"/>
        <v>250000</v>
      </c>
      <c r="U1684" s="111">
        <f t="shared" si="244"/>
        <v>2500</v>
      </c>
      <c r="V1684" s="111">
        <f t="shared" si="245"/>
        <v>252500</v>
      </c>
      <c r="W1684" t="s">
        <v>4145</v>
      </c>
    </row>
    <row r="1685" spans="1:23" x14ac:dyDescent="0.3">
      <c r="A1685" s="110">
        <v>2212033</v>
      </c>
      <c r="B1685" s="110" t="s">
        <v>1769</v>
      </c>
      <c r="C1685" s="110" t="s">
        <v>1770</v>
      </c>
      <c r="D1685" s="110" t="s">
        <v>1773</v>
      </c>
      <c r="E1685" s="110" t="s">
        <v>1873</v>
      </c>
      <c r="F1685" s="110" t="s">
        <v>113</v>
      </c>
      <c r="G1685" s="110" t="s">
        <v>114</v>
      </c>
      <c r="H1685" s="111">
        <v>576</v>
      </c>
      <c r="I1685" s="111">
        <v>551</v>
      </c>
      <c r="J1685" s="111">
        <v>513</v>
      </c>
      <c r="K1685" s="111">
        <f t="shared" si="237"/>
        <v>546.66666666666663</v>
      </c>
      <c r="L1685" s="111">
        <f>300000</f>
        <v>300000</v>
      </c>
      <c r="M1685" s="111">
        <f t="shared" si="238"/>
        <v>135000</v>
      </c>
      <c r="N1685" s="111">
        <f t="shared" si="239"/>
        <v>135000</v>
      </c>
      <c r="O1685" s="111">
        <f t="shared" si="240"/>
        <v>27000</v>
      </c>
      <c r="P1685" s="111">
        <f t="shared" si="241"/>
        <v>30000</v>
      </c>
      <c r="Q1685" s="111">
        <v>60000</v>
      </c>
      <c r="R1685" s="111">
        <v>6</v>
      </c>
      <c r="S1685" s="111">
        <f t="shared" si="242"/>
        <v>6000</v>
      </c>
      <c r="T1685" s="111">
        <f t="shared" si="243"/>
        <v>360000</v>
      </c>
      <c r="U1685" s="111">
        <f t="shared" si="244"/>
        <v>3600</v>
      </c>
      <c r="V1685" s="111">
        <f t="shared" si="245"/>
        <v>363600</v>
      </c>
      <c r="W1685" t="s">
        <v>4146</v>
      </c>
    </row>
    <row r="1686" spans="1:23" x14ac:dyDescent="0.3">
      <c r="A1686" s="110">
        <v>2212037</v>
      </c>
      <c r="B1686" s="110" t="s">
        <v>1769</v>
      </c>
      <c r="C1686" s="110" t="s">
        <v>1770</v>
      </c>
      <c r="D1686" s="110" t="s">
        <v>1773</v>
      </c>
      <c r="E1686" s="110" t="s">
        <v>1874</v>
      </c>
      <c r="F1686" s="110" t="s">
        <v>119</v>
      </c>
      <c r="G1686" s="110" t="s">
        <v>114</v>
      </c>
      <c r="H1686" s="111">
        <v>337</v>
      </c>
      <c r="I1686" s="111">
        <v>340</v>
      </c>
      <c r="J1686" s="111">
        <v>375</v>
      </c>
      <c r="K1686" s="111">
        <f t="shared" si="237"/>
        <v>350.66666666666669</v>
      </c>
      <c r="L1686" s="111">
        <v>200000</v>
      </c>
      <c r="M1686" s="111">
        <f t="shared" si="238"/>
        <v>90000</v>
      </c>
      <c r="N1686" s="111">
        <f t="shared" si="239"/>
        <v>90000</v>
      </c>
      <c r="O1686" s="111">
        <f t="shared" si="240"/>
        <v>18000</v>
      </c>
      <c r="P1686" s="111">
        <f t="shared" si="241"/>
        <v>20000</v>
      </c>
      <c r="Q1686" s="111">
        <v>50000</v>
      </c>
      <c r="R1686" s="111">
        <v>5</v>
      </c>
      <c r="S1686" s="111">
        <f t="shared" si="242"/>
        <v>5000</v>
      </c>
      <c r="T1686" s="111">
        <f t="shared" si="243"/>
        <v>250000</v>
      </c>
      <c r="U1686" s="111">
        <f t="shared" si="244"/>
        <v>2500</v>
      </c>
      <c r="V1686" s="111">
        <f t="shared" si="245"/>
        <v>252500</v>
      </c>
      <c r="W1686" t="s">
        <v>4147</v>
      </c>
    </row>
    <row r="1687" spans="1:23" x14ac:dyDescent="0.3">
      <c r="A1687" s="110">
        <v>2212040</v>
      </c>
      <c r="B1687" s="110" t="s">
        <v>1769</v>
      </c>
      <c r="C1687" s="110" t="s">
        <v>1770</v>
      </c>
      <c r="D1687" s="110" t="s">
        <v>1773</v>
      </c>
      <c r="E1687" s="110" t="s">
        <v>1875</v>
      </c>
      <c r="F1687" s="110" t="s">
        <v>119</v>
      </c>
      <c r="G1687" s="110" t="s">
        <v>114</v>
      </c>
      <c r="H1687" s="111">
        <v>858</v>
      </c>
      <c r="I1687" s="111">
        <v>902</v>
      </c>
      <c r="J1687" s="111">
        <v>942</v>
      </c>
      <c r="K1687" s="111">
        <f t="shared" si="237"/>
        <v>900.66666666666663</v>
      </c>
      <c r="L1687" s="111">
        <f>300000</f>
        <v>300000</v>
      </c>
      <c r="M1687" s="111">
        <f t="shared" si="238"/>
        <v>135000</v>
      </c>
      <c r="N1687" s="111">
        <f t="shared" si="239"/>
        <v>135000</v>
      </c>
      <c r="O1687" s="111">
        <f t="shared" si="240"/>
        <v>27000</v>
      </c>
      <c r="P1687" s="111">
        <f t="shared" si="241"/>
        <v>30000</v>
      </c>
      <c r="Q1687" s="111">
        <v>60000</v>
      </c>
      <c r="R1687" s="111">
        <v>6</v>
      </c>
      <c r="S1687" s="111">
        <f t="shared" si="242"/>
        <v>6000</v>
      </c>
      <c r="T1687" s="111">
        <f t="shared" si="243"/>
        <v>360000</v>
      </c>
      <c r="U1687" s="111">
        <f t="shared" si="244"/>
        <v>3600</v>
      </c>
      <c r="V1687" s="111">
        <f t="shared" si="245"/>
        <v>363600</v>
      </c>
      <c r="W1687" t="s">
        <v>4148</v>
      </c>
    </row>
    <row r="1688" spans="1:23" x14ac:dyDescent="0.3">
      <c r="A1688" s="110">
        <v>2212056</v>
      </c>
      <c r="B1688" s="110" t="s">
        <v>1769</v>
      </c>
      <c r="C1688" s="110" t="s">
        <v>1770</v>
      </c>
      <c r="D1688" s="110" t="s">
        <v>1773</v>
      </c>
      <c r="E1688" s="110" t="s">
        <v>1876</v>
      </c>
      <c r="F1688" s="110" t="s">
        <v>119</v>
      </c>
      <c r="G1688" s="110" t="s">
        <v>114</v>
      </c>
      <c r="H1688" s="111">
        <v>1132</v>
      </c>
      <c r="I1688" s="111">
        <v>1153</v>
      </c>
      <c r="J1688" s="111">
        <v>1122</v>
      </c>
      <c r="K1688" s="111">
        <f t="shared" si="237"/>
        <v>1135.6666666666667</v>
      </c>
      <c r="L1688" s="111">
        <f>600000</f>
        <v>600000</v>
      </c>
      <c r="M1688" s="111">
        <f t="shared" si="238"/>
        <v>270000</v>
      </c>
      <c r="N1688" s="111">
        <f t="shared" si="239"/>
        <v>270000</v>
      </c>
      <c r="O1688" s="111">
        <f t="shared" si="240"/>
        <v>54000</v>
      </c>
      <c r="P1688" s="111">
        <f t="shared" si="241"/>
        <v>60000</v>
      </c>
      <c r="Q1688" s="111">
        <v>80000</v>
      </c>
      <c r="R1688" s="111">
        <v>8</v>
      </c>
      <c r="S1688" s="111">
        <f t="shared" si="242"/>
        <v>8000</v>
      </c>
      <c r="T1688" s="111">
        <f t="shared" si="243"/>
        <v>680000</v>
      </c>
      <c r="U1688" s="111">
        <f t="shared" si="244"/>
        <v>6800</v>
      </c>
      <c r="V1688" s="111">
        <f t="shared" si="245"/>
        <v>686800</v>
      </c>
      <c r="W1688" t="s">
        <v>4149</v>
      </c>
    </row>
    <row r="1689" spans="1:23" x14ac:dyDescent="0.3">
      <c r="A1689" s="110">
        <v>2212077</v>
      </c>
      <c r="B1689" s="110" t="s">
        <v>1769</v>
      </c>
      <c r="C1689" s="110" t="s">
        <v>1770</v>
      </c>
      <c r="D1689" s="110" t="s">
        <v>1773</v>
      </c>
      <c r="E1689" s="110" t="s">
        <v>1877</v>
      </c>
      <c r="F1689" s="110" t="s">
        <v>113</v>
      </c>
      <c r="G1689" s="110" t="s">
        <v>114</v>
      </c>
      <c r="H1689" s="111">
        <v>157</v>
      </c>
      <c r="I1689" s="111">
        <v>147</v>
      </c>
      <c r="J1689" s="111">
        <v>137</v>
      </c>
      <c r="K1689" s="111">
        <f t="shared" si="237"/>
        <v>147</v>
      </c>
      <c r="L1689" s="111">
        <v>150000</v>
      </c>
      <c r="M1689" s="111">
        <f t="shared" si="238"/>
        <v>67500</v>
      </c>
      <c r="N1689" s="111">
        <f t="shared" si="239"/>
        <v>67500</v>
      </c>
      <c r="O1689" s="111">
        <f t="shared" si="240"/>
        <v>13500</v>
      </c>
      <c r="P1689" s="111">
        <f t="shared" si="241"/>
        <v>15000</v>
      </c>
      <c r="Q1689" s="111">
        <v>30000</v>
      </c>
      <c r="R1689" s="111">
        <v>3</v>
      </c>
      <c r="S1689" s="111">
        <f t="shared" si="242"/>
        <v>3000</v>
      </c>
      <c r="T1689" s="111">
        <f t="shared" si="243"/>
        <v>180000</v>
      </c>
      <c r="U1689" s="111">
        <f t="shared" si="244"/>
        <v>1800</v>
      </c>
      <c r="V1689" s="111">
        <f t="shared" si="245"/>
        <v>181800</v>
      </c>
      <c r="W1689" t="s">
        <v>4150</v>
      </c>
    </row>
    <row r="1690" spans="1:23" x14ac:dyDescent="0.3">
      <c r="A1690" s="110">
        <v>2212079</v>
      </c>
      <c r="B1690" s="110" t="s">
        <v>1769</v>
      </c>
      <c r="C1690" s="110" t="s">
        <v>1770</v>
      </c>
      <c r="D1690" s="110" t="s">
        <v>1773</v>
      </c>
      <c r="E1690" s="110" t="s">
        <v>1878</v>
      </c>
      <c r="F1690" s="110" t="s">
        <v>119</v>
      </c>
      <c r="G1690" s="110" t="s">
        <v>114</v>
      </c>
      <c r="H1690" s="111">
        <v>851</v>
      </c>
      <c r="I1690" s="111">
        <v>848</v>
      </c>
      <c r="J1690" s="111">
        <v>863</v>
      </c>
      <c r="K1690" s="111">
        <f t="shared" si="237"/>
        <v>854</v>
      </c>
      <c r="L1690" s="111">
        <f>300000</f>
        <v>300000</v>
      </c>
      <c r="M1690" s="111">
        <f t="shared" si="238"/>
        <v>135000</v>
      </c>
      <c r="N1690" s="111">
        <f t="shared" si="239"/>
        <v>135000</v>
      </c>
      <c r="O1690" s="111">
        <f t="shared" si="240"/>
        <v>27000</v>
      </c>
      <c r="P1690" s="111">
        <f t="shared" si="241"/>
        <v>30000</v>
      </c>
      <c r="Q1690" s="111">
        <v>60000</v>
      </c>
      <c r="R1690" s="111">
        <v>6</v>
      </c>
      <c r="S1690" s="111">
        <f t="shared" si="242"/>
        <v>6000</v>
      </c>
      <c r="T1690" s="111">
        <f t="shared" si="243"/>
        <v>360000</v>
      </c>
      <c r="U1690" s="111">
        <f t="shared" si="244"/>
        <v>3600</v>
      </c>
      <c r="V1690" s="111">
        <f t="shared" si="245"/>
        <v>363600</v>
      </c>
      <c r="W1690" t="s">
        <v>4151</v>
      </c>
    </row>
    <row r="1691" spans="1:23" x14ac:dyDescent="0.3">
      <c r="A1691" s="110">
        <v>2212090</v>
      </c>
      <c r="B1691" s="110" t="s">
        <v>1769</v>
      </c>
      <c r="C1691" s="110" t="s">
        <v>1770</v>
      </c>
      <c r="D1691" s="110" t="s">
        <v>1773</v>
      </c>
      <c r="E1691" s="110" t="s">
        <v>1879</v>
      </c>
      <c r="F1691" s="110" t="s">
        <v>119</v>
      </c>
      <c r="G1691" s="110" t="s">
        <v>114</v>
      </c>
      <c r="H1691" s="111">
        <v>554</v>
      </c>
      <c r="I1691" s="111">
        <v>596</v>
      </c>
      <c r="J1691" s="111">
        <v>693</v>
      </c>
      <c r="K1691" s="111">
        <f t="shared" si="237"/>
        <v>614.33333333333337</v>
      </c>
      <c r="L1691" s="111">
        <f>300000*0.7</f>
        <v>210000</v>
      </c>
      <c r="M1691" s="111">
        <f t="shared" si="238"/>
        <v>94500</v>
      </c>
      <c r="N1691" s="111">
        <f t="shared" si="239"/>
        <v>94500</v>
      </c>
      <c r="O1691" s="111">
        <f t="shared" si="240"/>
        <v>18900</v>
      </c>
      <c r="P1691" s="111">
        <f t="shared" si="241"/>
        <v>21000</v>
      </c>
      <c r="Q1691" s="111">
        <v>60000</v>
      </c>
      <c r="R1691" s="111">
        <v>6</v>
      </c>
      <c r="S1691" s="111">
        <f t="shared" si="242"/>
        <v>6000</v>
      </c>
      <c r="T1691" s="111">
        <f t="shared" si="243"/>
        <v>270000</v>
      </c>
      <c r="U1691" s="111">
        <f t="shared" si="244"/>
        <v>2700</v>
      </c>
      <c r="V1691" s="111">
        <f t="shared" si="245"/>
        <v>272700</v>
      </c>
      <c r="W1691" t="s">
        <v>4152</v>
      </c>
    </row>
    <row r="1692" spans="1:23" x14ac:dyDescent="0.3">
      <c r="A1692" s="110">
        <v>2212096</v>
      </c>
      <c r="B1692" s="110" t="s">
        <v>1769</v>
      </c>
      <c r="C1692" s="110" t="s">
        <v>1770</v>
      </c>
      <c r="D1692" s="110" t="s">
        <v>1773</v>
      </c>
      <c r="E1692" s="110" t="s">
        <v>1880</v>
      </c>
      <c r="F1692" s="110" t="s">
        <v>119</v>
      </c>
      <c r="G1692" s="110" t="s">
        <v>114</v>
      </c>
      <c r="H1692" s="111">
        <v>988</v>
      </c>
      <c r="I1692" s="111">
        <v>968</v>
      </c>
      <c r="J1692" s="111">
        <v>979</v>
      </c>
      <c r="K1692" s="111">
        <f t="shared" si="237"/>
        <v>978.33333333333337</v>
      </c>
      <c r="L1692" s="111">
        <f>300000</f>
        <v>300000</v>
      </c>
      <c r="M1692" s="111">
        <f t="shared" si="238"/>
        <v>135000</v>
      </c>
      <c r="N1692" s="111">
        <f t="shared" si="239"/>
        <v>135000</v>
      </c>
      <c r="O1692" s="111">
        <f t="shared" si="240"/>
        <v>27000</v>
      </c>
      <c r="P1692" s="111">
        <f t="shared" si="241"/>
        <v>30000</v>
      </c>
      <c r="Q1692" s="111">
        <v>60000</v>
      </c>
      <c r="R1692" s="111">
        <v>6</v>
      </c>
      <c r="S1692" s="111">
        <f t="shared" si="242"/>
        <v>6000</v>
      </c>
      <c r="T1692" s="111">
        <f t="shared" si="243"/>
        <v>360000</v>
      </c>
      <c r="U1692" s="111">
        <f t="shared" si="244"/>
        <v>3600</v>
      </c>
      <c r="V1692" s="111">
        <f t="shared" si="245"/>
        <v>363600</v>
      </c>
      <c r="W1692" t="s">
        <v>4153</v>
      </c>
    </row>
    <row r="1693" spans="1:23" x14ac:dyDescent="0.3">
      <c r="A1693" s="110">
        <v>2212097</v>
      </c>
      <c r="B1693" s="110" t="s">
        <v>1769</v>
      </c>
      <c r="C1693" s="110" t="s">
        <v>1770</v>
      </c>
      <c r="D1693" s="110" t="s">
        <v>1773</v>
      </c>
      <c r="E1693" s="110" t="s">
        <v>1881</v>
      </c>
      <c r="F1693" s="110" t="s">
        <v>119</v>
      </c>
      <c r="G1693" s="110" t="s">
        <v>114</v>
      </c>
      <c r="H1693" s="111">
        <v>923</v>
      </c>
      <c r="I1693" s="111">
        <v>956</v>
      </c>
      <c r="J1693" s="111">
        <v>1004</v>
      </c>
      <c r="K1693" s="111">
        <f t="shared" si="237"/>
        <v>961</v>
      </c>
      <c r="L1693" s="111">
        <f>300000</f>
        <v>300000</v>
      </c>
      <c r="M1693" s="111">
        <f t="shared" si="238"/>
        <v>135000</v>
      </c>
      <c r="N1693" s="111">
        <f t="shared" si="239"/>
        <v>135000</v>
      </c>
      <c r="O1693" s="111">
        <f t="shared" si="240"/>
        <v>27000</v>
      </c>
      <c r="P1693" s="111">
        <f t="shared" si="241"/>
        <v>30000</v>
      </c>
      <c r="Q1693" s="111">
        <v>60000</v>
      </c>
      <c r="R1693" s="111">
        <v>6</v>
      </c>
      <c r="S1693" s="111">
        <f t="shared" si="242"/>
        <v>6000</v>
      </c>
      <c r="T1693" s="111">
        <f t="shared" si="243"/>
        <v>360000</v>
      </c>
      <c r="U1693" s="111">
        <f t="shared" si="244"/>
        <v>3600</v>
      </c>
      <c r="V1693" s="111">
        <f t="shared" si="245"/>
        <v>363600</v>
      </c>
      <c r="W1693" t="s">
        <v>4154</v>
      </c>
    </row>
    <row r="1694" spans="1:23" x14ac:dyDescent="0.3">
      <c r="A1694" s="110">
        <v>2212103</v>
      </c>
      <c r="B1694" s="110" t="s">
        <v>1769</v>
      </c>
      <c r="C1694" s="110" t="s">
        <v>1770</v>
      </c>
      <c r="D1694" s="110" t="s">
        <v>1773</v>
      </c>
      <c r="E1694" s="110" t="s">
        <v>1882</v>
      </c>
      <c r="F1694" s="110" t="s">
        <v>113</v>
      </c>
      <c r="G1694" s="110" t="s">
        <v>114</v>
      </c>
      <c r="H1694" s="111">
        <v>288</v>
      </c>
      <c r="I1694" s="111">
        <v>253</v>
      </c>
      <c r="J1694" s="111">
        <v>227</v>
      </c>
      <c r="K1694" s="111">
        <f t="shared" si="237"/>
        <v>256</v>
      </c>
      <c r="L1694" s="111">
        <v>200000</v>
      </c>
      <c r="M1694" s="111">
        <f t="shared" si="238"/>
        <v>90000</v>
      </c>
      <c r="N1694" s="111">
        <f t="shared" si="239"/>
        <v>90000</v>
      </c>
      <c r="O1694" s="111">
        <f t="shared" si="240"/>
        <v>18000</v>
      </c>
      <c r="P1694" s="111">
        <f t="shared" si="241"/>
        <v>20000</v>
      </c>
      <c r="Q1694" s="111">
        <v>50000</v>
      </c>
      <c r="R1694" s="111">
        <v>5</v>
      </c>
      <c r="S1694" s="111">
        <f t="shared" si="242"/>
        <v>5000</v>
      </c>
      <c r="T1694" s="111">
        <f t="shared" si="243"/>
        <v>250000</v>
      </c>
      <c r="U1694" s="111">
        <f t="shared" si="244"/>
        <v>2500</v>
      </c>
      <c r="V1694" s="111">
        <f t="shared" si="245"/>
        <v>252500</v>
      </c>
      <c r="W1694" t="s">
        <v>4155</v>
      </c>
    </row>
    <row r="1695" spans="1:23" x14ac:dyDescent="0.3">
      <c r="A1695" s="110">
        <v>2212137</v>
      </c>
      <c r="B1695" s="110" t="s">
        <v>1769</v>
      </c>
      <c r="C1695" s="110" t="s">
        <v>1770</v>
      </c>
      <c r="D1695" s="110" t="s">
        <v>1773</v>
      </c>
      <c r="E1695" s="110" t="s">
        <v>1883</v>
      </c>
      <c r="F1695" s="110" t="s">
        <v>119</v>
      </c>
      <c r="G1695" s="110" t="s">
        <v>114</v>
      </c>
      <c r="H1695" s="111">
        <v>1013</v>
      </c>
      <c r="I1695" s="111">
        <v>1026</v>
      </c>
      <c r="J1695" s="111">
        <v>1043</v>
      </c>
      <c r="K1695" s="111">
        <f t="shared" si="237"/>
        <v>1027.3333333333333</v>
      </c>
      <c r="L1695" s="111">
        <f>600000</f>
        <v>600000</v>
      </c>
      <c r="M1695" s="111">
        <f t="shared" si="238"/>
        <v>270000</v>
      </c>
      <c r="N1695" s="111">
        <f t="shared" si="239"/>
        <v>270000</v>
      </c>
      <c r="O1695" s="111">
        <f t="shared" si="240"/>
        <v>54000</v>
      </c>
      <c r="P1695" s="111">
        <f t="shared" si="241"/>
        <v>60000</v>
      </c>
      <c r="Q1695" s="111">
        <v>80000</v>
      </c>
      <c r="R1695" s="111">
        <v>8</v>
      </c>
      <c r="S1695" s="111">
        <f t="shared" si="242"/>
        <v>8000</v>
      </c>
      <c r="T1695" s="111">
        <f t="shared" si="243"/>
        <v>680000</v>
      </c>
      <c r="U1695" s="111">
        <f t="shared" si="244"/>
        <v>6800</v>
      </c>
      <c r="V1695" s="111">
        <f t="shared" si="245"/>
        <v>686800</v>
      </c>
      <c r="W1695" t="s">
        <v>4156</v>
      </c>
    </row>
    <row r="1696" spans="1:23" x14ac:dyDescent="0.3">
      <c r="A1696" s="110">
        <v>2212303</v>
      </c>
      <c r="B1696" s="110" t="s">
        <v>1769</v>
      </c>
      <c r="C1696" s="110" t="s">
        <v>1770</v>
      </c>
      <c r="D1696" s="110" t="s">
        <v>1773</v>
      </c>
      <c r="E1696" s="110" t="s">
        <v>1884</v>
      </c>
      <c r="F1696" s="110" t="s">
        <v>122</v>
      </c>
      <c r="G1696" s="110" t="s">
        <v>114</v>
      </c>
      <c r="H1696" s="111">
        <v>491</v>
      </c>
      <c r="I1696" s="111">
        <v>557</v>
      </c>
      <c r="J1696" s="111">
        <v>612</v>
      </c>
      <c r="K1696" s="111">
        <f t="shared" si="237"/>
        <v>553.33333333333337</v>
      </c>
      <c r="L1696" s="111">
        <f>300000</f>
        <v>300000</v>
      </c>
      <c r="M1696" s="111">
        <f t="shared" si="238"/>
        <v>135000</v>
      </c>
      <c r="N1696" s="111">
        <f t="shared" si="239"/>
        <v>135000</v>
      </c>
      <c r="O1696" s="111">
        <f t="shared" si="240"/>
        <v>27000</v>
      </c>
      <c r="P1696" s="111">
        <f t="shared" si="241"/>
        <v>30000</v>
      </c>
      <c r="Q1696" s="111">
        <v>60000</v>
      </c>
      <c r="R1696" s="111">
        <v>6</v>
      </c>
      <c r="S1696" s="111">
        <f t="shared" si="242"/>
        <v>6000</v>
      </c>
      <c r="T1696" s="111">
        <f t="shared" si="243"/>
        <v>360000</v>
      </c>
      <c r="U1696" s="111">
        <f t="shared" si="244"/>
        <v>3600</v>
      </c>
      <c r="V1696" s="111">
        <f t="shared" si="245"/>
        <v>363600</v>
      </c>
      <c r="W1696" t="s">
        <v>4157</v>
      </c>
    </row>
    <row r="1697" spans="1:23" x14ac:dyDescent="0.3">
      <c r="A1697" s="110">
        <v>2213010</v>
      </c>
      <c r="B1697" s="110" t="s">
        <v>1769</v>
      </c>
      <c r="C1697" s="110" t="s">
        <v>1770</v>
      </c>
      <c r="D1697" s="110" t="s">
        <v>1773</v>
      </c>
      <c r="E1697" s="110" t="s">
        <v>1885</v>
      </c>
      <c r="F1697" s="110" t="s">
        <v>119</v>
      </c>
      <c r="G1697" s="110" t="s">
        <v>114</v>
      </c>
      <c r="H1697" s="111">
        <v>687</v>
      </c>
      <c r="I1697" s="111">
        <v>741</v>
      </c>
      <c r="J1697" s="111">
        <v>799</v>
      </c>
      <c r="K1697" s="111">
        <f t="shared" si="237"/>
        <v>742.33333333333337</v>
      </c>
      <c r="L1697" s="111">
        <f>300000*0.7</f>
        <v>210000</v>
      </c>
      <c r="M1697" s="111">
        <f t="shared" si="238"/>
        <v>94500</v>
      </c>
      <c r="N1697" s="111">
        <f t="shared" si="239"/>
        <v>94500</v>
      </c>
      <c r="O1697" s="111">
        <f t="shared" si="240"/>
        <v>18900</v>
      </c>
      <c r="P1697" s="111">
        <f t="shared" si="241"/>
        <v>21000</v>
      </c>
      <c r="Q1697" s="111">
        <v>60000</v>
      </c>
      <c r="R1697" s="111">
        <v>6</v>
      </c>
      <c r="S1697" s="111">
        <f t="shared" si="242"/>
        <v>6000</v>
      </c>
      <c r="T1697" s="111">
        <f t="shared" si="243"/>
        <v>270000</v>
      </c>
      <c r="U1697" s="111">
        <f t="shared" si="244"/>
        <v>2700</v>
      </c>
      <c r="V1697" s="111">
        <f t="shared" si="245"/>
        <v>272700</v>
      </c>
      <c r="W1697" t="s">
        <v>4158</v>
      </c>
    </row>
    <row r="1698" spans="1:23" x14ac:dyDescent="0.3">
      <c r="A1698" s="110">
        <v>2213039</v>
      </c>
      <c r="B1698" s="110" t="s">
        <v>1769</v>
      </c>
      <c r="C1698" s="110" t="s">
        <v>1770</v>
      </c>
      <c r="D1698" s="110" t="s">
        <v>1773</v>
      </c>
      <c r="E1698" s="110" t="s">
        <v>1886</v>
      </c>
      <c r="F1698" s="110" t="s">
        <v>119</v>
      </c>
      <c r="G1698" s="110" t="s">
        <v>114</v>
      </c>
      <c r="H1698" s="111">
        <v>651</v>
      </c>
      <c r="I1698" s="111">
        <v>655</v>
      </c>
      <c r="J1698" s="111">
        <v>681</v>
      </c>
      <c r="K1698" s="111">
        <f t="shared" si="237"/>
        <v>662.33333333333337</v>
      </c>
      <c r="L1698" s="111">
        <f>300000</f>
        <v>300000</v>
      </c>
      <c r="M1698" s="111">
        <f t="shared" si="238"/>
        <v>135000</v>
      </c>
      <c r="N1698" s="111">
        <f t="shared" si="239"/>
        <v>135000</v>
      </c>
      <c r="O1698" s="111">
        <f t="shared" si="240"/>
        <v>27000</v>
      </c>
      <c r="P1698" s="111">
        <f t="shared" si="241"/>
        <v>30000</v>
      </c>
      <c r="Q1698" s="111">
        <v>60000</v>
      </c>
      <c r="R1698" s="111">
        <v>6</v>
      </c>
      <c r="S1698" s="111">
        <f t="shared" si="242"/>
        <v>6000</v>
      </c>
      <c r="T1698" s="111">
        <f t="shared" si="243"/>
        <v>360000</v>
      </c>
      <c r="U1698" s="111">
        <f t="shared" si="244"/>
        <v>3600</v>
      </c>
      <c r="V1698" s="111">
        <f t="shared" si="245"/>
        <v>363600</v>
      </c>
      <c r="W1698" t="s">
        <v>4159</v>
      </c>
    </row>
    <row r="1699" spans="1:23" x14ac:dyDescent="0.3">
      <c r="A1699" s="110">
        <v>2213081</v>
      </c>
      <c r="B1699" s="110" t="s">
        <v>1769</v>
      </c>
      <c r="C1699" s="110" t="s">
        <v>1770</v>
      </c>
      <c r="D1699" s="110" t="s">
        <v>1773</v>
      </c>
      <c r="E1699" s="110" t="s">
        <v>1887</v>
      </c>
      <c r="F1699" s="110" t="s">
        <v>119</v>
      </c>
      <c r="G1699" s="110" t="s">
        <v>114</v>
      </c>
      <c r="H1699" s="111">
        <v>1318</v>
      </c>
      <c r="I1699" s="111">
        <v>1305</v>
      </c>
      <c r="J1699" s="111">
        <v>1329</v>
      </c>
      <c r="K1699" s="111">
        <f t="shared" si="237"/>
        <v>1317.3333333333333</v>
      </c>
      <c r="L1699" s="111">
        <f>600000*0.7</f>
        <v>420000</v>
      </c>
      <c r="M1699" s="111">
        <f t="shared" si="238"/>
        <v>189000</v>
      </c>
      <c r="N1699" s="111">
        <f t="shared" si="239"/>
        <v>189000</v>
      </c>
      <c r="O1699" s="111">
        <f t="shared" si="240"/>
        <v>37800</v>
      </c>
      <c r="P1699" s="111">
        <f t="shared" si="241"/>
        <v>42000</v>
      </c>
      <c r="Q1699" s="111">
        <v>80000</v>
      </c>
      <c r="R1699" s="111">
        <v>8</v>
      </c>
      <c r="S1699" s="111">
        <f t="shared" si="242"/>
        <v>8000</v>
      </c>
      <c r="T1699" s="111">
        <f t="shared" si="243"/>
        <v>500000</v>
      </c>
      <c r="U1699" s="111">
        <f t="shared" si="244"/>
        <v>5000</v>
      </c>
      <c r="V1699" s="111">
        <f t="shared" si="245"/>
        <v>505000</v>
      </c>
      <c r="W1699" t="s">
        <v>4160</v>
      </c>
    </row>
    <row r="1700" spans="1:23" x14ac:dyDescent="0.3">
      <c r="A1700" s="110">
        <v>2213082</v>
      </c>
      <c r="B1700" s="110" t="s">
        <v>1769</v>
      </c>
      <c r="C1700" s="110" t="s">
        <v>1770</v>
      </c>
      <c r="D1700" s="110" t="s">
        <v>1773</v>
      </c>
      <c r="E1700" s="110" t="s">
        <v>1888</v>
      </c>
      <c r="F1700" s="110" t="s">
        <v>113</v>
      </c>
      <c r="G1700" s="110" t="s">
        <v>114</v>
      </c>
      <c r="H1700" s="111">
        <v>226</v>
      </c>
      <c r="I1700" s="111">
        <v>270</v>
      </c>
      <c r="J1700" s="111">
        <v>274</v>
      </c>
      <c r="K1700" s="111">
        <f t="shared" si="237"/>
        <v>256.66666666666669</v>
      </c>
      <c r="L1700" s="111">
        <v>200000</v>
      </c>
      <c r="M1700" s="111">
        <f t="shared" si="238"/>
        <v>90000</v>
      </c>
      <c r="N1700" s="111">
        <f t="shared" si="239"/>
        <v>90000</v>
      </c>
      <c r="O1700" s="111">
        <f t="shared" si="240"/>
        <v>18000</v>
      </c>
      <c r="P1700" s="111">
        <f t="shared" si="241"/>
        <v>20000</v>
      </c>
      <c r="Q1700" s="111">
        <v>50000</v>
      </c>
      <c r="R1700" s="111">
        <v>5</v>
      </c>
      <c r="S1700" s="111">
        <f t="shared" si="242"/>
        <v>5000</v>
      </c>
      <c r="T1700" s="111">
        <f t="shared" si="243"/>
        <v>250000</v>
      </c>
      <c r="U1700" s="111">
        <f t="shared" si="244"/>
        <v>2500</v>
      </c>
      <c r="V1700" s="111">
        <f t="shared" si="245"/>
        <v>252500</v>
      </c>
      <c r="W1700" t="s">
        <v>4161</v>
      </c>
    </row>
    <row r="1701" spans="1:23" x14ac:dyDescent="0.3">
      <c r="A1701" s="110">
        <v>2213118</v>
      </c>
      <c r="B1701" s="110" t="s">
        <v>1769</v>
      </c>
      <c r="C1701" s="110" t="s">
        <v>1770</v>
      </c>
      <c r="D1701" s="110" t="s">
        <v>1773</v>
      </c>
      <c r="E1701" s="110" t="s">
        <v>1889</v>
      </c>
      <c r="F1701" s="110" t="s">
        <v>119</v>
      </c>
      <c r="G1701" s="110" t="s">
        <v>114</v>
      </c>
      <c r="H1701" s="111">
        <v>804</v>
      </c>
      <c r="I1701" s="111">
        <v>791</v>
      </c>
      <c r="J1701" s="111">
        <v>799</v>
      </c>
      <c r="K1701" s="111">
        <f t="shared" si="237"/>
        <v>798</v>
      </c>
      <c r="L1701" s="111">
        <f>300000</f>
        <v>300000</v>
      </c>
      <c r="M1701" s="111">
        <f t="shared" si="238"/>
        <v>135000</v>
      </c>
      <c r="N1701" s="111">
        <f t="shared" si="239"/>
        <v>135000</v>
      </c>
      <c r="O1701" s="111">
        <f t="shared" si="240"/>
        <v>27000</v>
      </c>
      <c r="P1701" s="111">
        <f t="shared" si="241"/>
        <v>30000</v>
      </c>
      <c r="Q1701" s="111">
        <v>60000</v>
      </c>
      <c r="R1701" s="111">
        <v>6</v>
      </c>
      <c r="S1701" s="111">
        <f t="shared" si="242"/>
        <v>6000</v>
      </c>
      <c r="T1701" s="111">
        <f t="shared" si="243"/>
        <v>360000</v>
      </c>
      <c r="U1701" s="111">
        <f t="shared" si="244"/>
        <v>3600</v>
      </c>
      <c r="V1701" s="111">
        <f t="shared" si="245"/>
        <v>363600</v>
      </c>
      <c r="W1701" t="s">
        <v>4162</v>
      </c>
    </row>
    <row r="1702" spans="1:23" x14ac:dyDescent="0.3">
      <c r="A1702" s="110">
        <v>2213125</v>
      </c>
      <c r="B1702" s="110" t="s">
        <v>1769</v>
      </c>
      <c r="C1702" s="110" t="s">
        <v>1770</v>
      </c>
      <c r="D1702" s="110" t="s">
        <v>1773</v>
      </c>
      <c r="E1702" s="110" t="s">
        <v>1890</v>
      </c>
      <c r="F1702" s="110" t="s">
        <v>119</v>
      </c>
      <c r="G1702" s="110" t="s">
        <v>114</v>
      </c>
      <c r="H1702" s="111">
        <v>1449</v>
      </c>
      <c r="I1702" s="111">
        <v>1458</v>
      </c>
      <c r="J1702" s="111">
        <v>1426</v>
      </c>
      <c r="K1702" s="111">
        <f t="shared" si="237"/>
        <v>1444.3333333333333</v>
      </c>
      <c r="L1702" s="111">
        <f>600000</f>
        <v>600000</v>
      </c>
      <c r="M1702" s="111">
        <f t="shared" si="238"/>
        <v>270000</v>
      </c>
      <c r="N1702" s="111">
        <f t="shared" si="239"/>
        <v>270000</v>
      </c>
      <c r="O1702" s="111">
        <f t="shared" si="240"/>
        <v>54000</v>
      </c>
      <c r="P1702" s="111">
        <f t="shared" si="241"/>
        <v>60000</v>
      </c>
      <c r="Q1702" s="111">
        <v>80000</v>
      </c>
      <c r="R1702" s="111">
        <v>8</v>
      </c>
      <c r="S1702" s="111">
        <f t="shared" si="242"/>
        <v>8000</v>
      </c>
      <c r="T1702" s="111">
        <f t="shared" si="243"/>
        <v>680000</v>
      </c>
      <c r="U1702" s="111">
        <f t="shared" si="244"/>
        <v>6800</v>
      </c>
      <c r="V1702" s="111">
        <f t="shared" si="245"/>
        <v>686800</v>
      </c>
      <c r="W1702" t="s">
        <v>4163</v>
      </c>
    </row>
    <row r="1703" spans="1:23" x14ac:dyDescent="0.3">
      <c r="A1703" s="110">
        <v>2213128</v>
      </c>
      <c r="B1703" s="110" t="s">
        <v>1769</v>
      </c>
      <c r="C1703" s="110" t="s">
        <v>1770</v>
      </c>
      <c r="D1703" s="110" t="s">
        <v>1773</v>
      </c>
      <c r="E1703" s="110" t="s">
        <v>1891</v>
      </c>
      <c r="F1703" s="110" t="s">
        <v>119</v>
      </c>
      <c r="G1703" s="110" t="s">
        <v>114</v>
      </c>
      <c r="H1703" s="111">
        <v>905</v>
      </c>
      <c r="I1703" s="111">
        <v>929</v>
      </c>
      <c r="J1703" s="111">
        <v>931</v>
      </c>
      <c r="K1703" s="111">
        <f t="shared" si="237"/>
        <v>921.66666666666663</v>
      </c>
      <c r="L1703" s="111">
        <f>300000</f>
        <v>300000</v>
      </c>
      <c r="M1703" s="111">
        <f t="shared" si="238"/>
        <v>135000</v>
      </c>
      <c r="N1703" s="111">
        <f t="shared" si="239"/>
        <v>135000</v>
      </c>
      <c r="O1703" s="111">
        <f t="shared" si="240"/>
        <v>27000</v>
      </c>
      <c r="P1703" s="111">
        <f t="shared" si="241"/>
        <v>30000</v>
      </c>
      <c r="Q1703" s="111">
        <v>60000</v>
      </c>
      <c r="R1703" s="111">
        <v>6</v>
      </c>
      <c r="S1703" s="111">
        <f t="shared" si="242"/>
        <v>6000</v>
      </c>
      <c r="T1703" s="111">
        <f t="shared" si="243"/>
        <v>360000</v>
      </c>
      <c r="U1703" s="111">
        <f t="shared" si="244"/>
        <v>3600</v>
      </c>
      <c r="V1703" s="111">
        <f t="shared" si="245"/>
        <v>363600</v>
      </c>
      <c r="W1703" t="s">
        <v>4164</v>
      </c>
    </row>
    <row r="1704" spans="1:23" x14ac:dyDescent="0.3">
      <c r="A1704" s="110">
        <v>2213131</v>
      </c>
      <c r="B1704" s="110" t="s">
        <v>1769</v>
      </c>
      <c r="C1704" s="110" t="s">
        <v>1770</v>
      </c>
      <c r="D1704" s="110" t="s">
        <v>1773</v>
      </c>
      <c r="E1704" s="110" t="s">
        <v>1892</v>
      </c>
      <c r="F1704" s="110" t="s">
        <v>119</v>
      </c>
      <c r="G1704" s="110" t="s">
        <v>114</v>
      </c>
      <c r="H1704" s="111">
        <v>481</v>
      </c>
      <c r="I1704" s="111">
        <v>596</v>
      </c>
      <c r="J1704" s="111">
        <v>714</v>
      </c>
      <c r="K1704" s="111">
        <f t="shared" si="237"/>
        <v>597</v>
      </c>
      <c r="L1704" s="111">
        <f>300000</f>
        <v>300000</v>
      </c>
      <c r="M1704" s="111">
        <f t="shared" si="238"/>
        <v>135000</v>
      </c>
      <c r="N1704" s="111">
        <f t="shared" si="239"/>
        <v>135000</v>
      </c>
      <c r="O1704" s="111">
        <f t="shared" si="240"/>
        <v>27000</v>
      </c>
      <c r="P1704" s="111">
        <f t="shared" si="241"/>
        <v>30000</v>
      </c>
      <c r="Q1704" s="111">
        <v>60000</v>
      </c>
      <c r="R1704" s="111">
        <v>6</v>
      </c>
      <c r="S1704" s="111">
        <f t="shared" si="242"/>
        <v>6000</v>
      </c>
      <c r="T1704" s="111">
        <f t="shared" si="243"/>
        <v>360000</v>
      </c>
      <c r="U1704" s="111">
        <f t="shared" si="244"/>
        <v>3600</v>
      </c>
      <c r="V1704" s="111">
        <f t="shared" si="245"/>
        <v>363600</v>
      </c>
      <c r="W1704" t="s">
        <v>4165</v>
      </c>
    </row>
    <row r="1705" spans="1:23" x14ac:dyDescent="0.3">
      <c r="A1705" s="110">
        <v>2213144</v>
      </c>
      <c r="B1705" s="110" t="s">
        <v>1769</v>
      </c>
      <c r="C1705" s="110" t="s">
        <v>1770</v>
      </c>
      <c r="D1705" s="110" t="s">
        <v>1773</v>
      </c>
      <c r="E1705" s="110" t="s">
        <v>1893</v>
      </c>
      <c r="F1705" s="110" t="s">
        <v>119</v>
      </c>
      <c r="G1705" s="110" t="s">
        <v>114</v>
      </c>
      <c r="H1705" s="111">
        <v>1269</v>
      </c>
      <c r="I1705" s="111">
        <v>1297</v>
      </c>
      <c r="J1705" s="111">
        <v>1302</v>
      </c>
      <c r="K1705" s="111">
        <f t="shared" si="237"/>
        <v>1289.3333333333333</v>
      </c>
      <c r="L1705" s="111">
        <f>600000*0.7</f>
        <v>420000</v>
      </c>
      <c r="M1705" s="111">
        <f t="shared" si="238"/>
        <v>189000</v>
      </c>
      <c r="N1705" s="111">
        <f t="shared" si="239"/>
        <v>189000</v>
      </c>
      <c r="O1705" s="111">
        <f t="shared" si="240"/>
        <v>37800</v>
      </c>
      <c r="P1705" s="111">
        <f t="shared" si="241"/>
        <v>42000</v>
      </c>
      <c r="Q1705" s="111">
        <v>80000</v>
      </c>
      <c r="R1705" s="111">
        <v>8</v>
      </c>
      <c r="S1705" s="111">
        <f t="shared" si="242"/>
        <v>8000</v>
      </c>
      <c r="T1705" s="111">
        <f t="shared" si="243"/>
        <v>500000</v>
      </c>
      <c r="U1705" s="111">
        <f t="shared" si="244"/>
        <v>5000</v>
      </c>
      <c r="V1705" s="111">
        <f t="shared" si="245"/>
        <v>505000</v>
      </c>
      <c r="W1705" t="s">
        <v>4166</v>
      </c>
    </row>
    <row r="1706" spans="1:23" x14ac:dyDescent="0.3">
      <c r="A1706" s="110">
        <v>2213145</v>
      </c>
      <c r="B1706" s="110" t="s">
        <v>1769</v>
      </c>
      <c r="C1706" s="110" t="s">
        <v>1770</v>
      </c>
      <c r="D1706" s="110" t="s">
        <v>1773</v>
      </c>
      <c r="E1706" s="110" t="s">
        <v>1894</v>
      </c>
      <c r="F1706" s="110" t="s">
        <v>113</v>
      </c>
      <c r="G1706" s="110" t="s">
        <v>114</v>
      </c>
      <c r="H1706" s="111">
        <v>913</v>
      </c>
      <c r="I1706" s="111">
        <v>915</v>
      </c>
      <c r="J1706" s="111">
        <v>917</v>
      </c>
      <c r="K1706" s="111">
        <f t="shared" si="237"/>
        <v>915</v>
      </c>
      <c r="L1706" s="111">
        <f>300000*0.7</f>
        <v>210000</v>
      </c>
      <c r="M1706" s="111">
        <f t="shared" si="238"/>
        <v>94500</v>
      </c>
      <c r="N1706" s="111">
        <f t="shared" si="239"/>
        <v>94500</v>
      </c>
      <c r="O1706" s="111">
        <f t="shared" si="240"/>
        <v>18900</v>
      </c>
      <c r="P1706" s="111">
        <f t="shared" si="241"/>
        <v>21000</v>
      </c>
      <c r="Q1706" s="111">
        <v>60000</v>
      </c>
      <c r="R1706" s="111">
        <v>6</v>
      </c>
      <c r="S1706" s="111">
        <f t="shared" si="242"/>
        <v>6000</v>
      </c>
      <c r="T1706" s="111">
        <f t="shared" si="243"/>
        <v>270000</v>
      </c>
      <c r="U1706" s="111">
        <f t="shared" si="244"/>
        <v>2700</v>
      </c>
      <c r="V1706" s="111">
        <f t="shared" si="245"/>
        <v>272700</v>
      </c>
      <c r="W1706" t="s">
        <v>4167</v>
      </c>
    </row>
    <row r="1707" spans="1:23" x14ac:dyDescent="0.3">
      <c r="A1707" s="110">
        <v>2213307</v>
      </c>
      <c r="B1707" s="110" t="s">
        <v>1769</v>
      </c>
      <c r="C1707" s="110" t="s">
        <v>1770</v>
      </c>
      <c r="D1707" s="110" t="s">
        <v>1773</v>
      </c>
      <c r="E1707" s="110" t="s">
        <v>1895</v>
      </c>
      <c r="F1707" s="110" t="s">
        <v>296</v>
      </c>
      <c r="G1707" s="110" t="s">
        <v>125</v>
      </c>
      <c r="H1707" s="111">
        <v>617</v>
      </c>
      <c r="I1707" s="111">
        <v>613</v>
      </c>
      <c r="J1707" s="111">
        <v>613</v>
      </c>
      <c r="K1707" s="111">
        <f t="shared" si="237"/>
        <v>614.33333333333337</v>
      </c>
      <c r="L1707" s="111">
        <f>300000</f>
        <v>300000</v>
      </c>
      <c r="M1707" s="111">
        <f t="shared" si="238"/>
        <v>135000</v>
      </c>
      <c r="N1707" s="111">
        <f t="shared" si="239"/>
        <v>135000</v>
      </c>
      <c r="O1707" s="111">
        <f t="shared" si="240"/>
        <v>27000</v>
      </c>
      <c r="P1707" s="111">
        <f t="shared" si="241"/>
        <v>30000</v>
      </c>
      <c r="Q1707" s="111">
        <v>60000</v>
      </c>
      <c r="R1707" s="111">
        <v>6</v>
      </c>
      <c r="S1707" s="111">
        <f t="shared" si="242"/>
        <v>6000</v>
      </c>
      <c r="T1707" s="111">
        <f t="shared" si="243"/>
        <v>360000</v>
      </c>
      <c r="U1707" s="111">
        <f t="shared" si="244"/>
        <v>3600</v>
      </c>
      <c r="V1707" s="111">
        <f t="shared" si="245"/>
        <v>363600</v>
      </c>
      <c r="W1707" t="s">
        <v>4168</v>
      </c>
    </row>
    <row r="1708" spans="1:23" x14ac:dyDescent="0.3">
      <c r="A1708" s="110">
        <v>2213350</v>
      </c>
      <c r="B1708" s="110" t="s">
        <v>1769</v>
      </c>
      <c r="C1708" s="110" t="s">
        <v>1770</v>
      </c>
      <c r="D1708" s="110" t="s">
        <v>1773</v>
      </c>
      <c r="E1708" s="110" t="s">
        <v>1896</v>
      </c>
      <c r="F1708" s="110" t="s">
        <v>117</v>
      </c>
      <c r="G1708" s="110" t="s">
        <v>125</v>
      </c>
      <c r="H1708" s="111">
        <v>504</v>
      </c>
      <c r="I1708" s="111">
        <v>498</v>
      </c>
      <c r="J1708" s="111">
        <v>509</v>
      </c>
      <c r="K1708" s="111">
        <f t="shared" si="237"/>
        <v>503.66666666666669</v>
      </c>
      <c r="L1708" s="111">
        <f>300000</f>
        <v>300000</v>
      </c>
      <c r="M1708" s="111">
        <f t="shared" si="238"/>
        <v>135000</v>
      </c>
      <c r="N1708" s="111">
        <f t="shared" si="239"/>
        <v>135000</v>
      </c>
      <c r="O1708" s="111">
        <f t="shared" si="240"/>
        <v>27000</v>
      </c>
      <c r="P1708" s="111">
        <f t="shared" si="241"/>
        <v>30000</v>
      </c>
      <c r="Q1708" s="111">
        <v>60000</v>
      </c>
      <c r="R1708" s="111">
        <v>6</v>
      </c>
      <c r="S1708" s="111">
        <f t="shared" si="242"/>
        <v>6000</v>
      </c>
      <c r="T1708" s="111">
        <f t="shared" si="243"/>
        <v>360000</v>
      </c>
      <c r="U1708" s="111">
        <f t="shared" si="244"/>
        <v>3600</v>
      </c>
      <c r="V1708" s="111">
        <f t="shared" si="245"/>
        <v>363600</v>
      </c>
      <c r="W1708" t="s">
        <v>4169</v>
      </c>
    </row>
    <row r="1709" spans="1:23" x14ac:dyDescent="0.3">
      <c r="A1709" s="110">
        <v>2214015</v>
      </c>
      <c r="B1709" s="110" t="s">
        <v>1769</v>
      </c>
      <c r="C1709" s="110" t="s">
        <v>1770</v>
      </c>
      <c r="D1709" s="110" t="s">
        <v>1773</v>
      </c>
      <c r="E1709" s="110" t="s">
        <v>1897</v>
      </c>
      <c r="F1709" s="110" t="s">
        <v>119</v>
      </c>
      <c r="G1709" s="110" t="s">
        <v>114</v>
      </c>
      <c r="H1709" s="111">
        <v>491</v>
      </c>
      <c r="I1709" s="111">
        <v>538</v>
      </c>
      <c r="J1709" s="111">
        <v>568</v>
      </c>
      <c r="K1709" s="111">
        <f t="shared" si="237"/>
        <v>532.33333333333337</v>
      </c>
      <c r="L1709" s="111">
        <f>300000</f>
        <v>300000</v>
      </c>
      <c r="M1709" s="111">
        <f t="shared" si="238"/>
        <v>135000</v>
      </c>
      <c r="N1709" s="111">
        <f t="shared" si="239"/>
        <v>135000</v>
      </c>
      <c r="O1709" s="111">
        <f t="shared" si="240"/>
        <v>27000</v>
      </c>
      <c r="P1709" s="111">
        <f t="shared" si="241"/>
        <v>30000</v>
      </c>
      <c r="Q1709" s="111">
        <v>60000</v>
      </c>
      <c r="R1709" s="111">
        <v>6</v>
      </c>
      <c r="S1709" s="111">
        <f t="shared" si="242"/>
        <v>6000</v>
      </c>
      <c r="T1709" s="111">
        <f t="shared" si="243"/>
        <v>360000</v>
      </c>
      <c r="U1709" s="111">
        <f t="shared" si="244"/>
        <v>3600</v>
      </c>
      <c r="V1709" s="111">
        <f t="shared" si="245"/>
        <v>363600</v>
      </c>
      <c r="W1709" t="s">
        <v>4170</v>
      </c>
    </row>
    <row r="1710" spans="1:23" x14ac:dyDescent="0.3">
      <c r="A1710" s="110">
        <v>2214016</v>
      </c>
      <c r="B1710" s="110" t="s">
        <v>1769</v>
      </c>
      <c r="C1710" s="110" t="s">
        <v>1770</v>
      </c>
      <c r="D1710" s="110" t="s">
        <v>1773</v>
      </c>
      <c r="E1710" s="110" t="s">
        <v>1898</v>
      </c>
      <c r="F1710" s="110" t="s">
        <v>113</v>
      </c>
      <c r="G1710" s="110" t="s">
        <v>114</v>
      </c>
      <c r="H1710" s="111">
        <v>460</v>
      </c>
      <c r="I1710" s="111">
        <v>457</v>
      </c>
      <c r="J1710" s="111">
        <v>473</v>
      </c>
      <c r="K1710" s="111">
        <f t="shared" si="237"/>
        <v>463.33333333333331</v>
      </c>
      <c r="L1710" s="111">
        <f>300000</f>
        <v>300000</v>
      </c>
      <c r="M1710" s="111">
        <f t="shared" si="238"/>
        <v>135000</v>
      </c>
      <c r="N1710" s="111">
        <f t="shared" si="239"/>
        <v>135000</v>
      </c>
      <c r="O1710" s="111">
        <f t="shared" si="240"/>
        <v>27000</v>
      </c>
      <c r="P1710" s="111">
        <f t="shared" si="241"/>
        <v>30000</v>
      </c>
      <c r="Q1710" s="111">
        <v>60000</v>
      </c>
      <c r="R1710" s="111">
        <v>6</v>
      </c>
      <c r="S1710" s="111">
        <f t="shared" si="242"/>
        <v>6000</v>
      </c>
      <c r="T1710" s="111">
        <f t="shared" si="243"/>
        <v>360000</v>
      </c>
      <c r="U1710" s="111">
        <f t="shared" si="244"/>
        <v>3600</v>
      </c>
      <c r="V1710" s="111">
        <f t="shared" si="245"/>
        <v>363600</v>
      </c>
      <c r="W1710" t="s">
        <v>4171</v>
      </c>
    </row>
    <row r="1711" spans="1:23" x14ac:dyDescent="0.3">
      <c r="A1711" s="110">
        <v>2214054</v>
      </c>
      <c r="B1711" s="110" t="s">
        <v>1769</v>
      </c>
      <c r="C1711" s="110" t="s">
        <v>1770</v>
      </c>
      <c r="D1711" s="110" t="s">
        <v>1773</v>
      </c>
      <c r="E1711" s="110" t="s">
        <v>1899</v>
      </c>
      <c r="F1711" s="110" t="s">
        <v>119</v>
      </c>
      <c r="G1711" s="110" t="s">
        <v>114</v>
      </c>
      <c r="H1711" s="111">
        <v>1224</v>
      </c>
      <c r="I1711" s="111">
        <v>1152</v>
      </c>
      <c r="J1711" s="111">
        <v>1118</v>
      </c>
      <c r="K1711" s="111">
        <f t="shared" si="237"/>
        <v>1164.6666666666667</v>
      </c>
      <c r="L1711" s="111">
        <f>600000</f>
        <v>600000</v>
      </c>
      <c r="M1711" s="111">
        <f t="shared" si="238"/>
        <v>270000</v>
      </c>
      <c r="N1711" s="111">
        <f t="shared" si="239"/>
        <v>270000</v>
      </c>
      <c r="O1711" s="111">
        <f t="shared" si="240"/>
        <v>54000</v>
      </c>
      <c r="P1711" s="111">
        <f t="shared" si="241"/>
        <v>60000</v>
      </c>
      <c r="Q1711" s="111">
        <v>80000</v>
      </c>
      <c r="R1711" s="111">
        <v>8</v>
      </c>
      <c r="S1711" s="111">
        <f t="shared" si="242"/>
        <v>8000</v>
      </c>
      <c r="T1711" s="111">
        <f t="shared" si="243"/>
        <v>680000</v>
      </c>
      <c r="U1711" s="111">
        <f t="shared" si="244"/>
        <v>6800</v>
      </c>
      <c r="V1711" s="111">
        <f t="shared" si="245"/>
        <v>686800</v>
      </c>
      <c r="W1711" t="s">
        <v>4172</v>
      </c>
    </row>
    <row r="1712" spans="1:23" x14ac:dyDescent="0.3">
      <c r="A1712" s="110">
        <v>2214063</v>
      </c>
      <c r="B1712" s="110" t="s">
        <v>1769</v>
      </c>
      <c r="C1712" s="110" t="s">
        <v>1770</v>
      </c>
      <c r="D1712" s="110" t="s">
        <v>1773</v>
      </c>
      <c r="E1712" s="110" t="s">
        <v>1900</v>
      </c>
      <c r="F1712" s="110" t="s">
        <v>113</v>
      </c>
      <c r="G1712" s="110" t="s">
        <v>114</v>
      </c>
      <c r="H1712" s="111">
        <v>315</v>
      </c>
      <c r="I1712" s="111">
        <v>324</v>
      </c>
      <c r="J1712" s="111">
        <v>309</v>
      </c>
      <c r="K1712" s="111">
        <f t="shared" si="237"/>
        <v>316</v>
      </c>
      <c r="L1712" s="111">
        <v>200000</v>
      </c>
      <c r="M1712" s="111">
        <f t="shared" si="238"/>
        <v>90000</v>
      </c>
      <c r="N1712" s="111">
        <f t="shared" si="239"/>
        <v>90000</v>
      </c>
      <c r="O1712" s="111">
        <f t="shared" si="240"/>
        <v>18000</v>
      </c>
      <c r="P1712" s="111">
        <f t="shared" si="241"/>
        <v>20000</v>
      </c>
      <c r="Q1712" s="111">
        <v>50000</v>
      </c>
      <c r="R1712" s="111">
        <v>5</v>
      </c>
      <c r="S1712" s="111">
        <f t="shared" si="242"/>
        <v>5000</v>
      </c>
      <c r="T1712" s="111">
        <f t="shared" si="243"/>
        <v>250000</v>
      </c>
      <c r="U1712" s="111">
        <f t="shared" si="244"/>
        <v>2500</v>
      </c>
      <c r="V1712" s="111">
        <f t="shared" si="245"/>
        <v>252500</v>
      </c>
      <c r="W1712" t="s">
        <v>4173</v>
      </c>
    </row>
    <row r="1713" spans="1:23" x14ac:dyDescent="0.3">
      <c r="A1713" s="110">
        <v>2214098</v>
      </c>
      <c r="B1713" s="110" t="s">
        <v>1769</v>
      </c>
      <c r="C1713" s="110" t="s">
        <v>1770</v>
      </c>
      <c r="D1713" s="110" t="s">
        <v>1773</v>
      </c>
      <c r="E1713" s="110" t="s">
        <v>1901</v>
      </c>
      <c r="F1713" s="110" t="s">
        <v>209</v>
      </c>
      <c r="G1713" s="110" t="s">
        <v>114</v>
      </c>
      <c r="H1713" s="111">
        <v>231</v>
      </c>
      <c r="I1713" s="111">
        <v>213</v>
      </c>
      <c r="J1713" s="111">
        <v>174</v>
      </c>
      <c r="K1713" s="111">
        <f t="shared" si="237"/>
        <v>206</v>
      </c>
      <c r="L1713" s="111">
        <v>200000</v>
      </c>
      <c r="M1713" s="111">
        <f t="shared" si="238"/>
        <v>90000</v>
      </c>
      <c r="N1713" s="111">
        <f t="shared" si="239"/>
        <v>90000</v>
      </c>
      <c r="O1713" s="111">
        <f t="shared" si="240"/>
        <v>18000</v>
      </c>
      <c r="P1713" s="111">
        <f t="shared" si="241"/>
        <v>20000</v>
      </c>
      <c r="Q1713" s="111">
        <v>50000</v>
      </c>
      <c r="R1713" s="111">
        <v>5</v>
      </c>
      <c r="S1713" s="111">
        <f t="shared" si="242"/>
        <v>5000</v>
      </c>
      <c r="T1713" s="111">
        <f t="shared" si="243"/>
        <v>250000</v>
      </c>
      <c r="U1713" s="111">
        <f t="shared" si="244"/>
        <v>2500</v>
      </c>
      <c r="V1713" s="111">
        <f t="shared" si="245"/>
        <v>252500</v>
      </c>
      <c r="W1713" t="s">
        <v>4174</v>
      </c>
    </row>
    <row r="1714" spans="1:23" x14ac:dyDescent="0.3">
      <c r="A1714" s="110">
        <v>2214101</v>
      </c>
      <c r="B1714" s="110" t="s">
        <v>1769</v>
      </c>
      <c r="C1714" s="110" t="s">
        <v>1770</v>
      </c>
      <c r="D1714" s="110" t="s">
        <v>1773</v>
      </c>
      <c r="E1714" s="110" t="s">
        <v>1902</v>
      </c>
      <c r="F1714" s="110" t="s">
        <v>119</v>
      </c>
      <c r="G1714" s="110" t="s">
        <v>114</v>
      </c>
      <c r="H1714" s="111">
        <v>953</v>
      </c>
      <c r="I1714" s="111">
        <v>1018</v>
      </c>
      <c r="J1714" s="111">
        <v>1082</v>
      </c>
      <c r="K1714" s="111">
        <f t="shared" si="237"/>
        <v>1017.6666666666666</v>
      </c>
      <c r="L1714" s="111">
        <f>600000</f>
        <v>600000</v>
      </c>
      <c r="M1714" s="111">
        <f t="shared" si="238"/>
        <v>270000</v>
      </c>
      <c r="N1714" s="111">
        <f t="shared" si="239"/>
        <v>270000</v>
      </c>
      <c r="O1714" s="111">
        <f t="shared" si="240"/>
        <v>54000</v>
      </c>
      <c r="P1714" s="111">
        <f t="shared" si="241"/>
        <v>60000</v>
      </c>
      <c r="Q1714" s="111">
        <v>80000</v>
      </c>
      <c r="R1714" s="111">
        <v>8</v>
      </c>
      <c r="S1714" s="111">
        <f t="shared" si="242"/>
        <v>8000</v>
      </c>
      <c r="T1714" s="111">
        <f t="shared" si="243"/>
        <v>680000</v>
      </c>
      <c r="U1714" s="111">
        <f t="shared" si="244"/>
        <v>6800</v>
      </c>
      <c r="V1714" s="111">
        <f t="shared" si="245"/>
        <v>686800</v>
      </c>
      <c r="W1714" t="s">
        <v>4175</v>
      </c>
    </row>
    <row r="1715" spans="1:23" x14ac:dyDescent="0.3">
      <c r="A1715" s="110">
        <v>2214102</v>
      </c>
      <c r="B1715" s="110" t="s">
        <v>1769</v>
      </c>
      <c r="C1715" s="110" t="s">
        <v>1770</v>
      </c>
      <c r="D1715" s="110" t="s">
        <v>1773</v>
      </c>
      <c r="E1715" s="110" t="s">
        <v>1903</v>
      </c>
      <c r="F1715" s="110" t="s">
        <v>113</v>
      </c>
      <c r="G1715" s="110" t="s">
        <v>114</v>
      </c>
      <c r="H1715" s="111">
        <v>321</v>
      </c>
      <c r="I1715" s="111">
        <v>321</v>
      </c>
      <c r="J1715" s="111">
        <v>340</v>
      </c>
      <c r="K1715" s="111">
        <f t="shared" si="237"/>
        <v>327.33333333333331</v>
      </c>
      <c r="L1715" s="111">
        <v>200000</v>
      </c>
      <c r="M1715" s="111">
        <f t="shared" si="238"/>
        <v>90000</v>
      </c>
      <c r="N1715" s="111">
        <f t="shared" si="239"/>
        <v>90000</v>
      </c>
      <c r="O1715" s="111">
        <f t="shared" si="240"/>
        <v>18000</v>
      </c>
      <c r="P1715" s="111">
        <f t="shared" si="241"/>
        <v>20000</v>
      </c>
      <c r="Q1715" s="111">
        <v>50000</v>
      </c>
      <c r="R1715" s="111">
        <v>5</v>
      </c>
      <c r="S1715" s="111">
        <f t="shared" si="242"/>
        <v>5000</v>
      </c>
      <c r="T1715" s="111">
        <f t="shared" si="243"/>
        <v>250000</v>
      </c>
      <c r="U1715" s="111">
        <f t="shared" si="244"/>
        <v>2500</v>
      </c>
      <c r="V1715" s="111">
        <f t="shared" si="245"/>
        <v>252500</v>
      </c>
      <c r="W1715" t="s">
        <v>4176</v>
      </c>
    </row>
    <row r="1716" spans="1:23" x14ac:dyDescent="0.3">
      <c r="A1716" s="110">
        <v>2214141</v>
      </c>
      <c r="B1716" s="110" t="s">
        <v>1769</v>
      </c>
      <c r="C1716" s="110" t="s">
        <v>1770</v>
      </c>
      <c r="D1716" s="110" t="s">
        <v>1773</v>
      </c>
      <c r="E1716" s="110" t="s">
        <v>1904</v>
      </c>
      <c r="F1716" s="110" t="s">
        <v>113</v>
      </c>
      <c r="G1716" s="110" t="s">
        <v>114</v>
      </c>
      <c r="H1716" s="111">
        <v>100</v>
      </c>
      <c r="I1716" s="111">
        <v>82</v>
      </c>
      <c r="J1716" s="111">
        <v>86</v>
      </c>
      <c r="K1716" s="111">
        <f t="shared" si="237"/>
        <v>89.333333333333329</v>
      </c>
      <c r="L1716" s="111">
        <f>150000*0.7</f>
        <v>105000</v>
      </c>
      <c r="M1716" s="111">
        <f t="shared" si="238"/>
        <v>47250</v>
      </c>
      <c r="N1716" s="111">
        <f t="shared" si="239"/>
        <v>47250</v>
      </c>
      <c r="O1716" s="111">
        <f t="shared" si="240"/>
        <v>9450</v>
      </c>
      <c r="P1716" s="111">
        <f t="shared" si="241"/>
        <v>10500</v>
      </c>
      <c r="Q1716" s="111">
        <v>30000</v>
      </c>
      <c r="R1716" s="111">
        <v>3</v>
      </c>
      <c r="S1716" s="111">
        <f t="shared" si="242"/>
        <v>3000</v>
      </c>
      <c r="T1716" s="111">
        <f t="shared" si="243"/>
        <v>135000</v>
      </c>
      <c r="U1716" s="111">
        <f t="shared" si="244"/>
        <v>1350</v>
      </c>
      <c r="V1716" s="111">
        <f t="shared" si="245"/>
        <v>136350</v>
      </c>
      <c r="W1716" t="s">
        <v>4177</v>
      </c>
    </row>
    <row r="1717" spans="1:23" x14ac:dyDescent="0.3">
      <c r="A1717" s="110">
        <v>2214153</v>
      </c>
      <c r="B1717" s="110" t="s">
        <v>1769</v>
      </c>
      <c r="C1717" s="110" t="s">
        <v>1770</v>
      </c>
      <c r="D1717" s="110" t="s">
        <v>1773</v>
      </c>
      <c r="E1717" s="110" t="s">
        <v>1905</v>
      </c>
      <c r="F1717" s="110" t="s">
        <v>296</v>
      </c>
      <c r="G1717" s="110" t="s">
        <v>114</v>
      </c>
      <c r="H1717" s="111">
        <v>433</v>
      </c>
      <c r="I1717" s="111">
        <v>480</v>
      </c>
      <c r="J1717" s="111">
        <v>529</v>
      </c>
      <c r="K1717" s="111">
        <f t="shared" si="237"/>
        <v>480.66666666666669</v>
      </c>
      <c r="L1717" s="111">
        <f>300000</f>
        <v>300000</v>
      </c>
      <c r="M1717" s="111">
        <f t="shared" si="238"/>
        <v>135000</v>
      </c>
      <c r="N1717" s="111">
        <f t="shared" si="239"/>
        <v>135000</v>
      </c>
      <c r="O1717" s="111">
        <f t="shared" si="240"/>
        <v>27000</v>
      </c>
      <c r="P1717" s="111">
        <f t="shared" si="241"/>
        <v>30000</v>
      </c>
      <c r="Q1717" s="111">
        <v>60000</v>
      </c>
      <c r="R1717" s="111">
        <v>6</v>
      </c>
      <c r="S1717" s="111">
        <f t="shared" si="242"/>
        <v>6000</v>
      </c>
      <c r="T1717" s="111">
        <f t="shared" si="243"/>
        <v>360000</v>
      </c>
      <c r="U1717" s="111">
        <f t="shared" si="244"/>
        <v>3600</v>
      </c>
      <c r="V1717" s="111">
        <f t="shared" si="245"/>
        <v>363600</v>
      </c>
      <c r="W1717" t="s">
        <v>4178</v>
      </c>
    </row>
    <row r="1718" spans="1:23" x14ac:dyDescent="0.3">
      <c r="A1718" s="110">
        <v>2214608</v>
      </c>
      <c r="B1718" s="110" t="s">
        <v>1769</v>
      </c>
      <c r="C1718" s="110" t="s">
        <v>1770</v>
      </c>
      <c r="D1718" s="110" t="s">
        <v>1773</v>
      </c>
      <c r="E1718" s="110" t="s">
        <v>1906</v>
      </c>
      <c r="F1718" s="110" t="s">
        <v>135</v>
      </c>
      <c r="G1718" s="110" t="s">
        <v>125</v>
      </c>
      <c r="H1718" s="111">
        <v>113</v>
      </c>
      <c r="I1718" s="111">
        <v>115</v>
      </c>
      <c r="J1718" s="111">
        <v>129</v>
      </c>
      <c r="K1718" s="111">
        <f t="shared" si="237"/>
        <v>119</v>
      </c>
      <c r="L1718" s="111">
        <v>150000</v>
      </c>
      <c r="M1718" s="111">
        <f t="shared" si="238"/>
        <v>67500</v>
      </c>
      <c r="N1718" s="111">
        <f t="shared" si="239"/>
        <v>67500</v>
      </c>
      <c r="O1718" s="111">
        <f t="shared" si="240"/>
        <v>13500</v>
      </c>
      <c r="P1718" s="111">
        <f t="shared" si="241"/>
        <v>15000</v>
      </c>
      <c r="Q1718" s="111">
        <v>30000</v>
      </c>
      <c r="R1718" s="111">
        <v>3</v>
      </c>
      <c r="S1718" s="111">
        <f t="shared" si="242"/>
        <v>3000</v>
      </c>
      <c r="T1718" s="111">
        <f t="shared" si="243"/>
        <v>180000</v>
      </c>
      <c r="U1718" s="111">
        <f t="shared" si="244"/>
        <v>1800</v>
      </c>
      <c r="V1718" s="111">
        <f t="shared" si="245"/>
        <v>181800</v>
      </c>
      <c r="W1718" t="s">
        <v>4179</v>
      </c>
    </row>
    <row r="1719" spans="1:23" x14ac:dyDescent="0.3">
      <c r="A1719" s="110">
        <v>2215160</v>
      </c>
      <c r="B1719" s="110" t="s">
        <v>1769</v>
      </c>
      <c r="C1719" s="110" t="s">
        <v>1770</v>
      </c>
      <c r="D1719" s="110" t="s">
        <v>1747</v>
      </c>
      <c r="E1719" s="110" t="s">
        <v>1907</v>
      </c>
      <c r="F1719" s="110" t="s">
        <v>113</v>
      </c>
      <c r="G1719" s="110" t="s">
        <v>114</v>
      </c>
      <c r="H1719" s="111">
        <v>101</v>
      </c>
      <c r="I1719" s="111">
        <v>95</v>
      </c>
      <c r="J1719" s="111">
        <v>89</v>
      </c>
      <c r="K1719" s="111">
        <f t="shared" si="237"/>
        <v>95</v>
      </c>
      <c r="L1719" s="111">
        <v>150000</v>
      </c>
      <c r="M1719" s="111">
        <f t="shared" si="238"/>
        <v>67500</v>
      </c>
      <c r="N1719" s="111">
        <f t="shared" si="239"/>
        <v>67500</v>
      </c>
      <c r="O1719" s="111">
        <f t="shared" si="240"/>
        <v>13500</v>
      </c>
      <c r="P1719" s="111">
        <f t="shared" si="241"/>
        <v>15000</v>
      </c>
      <c r="Q1719" s="111">
        <v>30000</v>
      </c>
      <c r="R1719" s="111">
        <v>3</v>
      </c>
      <c r="S1719" s="111">
        <f t="shared" si="242"/>
        <v>3000</v>
      </c>
      <c r="T1719" s="111">
        <f t="shared" si="243"/>
        <v>180000</v>
      </c>
      <c r="U1719" s="111">
        <f t="shared" si="244"/>
        <v>1800</v>
      </c>
      <c r="V1719" s="111">
        <f t="shared" si="245"/>
        <v>181800</v>
      </c>
      <c r="W1719" t="s">
        <v>4180</v>
      </c>
    </row>
    <row r="1720" spans="1:23" x14ac:dyDescent="0.3">
      <c r="A1720" s="110">
        <v>2215170</v>
      </c>
      <c r="B1720" s="110" t="s">
        <v>1769</v>
      </c>
      <c r="C1720" s="110" t="s">
        <v>1770</v>
      </c>
      <c r="D1720" s="110" t="s">
        <v>1908</v>
      </c>
      <c r="E1720" s="110" t="s">
        <v>1909</v>
      </c>
      <c r="F1720" s="110" t="s">
        <v>119</v>
      </c>
      <c r="G1720" s="110" t="s">
        <v>114</v>
      </c>
      <c r="H1720" s="111">
        <v>745</v>
      </c>
      <c r="I1720" s="111">
        <v>772</v>
      </c>
      <c r="J1720" s="111">
        <v>818</v>
      </c>
      <c r="K1720" s="111">
        <f t="shared" si="237"/>
        <v>778.33333333333337</v>
      </c>
      <c r="L1720" s="111">
        <f>300000</f>
        <v>300000</v>
      </c>
      <c r="M1720" s="111">
        <f t="shared" si="238"/>
        <v>135000</v>
      </c>
      <c r="N1720" s="111">
        <f t="shared" si="239"/>
        <v>135000</v>
      </c>
      <c r="O1720" s="111">
        <f t="shared" si="240"/>
        <v>27000</v>
      </c>
      <c r="P1720" s="111">
        <f t="shared" si="241"/>
        <v>30000</v>
      </c>
      <c r="Q1720" s="111">
        <v>60000</v>
      </c>
      <c r="R1720" s="111">
        <v>6</v>
      </c>
      <c r="S1720" s="111">
        <f t="shared" si="242"/>
        <v>6000</v>
      </c>
      <c r="T1720" s="111">
        <f t="shared" si="243"/>
        <v>360000</v>
      </c>
      <c r="U1720" s="111">
        <f t="shared" si="244"/>
        <v>3600</v>
      </c>
      <c r="V1720" s="111">
        <f t="shared" si="245"/>
        <v>363600</v>
      </c>
      <c r="W1720" t="s">
        <v>4181</v>
      </c>
    </row>
    <row r="1721" spans="1:23" x14ac:dyDescent="0.3">
      <c r="A1721" s="110">
        <v>2215171</v>
      </c>
      <c r="B1721" s="110" t="s">
        <v>1769</v>
      </c>
      <c r="C1721" s="110" t="s">
        <v>1770</v>
      </c>
      <c r="D1721" s="110" t="s">
        <v>1908</v>
      </c>
      <c r="E1721" s="110" t="s">
        <v>1910</v>
      </c>
      <c r="F1721" s="110" t="s">
        <v>113</v>
      </c>
      <c r="G1721" s="110" t="s">
        <v>114</v>
      </c>
      <c r="H1721" s="111">
        <v>255</v>
      </c>
      <c r="I1721" s="111">
        <v>281</v>
      </c>
      <c r="J1721" s="111">
        <v>312</v>
      </c>
      <c r="K1721" s="111">
        <f t="shared" si="237"/>
        <v>282.66666666666669</v>
      </c>
      <c r="L1721" s="111">
        <v>200000</v>
      </c>
      <c r="M1721" s="111">
        <f t="shared" si="238"/>
        <v>90000</v>
      </c>
      <c r="N1721" s="111">
        <f t="shared" si="239"/>
        <v>90000</v>
      </c>
      <c r="O1721" s="111">
        <f t="shared" si="240"/>
        <v>18000</v>
      </c>
      <c r="P1721" s="111">
        <f t="shared" si="241"/>
        <v>20000</v>
      </c>
      <c r="Q1721" s="111">
        <v>50000</v>
      </c>
      <c r="R1721" s="111">
        <v>5</v>
      </c>
      <c r="S1721" s="111">
        <f t="shared" si="242"/>
        <v>5000</v>
      </c>
      <c r="T1721" s="111">
        <f t="shared" si="243"/>
        <v>250000</v>
      </c>
      <c r="U1721" s="111">
        <f t="shared" si="244"/>
        <v>2500</v>
      </c>
      <c r="V1721" s="111">
        <f t="shared" si="245"/>
        <v>252500</v>
      </c>
      <c r="W1721" t="s">
        <v>4182</v>
      </c>
    </row>
    <row r="1722" spans="1:23" x14ac:dyDescent="0.3">
      <c r="A1722" s="110">
        <v>2215172</v>
      </c>
      <c r="B1722" s="110" t="s">
        <v>1769</v>
      </c>
      <c r="C1722" s="110" t="s">
        <v>1770</v>
      </c>
      <c r="D1722" s="110" t="s">
        <v>1908</v>
      </c>
      <c r="E1722" s="110" t="s">
        <v>1911</v>
      </c>
      <c r="F1722" s="110" t="s">
        <v>168</v>
      </c>
      <c r="G1722" s="110" t="s">
        <v>114</v>
      </c>
      <c r="H1722" s="111">
        <v>132</v>
      </c>
      <c r="I1722" s="111">
        <v>128</v>
      </c>
      <c r="J1722" s="111">
        <v>117</v>
      </c>
      <c r="K1722" s="111">
        <f t="shared" si="237"/>
        <v>125.66666666666667</v>
      </c>
      <c r="L1722" s="111">
        <v>150000</v>
      </c>
      <c r="M1722" s="111">
        <f t="shared" si="238"/>
        <v>67500</v>
      </c>
      <c r="N1722" s="111">
        <f t="shared" si="239"/>
        <v>67500</v>
      </c>
      <c r="O1722" s="111">
        <f t="shared" si="240"/>
        <v>13500</v>
      </c>
      <c r="P1722" s="111">
        <f t="shared" si="241"/>
        <v>15000</v>
      </c>
      <c r="Q1722" s="111">
        <v>30000</v>
      </c>
      <c r="R1722" s="111">
        <v>3</v>
      </c>
      <c r="S1722" s="111">
        <f t="shared" si="242"/>
        <v>3000</v>
      </c>
      <c r="T1722" s="111">
        <f t="shared" si="243"/>
        <v>180000</v>
      </c>
      <c r="U1722" s="111">
        <f t="shared" si="244"/>
        <v>1800</v>
      </c>
      <c r="V1722" s="111">
        <f t="shared" si="245"/>
        <v>181800</v>
      </c>
      <c r="W1722" t="s">
        <v>4183</v>
      </c>
    </row>
    <row r="1723" spans="1:23" x14ac:dyDescent="0.3">
      <c r="A1723" s="110">
        <v>2215176</v>
      </c>
      <c r="B1723" s="110" t="s">
        <v>1769</v>
      </c>
      <c r="C1723" s="110" t="s">
        <v>1770</v>
      </c>
      <c r="D1723" s="110" t="s">
        <v>1912</v>
      </c>
      <c r="E1723" s="110" t="s">
        <v>1913</v>
      </c>
      <c r="F1723" s="110" t="s">
        <v>168</v>
      </c>
      <c r="G1723" s="110" t="s">
        <v>114</v>
      </c>
      <c r="H1723" s="111">
        <v>158</v>
      </c>
      <c r="I1723" s="111">
        <v>158</v>
      </c>
      <c r="J1723" s="111">
        <v>157</v>
      </c>
      <c r="K1723" s="111">
        <f t="shared" si="237"/>
        <v>157.66666666666666</v>
      </c>
      <c r="L1723" s="111">
        <v>150000</v>
      </c>
      <c r="M1723" s="111">
        <f t="shared" si="238"/>
        <v>67500</v>
      </c>
      <c r="N1723" s="111">
        <f t="shared" si="239"/>
        <v>67500</v>
      </c>
      <c r="O1723" s="111">
        <f t="shared" si="240"/>
        <v>13500</v>
      </c>
      <c r="P1723" s="111">
        <f t="shared" si="241"/>
        <v>15000</v>
      </c>
      <c r="Q1723" s="111">
        <v>30000</v>
      </c>
      <c r="R1723" s="111">
        <v>3</v>
      </c>
      <c r="S1723" s="111">
        <f t="shared" si="242"/>
        <v>3000</v>
      </c>
      <c r="T1723" s="111">
        <f t="shared" si="243"/>
        <v>180000</v>
      </c>
      <c r="U1723" s="111">
        <f t="shared" si="244"/>
        <v>1800</v>
      </c>
      <c r="V1723" s="111">
        <f t="shared" si="245"/>
        <v>181800</v>
      </c>
      <c r="W1723" t="s">
        <v>4184</v>
      </c>
    </row>
    <row r="1724" spans="1:23" x14ac:dyDescent="0.3">
      <c r="A1724" s="110">
        <v>2215177</v>
      </c>
      <c r="B1724" s="110" t="s">
        <v>1769</v>
      </c>
      <c r="C1724" s="110" t="s">
        <v>1770</v>
      </c>
      <c r="D1724" s="110" t="s">
        <v>1914</v>
      </c>
      <c r="E1724" s="110" t="s">
        <v>1915</v>
      </c>
      <c r="F1724" s="110" t="s">
        <v>113</v>
      </c>
      <c r="G1724" s="110" t="s">
        <v>114</v>
      </c>
      <c r="H1724" s="111">
        <v>94</v>
      </c>
      <c r="I1724" s="111">
        <v>82</v>
      </c>
      <c r="J1724" s="111">
        <v>74</v>
      </c>
      <c r="K1724" s="111">
        <f t="shared" si="237"/>
        <v>83.333333333333329</v>
      </c>
      <c r="L1724" s="111">
        <v>150000</v>
      </c>
      <c r="M1724" s="111">
        <f t="shared" si="238"/>
        <v>67500</v>
      </c>
      <c r="N1724" s="111">
        <f t="shared" si="239"/>
        <v>67500</v>
      </c>
      <c r="O1724" s="111">
        <f t="shared" si="240"/>
        <v>13500</v>
      </c>
      <c r="P1724" s="111">
        <f t="shared" si="241"/>
        <v>15000</v>
      </c>
      <c r="Q1724" s="111">
        <v>30000</v>
      </c>
      <c r="R1724" s="111">
        <v>3</v>
      </c>
      <c r="S1724" s="111">
        <f t="shared" si="242"/>
        <v>3000</v>
      </c>
      <c r="T1724" s="111">
        <f t="shared" si="243"/>
        <v>180000</v>
      </c>
      <c r="U1724" s="111">
        <f t="shared" si="244"/>
        <v>1800</v>
      </c>
      <c r="V1724" s="111">
        <f t="shared" si="245"/>
        <v>181800</v>
      </c>
      <c r="W1724" t="s">
        <v>4185</v>
      </c>
    </row>
    <row r="1725" spans="1:23" x14ac:dyDescent="0.3">
      <c r="A1725" s="110">
        <v>2215179</v>
      </c>
      <c r="B1725" s="110" t="s">
        <v>1769</v>
      </c>
      <c r="C1725" s="110" t="s">
        <v>1770</v>
      </c>
      <c r="D1725" s="110" t="s">
        <v>1916</v>
      </c>
      <c r="E1725" s="110" t="s">
        <v>1917</v>
      </c>
      <c r="F1725" s="110" t="s">
        <v>113</v>
      </c>
      <c r="G1725" s="110" t="s">
        <v>114</v>
      </c>
      <c r="H1725" s="111">
        <v>87</v>
      </c>
      <c r="I1725" s="111">
        <v>83</v>
      </c>
      <c r="J1725" s="111">
        <v>78</v>
      </c>
      <c r="K1725" s="111">
        <f t="shared" si="237"/>
        <v>82.666666666666671</v>
      </c>
      <c r="L1725" s="111">
        <f>150000*0.7</f>
        <v>105000</v>
      </c>
      <c r="M1725" s="111">
        <f t="shared" si="238"/>
        <v>47250</v>
      </c>
      <c r="N1725" s="111">
        <f t="shared" si="239"/>
        <v>47250</v>
      </c>
      <c r="O1725" s="111">
        <f t="shared" si="240"/>
        <v>9450</v>
      </c>
      <c r="P1725" s="111">
        <f t="shared" si="241"/>
        <v>10500</v>
      </c>
      <c r="Q1725" s="111">
        <v>30000</v>
      </c>
      <c r="R1725" s="111">
        <v>3</v>
      </c>
      <c r="S1725" s="111">
        <f t="shared" si="242"/>
        <v>3000</v>
      </c>
      <c r="T1725" s="111">
        <f t="shared" si="243"/>
        <v>135000</v>
      </c>
      <c r="U1725" s="111">
        <f t="shared" si="244"/>
        <v>1350</v>
      </c>
      <c r="V1725" s="111">
        <f t="shared" si="245"/>
        <v>136350</v>
      </c>
      <c r="W1725" t="s">
        <v>4186</v>
      </c>
    </row>
    <row r="1726" spans="1:23" x14ac:dyDescent="0.3">
      <c r="A1726" s="110">
        <v>2216001</v>
      </c>
      <c r="B1726" s="110" t="s">
        <v>1769</v>
      </c>
      <c r="C1726" s="110" t="s">
        <v>1770</v>
      </c>
      <c r="D1726" s="110" t="s">
        <v>1773</v>
      </c>
      <c r="E1726" s="110" t="s">
        <v>1918</v>
      </c>
      <c r="F1726" s="110" t="s">
        <v>119</v>
      </c>
      <c r="G1726" s="110" t="s">
        <v>114</v>
      </c>
      <c r="H1726" s="111">
        <v>1081</v>
      </c>
      <c r="I1726" s="111">
        <v>1076</v>
      </c>
      <c r="J1726" s="111">
        <v>1067</v>
      </c>
      <c r="K1726" s="111">
        <f t="shared" si="237"/>
        <v>1074.6666666666667</v>
      </c>
      <c r="L1726" s="111">
        <f>600000</f>
        <v>600000</v>
      </c>
      <c r="M1726" s="111">
        <f t="shared" si="238"/>
        <v>270000</v>
      </c>
      <c r="N1726" s="111">
        <f t="shared" si="239"/>
        <v>270000</v>
      </c>
      <c r="O1726" s="111">
        <f t="shared" si="240"/>
        <v>54000</v>
      </c>
      <c r="P1726" s="111">
        <f t="shared" si="241"/>
        <v>60000</v>
      </c>
      <c r="Q1726" s="111">
        <v>80000</v>
      </c>
      <c r="R1726" s="111">
        <v>8</v>
      </c>
      <c r="S1726" s="111">
        <f t="shared" si="242"/>
        <v>8000</v>
      </c>
      <c r="T1726" s="111">
        <f t="shared" si="243"/>
        <v>680000</v>
      </c>
      <c r="U1726" s="111">
        <f t="shared" si="244"/>
        <v>6800</v>
      </c>
      <c r="V1726" s="111">
        <f t="shared" si="245"/>
        <v>686800</v>
      </c>
      <c r="W1726" t="s">
        <v>4187</v>
      </c>
    </row>
    <row r="1727" spans="1:23" x14ac:dyDescent="0.3">
      <c r="A1727" s="110">
        <v>2216112</v>
      </c>
      <c r="B1727" s="110" t="s">
        <v>1769</v>
      </c>
      <c r="C1727" s="110" t="s">
        <v>1770</v>
      </c>
      <c r="D1727" s="110" t="s">
        <v>1773</v>
      </c>
      <c r="E1727" s="110" t="s">
        <v>1919</v>
      </c>
      <c r="F1727" s="110" t="s">
        <v>113</v>
      </c>
      <c r="G1727" s="110" t="s">
        <v>114</v>
      </c>
      <c r="H1727" s="111">
        <v>946</v>
      </c>
      <c r="I1727" s="111">
        <v>940</v>
      </c>
      <c r="J1727" s="111">
        <v>968</v>
      </c>
      <c r="K1727" s="111">
        <f t="shared" si="237"/>
        <v>951.33333333333337</v>
      </c>
      <c r="L1727" s="111">
        <f>300000</f>
        <v>300000</v>
      </c>
      <c r="M1727" s="111">
        <f t="shared" si="238"/>
        <v>135000</v>
      </c>
      <c r="N1727" s="111">
        <f t="shared" si="239"/>
        <v>135000</v>
      </c>
      <c r="O1727" s="111">
        <f t="shared" si="240"/>
        <v>27000</v>
      </c>
      <c r="P1727" s="111">
        <f t="shared" si="241"/>
        <v>30000</v>
      </c>
      <c r="Q1727" s="111">
        <v>60000</v>
      </c>
      <c r="R1727" s="111">
        <v>6</v>
      </c>
      <c r="S1727" s="111">
        <f t="shared" si="242"/>
        <v>6000</v>
      </c>
      <c r="T1727" s="111">
        <f t="shared" si="243"/>
        <v>360000</v>
      </c>
      <c r="U1727" s="111">
        <f t="shared" si="244"/>
        <v>3600</v>
      </c>
      <c r="V1727" s="111">
        <f t="shared" si="245"/>
        <v>363600</v>
      </c>
      <c r="W1727" t="s">
        <v>4188</v>
      </c>
    </row>
    <row r="1728" spans="1:23" x14ac:dyDescent="0.3">
      <c r="A1728" s="110">
        <v>2216129</v>
      </c>
      <c r="B1728" s="110" t="s">
        <v>1769</v>
      </c>
      <c r="C1728" s="110" t="s">
        <v>1770</v>
      </c>
      <c r="D1728" s="110" t="s">
        <v>1773</v>
      </c>
      <c r="E1728" s="110" t="s">
        <v>1920</v>
      </c>
      <c r="F1728" s="110" t="s">
        <v>113</v>
      </c>
      <c r="G1728" s="110" t="s">
        <v>114</v>
      </c>
      <c r="H1728" s="111">
        <v>543</v>
      </c>
      <c r="I1728" s="111">
        <v>535</v>
      </c>
      <c r="J1728" s="111">
        <v>526</v>
      </c>
      <c r="K1728" s="111">
        <f t="shared" si="237"/>
        <v>534.66666666666663</v>
      </c>
      <c r="L1728" s="111">
        <f>300000</f>
        <v>300000</v>
      </c>
      <c r="M1728" s="111">
        <f t="shared" si="238"/>
        <v>135000</v>
      </c>
      <c r="N1728" s="111">
        <f t="shared" si="239"/>
        <v>135000</v>
      </c>
      <c r="O1728" s="111">
        <f t="shared" si="240"/>
        <v>27000</v>
      </c>
      <c r="P1728" s="111">
        <f t="shared" si="241"/>
        <v>30000</v>
      </c>
      <c r="Q1728" s="111">
        <v>60000</v>
      </c>
      <c r="R1728" s="111">
        <v>6</v>
      </c>
      <c r="S1728" s="111">
        <f t="shared" si="242"/>
        <v>6000</v>
      </c>
      <c r="T1728" s="111">
        <f t="shared" si="243"/>
        <v>360000</v>
      </c>
      <c r="U1728" s="111">
        <f t="shared" si="244"/>
        <v>3600</v>
      </c>
      <c r="V1728" s="111">
        <f t="shared" si="245"/>
        <v>363600</v>
      </c>
      <c r="W1728" t="s">
        <v>4189</v>
      </c>
    </row>
    <row r="1729" spans="1:23" x14ac:dyDescent="0.3">
      <c r="A1729" s="110">
        <v>2216164</v>
      </c>
      <c r="B1729" s="110" t="s">
        <v>1769</v>
      </c>
      <c r="C1729" s="110" t="s">
        <v>1770</v>
      </c>
      <c r="D1729" s="110" t="s">
        <v>1773</v>
      </c>
      <c r="E1729" s="110" t="s">
        <v>1921</v>
      </c>
      <c r="F1729" s="110" t="s">
        <v>122</v>
      </c>
      <c r="G1729" s="110" t="s">
        <v>114</v>
      </c>
      <c r="H1729" s="111">
        <v>764</v>
      </c>
      <c r="I1729" s="111">
        <v>776</v>
      </c>
      <c r="J1729" s="111">
        <v>758</v>
      </c>
      <c r="K1729" s="111">
        <f t="shared" si="237"/>
        <v>766</v>
      </c>
      <c r="L1729" s="111">
        <f>300000</f>
        <v>300000</v>
      </c>
      <c r="M1729" s="111">
        <f t="shared" si="238"/>
        <v>135000</v>
      </c>
      <c r="N1729" s="111">
        <f t="shared" si="239"/>
        <v>135000</v>
      </c>
      <c r="O1729" s="111">
        <f t="shared" si="240"/>
        <v>27000</v>
      </c>
      <c r="P1729" s="111">
        <f t="shared" si="241"/>
        <v>30000</v>
      </c>
      <c r="Q1729" s="111">
        <v>60000</v>
      </c>
      <c r="R1729" s="111">
        <v>6</v>
      </c>
      <c r="S1729" s="111">
        <f t="shared" si="242"/>
        <v>6000</v>
      </c>
      <c r="T1729" s="111">
        <f t="shared" si="243"/>
        <v>360000</v>
      </c>
      <c r="U1729" s="111">
        <f t="shared" si="244"/>
        <v>3600</v>
      </c>
      <c r="V1729" s="111">
        <f t="shared" si="245"/>
        <v>363600</v>
      </c>
      <c r="W1729" t="s">
        <v>4190</v>
      </c>
    </row>
    <row r="1730" spans="1:23" x14ac:dyDescent="0.3">
      <c r="A1730" s="110">
        <v>2216301</v>
      </c>
      <c r="B1730" s="110" t="s">
        <v>1769</v>
      </c>
      <c r="C1730" s="110" t="s">
        <v>1770</v>
      </c>
      <c r="D1730" s="110" t="s">
        <v>1773</v>
      </c>
      <c r="E1730" s="110" t="s">
        <v>1922</v>
      </c>
      <c r="F1730" s="110" t="s">
        <v>122</v>
      </c>
      <c r="G1730" s="110" t="s">
        <v>114</v>
      </c>
      <c r="H1730" s="111">
        <v>1009</v>
      </c>
      <c r="I1730" s="111">
        <v>1020</v>
      </c>
      <c r="J1730" s="111">
        <v>1040</v>
      </c>
      <c r="K1730" s="111">
        <f t="shared" ref="K1730:K1793" si="246">+(H1730+I1730+J1730)/3</f>
        <v>1023</v>
      </c>
      <c r="L1730" s="111">
        <f>600000*0.7</f>
        <v>420000</v>
      </c>
      <c r="M1730" s="111">
        <f t="shared" ref="M1730:M1793" si="247">+L1730*0.45</f>
        <v>189000</v>
      </c>
      <c r="N1730" s="111">
        <f t="shared" ref="N1730:N1793" si="248">+L1730*0.45</f>
        <v>189000</v>
      </c>
      <c r="O1730" s="111">
        <f t="shared" ref="O1730:O1793" si="249">+N1730*0.2</f>
        <v>37800</v>
      </c>
      <c r="P1730" s="111">
        <f t="shared" ref="P1730:P1793" si="250">++L1730*0.1</f>
        <v>42000</v>
      </c>
      <c r="Q1730" s="111">
        <v>80000</v>
      </c>
      <c r="R1730" s="111">
        <v>8</v>
      </c>
      <c r="S1730" s="111">
        <f t="shared" ref="S1730:S1793" si="251">+Q1730*0.1</f>
        <v>8000</v>
      </c>
      <c r="T1730" s="111">
        <f t="shared" ref="T1730:T1793" si="252">+L1730+Q1730</f>
        <v>500000</v>
      </c>
      <c r="U1730" s="111">
        <f t="shared" ref="U1730:U1793" si="253">+T1730*0.01</f>
        <v>5000</v>
      </c>
      <c r="V1730" s="111">
        <f t="shared" ref="V1730:V1793" si="254">+T1730+U1730</f>
        <v>505000</v>
      </c>
      <c r="W1730" t="s">
        <v>4191</v>
      </c>
    </row>
    <row r="1731" spans="1:23" x14ac:dyDescent="0.3">
      <c r="A1731" s="110">
        <v>2216306</v>
      </c>
      <c r="B1731" s="110" t="s">
        <v>1769</v>
      </c>
      <c r="C1731" s="110" t="s">
        <v>1770</v>
      </c>
      <c r="D1731" s="110" t="s">
        <v>1773</v>
      </c>
      <c r="E1731" s="110" t="s">
        <v>1923</v>
      </c>
      <c r="F1731" s="110" t="s">
        <v>122</v>
      </c>
      <c r="G1731" s="110" t="s">
        <v>114</v>
      </c>
      <c r="H1731" s="111">
        <v>1326</v>
      </c>
      <c r="I1731" s="111">
        <v>1302</v>
      </c>
      <c r="J1731" s="111">
        <v>1297</v>
      </c>
      <c r="K1731" s="111">
        <f t="shared" si="246"/>
        <v>1308.3333333333333</v>
      </c>
      <c r="L1731" s="111">
        <f>600000</f>
        <v>600000</v>
      </c>
      <c r="M1731" s="111">
        <f t="shared" si="247"/>
        <v>270000</v>
      </c>
      <c r="N1731" s="111">
        <f t="shared" si="248"/>
        <v>270000</v>
      </c>
      <c r="O1731" s="111">
        <f t="shared" si="249"/>
        <v>54000</v>
      </c>
      <c r="P1731" s="111">
        <f t="shared" si="250"/>
        <v>60000</v>
      </c>
      <c r="Q1731" s="111">
        <v>80000</v>
      </c>
      <c r="R1731" s="111">
        <v>8</v>
      </c>
      <c r="S1731" s="111">
        <f t="shared" si="251"/>
        <v>8000</v>
      </c>
      <c r="T1731" s="111">
        <f t="shared" si="252"/>
        <v>680000</v>
      </c>
      <c r="U1731" s="111">
        <f t="shared" si="253"/>
        <v>6800</v>
      </c>
      <c r="V1731" s="111">
        <f t="shared" si="254"/>
        <v>686800</v>
      </c>
      <c r="W1731" t="s">
        <v>4192</v>
      </c>
    </row>
    <row r="1732" spans="1:23" x14ac:dyDescent="0.3">
      <c r="A1732" s="110">
        <v>2216309</v>
      </c>
      <c r="B1732" s="110" t="s">
        <v>1769</v>
      </c>
      <c r="C1732" s="110" t="s">
        <v>1770</v>
      </c>
      <c r="D1732" s="110" t="s">
        <v>1773</v>
      </c>
      <c r="E1732" s="110" t="s">
        <v>1924</v>
      </c>
      <c r="F1732" s="110" t="s">
        <v>122</v>
      </c>
      <c r="G1732" s="110" t="s">
        <v>114</v>
      </c>
      <c r="H1732" s="111">
        <v>361</v>
      </c>
      <c r="I1732" s="111">
        <v>352</v>
      </c>
      <c r="J1732" s="111">
        <v>351</v>
      </c>
      <c r="K1732" s="111">
        <f t="shared" si="246"/>
        <v>354.66666666666669</v>
      </c>
      <c r="L1732" s="111">
        <v>200000</v>
      </c>
      <c r="M1732" s="111">
        <f t="shared" si="247"/>
        <v>90000</v>
      </c>
      <c r="N1732" s="111">
        <f t="shared" si="248"/>
        <v>90000</v>
      </c>
      <c r="O1732" s="111">
        <f t="shared" si="249"/>
        <v>18000</v>
      </c>
      <c r="P1732" s="111">
        <f t="shared" si="250"/>
        <v>20000</v>
      </c>
      <c r="Q1732" s="111">
        <v>50000</v>
      </c>
      <c r="R1732" s="111">
        <v>5</v>
      </c>
      <c r="S1732" s="111">
        <f t="shared" si="251"/>
        <v>5000</v>
      </c>
      <c r="T1732" s="111">
        <f t="shared" si="252"/>
        <v>250000</v>
      </c>
      <c r="U1732" s="111">
        <f t="shared" si="253"/>
        <v>2500</v>
      </c>
      <c r="V1732" s="111">
        <f t="shared" si="254"/>
        <v>252500</v>
      </c>
      <c r="W1732" t="s">
        <v>4193</v>
      </c>
    </row>
    <row r="1733" spans="1:23" x14ac:dyDescent="0.3">
      <c r="A1733" s="110">
        <v>2216422</v>
      </c>
      <c r="B1733" s="110" t="s">
        <v>1769</v>
      </c>
      <c r="C1733" s="110" t="s">
        <v>1770</v>
      </c>
      <c r="D1733" s="110" t="s">
        <v>1773</v>
      </c>
      <c r="E1733" s="110" t="s">
        <v>1925</v>
      </c>
      <c r="F1733" s="110" t="s">
        <v>117</v>
      </c>
      <c r="G1733" s="110" t="s">
        <v>125</v>
      </c>
      <c r="H1733" s="111">
        <v>236</v>
      </c>
      <c r="I1733" s="111">
        <v>210</v>
      </c>
      <c r="J1733" s="111">
        <v>238</v>
      </c>
      <c r="K1733" s="111">
        <f t="shared" si="246"/>
        <v>228</v>
      </c>
      <c r="L1733" s="111">
        <v>200000</v>
      </c>
      <c r="M1733" s="111">
        <f t="shared" si="247"/>
        <v>90000</v>
      </c>
      <c r="N1733" s="111">
        <f t="shared" si="248"/>
        <v>90000</v>
      </c>
      <c r="O1733" s="111">
        <f t="shared" si="249"/>
        <v>18000</v>
      </c>
      <c r="P1733" s="111">
        <f t="shared" si="250"/>
        <v>20000</v>
      </c>
      <c r="Q1733" s="111">
        <v>50000</v>
      </c>
      <c r="R1733" s="111">
        <v>5</v>
      </c>
      <c r="S1733" s="111">
        <f t="shared" si="251"/>
        <v>5000</v>
      </c>
      <c r="T1733" s="111">
        <f t="shared" si="252"/>
        <v>250000</v>
      </c>
      <c r="U1733" s="111">
        <f t="shared" si="253"/>
        <v>2500</v>
      </c>
      <c r="V1733" s="111">
        <f t="shared" si="254"/>
        <v>252500</v>
      </c>
      <c r="W1733" t="s">
        <v>4194</v>
      </c>
    </row>
    <row r="1734" spans="1:23" x14ac:dyDescent="0.3">
      <c r="A1734" s="110">
        <v>2216423</v>
      </c>
      <c r="B1734" s="110" t="s">
        <v>1769</v>
      </c>
      <c r="C1734" s="110" t="s">
        <v>1770</v>
      </c>
      <c r="D1734" s="110" t="s">
        <v>1773</v>
      </c>
      <c r="E1734" s="110" t="s">
        <v>1926</v>
      </c>
      <c r="F1734" s="110" t="s">
        <v>117</v>
      </c>
      <c r="G1734" s="110" t="s">
        <v>125</v>
      </c>
      <c r="H1734" s="111">
        <v>902</v>
      </c>
      <c r="I1734" s="111">
        <v>905</v>
      </c>
      <c r="J1734" s="111">
        <v>912</v>
      </c>
      <c r="K1734" s="111">
        <f t="shared" si="246"/>
        <v>906.33333333333337</v>
      </c>
      <c r="L1734" s="111">
        <f>300000</f>
        <v>300000</v>
      </c>
      <c r="M1734" s="111">
        <f t="shared" si="247"/>
        <v>135000</v>
      </c>
      <c r="N1734" s="111">
        <f t="shared" si="248"/>
        <v>135000</v>
      </c>
      <c r="O1734" s="111">
        <f t="shared" si="249"/>
        <v>27000</v>
      </c>
      <c r="P1734" s="111">
        <f t="shared" si="250"/>
        <v>30000</v>
      </c>
      <c r="Q1734" s="111">
        <v>60000</v>
      </c>
      <c r="R1734" s="111">
        <v>6</v>
      </c>
      <c r="S1734" s="111">
        <f t="shared" si="251"/>
        <v>6000</v>
      </c>
      <c r="T1734" s="111">
        <f t="shared" si="252"/>
        <v>360000</v>
      </c>
      <c r="U1734" s="111">
        <f t="shared" si="253"/>
        <v>3600</v>
      </c>
      <c r="V1734" s="111">
        <f t="shared" si="254"/>
        <v>363600</v>
      </c>
      <c r="W1734" t="s">
        <v>4195</v>
      </c>
    </row>
    <row r="1735" spans="1:23" x14ac:dyDescent="0.3">
      <c r="A1735" s="110">
        <v>2217053</v>
      </c>
      <c r="B1735" s="110" t="s">
        <v>1769</v>
      </c>
      <c r="C1735" s="110" t="s">
        <v>1770</v>
      </c>
      <c r="D1735" s="110" t="s">
        <v>1773</v>
      </c>
      <c r="E1735" s="110" t="s">
        <v>1927</v>
      </c>
      <c r="F1735" s="110" t="s">
        <v>113</v>
      </c>
      <c r="G1735" s="110" t="s">
        <v>114</v>
      </c>
      <c r="H1735" s="111">
        <v>236</v>
      </c>
      <c r="I1735" s="111">
        <v>264</v>
      </c>
      <c r="J1735" s="111">
        <v>284</v>
      </c>
      <c r="K1735" s="111">
        <f t="shared" si="246"/>
        <v>261.33333333333331</v>
      </c>
      <c r="L1735" s="111">
        <v>200000</v>
      </c>
      <c r="M1735" s="111">
        <f t="shared" si="247"/>
        <v>90000</v>
      </c>
      <c r="N1735" s="111">
        <f t="shared" si="248"/>
        <v>90000</v>
      </c>
      <c r="O1735" s="111">
        <f t="shared" si="249"/>
        <v>18000</v>
      </c>
      <c r="P1735" s="111">
        <f t="shared" si="250"/>
        <v>20000</v>
      </c>
      <c r="Q1735" s="111">
        <v>50000</v>
      </c>
      <c r="R1735" s="111">
        <v>5</v>
      </c>
      <c r="S1735" s="111">
        <f t="shared" si="251"/>
        <v>5000</v>
      </c>
      <c r="T1735" s="111">
        <f t="shared" si="252"/>
        <v>250000</v>
      </c>
      <c r="U1735" s="111">
        <f t="shared" si="253"/>
        <v>2500</v>
      </c>
      <c r="V1735" s="111">
        <f t="shared" si="254"/>
        <v>252500</v>
      </c>
      <c r="W1735" t="s">
        <v>4196</v>
      </c>
    </row>
    <row r="1736" spans="1:23" x14ac:dyDescent="0.3">
      <c r="A1736" s="110">
        <v>2217066</v>
      </c>
      <c r="B1736" s="110" t="s">
        <v>1769</v>
      </c>
      <c r="C1736" s="110" t="s">
        <v>1770</v>
      </c>
      <c r="D1736" s="110" t="s">
        <v>1773</v>
      </c>
      <c r="E1736" s="110" t="s">
        <v>1928</v>
      </c>
      <c r="F1736" s="110" t="s">
        <v>119</v>
      </c>
      <c r="G1736" s="110" t="s">
        <v>114</v>
      </c>
      <c r="H1736" s="111">
        <v>251</v>
      </c>
      <c r="I1736" s="111">
        <v>256</v>
      </c>
      <c r="J1736" s="111">
        <v>259</v>
      </c>
      <c r="K1736" s="111">
        <f t="shared" si="246"/>
        <v>255.33333333333334</v>
      </c>
      <c r="L1736" s="111">
        <v>200000</v>
      </c>
      <c r="M1736" s="111">
        <f t="shared" si="247"/>
        <v>90000</v>
      </c>
      <c r="N1736" s="111">
        <f t="shared" si="248"/>
        <v>90000</v>
      </c>
      <c r="O1736" s="111">
        <f t="shared" si="249"/>
        <v>18000</v>
      </c>
      <c r="P1736" s="111">
        <f t="shared" si="250"/>
        <v>20000</v>
      </c>
      <c r="Q1736" s="111">
        <v>50000</v>
      </c>
      <c r="R1736" s="111">
        <v>5</v>
      </c>
      <c r="S1736" s="111">
        <f t="shared" si="251"/>
        <v>5000</v>
      </c>
      <c r="T1736" s="111">
        <f t="shared" si="252"/>
        <v>250000</v>
      </c>
      <c r="U1736" s="111">
        <f t="shared" si="253"/>
        <v>2500</v>
      </c>
      <c r="V1736" s="111">
        <f t="shared" si="254"/>
        <v>252500</v>
      </c>
      <c r="W1736" t="s">
        <v>4197</v>
      </c>
    </row>
    <row r="1737" spans="1:23" x14ac:dyDescent="0.3">
      <c r="A1737" s="110">
        <v>2217072</v>
      </c>
      <c r="B1737" s="110" t="s">
        <v>1769</v>
      </c>
      <c r="C1737" s="110" t="s">
        <v>1770</v>
      </c>
      <c r="D1737" s="110" t="s">
        <v>1773</v>
      </c>
      <c r="E1737" s="110" t="s">
        <v>1929</v>
      </c>
      <c r="F1737" s="110" t="s">
        <v>113</v>
      </c>
      <c r="G1737" s="110" t="s">
        <v>114</v>
      </c>
      <c r="H1737" s="111">
        <v>174</v>
      </c>
      <c r="I1737" s="111">
        <v>168</v>
      </c>
      <c r="J1737" s="111">
        <v>167</v>
      </c>
      <c r="K1737" s="111">
        <f t="shared" si="246"/>
        <v>169.66666666666666</v>
      </c>
      <c r="L1737" s="111">
        <v>150000</v>
      </c>
      <c r="M1737" s="111">
        <f t="shared" si="247"/>
        <v>67500</v>
      </c>
      <c r="N1737" s="111">
        <f t="shared" si="248"/>
        <v>67500</v>
      </c>
      <c r="O1737" s="111">
        <f t="shared" si="249"/>
        <v>13500</v>
      </c>
      <c r="P1737" s="111">
        <f t="shared" si="250"/>
        <v>15000</v>
      </c>
      <c r="Q1737" s="111">
        <v>30000</v>
      </c>
      <c r="R1737" s="111">
        <v>3</v>
      </c>
      <c r="S1737" s="111">
        <f t="shared" si="251"/>
        <v>3000</v>
      </c>
      <c r="T1737" s="111">
        <f t="shared" si="252"/>
        <v>180000</v>
      </c>
      <c r="U1737" s="111">
        <f t="shared" si="253"/>
        <v>1800</v>
      </c>
      <c r="V1737" s="111">
        <f t="shared" si="254"/>
        <v>181800</v>
      </c>
      <c r="W1737" t="s">
        <v>4198</v>
      </c>
    </row>
    <row r="1738" spans="1:23" x14ac:dyDescent="0.3">
      <c r="A1738" s="110">
        <v>2217088</v>
      </c>
      <c r="B1738" s="110" t="s">
        <v>1769</v>
      </c>
      <c r="C1738" s="110" t="s">
        <v>1770</v>
      </c>
      <c r="D1738" s="110" t="s">
        <v>1773</v>
      </c>
      <c r="E1738" s="110" t="s">
        <v>1930</v>
      </c>
      <c r="F1738" s="110" t="s">
        <v>119</v>
      </c>
      <c r="G1738" s="110" t="s">
        <v>114</v>
      </c>
      <c r="H1738" s="111">
        <v>1150</v>
      </c>
      <c r="I1738" s="111">
        <v>1159</v>
      </c>
      <c r="J1738" s="111">
        <v>1151</v>
      </c>
      <c r="K1738" s="111">
        <f t="shared" si="246"/>
        <v>1153.3333333333333</v>
      </c>
      <c r="L1738" s="111">
        <f>600000</f>
        <v>600000</v>
      </c>
      <c r="M1738" s="111">
        <f t="shared" si="247"/>
        <v>270000</v>
      </c>
      <c r="N1738" s="111">
        <f t="shared" si="248"/>
        <v>270000</v>
      </c>
      <c r="O1738" s="111">
        <f t="shared" si="249"/>
        <v>54000</v>
      </c>
      <c r="P1738" s="111">
        <f t="shared" si="250"/>
        <v>60000</v>
      </c>
      <c r="Q1738" s="111">
        <v>80000</v>
      </c>
      <c r="R1738" s="111">
        <v>8</v>
      </c>
      <c r="S1738" s="111">
        <f t="shared" si="251"/>
        <v>8000</v>
      </c>
      <c r="T1738" s="111">
        <f t="shared" si="252"/>
        <v>680000</v>
      </c>
      <c r="U1738" s="111">
        <f t="shared" si="253"/>
        <v>6800</v>
      </c>
      <c r="V1738" s="111">
        <f t="shared" si="254"/>
        <v>686800</v>
      </c>
      <c r="W1738" t="s">
        <v>4199</v>
      </c>
    </row>
    <row r="1739" spans="1:23" x14ac:dyDescent="0.3">
      <c r="A1739" s="110">
        <v>2217149</v>
      </c>
      <c r="B1739" s="110" t="s">
        <v>1769</v>
      </c>
      <c r="C1739" s="110" t="s">
        <v>1770</v>
      </c>
      <c r="D1739" s="110" t="s">
        <v>1773</v>
      </c>
      <c r="E1739" s="110" t="s">
        <v>1931</v>
      </c>
      <c r="F1739" s="110" t="s">
        <v>119</v>
      </c>
      <c r="G1739" s="110" t="s">
        <v>114</v>
      </c>
      <c r="H1739" s="111">
        <v>508</v>
      </c>
      <c r="I1739" s="111">
        <v>528</v>
      </c>
      <c r="J1739" s="111">
        <v>575</v>
      </c>
      <c r="K1739" s="111">
        <f t="shared" si="246"/>
        <v>537</v>
      </c>
      <c r="L1739" s="111">
        <f>300000</f>
        <v>300000</v>
      </c>
      <c r="M1739" s="111">
        <f t="shared" si="247"/>
        <v>135000</v>
      </c>
      <c r="N1739" s="111">
        <f t="shared" si="248"/>
        <v>135000</v>
      </c>
      <c r="O1739" s="111">
        <f t="shared" si="249"/>
        <v>27000</v>
      </c>
      <c r="P1739" s="111">
        <f t="shared" si="250"/>
        <v>30000</v>
      </c>
      <c r="Q1739" s="111">
        <v>60000</v>
      </c>
      <c r="R1739" s="111">
        <v>6</v>
      </c>
      <c r="S1739" s="111">
        <f t="shared" si="251"/>
        <v>6000</v>
      </c>
      <c r="T1739" s="111">
        <f t="shared" si="252"/>
        <v>360000</v>
      </c>
      <c r="U1739" s="111">
        <f t="shared" si="253"/>
        <v>3600</v>
      </c>
      <c r="V1739" s="111">
        <f t="shared" si="254"/>
        <v>363600</v>
      </c>
      <c r="W1739" t="s">
        <v>4200</v>
      </c>
    </row>
    <row r="1740" spans="1:23" x14ac:dyDescent="0.3">
      <c r="A1740" s="110">
        <v>2217151</v>
      </c>
      <c r="B1740" s="110" t="s">
        <v>1769</v>
      </c>
      <c r="C1740" s="110" t="s">
        <v>1770</v>
      </c>
      <c r="D1740" s="110" t="s">
        <v>1773</v>
      </c>
      <c r="E1740" s="110" t="s">
        <v>1932</v>
      </c>
      <c r="F1740" s="110" t="s">
        <v>119</v>
      </c>
      <c r="G1740" s="110" t="s">
        <v>125</v>
      </c>
      <c r="H1740" s="111">
        <v>1055</v>
      </c>
      <c r="I1740" s="111">
        <v>1079</v>
      </c>
      <c r="J1740" s="111">
        <v>1117</v>
      </c>
      <c r="K1740" s="111">
        <f t="shared" si="246"/>
        <v>1083.6666666666667</v>
      </c>
      <c r="L1740" s="111">
        <f>600000</f>
        <v>600000</v>
      </c>
      <c r="M1740" s="111">
        <f t="shared" si="247"/>
        <v>270000</v>
      </c>
      <c r="N1740" s="111">
        <f t="shared" si="248"/>
        <v>270000</v>
      </c>
      <c r="O1740" s="111">
        <f t="shared" si="249"/>
        <v>54000</v>
      </c>
      <c r="P1740" s="111">
        <f t="shared" si="250"/>
        <v>60000</v>
      </c>
      <c r="Q1740" s="111">
        <v>80000</v>
      </c>
      <c r="R1740" s="111">
        <v>8</v>
      </c>
      <c r="S1740" s="111">
        <f t="shared" si="251"/>
        <v>8000</v>
      </c>
      <c r="T1740" s="111">
        <f t="shared" si="252"/>
        <v>680000</v>
      </c>
      <c r="U1740" s="111">
        <f t="shared" si="253"/>
        <v>6800</v>
      </c>
      <c r="V1740" s="111">
        <f t="shared" si="254"/>
        <v>686800</v>
      </c>
      <c r="W1740" t="s">
        <v>4201</v>
      </c>
    </row>
    <row r="1741" spans="1:23" x14ac:dyDescent="0.3">
      <c r="A1741" s="110">
        <v>2217424</v>
      </c>
      <c r="B1741" s="110" t="s">
        <v>1769</v>
      </c>
      <c r="C1741" s="110" t="s">
        <v>1770</v>
      </c>
      <c r="D1741" s="110" t="s">
        <v>1773</v>
      </c>
      <c r="E1741" s="110" t="s">
        <v>1933</v>
      </c>
      <c r="F1741" s="110" t="s">
        <v>117</v>
      </c>
      <c r="G1741" s="110" t="s">
        <v>125</v>
      </c>
      <c r="H1741" s="111">
        <v>633</v>
      </c>
      <c r="I1741" s="111">
        <v>627</v>
      </c>
      <c r="J1741" s="111">
        <v>645</v>
      </c>
      <c r="K1741" s="111">
        <f t="shared" si="246"/>
        <v>635</v>
      </c>
      <c r="L1741" s="111">
        <f>300000</f>
        <v>300000</v>
      </c>
      <c r="M1741" s="111">
        <f t="shared" si="247"/>
        <v>135000</v>
      </c>
      <c r="N1741" s="111">
        <f t="shared" si="248"/>
        <v>135000</v>
      </c>
      <c r="O1741" s="111">
        <f t="shared" si="249"/>
        <v>27000</v>
      </c>
      <c r="P1741" s="111">
        <f t="shared" si="250"/>
        <v>30000</v>
      </c>
      <c r="Q1741" s="111">
        <v>60000</v>
      </c>
      <c r="R1741" s="111">
        <v>6</v>
      </c>
      <c r="S1741" s="111">
        <f t="shared" si="251"/>
        <v>6000</v>
      </c>
      <c r="T1741" s="111">
        <f t="shared" si="252"/>
        <v>360000</v>
      </c>
      <c r="U1741" s="111">
        <f t="shared" si="253"/>
        <v>3600</v>
      </c>
      <c r="V1741" s="111">
        <f t="shared" si="254"/>
        <v>363600</v>
      </c>
      <c r="W1741" t="s">
        <v>4202</v>
      </c>
    </row>
    <row r="1742" spans="1:23" x14ac:dyDescent="0.3">
      <c r="A1742" s="110">
        <v>2217426</v>
      </c>
      <c r="B1742" s="110" t="s">
        <v>1769</v>
      </c>
      <c r="C1742" s="110" t="s">
        <v>1770</v>
      </c>
      <c r="D1742" s="110" t="s">
        <v>1773</v>
      </c>
      <c r="E1742" s="110" t="s">
        <v>1934</v>
      </c>
      <c r="F1742" s="110" t="s">
        <v>117</v>
      </c>
      <c r="G1742" s="110" t="s">
        <v>114</v>
      </c>
      <c r="H1742" s="111">
        <v>203</v>
      </c>
      <c r="I1742" s="111">
        <v>218</v>
      </c>
      <c r="J1742" s="111">
        <v>203</v>
      </c>
      <c r="K1742" s="111">
        <f t="shared" si="246"/>
        <v>208</v>
      </c>
      <c r="L1742" s="111">
        <v>200000</v>
      </c>
      <c r="M1742" s="111">
        <f t="shared" si="247"/>
        <v>90000</v>
      </c>
      <c r="N1742" s="111">
        <f t="shared" si="248"/>
        <v>90000</v>
      </c>
      <c r="O1742" s="111">
        <f t="shared" si="249"/>
        <v>18000</v>
      </c>
      <c r="P1742" s="111">
        <f t="shared" si="250"/>
        <v>20000</v>
      </c>
      <c r="Q1742" s="111">
        <v>50000</v>
      </c>
      <c r="R1742" s="111">
        <v>5</v>
      </c>
      <c r="S1742" s="111">
        <f t="shared" si="251"/>
        <v>5000</v>
      </c>
      <c r="T1742" s="111">
        <f t="shared" si="252"/>
        <v>250000</v>
      </c>
      <c r="U1742" s="111">
        <f t="shared" si="253"/>
        <v>2500</v>
      </c>
      <c r="V1742" s="111">
        <f t="shared" si="254"/>
        <v>252500</v>
      </c>
      <c r="W1742" t="s">
        <v>4203</v>
      </c>
    </row>
    <row r="1743" spans="1:23" x14ac:dyDescent="0.3">
      <c r="A1743" s="110">
        <v>2218071</v>
      </c>
      <c r="B1743" s="110" t="s">
        <v>1769</v>
      </c>
      <c r="C1743" s="110" t="s">
        <v>1770</v>
      </c>
      <c r="D1743" s="110" t="s">
        <v>1935</v>
      </c>
      <c r="E1743" s="110" t="s">
        <v>1936</v>
      </c>
      <c r="F1743" s="110" t="s">
        <v>119</v>
      </c>
      <c r="G1743" s="110" t="s">
        <v>114</v>
      </c>
      <c r="H1743" s="111">
        <v>398</v>
      </c>
      <c r="I1743" s="111">
        <v>383</v>
      </c>
      <c r="J1743" s="111">
        <v>389</v>
      </c>
      <c r="K1743" s="111">
        <f t="shared" si="246"/>
        <v>390</v>
      </c>
      <c r="L1743" s="111">
        <v>200000</v>
      </c>
      <c r="M1743" s="111">
        <f t="shared" si="247"/>
        <v>90000</v>
      </c>
      <c r="N1743" s="111">
        <f t="shared" si="248"/>
        <v>90000</v>
      </c>
      <c r="O1743" s="111">
        <f t="shared" si="249"/>
        <v>18000</v>
      </c>
      <c r="P1743" s="111">
        <f t="shared" si="250"/>
        <v>20000</v>
      </c>
      <c r="Q1743" s="111">
        <v>50000</v>
      </c>
      <c r="R1743" s="111">
        <v>5</v>
      </c>
      <c r="S1743" s="111">
        <f t="shared" si="251"/>
        <v>5000</v>
      </c>
      <c r="T1743" s="111">
        <f t="shared" si="252"/>
        <v>250000</v>
      </c>
      <c r="U1743" s="111">
        <f t="shared" si="253"/>
        <v>2500</v>
      </c>
      <c r="V1743" s="111">
        <f t="shared" si="254"/>
        <v>252500</v>
      </c>
      <c r="W1743" t="s">
        <v>4204</v>
      </c>
    </row>
    <row r="1744" spans="1:23" x14ac:dyDescent="0.3">
      <c r="A1744" s="110">
        <v>2218083</v>
      </c>
      <c r="B1744" s="110" t="s">
        <v>1769</v>
      </c>
      <c r="C1744" s="110" t="s">
        <v>1770</v>
      </c>
      <c r="D1744" s="110" t="s">
        <v>1773</v>
      </c>
      <c r="E1744" s="110" t="s">
        <v>1937</v>
      </c>
      <c r="F1744" s="110" t="s">
        <v>113</v>
      </c>
      <c r="G1744" s="110" t="s">
        <v>114</v>
      </c>
      <c r="H1744" s="111">
        <v>225</v>
      </c>
      <c r="I1744" s="111">
        <v>226</v>
      </c>
      <c r="J1744" s="111">
        <v>220</v>
      </c>
      <c r="K1744" s="111">
        <f t="shared" si="246"/>
        <v>223.66666666666666</v>
      </c>
      <c r="L1744" s="111">
        <v>200000</v>
      </c>
      <c r="M1744" s="111">
        <f t="shared" si="247"/>
        <v>90000</v>
      </c>
      <c r="N1744" s="111">
        <f t="shared" si="248"/>
        <v>90000</v>
      </c>
      <c r="O1744" s="111">
        <f t="shared" si="249"/>
        <v>18000</v>
      </c>
      <c r="P1744" s="111">
        <f t="shared" si="250"/>
        <v>20000</v>
      </c>
      <c r="Q1744" s="111">
        <v>50000</v>
      </c>
      <c r="R1744" s="111">
        <v>5</v>
      </c>
      <c r="S1744" s="111">
        <f t="shared" si="251"/>
        <v>5000</v>
      </c>
      <c r="T1744" s="111">
        <f t="shared" si="252"/>
        <v>250000</v>
      </c>
      <c r="U1744" s="111">
        <f t="shared" si="253"/>
        <v>2500</v>
      </c>
      <c r="V1744" s="111">
        <f t="shared" si="254"/>
        <v>252500</v>
      </c>
      <c r="W1744" t="s">
        <v>4205</v>
      </c>
    </row>
    <row r="1745" spans="1:23" x14ac:dyDescent="0.3">
      <c r="A1745" s="110">
        <v>2218084</v>
      </c>
      <c r="B1745" s="110" t="s">
        <v>1769</v>
      </c>
      <c r="C1745" s="110" t="s">
        <v>1770</v>
      </c>
      <c r="D1745" s="110" t="s">
        <v>1938</v>
      </c>
      <c r="E1745" s="110" t="s">
        <v>1939</v>
      </c>
      <c r="F1745" s="110" t="s">
        <v>113</v>
      </c>
      <c r="G1745" s="110" t="s">
        <v>114</v>
      </c>
      <c r="H1745" s="111">
        <v>215</v>
      </c>
      <c r="I1745" s="111">
        <v>235</v>
      </c>
      <c r="J1745" s="111">
        <v>252</v>
      </c>
      <c r="K1745" s="111">
        <f t="shared" si="246"/>
        <v>234</v>
      </c>
      <c r="L1745" s="111">
        <v>200000</v>
      </c>
      <c r="M1745" s="111">
        <f t="shared" si="247"/>
        <v>90000</v>
      </c>
      <c r="N1745" s="111">
        <f t="shared" si="248"/>
        <v>90000</v>
      </c>
      <c r="O1745" s="111">
        <f t="shared" si="249"/>
        <v>18000</v>
      </c>
      <c r="P1745" s="111">
        <f t="shared" si="250"/>
        <v>20000</v>
      </c>
      <c r="Q1745" s="111">
        <v>50000</v>
      </c>
      <c r="R1745" s="111">
        <v>5</v>
      </c>
      <c r="S1745" s="111">
        <f t="shared" si="251"/>
        <v>5000</v>
      </c>
      <c r="T1745" s="111">
        <f t="shared" si="252"/>
        <v>250000</v>
      </c>
      <c r="U1745" s="111">
        <f t="shared" si="253"/>
        <v>2500</v>
      </c>
      <c r="V1745" s="111">
        <f t="shared" si="254"/>
        <v>252500</v>
      </c>
      <c r="W1745" t="s">
        <v>4206</v>
      </c>
    </row>
    <row r="1746" spans="1:23" x14ac:dyDescent="0.3">
      <c r="A1746" s="110">
        <v>2218191</v>
      </c>
      <c r="B1746" s="110" t="s">
        <v>1769</v>
      </c>
      <c r="C1746" s="110" t="s">
        <v>1770</v>
      </c>
      <c r="D1746" s="110" t="s">
        <v>1940</v>
      </c>
      <c r="E1746" s="110" t="s">
        <v>1941</v>
      </c>
      <c r="F1746" s="110" t="s">
        <v>113</v>
      </c>
      <c r="G1746" s="110" t="s">
        <v>114</v>
      </c>
      <c r="H1746" s="111">
        <v>106</v>
      </c>
      <c r="I1746" s="111">
        <v>102</v>
      </c>
      <c r="J1746" s="111">
        <v>101</v>
      </c>
      <c r="K1746" s="111">
        <f t="shared" si="246"/>
        <v>103</v>
      </c>
      <c r="L1746" s="111">
        <v>150000</v>
      </c>
      <c r="M1746" s="111">
        <f t="shared" si="247"/>
        <v>67500</v>
      </c>
      <c r="N1746" s="111">
        <f t="shared" si="248"/>
        <v>67500</v>
      </c>
      <c r="O1746" s="111">
        <f t="shared" si="249"/>
        <v>13500</v>
      </c>
      <c r="P1746" s="111">
        <f t="shared" si="250"/>
        <v>15000</v>
      </c>
      <c r="Q1746" s="111">
        <v>30000</v>
      </c>
      <c r="R1746" s="111">
        <v>3</v>
      </c>
      <c r="S1746" s="111">
        <f t="shared" si="251"/>
        <v>3000</v>
      </c>
      <c r="T1746" s="111">
        <f t="shared" si="252"/>
        <v>180000</v>
      </c>
      <c r="U1746" s="111">
        <f t="shared" si="253"/>
        <v>1800</v>
      </c>
      <c r="V1746" s="111">
        <f t="shared" si="254"/>
        <v>181800</v>
      </c>
      <c r="W1746" t="s">
        <v>4207</v>
      </c>
    </row>
    <row r="1747" spans="1:23" x14ac:dyDescent="0.3">
      <c r="A1747" s="110">
        <v>2218192</v>
      </c>
      <c r="B1747" s="110" t="s">
        <v>1769</v>
      </c>
      <c r="C1747" s="110" t="s">
        <v>1770</v>
      </c>
      <c r="D1747" s="110" t="s">
        <v>1942</v>
      </c>
      <c r="E1747" s="110" t="s">
        <v>1943</v>
      </c>
      <c r="F1747" s="110" t="s">
        <v>119</v>
      </c>
      <c r="G1747" s="110" t="s">
        <v>114</v>
      </c>
      <c r="H1747" s="111">
        <v>267</v>
      </c>
      <c r="I1747" s="111">
        <v>265</v>
      </c>
      <c r="J1747" s="111">
        <v>301</v>
      </c>
      <c r="K1747" s="111">
        <f t="shared" si="246"/>
        <v>277.66666666666669</v>
      </c>
      <c r="L1747" s="111">
        <f>200000*0.7</f>
        <v>140000</v>
      </c>
      <c r="M1747" s="111">
        <f t="shared" si="247"/>
        <v>63000</v>
      </c>
      <c r="N1747" s="111">
        <f t="shared" si="248"/>
        <v>63000</v>
      </c>
      <c r="O1747" s="111">
        <f t="shared" si="249"/>
        <v>12600</v>
      </c>
      <c r="P1747" s="111">
        <f t="shared" si="250"/>
        <v>14000</v>
      </c>
      <c r="Q1747" s="111">
        <v>50000</v>
      </c>
      <c r="R1747" s="111">
        <v>5</v>
      </c>
      <c r="S1747" s="111">
        <f t="shared" si="251"/>
        <v>5000</v>
      </c>
      <c r="T1747" s="111">
        <f t="shared" si="252"/>
        <v>190000</v>
      </c>
      <c r="U1747" s="111">
        <f t="shared" si="253"/>
        <v>1900</v>
      </c>
      <c r="V1747" s="111">
        <f t="shared" si="254"/>
        <v>191900</v>
      </c>
      <c r="W1747" t="s">
        <v>4208</v>
      </c>
    </row>
    <row r="1748" spans="1:23" x14ac:dyDescent="0.3">
      <c r="A1748" s="110">
        <v>2218200</v>
      </c>
      <c r="B1748" s="110" t="s">
        <v>1769</v>
      </c>
      <c r="C1748" s="110" t="s">
        <v>1770</v>
      </c>
      <c r="D1748" s="110" t="s">
        <v>1944</v>
      </c>
      <c r="E1748" s="110" t="s">
        <v>1945</v>
      </c>
      <c r="F1748" s="110" t="s">
        <v>113</v>
      </c>
      <c r="G1748" s="110" t="s">
        <v>114</v>
      </c>
      <c r="H1748" s="111">
        <v>161</v>
      </c>
      <c r="I1748" s="111">
        <v>148</v>
      </c>
      <c r="J1748" s="111">
        <v>153</v>
      </c>
      <c r="K1748" s="111">
        <f t="shared" si="246"/>
        <v>154</v>
      </c>
      <c r="L1748" s="111">
        <v>150000</v>
      </c>
      <c r="M1748" s="111">
        <f t="shared" si="247"/>
        <v>67500</v>
      </c>
      <c r="N1748" s="111">
        <f t="shared" si="248"/>
        <v>67500</v>
      </c>
      <c r="O1748" s="111">
        <f t="shared" si="249"/>
        <v>13500</v>
      </c>
      <c r="P1748" s="111">
        <f t="shared" si="250"/>
        <v>15000</v>
      </c>
      <c r="Q1748" s="111">
        <v>30000</v>
      </c>
      <c r="R1748" s="111">
        <v>3</v>
      </c>
      <c r="S1748" s="111">
        <f t="shared" si="251"/>
        <v>3000</v>
      </c>
      <c r="T1748" s="111">
        <f t="shared" si="252"/>
        <v>180000</v>
      </c>
      <c r="U1748" s="111">
        <f t="shared" si="253"/>
        <v>1800</v>
      </c>
      <c r="V1748" s="111">
        <f t="shared" si="254"/>
        <v>181800</v>
      </c>
      <c r="W1748" t="s">
        <v>4209</v>
      </c>
    </row>
    <row r="1749" spans="1:23" x14ac:dyDescent="0.3">
      <c r="A1749" s="110">
        <v>2218201</v>
      </c>
      <c r="B1749" s="110" t="s">
        <v>1769</v>
      </c>
      <c r="C1749" s="110" t="s">
        <v>1770</v>
      </c>
      <c r="D1749" s="110" t="s">
        <v>1944</v>
      </c>
      <c r="E1749" s="110" t="s">
        <v>1946</v>
      </c>
      <c r="F1749" s="110" t="s">
        <v>113</v>
      </c>
      <c r="G1749" s="110" t="s">
        <v>114</v>
      </c>
      <c r="H1749" s="111">
        <v>198</v>
      </c>
      <c r="I1749" s="111">
        <v>210</v>
      </c>
      <c r="J1749" s="111">
        <v>203</v>
      </c>
      <c r="K1749" s="111">
        <f t="shared" si="246"/>
        <v>203.66666666666666</v>
      </c>
      <c r="L1749" s="111">
        <v>200000</v>
      </c>
      <c r="M1749" s="111">
        <f t="shared" si="247"/>
        <v>90000</v>
      </c>
      <c r="N1749" s="111">
        <f t="shared" si="248"/>
        <v>90000</v>
      </c>
      <c r="O1749" s="111">
        <f t="shared" si="249"/>
        <v>18000</v>
      </c>
      <c r="P1749" s="111">
        <f t="shared" si="250"/>
        <v>20000</v>
      </c>
      <c r="Q1749" s="111">
        <v>50000</v>
      </c>
      <c r="R1749" s="111">
        <v>5</v>
      </c>
      <c r="S1749" s="111">
        <f t="shared" si="251"/>
        <v>5000</v>
      </c>
      <c r="T1749" s="111">
        <f t="shared" si="252"/>
        <v>250000</v>
      </c>
      <c r="U1749" s="111">
        <f t="shared" si="253"/>
        <v>2500</v>
      </c>
      <c r="V1749" s="111">
        <f t="shared" si="254"/>
        <v>252500</v>
      </c>
      <c r="W1749" t="s">
        <v>4210</v>
      </c>
    </row>
    <row r="1750" spans="1:23" x14ac:dyDescent="0.3">
      <c r="A1750" s="110">
        <v>2218202</v>
      </c>
      <c r="B1750" s="110" t="s">
        <v>1769</v>
      </c>
      <c r="C1750" s="110" t="s">
        <v>1770</v>
      </c>
      <c r="D1750" s="110" t="s">
        <v>1947</v>
      </c>
      <c r="E1750" s="110" t="s">
        <v>1948</v>
      </c>
      <c r="F1750" s="110" t="s">
        <v>113</v>
      </c>
      <c r="G1750" s="110" t="s">
        <v>114</v>
      </c>
      <c r="H1750" s="111">
        <v>59</v>
      </c>
      <c r="I1750" s="111">
        <v>59</v>
      </c>
      <c r="J1750" s="111">
        <v>55</v>
      </c>
      <c r="K1750" s="111">
        <f t="shared" si="246"/>
        <v>57.666666666666664</v>
      </c>
      <c r="L1750" s="111">
        <v>150000</v>
      </c>
      <c r="M1750" s="111">
        <f t="shared" si="247"/>
        <v>67500</v>
      </c>
      <c r="N1750" s="111">
        <f t="shared" si="248"/>
        <v>67500</v>
      </c>
      <c r="O1750" s="111">
        <f t="shared" si="249"/>
        <v>13500</v>
      </c>
      <c r="P1750" s="111">
        <f t="shared" si="250"/>
        <v>15000</v>
      </c>
      <c r="Q1750" s="111">
        <v>30000</v>
      </c>
      <c r="R1750" s="111">
        <v>3</v>
      </c>
      <c r="S1750" s="111">
        <f t="shared" si="251"/>
        <v>3000</v>
      </c>
      <c r="T1750" s="111">
        <f t="shared" si="252"/>
        <v>180000</v>
      </c>
      <c r="U1750" s="111">
        <f t="shared" si="253"/>
        <v>1800</v>
      </c>
      <c r="V1750" s="111">
        <f t="shared" si="254"/>
        <v>181800</v>
      </c>
      <c r="W1750" t="s">
        <v>4211</v>
      </c>
    </row>
    <row r="1751" spans="1:23" x14ac:dyDescent="0.3">
      <c r="A1751" s="110">
        <v>2219024</v>
      </c>
      <c r="B1751" s="110" t="s">
        <v>1769</v>
      </c>
      <c r="C1751" s="110" t="s">
        <v>1770</v>
      </c>
      <c r="D1751" s="110" t="s">
        <v>1773</v>
      </c>
      <c r="E1751" s="110" t="s">
        <v>1949</v>
      </c>
      <c r="F1751" s="110" t="s">
        <v>119</v>
      </c>
      <c r="G1751" s="110" t="s">
        <v>114</v>
      </c>
      <c r="H1751" s="111">
        <v>208</v>
      </c>
      <c r="I1751" s="111">
        <v>211</v>
      </c>
      <c r="J1751" s="111">
        <v>237</v>
      </c>
      <c r="K1751" s="111">
        <f t="shared" si="246"/>
        <v>218.66666666666666</v>
      </c>
      <c r="L1751" s="111">
        <v>200000</v>
      </c>
      <c r="M1751" s="111">
        <f t="shared" si="247"/>
        <v>90000</v>
      </c>
      <c r="N1751" s="111">
        <f t="shared" si="248"/>
        <v>90000</v>
      </c>
      <c r="O1751" s="111">
        <f t="shared" si="249"/>
        <v>18000</v>
      </c>
      <c r="P1751" s="111">
        <f t="shared" si="250"/>
        <v>20000</v>
      </c>
      <c r="Q1751" s="111">
        <v>50000</v>
      </c>
      <c r="R1751" s="111">
        <v>5</v>
      </c>
      <c r="S1751" s="111">
        <f t="shared" si="251"/>
        <v>5000</v>
      </c>
      <c r="T1751" s="111">
        <f t="shared" si="252"/>
        <v>250000</v>
      </c>
      <c r="U1751" s="111">
        <f t="shared" si="253"/>
        <v>2500</v>
      </c>
      <c r="V1751" s="111">
        <f t="shared" si="254"/>
        <v>252500</v>
      </c>
      <c r="W1751" t="s">
        <v>4212</v>
      </c>
    </row>
    <row r="1752" spans="1:23" x14ac:dyDescent="0.3">
      <c r="A1752" s="110">
        <v>2219042</v>
      </c>
      <c r="B1752" s="110" t="s">
        <v>1769</v>
      </c>
      <c r="C1752" s="110" t="s">
        <v>1770</v>
      </c>
      <c r="D1752" s="110" t="s">
        <v>1773</v>
      </c>
      <c r="E1752" s="110" t="s">
        <v>1950</v>
      </c>
      <c r="F1752" s="110" t="s">
        <v>113</v>
      </c>
      <c r="G1752" s="110" t="s">
        <v>114</v>
      </c>
      <c r="H1752" s="111">
        <v>766</v>
      </c>
      <c r="I1752" s="111">
        <v>773</v>
      </c>
      <c r="J1752" s="111">
        <v>752</v>
      </c>
      <c r="K1752" s="111">
        <f t="shared" si="246"/>
        <v>763.66666666666663</v>
      </c>
      <c r="L1752" s="111">
        <f>300000</f>
        <v>300000</v>
      </c>
      <c r="M1752" s="111">
        <f t="shared" si="247"/>
        <v>135000</v>
      </c>
      <c r="N1752" s="111">
        <f t="shared" si="248"/>
        <v>135000</v>
      </c>
      <c r="O1752" s="111">
        <f t="shared" si="249"/>
        <v>27000</v>
      </c>
      <c r="P1752" s="111">
        <f t="shared" si="250"/>
        <v>30000</v>
      </c>
      <c r="Q1752" s="111">
        <v>60000</v>
      </c>
      <c r="R1752" s="111">
        <v>6</v>
      </c>
      <c r="S1752" s="111">
        <f t="shared" si="251"/>
        <v>6000</v>
      </c>
      <c r="T1752" s="111">
        <f t="shared" si="252"/>
        <v>360000</v>
      </c>
      <c r="U1752" s="111">
        <f t="shared" si="253"/>
        <v>3600</v>
      </c>
      <c r="V1752" s="111">
        <f t="shared" si="254"/>
        <v>363600</v>
      </c>
      <c r="W1752" t="s">
        <v>4213</v>
      </c>
    </row>
    <row r="1753" spans="1:23" x14ac:dyDescent="0.3">
      <c r="A1753" s="110">
        <v>2219044</v>
      </c>
      <c r="B1753" s="110" t="s">
        <v>1769</v>
      </c>
      <c r="C1753" s="110" t="s">
        <v>1770</v>
      </c>
      <c r="D1753" s="110" t="s">
        <v>1773</v>
      </c>
      <c r="E1753" s="110" t="s">
        <v>1951</v>
      </c>
      <c r="F1753" s="110" t="s">
        <v>119</v>
      </c>
      <c r="G1753" s="110" t="s">
        <v>114</v>
      </c>
      <c r="H1753" s="111">
        <v>690</v>
      </c>
      <c r="I1753" s="111">
        <v>770</v>
      </c>
      <c r="J1753" s="111">
        <v>815</v>
      </c>
      <c r="K1753" s="111">
        <f t="shared" si="246"/>
        <v>758.33333333333337</v>
      </c>
      <c r="L1753" s="111">
        <f>300000</f>
        <v>300000</v>
      </c>
      <c r="M1753" s="111">
        <f t="shared" si="247"/>
        <v>135000</v>
      </c>
      <c r="N1753" s="111">
        <f t="shared" si="248"/>
        <v>135000</v>
      </c>
      <c r="O1753" s="111">
        <f t="shared" si="249"/>
        <v>27000</v>
      </c>
      <c r="P1753" s="111">
        <f t="shared" si="250"/>
        <v>30000</v>
      </c>
      <c r="Q1753" s="111">
        <v>60000</v>
      </c>
      <c r="R1753" s="111">
        <v>6</v>
      </c>
      <c r="S1753" s="111">
        <f t="shared" si="251"/>
        <v>6000</v>
      </c>
      <c r="T1753" s="111">
        <f t="shared" si="252"/>
        <v>360000</v>
      </c>
      <c r="U1753" s="111">
        <f t="shared" si="253"/>
        <v>3600</v>
      </c>
      <c r="V1753" s="111">
        <f t="shared" si="254"/>
        <v>363600</v>
      </c>
      <c r="W1753" t="s">
        <v>4214</v>
      </c>
    </row>
    <row r="1754" spans="1:23" x14ac:dyDescent="0.3">
      <c r="A1754" s="110">
        <v>2219049</v>
      </c>
      <c r="B1754" s="110" t="s">
        <v>1769</v>
      </c>
      <c r="C1754" s="110" t="s">
        <v>1770</v>
      </c>
      <c r="D1754" s="110" t="s">
        <v>1773</v>
      </c>
      <c r="E1754" s="110" t="s">
        <v>1952</v>
      </c>
      <c r="F1754" s="110" t="s">
        <v>113</v>
      </c>
      <c r="G1754" s="110" t="s">
        <v>114</v>
      </c>
      <c r="H1754" s="111">
        <v>942</v>
      </c>
      <c r="I1754" s="111">
        <v>941</v>
      </c>
      <c r="J1754" s="111">
        <v>931</v>
      </c>
      <c r="K1754" s="111">
        <f t="shared" si="246"/>
        <v>938</v>
      </c>
      <c r="L1754" s="111">
        <f>300000</f>
        <v>300000</v>
      </c>
      <c r="M1754" s="111">
        <f t="shared" si="247"/>
        <v>135000</v>
      </c>
      <c r="N1754" s="111">
        <f t="shared" si="248"/>
        <v>135000</v>
      </c>
      <c r="O1754" s="111">
        <f t="shared" si="249"/>
        <v>27000</v>
      </c>
      <c r="P1754" s="111">
        <f t="shared" si="250"/>
        <v>30000</v>
      </c>
      <c r="Q1754" s="111">
        <v>60000</v>
      </c>
      <c r="R1754" s="111">
        <v>6</v>
      </c>
      <c r="S1754" s="111">
        <f t="shared" si="251"/>
        <v>6000</v>
      </c>
      <c r="T1754" s="111">
        <f t="shared" si="252"/>
        <v>360000</v>
      </c>
      <c r="U1754" s="111">
        <f t="shared" si="253"/>
        <v>3600</v>
      </c>
      <c r="V1754" s="111">
        <f t="shared" si="254"/>
        <v>363600</v>
      </c>
      <c r="W1754" t="s">
        <v>4215</v>
      </c>
    </row>
    <row r="1755" spans="1:23" x14ac:dyDescent="0.3">
      <c r="A1755" s="110">
        <v>2219095</v>
      </c>
      <c r="B1755" s="110" t="s">
        <v>1769</v>
      </c>
      <c r="C1755" s="110" t="s">
        <v>1770</v>
      </c>
      <c r="D1755" s="110" t="s">
        <v>1773</v>
      </c>
      <c r="E1755" s="110" t="s">
        <v>1953</v>
      </c>
      <c r="F1755" s="110" t="s">
        <v>119</v>
      </c>
      <c r="G1755" s="110" t="s">
        <v>114</v>
      </c>
      <c r="H1755" s="111">
        <v>741</v>
      </c>
      <c r="I1755" s="111">
        <v>759</v>
      </c>
      <c r="J1755" s="111">
        <v>810</v>
      </c>
      <c r="K1755" s="111">
        <f t="shared" si="246"/>
        <v>770</v>
      </c>
      <c r="L1755" s="111">
        <f>300000</f>
        <v>300000</v>
      </c>
      <c r="M1755" s="111">
        <f t="shared" si="247"/>
        <v>135000</v>
      </c>
      <c r="N1755" s="111">
        <f t="shared" si="248"/>
        <v>135000</v>
      </c>
      <c r="O1755" s="111">
        <f t="shared" si="249"/>
        <v>27000</v>
      </c>
      <c r="P1755" s="111">
        <f t="shared" si="250"/>
        <v>30000</v>
      </c>
      <c r="Q1755" s="111">
        <v>60000</v>
      </c>
      <c r="R1755" s="111">
        <v>6</v>
      </c>
      <c r="S1755" s="111">
        <f t="shared" si="251"/>
        <v>6000</v>
      </c>
      <c r="T1755" s="111">
        <f t="shared" si="252"/>
        <v>360000</v>
      </c>
      <c r="U1755" s="111">
        <f t="shared" si="253"/>
        <v>3600</v>
      </c>
      <c r="V1755" s="111">
        <f t="shared" si="254"/>
        <v>363600</v>
      </c>
      <c r="W1755" t="s">
        <v>4216</v>
      </c>
    </row>
    <row r="1756" spans="1:23" x14ac:dyDescent="0.3">
      <c r="A1756" s="110">
        <v>2219106</v>
      </c>
      <c r="B1756" s="110" t="s">
        <v>1769</v>
      </c>
      <c r="C1756" s="110" t="s">
        <v>1770</v>
      </c>
      <c r="D1756" s="110" t="s">
        <v>1773</v>
      </c>
      <c r="E1756" s="110" t="s">
        <v>1954</v>
      </c>
      <c r="F1756" s="110" t="s">
        <v>113</v>
      </c>
      <c r="G1756" s="110" t="s">
        <v>114</v>
      </c>
      <c r="H1756" s="111">
        <v>175</v>
      </c>
      <c r="I1756" s="111">
        <v>184</v>
      </c>
      <c r="J1756" s="111">
        <v>195</v>
      </c>
      <c r="K1756" s="111">
        <f t="shared" si="246"/>
        <v>184.66666666666666</v>
      </c>
      <c r="L1756" s="111">
        <v>150000</v>
      </c>
      <c r="M1756" s="111">
        <f t="shared" si="247"/>
        <v>67500</v>
      </c>
      <c r="N1756" s="111">
        <f t="shared" si="248"/>
        <v>67500</v>
      </c>
      <c r="O1756" s="111">
        <f t="shared" si="249"/>
        <v>13500</v>
      </c>
      <c r="P1756" s="111">
        <f t="shared" si="250"/>
        <v>15000</v>
      </c>
      <c r="Q1756" s="111">
        <v>30000</v>
      </c>
      <c r="R1756" s="111">
        <v>3</v>
      </c>
      <c r="S1756" s="111">
        <f t="shared" si="251"/>
        <v>3000</v>
      </c>
      <c r="T1756" s="111">
        <f t="shared" si="252"/>
        <v>180000</v>
      </c>
      <c r="U1756" s="111">
        <f t="shared" si="253"/>
        <v>1800</v>
      </c>
      <c r="V1756" s="111">
        <f t="shared" si="254"/>
        <v>181800</v>
      </c>
      <c r="W1756" t="s">
        <v>4217</v>
      </c>
    </row>
    <row r="1757" spans="1:23" x14ac:dyDescent="0.3">
      <c r="A1757" s="110">
        <v>2219124</v>
      </c>
      <c r="B1757" s="110" t="s">
        <v>1769</v>
      </c>
      <c r="C1757" s="110" t="s">
        <v>1770</v>
      </c>
      <c r="D1757" s="110" t="s">
        <v>1773</v>
      </c>
      <c r="E1757" s="110" t="s">
        <v>1955</v>
      </c>
      <c r="F1757" s="110" t="s">
        <v>113</v>
      </c>
      <c r="G1757" s="110" t="s">
        <v>114</v>
      </c>
      <c r="H1757" s="111">
        <v>95</v>
      </c>
      <c r="I1757" s="111">
        <v>101</v>
      </c>
      <c r="J1757" s="111">
        <v>106</v>
      </c>
      <c r="K1757" s="111">
        <f t="shared" si="246"/>
        <v>100.66666666666667</v>
      </c>
      <c r="L1757" s="111">
        <v>150000</v>
      </c>
      <c r="M1757" s="111">
        <f t="shared" si="247"/>
        <v>67500</v>
      </c>
      <c r="N1757" s="111">
        <f t="shared" si="248"/>
        <v>67500</v>
      </c>
      <c r="O1757" s="111">
        <f t="shared" si="249"/>
        <v>13500</v>
      </c>
      <c r="P1757" s="111">
        <f t="shared" si="250"/>
        <v>15000</v>
      </c>
      <c r="Q1757" s="111">
        <v>30000</v>
      </c>
      <c r="R1757" s="111">
        <v>3</v>
      </c>
      <c r="S1757" s="111">
        <f t="shared" si="251"/>
        <v>3000</v>
      </c>
      <c r="T1757" s="111">
        <f t="shared" si="252"/>
        <v>180000</v>
      </c>
      <c r="U1757" s="111">
        <f t="shared" si="253"/>
        <v>1800</v>
      </c>
      <c r="V1757" s="111">
        <f t="shared" si="254"/>
        <v>181800</v>
      </c>
      <c r="W1757" t="s">
        <v>4218</v>
      </c>
    </row>
    <row r="1758" spans="1:23" x14ac:dyDescent="0.3">
      <c r="A1758" s="110">
        <v>2219130</v>
      </c>
      <c r="B1758" s="110" t="s">
        <v>1769</v>
      </c>
      <c r="C1758" s="110" t="s">
        <v>1770</v>
      </c>
      <c r="D1758" s="110" t="s">
        <v>1773</v>
      </c>
      <c r="E1758" s="110" t="s">
        <v>1956</v>
      </c>
      <c r="F1758" s="110" t="s">
        <v>119</v>
      </c>
      <c r="G1758" s="110" t="s">
        <v>114</v>
      </c>
      <c r="H1758" s="111">
        <v>192</v>
      </c>
      <c r="I1758" s="111">
        <v>199</v>
      </c>
      <c r="J1758" s="111">
        <v>197</v>
      </c>
      <c r="K1758" s="111">
        <f t="shared" si="246"/>
        <v>196</v>
      </c>
      <c r="L1758" s="111">
        <v>150000</v>
      </c>
      <c r="M1758" s="111">
        <f t="shared" si="247"/>
        <v>67500</v>
      </c>
      <c r="N1758" s="111">
        <f t="shared" si="248"/>
        <v>67500</v>
      </c>
      <c r="O1758" s="111">
        <f t="shared" si="249"/>
        <v>13500</v>
      </c>
      <c r="P1758" s="111">
        <f t="shared" si="250"/>
        <v>15000</v>
      </c>
      <c r="Q1758" s="111">
        <v>30000</v>
      </c>
      <c r="R1758" s="111">
        <v>3</v>
      </c>
      <c r="S1758" s="111">
        <f t="shared" si="251"/>
        <v>3000</v>
      </c>
      <c r="T1758" s="111">
        <f t="shared" si="252"/>
        <v>180000</v>
      </c>
      <c r="U1758" s="111">
        <f t="shared" si="253"/>
        <v>1800</v>
      </c>
      <c r="V1758" s="111">
        <f t="shared" si="254"/>
        <v>181800</v>
      </c>
      <c r="W1758" t="s">
        <v>4219</v>
      </c>
    </row>
    <row r="1759" spans="1:23" x14ac:dyDescent="0.3">
      <c r="A1759" s="110">
        <v>2219143</v>
      </c>
      <c r="B1759" s="110" t="s">
        <v>1769</v>
      </c>
      <c r="C1759" s="110" t="s">
        <v>1770</v>
      </c>
      <c r="D1759" s="110" t="s">
        <v>1773</v>
      </c>
      <c r="E1759" s="110" t="s">
        <v>1957</v>
      </c>
      <c r="F1759" s="110" t="s">
        <v>113</v>
      </c>
      <c r="G1759" s="110" t="s">
        <v>114</v>
      </c>
      <c r="H1759" s="111">
        <v>776</v>
      </c>
      <c r="I1759" s="111">
        <v>766</v>
      </c>
      <c r="J1759" s="111">
        <v>763</v>
      </c>
      <c r="K1759" s="111">
        <f t="shared" si="246"/>
        <v>768.33333333333337</v>
      </c>
      <c r="L1759" s="111">
        <f>300000</f>
        <v>300000</v>
      </c>
      <c r="M1759" s="111">
        <f t="shared" si="247"/>
        <v>135000</v>
      </c>
      <c r="N1759" s="111">
        <f t="shared" si="248"/>
        <v>135000</v>
      </c>
      <c r="O1759" s="111">
        <f t="shared" si="249"/>
        <v>27000</v>
      </c>
      <c r="P1759" s="111">
        <f t="shared" si="250"/>
        <v>30000</v>
      </c>
      <c r="Q1759" s="111">
        <v>60000</v>
      </c>
      <c r="R1759" s="111">
        <v>6</v>
      </c>
      <c r="S1759" s="111">
        <f t="shared" si="251"/>
        <v>6000</v>
      </c>
      <c r="T1759" s="111">
        <f t="shared" si="252"/>
        <v>360000</v>
      </c>
      <c r="U1759" s="111">
        <f t="shared" si="253"/>
        <v>3600</v>
      </c>
      <c r="V1759" s="111">
        <f t="shared" si="254"/>
        <v>363600</v>
      </c>
      <c r="W1759" t="s">
        <v>4220</v>
      </c>
    </row>
    <row r="1760" spans="1:23" x14ac:dyDescent="0.3">
      <c r="A1760" s="110">
        <v>2219166</v>
      </c>
      <c r="B1760" s="110" t="s">
        <v>1769</v>
      </c>
      <c r="C1760" s="110" t="s">
        <v>1770</v>
      </c>
      <c r="D1760" s="110" t="s">
        <v>1773</v>
      </c>
      <c r="E1760" s="110" t="s">
        <v>1958</v>
      </c>
      <c r="F1760" s="110" t="s">
        <v>296</v>
      </c>
      <c r="G1760" s="110" t="s">
        <v>114</v>
      </c>
      <c r="H1760" s="111">
        <v>538</v>
      </c>
      <c r="I1760" s="111">
        <v>562</v>
      </c>
      <c r="J1760" s="111">
        <v>553</v>
      </c>
      <c r="K1760" s="111">
        <f t="shared" si="246"/>
        <v>551</v>
      </c>
      <c r="L1760" s="111">
        <f>300000</f>
        <v>300000</v>
      </c>
      <c r="M1760" s="111">
        <f t="shared" si="247"/>
        <v>135000</v>
      </c>
      <c r="N1760" s="111">
        <f t="shared" si="248"/>
        <v>135000</v>
      </c>
      <c r="O1760" s="111">
        <f t="shared" si="249"/>
        <v>27000</v>
      </c>
      <c r="P1760" s="111">
        <f t="shared" si="250"/>
        <v>30000</v>
      </c>
      <c r="Q1760" s="111">
        <v>60000</v>
      </c>
      <c r="R1760" s="111">
        <v>6</v>
      </c>
      <c r="S1760" s="111">
        <f t="shared" si="251"/>
        <v>6000</v>
      </c>
      <c r="T1760" s="111">
        <f t="shared" si="252"/>
        <v>360000</v>
      </c>
      <c r="U1760" s="111">
        <f t="shared" si="253"/>
        <v>3600</v>
      </c>
      <c r="V1760" s="111">
        <f t="shared" si="254"/>
        <v>363600</v>
      </c>
      <c r="W1760" t="s">
        <v>4221</v>
      </c>
    </row>
    <row r="1761" spans="1:23" x14ac:dyDescent="0.3">
      <c r="A1761" s="110">
        <v>2219199</v>
      </c>
      <c r="B1761" s="110" t="s">
        <v>1769</v>
      </c>
      <c r="C1761" s="110" t="s">
        <v>1770</v>
      </c>
      <c r="D1761" s="110" t="s">
        <v>1773</v>
      </c>
      <c r="E1761" s="110" t="s">
        <v>1959</v>
      </c>
      <c r="F1761" s="110" t="s">
        <v>113</v>
      </c>
      <c r="G1761" s="110" t="s">
        <v>114</v>
      </c>
      <c r="H1761" s="111">
        <v>360</v>
      </c>
      <c r="I1761" s="111">
        <v>374</v>
      </c>
      <c r="J1761" s="111">
        <v>390</v>
      </c>
      <c r="K1761" s="111">
        <f t="shared" si="246"/>
        <v>374.66666666666669</v>
      </c>
      <c r="L1761" s="111">
        <v>200000</v>
      </c>
      <c r="M1761" s="111">
        <f t="shared" si="247"/>
        <v>90000</v>
      </c>
      <c r="N1761" s="111">
        <f t="shared" si="248"/>
        <v>90000</v>
      </c>
      <c r="O1761" s="111">
        <f t="shared" si="249"/>
        <v>18000</v>
      </c>
      <c r="P1761" s="111">
        <f t="shared" si="250"/>
        <v>20000</v>
      </c>
      <c r="Q1761" s="111">
        <v>50000</v>
      </c>
      <c r="R1761" s="111">
        <v>5</v>
      </c>
      <c r="S1761" s="111">
        <f t="shared" si="251"/>
        <v>5000</v>
      </c>
      <c r="T1761" s="111">
        <f t="shared" si="252"/>
        <v>250000</v>
      </c>
      <c r="U1761" s="111">
        <f t="shared" si="253"/>
        <v>2500</v>
      </c>
      <c r="V1761" s="111">
        <f t="shared" si="254"/>
        <v>252500</v>
      </c>
      <c r="W1761" t="s">
        <v>4222</v>
      </c>
    </row>
    <row r="1762" spans="1:23" x14ac:dyDescent="0.3">
      <c r="A1762" s="110">
        <v>2220014</v>
      </c>
      <c r="B1762" s="110" t="s">
        <v>1769</v>
      </c>
      <c r="C1762" s="110" t="s">
        <v>1770</v>
      </c>
      <c r="D1762" s="110" t="s">
        <v>1773</v>
      </c>
      <c r="E1762" s="110" t="s">
        <v>1960</v>
      </c>
      <c r="F1762" s="110" t="s">
        <v>119</v>
      </c>
      <c r="G1762" s="110" t="s">
        <v>114</v>
      </c>
      <c r="H1762" s="111">
        <v>425</v>
      </c>
      <c r="I1762" s="111">
        <v>424</v>
      </c>
      <c r="J1762" s="111">
        <v>383</v>
      </c>
      <c r="K1762" s="111">
        <f t="shared" si="246"/>
        <v>410.66666666666669</v>
      </c>
      <c r="L1762" s="111">
        <f>300000</f>
        <v>300000</v>
      </c>
      <c r="M1762" s="111">
        <f t="shared" si="247"/>
        <v>135000</v>
      </c>
      <c r="N1762" s="111">
        <f t="shared" si="248"/>
        <v>135000</v>
      </c>
      <c r="O1762" s="111">
        <f t="shared" si="249"/>
        <v>27000</v>
      </c>
      <c r="P1762" s="111">
        <f t="shared" si="250"/>
        <v>30000</v>
      </c>
      <c r="Q1762" s="111">
        <v>60000</v>
      </c>
      <c r="R1762" s="111">
        <v>6</v>
      </c>
      <c r="S1762" s="111">
        <f t="shared" si="251"/>
        <v>6000</v>
      </c>
      <c r="T1762" s="111">
        <f t="shared" si="252"/>
        <v>360000</v>
      </c>
      <c r="U1762" s="111">
        <f t="shared" si="253"/>
        <v>3600</v>
      </c>
      <c r="V1762" s="111">
        <f t="shared" si="254"/>
        <v>363600</v>
      </c>
      <c r="W1762" t="s">
        <v>4223</v>
      </c>
    </row>
    <row r="1763" spans="1:23" x14ac:dyDescent="0.3">
      <c r="A1763" s="110">
        <v>2220029</v>
      </c>
      <c r="B1763" s="110" t="s">
        <v>1769</v>
      </c>
      <c r="C1763" s="110" t="s">
        <v>1770</v>
      </c>
      <c r="D1763" s="110" t="s">
        <v>1773</v>
      </c>
      <c r="E1763" s="110" t="s">
        <v>1961</v>
      </c>
      <c r="F1763" s="110" t="s">
        <v>119</v>
      </c>
      <c r="G1763" s="110" t="s">
        <v>114</v>
      </c>
      <c r="H1763" s="111">
        <v>266</v>
      </c>
      <c r="I1763" s="111">
        <v>268</v>
      </c>
      <c r="J1763" s="111">
        <v>290</v>
      </c>
      <c r="K1763" s="111">
        <f t="shared" si="246"/>
        <v>274.66666666666669</v>
      </c>
      <c r="L1763" s="111">
        <v>200000</v>
      </c>
      <c r="M1763" s="111">
        <f t="shared" si="247"/>
        <v>90000</v>
      </c>
      <c r="N1763" s="111">
        <f t="shared" si="248"/>
        <v>90000</v>
      </c>
      <c r="O1763" s="111">
        <f t="shared" si="249"/>
        <v>18000</v>
      </c>
      <c r="P1763" s="111">
        <f t="shared" si="250"/>
        <v>20000</v>
      </c>
      <c r="Q1763" s="111">
        <v>50000</v>
      </c>
      <c r="R1763" s="111">
        <v>5</v>
      </c>
      <c r="S1763" s="111">
        <f t="shared" si="251"/>
        <v>5000</v>
      </c>
      <c r="T1763" s="111">
        <f t="shared" si="252"/>
        <v>250000</v>
      </c>
      <c r="U1763" s="111">
        <f t="shared" si="253"/>
        <v>2500</v>
      </c>
      <c r="V1763" s="111">
        <f t="shared" si="254"/>
        <v>252500</v>
      </c>
      <c r="W1763" t="s">
        <v>4224</v>
      </c>
    </row>
    <row r="1764" spans="1:23" x14ac:dyDescent="0.3">
      <c r="A1764" s="110">
        <v>2220048</v>
      </c>
      <c r="B1764" s="110" t="s">
        <v>1769</v>
      </c>
      <c r="C1764" s="110" t="s">
        <v>1770</v>
      </c>
      <c r="D1764" s="110" t="s">
        <v>1773</v>
      </c>
      <c r="E1764" s="110" t="s">
        <v>1962</v>
      </c>
      <c r="F1764" s="110" t="s">
        <v>113</v>
      </c>
      <c r="G1764" s="110" t="s">
        <v>114</v>
      </c>
      <c r="H1764" s="111">
        <v>426</v>
      </c>
      <c r="I1764" s="111">
        <v>390</v>
      </c>
      <c r="J1764" s="111">
        <v>391</v>
      </c>
      <c r="K1764" s="111">
        <f t="shared" si="246"/>
        <v>402.33333333333331</v>
      </c>
      <c r="L1764" s="111">
        <f>300000</f>
        <v>300000</v>
      </c>
      <c r="M1764" s="111">
        <f t="shared" si="247"/>
        <v>135000</v>
      </c>
      <c r="N1764" s="111">
        <f t="shared" si="248"/>
        <v>135000</v>
      </c>
      <c r="O1764" s="111">
        <f t="shared" si="249"/>
        <v>27000</v>
      </c>
      <c r="P1764" s="111">
        <f t="shared" si="250"/>
        <v>30000</v>
      </c>
      <c r="Q1764" s="111">
        <v>60000</v>
      </c>
      <c r="R1764" s="111">
        <v>6</v>
      </c>
      <c r="S1764" s="111">
        <f t="shared" si="251"/>
        <v>6000</v>
      </c>
      <c r="T1764" s="111">
        <f t="shared" si="252"/>
        <v>360000</v>
      </c>
      <c r="U1764" s="111">
        <f t="shared" si="253"/>
        <v>3600</v>
      </c>
      <c r="V1764" s="111">
        <f t="shared" si="254"/>
        <v>363600</v>
      </c>
      <c r="W1764" t="s">
        <v>4225</v>
      </c>
    </row>
    <row r="1765" spans="1:23" x14ac:dyDescent="0.3">
      <c r="A1765" s="110">
        <v>2220058</v>
      </c>
      <c r="B1765" s="110" t="s">
        <v>1769</v>
      </c>
      <c r="C1765" s="110" t="s">
        <v>1770</v>
      </c>
      <c r="D1765" s="110" t="s">
        <v>1773</v>
      </c>
      <c r="E1765" s="110" t="s">
        <v>1963</v>
      </c>
      <c r="F1765" s="110" t="s">
        <v>113</v>
      </c>
      <c r="G1765" s="110" t="s">
        <v>114</v>
      </c>
      <c r="H1765" s="111">
        <v>330</v>
      </c>
      <c r="I1765" s="111">
        <v>328</v>
      </c>
      <c r="J1765" s="111">
        <v>332</v>
      </c>
      <c r="K1765" s="111">
        <f t="shared" si="246"/>
        <v>330</v>
      </c>
      <c r="L1765" s="111">
        <v>200000</v>
      </c>
      <c r="M1765" s="111">
        <f t="shared" si="247"/>
        <v>90000</v>
      </c>
      <c r="N1765" s="111">
        <f t="shared" si="248"/>
        <v>90000</v>
      </c>
      <c r="O1765" s="111">
        <f t="shared" si="249"/>
        <v>18000</v>
      </c>
      <c r="P1765" s="111">
        <f t="shared" si="250"/>
        <v>20000</v>
      </c>
      <c r="Q1765" s="111">
        <v>50000</v>
      </c>
      <c r="R1765" s="111">
        <v>5</v>
      </c>
      <c r="S1765" s="111">
        <f t="shared" si="251"/>
        <v>5000</v>
      </c>
      <c r="T1765" s="111">
        <f t="shared" si="252"/>
        <v>250000</v>
      </c>
      <c r="U1765" s="111">
        <f t="shared" si="253"/>
        <v>2500</v>
      </c>
      <c r="V1765" s="111">
        <f t="shared" si="254"/>
        <v>252500</v>
      </c>
      <c r="W1765" t="s">
        <v>4226</v>
      </c>
    </row>
    <row r="1766" spans="1:23" x14ac:dyDescent="0.3">
      <c r="A1766" s="110">
        <v>2220059</v>
      </c>
      <c r="B1766" s="110" t="s">
        <v>1769</v>
      </c>
      <c r="C1766" s="110" t="s">
        <v>1770</v>
      </c>
      <c r="D1766" s="110" t="s">
        <v>1773</v>
      </c>
      <c r="E1766" s="110" t="s">
        <v>1964</v>
      </c>
      <c r="F1766" s="110" t="s">
        <v>168</v>
      </c>
      <c r="G1766" s="110" t="s">
        <v>114</v>
      </c>
      <c r="H1766" s="111">
        <v>278</v>
      </c>
      <c r="I1766" s="111">
        <v>266</v>
      </c>
      <c r="J1766" s="111">
        <v>260</v>
      </c>
      <c r="K1766" s="111">
        <f t="shared" si="246"/>
        <v>268</v>
      </c>
      <c r="L1766" s="111">
        <v>200000</v>
      </c>
      <c r="M1766" s="111">
        <f t="shared" si="247"/>
        <v>90000</v>
      </c>
      <c r="N1766" s="111">
        <f t="shared" si="248"/>
        <v>90000</v>
      </c>
      <c r="O1766" s="111">
        <f t="shared" si="249"/>
        <v>18000</v>
      </c>
      <c r="P1766" s="111">
        <f t="shared" si="250"/>
        <v>20000</v>
      </c>
      <c r="Q1766" s="111">
        <v>50000</v>
      </c>
      <c r="R1766" s="111">
        <v>5</v>
      </c>
      <c r="S1766" s="111">
        <f t="shared" si="251"/>
        <v>5000</v>
      </c>
      <c r="T1766" s="111">
        <f t="shared" si="252"/>
        <v>250000</v>
      </c>
      <c r="U1766" s="111">
        <f t="shared" si="253"/>
        <v>2500</v>
      </c>
      <c r="V1766" s="111">
        <f t="shared" si="254"/>
        <v>252500</v>
      </c>
      <c r="W1766" t="s">
        <v>4227</v>
      </c>
    </row>
    <row r="1767" spans="1:23" x14ac:dyDescent="0.3">
      <c r="A1767" s="110">
        <v>2220060</v>
      </c>
      <c r="B1767" s="110" t="s">
        <v>1769</v>
      </c>
      <c r="C1767" s="110" t="s">
        <v>1770</v>
      </c>
      <c r="D1767" s="110" t="s">
        <v>1773</v>
      </c>
      <c r="E1767" s="110" t="s">
        <v>1965</v>
      </c>
      <c r="F1767" s="110" t="s">
        <v>113</v>
      </c>
      <c r="G1767" s="110" t="s">
        <v>114</v>
      </c>
      <c r="H1767" s="111">
        <v>327</v>
      </c>
      <c r="I1767" s="111">
        <v>317</v>
      </c>
      <c r="J1767" s="111">
        <v>327</v>
      </c>
      <c r="K1767" s="111">
        <f t="shared" si="246"/>
        <v>323.66666666666669</v>
      </c>
      <c r="L1767" s="111">
        <v>200000</v>
      </c>
      <c r="M1767" s="111">
        <f t="shared" si="247"/>
        <v>90000</v>
      </c>
      <c r="N1767" s="111">
        <f t="shared" si="248"/>
        <v>90000</v>
      </c>
      <c r="O1767" s="111">
        <f t="shared" si="249"/>
        <v>18000</v>
      </c>
      <c r="P1767" s="111">
        <f t="shared" si="250"/>
        <v>20000</v>
      </c>
      <c r="Q1767" s="111">
        <v>50000</v>
      </c>
      <c r="R1767" s="111">
        <v>5</v>
      </c>
      <c r="S1767" s="111">
        <f t="shared" si="251"/>
        <v>5000</v>
      </c>
      <c r="T1767" s="111">
        <f t="shared" si="252"/>
        <v>250000</v>
      </c>
      <c r="U1767" s="111">
        <f t="shared" si="253"/>
        <v>2500</v>
      </c>
      <c r="V1767" s="111">
        <f t="shared" si="254"/>
        <v>252500</v>
      </c>
      <c r="W1767" t="s">
        <v>4228</v>
      </c>
    </row>
    <row r="1768" spans="1:23" x14ac:dyDescent="0.3">
      <c r="A1768" s="110">
        <v>2220100</v>
      </c>
      <c r="B1768" s="110" t="s">
        <v>1769</v>
      </c>
      <c r="C1768" s="110" t="s">
        <v>1770</v>
      </c>
      <c r="D1768" s="110" t="s">
        <v>1773</v>
      </c>
      <c r="E1768" s="110" t="s">
        <v>1966</v>
      </c>
      <c r="F1768" s="110" t="s">
        <v>113</v>
      </c>
      <c r="G1768" s="110" t="s">
        <v>114</v>
      </c>
      <c r="H1768" s="111">
        <v>82</v>
      </c>
      <c r="I1768" s="111">
        <v>72</v>
      </c>
      <c r="J1768" s="111">
        <v>78</v>
      </c>
      <c r="K1768" s="111">
        <f t="shared" si="246"/>
        <v>77.333333333333329</v>
      </c>
      <c r="L1768" s="111">
        <v>150000</v>
      </c>
      <c r="M1768" s="111">
        <f t="shared" si="247"/>
        <v>67500</v>
      </c>
      <c r="N1768" s="111">
        <f t="shared" si="248"/>
        <v>67500</v>
      </c>
      <c r="O1768" s="111">
        <f t="shared" si="249"/>
        <v>13500</v>
      </c>
      <c r="P1768" s="111">
        <f t="shared" si="250"/>
        <v>15000</v>
      </c>
      <c r="Q1768" s="111">
        <v>30000</v>
      </c>
      <c r="R1768" s="111">
        <v>3</v>
      </c>
      <c r="S1768" s="111">
        <f t="shared" si="251"/>
        <v>3000</v>
      </c>
      <c r="T1768" s="111">
        <f t="shared" si="252"/>
        <v>180000</v>
      </c>
      <c r="U1768" s="111">
        <f t="shared" si="253"/>
        <v>1800</v>
      </c>
      <c r="V1768" s="111">
        <f t="shared" si="254"/>
        <v>181800</v>
      </c>
      <c r="W1768" t="s">
        <v>4229</v>
      </c>
    </row>
    <row r="1769" spans="1:23" x14ac:dyDescent="0.3">
      <c r="A1769" s="110">
        <v>2220308</v>
      </c>
      <c r="B1769" s="110" t="s">
        <v>1769</v>
      </c>
      <c r="C1769" s="110" t="s">
        <v>1770</v>
      </c>
      <c r="D1769" s="110" t="s">
        <v>1773</v>
      </c>
      <c r="E1769" s="110" t="s">
        <v>1967</v>
      </c>
      <c r="F1769" s="110" t="s">
        <v>122</v>
      </c>
      <c r="G1769" s="110" t="s">
        <v>114</v>
      </c>
      <c r="H1769" s="111">
        <v>149</v>
      </c>
      <c r="I1769" s="111">
        <v>149</v>
      </c>
      <c r="J1769" s="111">
        <v>158</v>
      </c>
      <c r="K1769" s="111">
        <f t="shared" si="246"/>
        <v>152</v>
      </c>
      <c r="L1769" s="111">
        <f>150000*0.7</f>
        <v>105000</v>
      </c>
      <c r="M1769" s="111">
        <f t="shared" si="247"/>
        <v>47250</v>
      </c>
      <c r="N1769" s="111">
        <f t="shared" si="248"/>
        <v>47250</v>
      </c>
      <c r="O1769" s="111">
        <f t="shared" si="249"/>
        <v>9450</v>
      </c>
      <c r="P1769" s="111">
        <f t="shared" si="250"/>
        <v>10500</v>
      </c>
      <c r="Q1769" s="111">
        <v>30000</v>
      </c>
      <c r="R1769" s="111">
        <v>3</v>
      </c>
      <c r="S1769" s="111">
        <f t="shared" si="251"/>
        <v>3000</v>
      </c>
      <c r="T1769" s="111">
        <f t="shared" si="252"/>
        <v>135000</v>
      </c>
      <c r="U1769" s="111">
        <f t="shared" si="253"/>
        <v>1350</v>
      </c>
      <c r="V1769" s="111">
        <f t="shared" si="254"/>
        <v>136350</v>
      </c>
      <c r="W1769" t="s">
        <v>4230</v>
      </c>
    </row>
    <row r="1770" spans="1:23" x14ac:dyDescent="0.3">
      <c r="A1770" s="110">
        <v>2221023</v>
      </c>
      <c r="B1770" s="110" t="s">
        <v>1769</v>
      </c>
      <c r="C1770" s="110" t="s">
        <v>1770</v>
      </c>
      <c r="D1770" s="110" t="s">
        <v>1773</v>
      </c>
      <c r="E1770" s="110" t="s">
        <v>1968</v>
      </c>
      <c r="F1770" s="110" t="s">
        <v>119</v>
      </c>
      <c r="G1770" s="110" t="s">
        <v>114</v>
      </c>
      <c r="H1770" s="111">
        <v>915</v>
      </c>
      <c r="I1770" s="111">
        <v>919</v>
      </c>
      <c r="J1770" s="111">
        <v>931</v>
      </c>
      <c r="K1770" s="111">
        <f t="shared" si="246"/>
        <v>921.66666666666663</v>
      </c>
      <c r="L1770" s="111">
        <f>300000</f>
        <v>300000</v>
      </c>
      <c r="M1770" s="111">
        <f t="shared" si="247"/>
        <v>135000</v>
      </c>
      <c r="N1770" s="111">
        <f t="shared" si="248"/>
        <v>135000</v>
      </c>
      <c r="O1770" s="111">
        <f t="shared" si="249"/>
        <v>27000</v>
      </c>
      <c r="P1770" s="111">
        <f t="shared" si="250"/>
        <v>30000</v>
      </c>
      <c r="Q1770" s="111">
        <v>60000</v>
      </c>
      <c r="R1770" s="111">
        <v>6</v>
      </c>
      <c r="S1770" s="111">
        <f t="shared" si="251"/>
        <v>6000</v>
      </c>
      <c r="T1770" s="111">
        <f t="shared" si="252"/>
        <v>360000</v>
      </c>
      <c r="U1770" s="111">
        <f t="shared" si="253"/>
        <v>3600</v>
      </c>
      <c r="V1770" s="111">
        <f t="shared" si="254"/>
        <v>363600</v>
      </c>
      <c r="W1770" t="s">
        <v>4231</v>
      </c>
    </row>
    <row r="1771" spans="1:23" x14ac:dyDescent="0.3">
      <c r="A1771" s="110">
        <v>2221031</v>
      </c>
      <c r="B1771" s="110" t="s">
        <v>1769</v>
      </c>
      <c r="C1771" s="110" t="s">
        <v>1770</v>
      </c>
      <c r="D1771" s="110" t="s">
        <v>1773</v>
      </c>
      <c r="E1771" s="110" t="s">
        <v>1969</v>
      </c>
      <c r="F1771" s="110" t="s">
        <v>119</v>
      </c>
      <c r="G1771" s="110" t="s">
        <v>114</v>
      </c>
      <c r="H1771" s="111">
        <v>1465</v>
      </c>
      <c r="I1771" s="111">
        <v>1418</v>
      </c>
      <c r="J1771" s="111">
        <v>1383</v>
      </c>
      <c r="K1771" s="111">
        <f t="shared" si="246"/>
        <v>1422</v>
      </c>
      <c r="L1771" s="111">
        <f>600000</f>
        <v>600000</v>
      </c>
      <c r="M1771" s="111">
        <f t="shared" si="247"/>
        <v>270000</v>
      </c>
      <c r="N1771" s="111">
        <f t="shared" si="248"/>
        <v>270000</v>
      </c>
      <c r="O1771" s="111">
        <f t="shared" si="249"/>
        <v>54000</v>
      </c>
      <c r="P1771" s="111">
        <f t="shared" si="250"/>
        <v>60000</v>
      </c>
      <c r="Q1771" s="111">
        <v>80000</v>
      </c>
      <c r="R1771" s="111">
        <v>8</v>
      </c>
      <c r="S1771" s="111">
        <f t="shared" si="251"/>
        <v>8000</v>
      </c>
      <c r="T1771" s="111">
        <f t="shared" si="252"/>
        <v>680000</v>
      </c>
      <c r="U1771" s="111">
        <f t="shared" si="253"/>
        <v>6800</v>
      </c>
      <c r="V1771" s="111">
        <f t="shared" si="254"/>
        <v>686800</v>
      </c>
      <c r="W1771" t="s">
        <v>4232</v>
      </c>
    </row>
    <row r="1772" spans="1:23" x14ac:dyDescent="0.3">
      <c r="A1772" s="110">
        <v>2221093</v>
      </c>
      <c r="B1772" s="110" t="s">
        <v>1769</v>
      </c>
      <c r="C1772" s="110" t="s">
        <v>1770</v>
      </c>
      <c r="D1772" s="110" t="s">
        <v>1773</v>
      </c>
      <c r="E1772" s="110" t="s">
        <v>1970</v>
      </c>
      <c r="F1772" s="110" t="s">
        <v>119</v>
      </c>
      <c r="G1772" s="110" t="s">
        <v>114</v>
      </c>
      <c r="H1772" s="111">
        <v>490</v>
      </c>
      <c r="I1772" s="111">
        <v>555</v>
      </c>
      <c r="J1772" s="111">
        <v>614</v>
      </c>
      <c r="K1772" s="111">
        <f t="shared" si="246"/>
        <v>553</v>
      </c>
      <c r="L1772" s="111">
        <f>300000*0.7</f>
        <v>210000</v>
      </c>
      <c r="M1772" s="111">
        <f t="shared" si="247"/>
        <v>94500</v>
      </c>
      <c r="N1772" s="111">
        <f t="shared" si="248"/>
        <v>94500</v>
      </c>
      <c r="O1772" s="111">
        <f t="shared" si="249"/>
        <v>18900</v>
      </c>
      <c r="P1772" s="111">
        <f t="shared" si="250"/>
        <v>21000</v>
      </c>
      <c r="Q1772" s="111">
        <v>60000</v>
      </c>
      <c r="R1772" s="111">
        <v>6</v>
      </c>
      <c r="S1772" s="111">
        <f t="shared" si="251"/>
        <v>6000</v>
      </c>
      <c r="T1772" s="111">
        <f t="shared" si="252"/>
        <v>270000</v>
      </c>
      <c r="U1772" s="111">
        <f t="shared" si="253"/>
        <v>2700</v>
      </c>
      <c r="V1772" s="111">
        <f t="shared" si="254"/>
        <v>272700</v>
      </c>
      <c r="W1772" t="s">
        <v>4233</v>
      </c>
    </row>
    <row r="1773" spans="1:23" x14ac:dyDescent="0.3">
      <c r="A1773" s="110">
        <v>2221094</v>
      </c>
      <c r="B1773" s="110" t="s">
        <v>1769</v>
      </c>
      <c r="C1773" s="110" t="s">
        <v>1770</v>
      </c>
      <c r="D1773" s="110" t="s">
        <v>1773</v>
      </c>
      <c r="E1773" s="110" t="s">
        <v>1971</v>
      </c>
      <c r="F1773" s="110" t="s">
        <v>119</v>
      </c>
      <c r="G1773" s="110" t="s">
        <v>114</v>
      </c>
      <c r="H1773" s="111">
        <v>943</v>
      </c>
      <c r="I1773" s="111">
        <v>979</v>
      </c>
      <c r="J1773" s="111">
        <v>977</v>
      </c>
      <c r="K1773" s="111">
        <f t="shared" si="246"/>
        <v>966.33333333333337</v>
      </c>
      <c r="L1773" s="111">
        <f>300000</f>
        <v>300000</v>
      </c>
      <c r="M1773" s="111">
        <f t="shared" si="247"/>
        <v>135000</v>
      </c>
      <c r="N1773" s="111">
        <f t="shared" si="248"/>
        <v>135000</v>
      </c>
      <c r="O1773" s="111">
        <f t="shared" si="249"/>
        <v>27000</v>
      </c>
      <c r="P1773" s="111">
        <f t="shared" si="250"/>
        <v>30000</v>
      </c>
      <c r="Q1773" s="111">
        <v>60000</v>
      </c>
      <c r="R1773" s="111">
        <v>6</v>
      </c>
      <c r="S1773" s="111">
        <f t="shared" si="251"/>
        <v>6000</v>
      </c>
      <c r="T1773" s="111">
        <f t="shared" si="252"/>
        <v>360000</v>
      </c>
      <c r="U1773" s="111">
        <f t="shared" si="253"/>
        <v>3600</v>
      </c>
      <c r="V1773" s="111">
        <f t="shared" si="254"/>
        <v>363600</v>
      </c>
      <c r="W1773" t="s">
        <v>4234</v>
      </c>
    </row>
    <row r="1774" spans="1:23" x14ac:dyDescent="0.3">
      <c r="A1774" s="110">
        <v>2221109</v>
      </c>
      <c r="B1774" s="110" t="s">
        <v>1769</v>
      </c>
      <c r="C1774" s="110" t="s">
        <v>1770</v>
      </c>
      <c r="D1774" s="110" t="s">
        <v>1773</v>
      </c>
      <c r="E1774" s="110" t="s">
        <v>1972</v>
      </c>
      <c r="F1774" s="110" t="s">
        <v>113</v>
      </c>
      <c r="G1774" s="110" t="s">
        <v>114</v>
      </c>
      <c r="H1774" s="111">
        <v>682</v>
      </c>
      <c r="I1774" s="111">
        <v>699</v>
      </c>
      <c r="J1774" s="111">
        <v>701</v>
      </c>
      <c r="K1774" s="111">
        <f t="shared" si="246"/>
        <v>694</v>
      </c>
      <c r="L1774" s="111">
        <f>300000</f>
        <v>300000</v>
      </c>
      <c r="M1774" s="111">
        <f t="shared" si="247"/>
        <v>135000</v>
      </c>
      <c r="N1774" s="111">
        <f t="shared" si="248"/>
        <v>135000</v>
      </c>
      <c r="O1774" s="111">
        <f t="shared" si="249"/>
        <v>27000</v>
      </c>
      <c r="P1774" s="111">
        <f t="shared" si="250"/>
        <v>30000</v>
      </c>
      <c r="Q1774" s="111">
        <v>60000</v>
      </c>
      <c r="R1774" s="111">
        <v>6</v>
      </c>
      <c r="S1774" s="111">
        <f t="shared" si="251"/>
        <v>6000</v>
      </c>
      <c r="T1774" s="111">
        <f t="shared" si="252"/>
        <v>360000</v>
      </c>
      <c r="U1774" s="111">
        <f t="shared" si="253"/>
        <v>3600</v>
      </c>
      <c r="V1774" s="111">
        <f t="shared" si="254"/>
        <v>363600</v>
      </c>
      <c r="W1774" t="s">
        <v>4235</v>
      </c>
    </row>
    <row r="1775" spans="1:23" x14ac:dyDescent="0.3">
      <c r="A1775" s="110">
        <v>2221138</v>
      </c>
      <c r="B1775" s="110" t="s">
        <v>1769</v>
      </c>
      <c r="C1775" s="110" t="s">
        <v>1770</v>
      </c>
      <c r="D1775" s="110" t="s">
        <v>1773</v>
      </c>
      <c r="E1775" s="110" t="s">
        <v>1973</v>
      </c>
      <c r="F1775" s="110" t="s">
        <v>119</v>
      </c>
      <c r="G1775" s="110" t="s">
        <v>114</v>
      </c>
      <c r="H1775" s="111">
        <v>1345</v>
      </c>
      <c r="I1775" s="111">
        <v>1302</v>
      </c>
      <c r="J1775" s="111">
        <v>1309</v>
      </c>
      <c r="K1775" s="111">
        <f t="shared" si="246"/>
        <v>1318.6666666666667</v>
      </c>
      <c r="L1775" s="111">
        <f>600000</f>
        <v>600000</v>
      </c>
      <c r="M1775" s="111">
        <f t="shared" si="247"/>
        <v>270000</v>
      </c>
      <c r="N1775" s="111">
        <f t="shared" si="248"/>
        <v>270000</v>
      </c>
      <c r="O1775" s="111">
        <f t="shared" si="249"/>
        <v>54000</v>
      </c>
      <c r="P1775" s="111">
        <f t="shared" si="250"/>
        <v>60000</v>
      </c>
      <c r="Q1775" s="111">
        <v>80000</v>
      </c>
      <c r="R1775" s="111">
        <v>8</v>
      </c>
      <c r="S1775" s="111">
        <f t="shared" si="251"/>
        <v>8000</v>
      </c>
      <c r="T1775" s="111">
        <f t="shared" si="252"/>
        <v>680000</v>
      </c>
      <c r="U1775" s="111">
        <f t="shared" si="253"/>
        <v>6800</v>
      </c>
      <c r="V1775" s="111">
        <f t="shared" si="254"/>
        <v>686800</v>
      </c>
      <c r="W1775" t="s">
        <v>4236</v>
      </c>
    </row>
    <row r="1776" spans="1:23" x14ac:dyDescent="0.3">
      <c r="A1776" s="110">
        <v>2221148</v>
      </c>
      <c r="B1776" s="110" t="s">
        <v>1769</v>
      </c>
      <c r="C1776" s="110" t="s">
        <v>1770</v>
      </c>
      <c r="D1776" s="110" t="s">
        <v>1773</v>
      </c>
      <c r="E1776" s="110" t="s">
        <v>1974</v>
      </c>
      <c r="F1776" s="110" t="s">
        <v>113</v>
      </c>
      <c r="G1776" s="110" t="s">
        <v>114</v>
      </c>
      <c r="H1776" s="111">
        <v>400</v>
      </c>
      <c r="I1776" s="111">
        <v>429</v>
      </c>
      <c r="J1776" s="111">
        <v>445</v>
      </c>
      <c r="K1776" s="111">
        <f t="shared" si="246"/>
        <v>424.66666666666669</v>
      </c>
      <c r="L1776" s="111">
        <f>300000</f>
        <v>300000</v>
      </c>
      <c r="M1776" s="111">
        <f t="shared" si="247"/>
        <v>135000</v>
      </c>
      <c r="N1776" s="111">
        <f t="shared" si="248"/>
        <v>135000</v>
      </c>
      <c r="O1776" s="111">
        <f t="shared" si="249"/>
        <v>27000</v>
      </c>
      <c r="P1776" s="111">
        <f t="shared" si="250"/>
        <v>30000</v>
      </c>
      <c r="Q1776" s="111">
        <v>60000</v>
      </c>
      <c r="R1776" s="111">
        <v>6</v>
      </c>
      <c r="S1776" s="111">
        <f t="shared" si="251"/>
        <v>6000</v>
      </c>
      <c r="T1776" s="111">
        <f t="shared" si="252"/>
        <v>360000</v>
      </c>
      <c r="U1776" s="111">
        <f t="shared" si="253"/>
        <v>3600</v>
      </c>
      <c r="V1776" s="111">
        <f t="shared" si="254"/>
        <v>363600</v>
      </c>
      <c r="W1776" t="s">
        <v>4237</v>
      </c>
    </row>
    <row r="1777" spans="1:23" x14ac:dyDescent="0.3">
      <c r="A1777" s="110">
        <v>2221157</v>
      </c>
      <c r="B1777" s="110" t="s">
        <v>1769</v>
      </c>
      <c r="C1777" s="110" t="s">
        <v>1770</v>
      </c>
      <c r="D1777" s="110" t="s">
        <v>1773</v>
      </c>
      <c r="E1777" s="110" t="s">
        <v>1975</v>
      </c>
      <c r="F1777" s="110" t="s">
        <v>122</v>
      </c>
      <c r="G1777" s="110" t="s">
        <v>114</v>
      </c>
      <c r="H1777" s="111">
        <v>555</v>
      </c>
      <c r="I1777" s="111">
        <v>572</v>
      </c>
      <c r="J1777" s="111">
        <v>591</v>
      </c>
      <c r="K1777" s="111">
        <f t="shared" si="246"/>
        <v>572.66666666666663</v>
      </c>
      <c r="L1777" s="111">
        <f>300000</f>
        <v>300000</v>
      </c>
      <c r="M1777" s="111">
        <f t="shared" si="247"/>
        <v>135000</v>
      </c>
      <c r="N1777" s="111">
        <f t="shared" si="248"/>
        <v>135000</v>
      </c>
      <c r="O1777" s="111">
        <f t="shared" si="249"/>
        <v>27000</v>
      </c>
      <c r="P1777" s="111">
        <f t="shared" si="250"/>
        <v>30000</v>
      </c>
      <c r="Q1777" s="111">
        <v>60000</v>
      </c>
      <c r="R1777" s="111">
        <v>6</v>
      </c>
      <c r="S1777" s="111">
        <f t="shared" si="251"/>
        <v>6000</v>
      </c>
      <c r="T1777" s="111">
        <f t="shared" si="252"/>
        <v>360000</v>
      </c>
      <c r="U1777" s="111">
        <f t="shared" si="253"/>
        <v>3600</v>
      </c>
      <c r="V1777" s="111">
        <f t="shared" si="254"/>
        <v>363600</v>
      </c>
      <c r="W1777" t="s">
        <v>4238</v>
      </c>
    </row>
    <row r="1778" spans="1:23" x14ac:dyDescent="0.3">
      <c r="A1778" s="110">
        <v>2221430</v>
      </c>
      <c r="B1778" s="110" t="s">
        <v>1769</v>
      </c>
      <c r="C1778" s="110" t="s">
        <v>1770</v>
      </c>
      <c r="D1778" s="110" t="s">
        <v>1773</v>
      </c>
      <c r="E1778" s="110" t="s">
        <v>1976</v>
      </c>
      <c r="F1778" s="110" t="s">
        <v>117</v>
      </c>
      <c r="G1778" s="110" t="s">
        <v>125</v>
      </c>
      <c r="H1778" s="111">
        <v>443</v>
      </c>
      <c r="I1778" s="111">
        <v>457</v>
      </c>
      <c r="J1778" s="111">
        <v>464</v>
      </c>
      <c r="K1778" s="111">
        <f t="shared" si="246"/>
        <v>454.66666666666669</v>
      </c>
      <c r="L1778" s="111">
        <f>300000</f>
        <v>300000</v>
      </c>
      <c r="M1778" s="111">
        <f t="shared" si="247"/>
        <v>135000</v>
      </c>
      <c r="N1778" s="111">
        <f t="shared" si="248"/>
        <v>135000</v>
      </c>
      <c r="O1778" s="111">
        <f t="shared" si="249"/>
        <v>27000</v>
      </c>
      <c r="P1778" s="111">
        <f t="shared" si="250"/>
        <v>30000</v>
      </c>
      <c r="Q1778" s="111">
        <v>60000</v>
      </c>
      <c r="R1778" s="111">
        <v>6</v>
      </c>
      <c r="S1778" s="111">
        <f t="shared" si="251"/>
        <v>6000</v>
      </c>
      <c r="T1778" s="111">
        <f t="shared" si="252"/>
        <v>360000</v>
      </c>
      <c r="U1778" s="111">
        <f t="shared" si="253"/>
        <v>3600</v>
      </c>
      <c r="V1778" s="111">
        <f t="shared" si="254"/>
        <v>363600</v>
      </c>
      <c r="W1778" t="s">
        <v>4239</v>
      </c>
    </row>
    <row r="1779" spans="1:23" x14ac:dyDescent="0.3">
      <c r="A1779" s="110">
        <v>2222006</v>
      </c>
      <c r="B1779" s="110" t="s">
        <v>1769</v>
      </c>
      <c r="C1779" s="110" t="s">
        <v>1770</v>
      </c>
      <c r="D1779" s="110" t="s">
        <v>1773</v>
      </c>
      <c r="E1779" s="110" t="s">
        <v>1977</v>
      </c>
      <c r="F1779" s="110" t="s">
        <v>113</v>
      </c>
      <c r="G1779" s="110" t="s">
        <v>114</v>
      </c>
      <c r="H1779" s="111">
        <v>595</v>
      </c>
      <c r="I1779" s="111">
        <v>593</v>
      </c>
      <c r="J1779" s="111">
        <v>599</v>
      </c>
      <c r="K1779" s="111">
        <f t="shared" si="246"/>
        <v>595.66666666666663</v>
      </c>
      <c r="L1779" s="111">
        <f>300000*0.7</f>
        <v>210000</v>
      </c>
      <c r="M1779" s="111">
        <f t="shared" si="247"/>
        <v>94500</v>
      </c>
      <c r="N1779" s="111">
        <f t="shared" si="248"/>
        <v>94500</v>
      </c>
      <c r="O1779" s="111">
        <f t="shared" si="249"/>
        <v>18900</v>
      </c>
      <c r="P1779" s="111">
        <f t="shared" si="250"/>
        <v>21000</v>
      </c>
      <c r="Q1779" s="111">
        <v>60000</v>
      </c>
      <c r="R1779" s="111">
        <v>6</v>
      </c>
      <c r="S1779" s="111">
        <f t="shared" si="251"/>
        <v>6000</v>
      </c>
      <c r="T1779" s="111">
        <f t="shared" si="252"/>
        <v>270000</v>
      </c>
      <c r="U1779" s="111">
        <f t="shared" si="253"/>
        <v>2700</v>
      </c>
      <c r="V1779" s="111">
        <f t="shared" si="254"/>
        <v>272700</v>
      </c>
      <c r="W1779" t="s">
        <v>4240</v>
      </c>
    </row>
    <row r="1780" spans="1:23" x14ac:dyDescent="0.3">
      <c r="A1780" s="110">
        <v>2222007</v>
      </c>
      <c r="B1780" s="110" t="s">
        <v>1769</v>
      </c>
      <c r="C1780" s="110" t="s">
        <v>1770</v>
      </c>
      <c r="D1780" s="110" t="s">
        <v>1773</v>
      </c>
      <c r="E1780" s="110" t="s">
        <v>1978</v>
      </c>
      <c r="F1780" s="110" t="s">
        <v>119</v>
      </c>
      <c r="G1780" s="110" t="s">
        <v>114</v>
      </c>
      <c r="H1780" s="111">
        <v>1278</v>
      </c>
      <c r="I1780" s="111">
        <v>1287</v>
      </c>
      <c r="J1780" s="111">
        <v>1301</v>
      </c>
      <c r="K1780" s="111">
        <f t="shared" si="246"/>
        <v>1288.6666666666667</v>
      </c>
      <c r="L1780" s="111">
        <f>600000</f>
        <v>600000</v>
      </c>
      <c r="M1780" s="111">
        <f t="shared" si="247"/>
        <v>270000</v>
      </c>
      <c r="N1780" s="111">
        <f t="shared" si="248"/>
        <v>270000</v>
      </c>
      <c r="O1780" s="111">
        <f t="shared" si="249"/>
        <v>54000</v>
      </c>
      <c r="P1780" s="111">
        <f t="shared" si="250"/>
        <v>60000</v>
      </c>
      <c r="Q1780" s="111">
        <v>80000</v>
      </c>
      <c r="R1780" s="111">
        <v>8</v>
      </c>
      <c r="S1780" s="111">
        <f t="shared" si="251"/>
        <v>8000</v>
      </c>
      <c r="T1780" s="111">
        <f t="shared" si="252"/>
        <v>680000</v>
      </c>
      <c r="U1780" s="111">
        <f t="shared" si="253"/>
        <v>6800</v>
      </c>
      <c r="V1780" s="111">
        <f t="shared" si="254"/>
        <v>686800</v>
      </c>
      <c r="W1780" t="s">
        <v>4241</v>
      </c>
    </row>
    <row r="1781" spans="1:23" x14ac:dyDescent="0.3">
      <c r="A1781" s="110">
        <v>2222009</v>
      </c>
      <c r="B1781" s="110" t="s">
        <v>1769</v>
      </c>
      <c r="C1781" s="110" t="s">
        <v>1770</v>
      </c>
      <c r="D1781" s="110" t="s">
        <v>1773</v>
      </c>
      <c r="E1781" s="110" t="s">
        <v>1979</v>
      </c>
      <c r="F1781" s="110" t="s">
        <v>122</v>
      </c>
      <c r="G1781" s="110" t="s">
        <v>114</v>
      </c>
      <c r="H1781" s="111">
        <v>988</v>
      </c>
      <c r="I1781" s="111">
        <v>973</v>
      </c>
      <c r="J1781" s="111">
        <v>957</v>
      </c>
      <c r="K1781" s="111">
        <f t="shared" si="246"/>
        <v>972.66666666666663</v>
      </c>
      <c r="L1781" s="111">
        <f>300000</f>
        <v>300000</v>
      </c>
      <c r="M1781" s="111">
        <f t="shared" si="247"/>
        <v>135000</v>
      </c>
      <c r="N1781" s="111">
        <f t="shared" si="248"/>
        <v>135000</v>
      </c>
      <c r="O1781" s="111">
        <f t="shared" si="249"/>
        <v>27000</v>
      </c>
      <c r="P1781" s="111">
        <f t="shared" si="250"/>
        <v>30000</v>
      </c>
      <c r="Q1781" s="111">
        <v>60000</v>
      </c>
      <c r="R1781" s="111">
        <v>6</v>
      </c>
      <c r="S1781" s="111">
        <f t="shared" si="251"/>
        <v>6000</v>
      </c>
      <c r="T1781" s="111">
        <f t="shared" si="252"/>
        <v>360000</v>
      </c>
      <c r="U1781" s="111">
        <f t="shared" si="253"/>
        <v>3600</v>
      </c>
      <c r="V1781" s="111">
        <f t="shared" si="254"/>
        <v>363600</v>
      </c>
      <c r="W1781" t="s">
        <v>4242</v>
      </c>
    </row>
    <row r="1782" spans="1:23" x14ac:dyDescent="0.3">
      <c r="A1782" s="110">
        <v>2222012</v>
      </c>
      <c r="B1782" s="110" t="s">
        <v>1769</v>
      </c>
      <c r="C1782" s="110" t="s">
        <v>1770</v>
      </c>
      <c r="D1782" s="110" t="s">
        <v>1773</v>
      </c>
      <c r="E1782" s="110" t="s">
        <v>1980</v>
      </c>
      <c r="F1782" s="110" t="s">
        <v>119</v>
      </c>
      <c r="G1782" s="110" t="s">
        <v>114</v>
      </c>
      <c r="H1782" s="111">
        <v>950</v>
      </c>
      <c r="I1782" s="111">
        <v>927</v>
      </c>
      <c r="J1782" s="111">
        <v>893</v>
      </c>
      <c r="K1782" s="111">
        <f t="shared" si="246"/>
        <v>923.33333333333337</v>
      </c>
      <c r="L1782" s="111">
        <f>300000</f>
        <v>300000</v>
      </c>
      <c r="M1782" s="111">
        <f t="shared" si="247"/>
        <v>135000</v>
      </c>
      <c r="N1782" s="111">
        <f t="shared" si="248"/>
        <v>135000</v>
      </c>
      <c r="O1782" s="111">
        <f t="shared" si="249"/>
        <v>27000</v>
      </c>
      <c r="P1782" s="111">
        <f t="shared" si="250"/>
        <v>30000</v>
      </c>
      <c r="Q1782" s="111">
        <v>60000</v>
      </c>
      <c r="R1782" s="111">
        <v>6</v>
      </c>
      <c r="S1782" s="111">
        <f t="shared" si="251"/>
        <v>6000</v>
      </c>
      <c r="T1782" s="111">
        <f t="shared" si="252"/>
        <v>360000</v>
      </c>
      <c r="U1782" s="111">
        <f t="shared" si="253"/>
        <v>3600</v>
      </c>
      <c r="V1782" s="111">
        <f t="shared" si="254"/>
        <v>363600</v>
      </c>
      <c r="W1782" t="s">
        <v>4243</v>
      </c>
    </row>
    <row r="1783" spans="1:23" x14ac:dyDescent="0.3">
      <c r="A1783" s="110">
        <v>2222038</v>
      </c>
      <c r="B1783" s="110" t="s">
        <v>1769</v>
      </c>
      <c r="C1783" s="110" t="s">
        <v>1770</v>
      </c>
      <c r="D1783" s="110" t="s">
        <v>1773</v>
      </c>
      <c r="E1783" s="110" t="s">
        <v>1981</v>
      </c>
      <c r="F1783" s="110" t="s">
        <v>113</v>
      </c>
      <c r="G1783" s="110" t="s">
        <v>114</v>
      </c>
      <c r="H1783" s="111">
        <v>710</v>
      </c>
      <c r="I1783" s="111">
        <v>694</v>
      </c>
      <c r="J1783" s="111">
        <v>703</v>
      </c>
      <c r="K1783" s="111">
        <f t="shared" si="246"/>
        <v>702.33333333333337</v>
      </c>
      <c r="L1783" s="111">
        <f>300000</f>
        <v>300000</v>
      </c>
      <c r="M1783" s="111">
        <f t="shared" si="247"/>
        <v>135000</v>
      </c>
      <c r="N1783" s="111">
        <f t="shared" si="248"/>
        <v>135000</v>
      </c>
      <c r="O1783" s="111">
        <f t="shared" si="249"/>
        <v>27000</v>
      </c>
      <c r="P1783" s="111">
        <f t="shared" si="250"/>
        <v>30000</v>
      </c>
      <c r="Q1783" s="111">
        <v>60000</v>
      </c>
      <c r="R1783" s="111">
        <v>6</v>
      </c>
      <c r="S1783" s="111">
        <f t="shared" si="251"/>
        <v>6000</v>
      </c>
      <c r="T1783" s="111">
        <f t="shared" si="252"/>
        <v>360000</v>
      </c>
      <c r="U1783" s="111">
        <f t="shared" si="253"/>
        <v>3600</v>
      </c>
      <c r="V1783" s="111">
        <f t="shared" si="254"/>
        <v>363600</v>
      </c>
      <c r="W1783" t="s">
        <v>4244</v>
      </c>
    </row>
    <row r="1784" spans="1:23" x14ac:dyDescent="0.3">
      <c r="A1784" s="110">
        <v>2222127</v>
      </c>
      <c r="B1784" s="110" t="s">
        <v>1769</v>
      </c>
      <c r="C1784" s="110" t="s">
        <v>1770</v>
      </c>
      <c r="D1784" s="110" t="s">
        <v>1773</v>
      </c>
      <c r="E1784" s="110" t="s">
        <v>1982</v>
      </c>
      <c r="F1784" s="110" t="s">
        <v>119</v>
      </c>
      <c r="G1784" s="110" t="s">
        <v>114</v>
      </c>
      <c r="H1784" s="111">
        <v>876</v>
      </c>
      <c r="I1784" s="111">
        <v>883</v>
      </c>
      <c r="J1784" s="111">
        <v>892</v>
      </c>
      <c r="K1784" s="111">
        <f t="shared" si="246"/>
        <v>883.66666666666663</v>
      </c>
      <c r="L1784" s="111">
        <f>300000</f>
        <v>300000</v>
      </c>
      <c r="M1784" s="111">
        <f t="shared" si="247"/>
        <v>135000</v>
      </c>
      <c r="N1784" s="111">
        <f t="shared" si="248"/>
        <v>135000</v>
      </c>
      <c r="O1784" s="111">
        <f t="shared" si="249"/>
        <v>27000</v>
      </c>
      <c r="P1784" s="111">
        <f t="shared" si="250"/>
        <v>30000</v>
      </c>
      <c r="Q1784" s="111">
        <v>60000</v>
      </c>
      <c r="R1784" s="111">
        <v>6</v>
      </c>
      <c r="S1784" s="111">
        <f t="shared" si="251"/>
        <v>6000</v>
      </c>
      <c r="T1784" s="111">
        <f t="shared" si="252"/>
        <v>360000</v>
      </c>
      <c r="U1784" s="111">
        <f t="shared" si="253"/>
        <v>3600</v>
      </c>
      <c r="V1784" s="111">
        <f t="shared" si="254"/>
        <v>363600</v>
      </c>
      <c r="W1784" t="s">
        <v>4245</v>
      </c>
    </row>
    <row r="1785" spans="1:23" x14ac:dyDescent="0.3">
      <c r="A1785" s="110">
        <v>2222133</v>
      </c>
      <c r="B1785" s="110" t="s">
        <v>1769</v>
      </c>
      <c r="C1785" s="110" t="s">
        <v>1770</v>
      </c>
      <c r="D1785" s="110" t="s">
        <v>1773</v>
      </c>
      <c r="E1785" s="110" t="s">
        <v>1983</v>
      </c>
      <c r="F1785" s="110" t="s">
        <v>119</v>
      </c>
      <c r="G1785" s="110" t="s">
        <v>114</v>
      </c>
      <c r="H1785" s="111">
        <v>1234</v>
      </c>
      <c r="I1785" s="111">
        <v>1214</v>
      </c>
      <c r="J1785" s="111">
        <v>1228</v>
      </c>
      <c r="K1785" s="111">
        <f t="shared" si="246"/>
        <v>1225.3333333333333</v>
      </c>
      <c r="L1785" s="111">
        <f>600000</f>
        <v>600000</v>
      </c>
      <c r="M1785" s="111">
        <f t="shared" si="247"/>
        <v>270000</v>
      </c>
      <c r="N1785" s="111">
        <f t="shared" si="248"/>
        <v>270000</v>
      </c>
      <c r="O1785" s="111">
        <f t="shared" si="249"/>
        <v>54000</v>
      </c>
      <c r="P1785" s="111">
        <f t="shared" si="250"/>
        <v>60000</v>
      </c>
      <c r="Q1785" s="111">
        <v>80000</v>
      </c>
      <c r="R1785" s="111">
        <v>8</v>
      </c>
      <c r="S1785" s="111">
        <f t="shared" si="251"/>
        <v>8000</v>
      </c>
      <c r="T1785" s="111">
        <f t="shared" si="252"/>
        <v>680000</v>
      </c>
      <c r="U1785" s="111">
        <f t="shared" si="253"/>
        <v>6800</v>
      </c>
      <c r="V1785" s="111">
        <f t="shared" si="254"/>
        <v>686800</v>
      </c>
      <c r="W1785" t="s">
        <v>4246</v>
      </c>
    </row>
    <row r="1786" spans="1:23" x14ac:dyDescent="0.3">
      <c r="A1786" s="110">
        <v>2223008</v>
      </c>
      <c r="B1786" s="110" t="s">
        <v>1769</v>
      </c>
      <c r="C1786" s="110" t="s">
        <v>1770</v>
      </c>
      <c r="D1786" s="110" t="s">
        <v>1773</v>
      </c>
      <c r="E1786" s="110" t="s">
        <v>1984</v>
      </c>
      <c r="F1786" s="110" t="s">
        <v>119</v>
      </c>
      <c r="G1786" s="110" t="s">
        <v>114</v>
      </c>
      <c r="H1786" s="111">
        <v>572</v>
      </c>
      <c r="I1786" s="111">
        <v>611</v>
      </c>
      <c r="J1786" s="111">
        <v>683</v>
      </c>
      <c r="K1786" s="111">
        <f t="shared" si="246"/>
        <v>622</v>
      </c>
      <c r="L1786" s="111">
        <f>300000</f>
        <v>300000</v>
      </c>
      <c r="M1786" s="111">
        <f t="shared" si="247"/>
        <v>135000</v>
      </c>
      <c r="N1786" s="111">
        <f t="shared" si="248"/>
        <v>135000</v>
      </c>
      <c r="O1786" s="111">
        <f t="shared" si="249"/>
        <v>27000</v>
      </c>
      <c r="P1786" s="111">
        <f t="shared" si="250"/>
        <v>30000</v>
      </c>
      <c r="Q1786" s="111">
        <v>60000</v>
      </c>
      <c r="R1786" s="111">
        <v>6</v>
      </c>
      <c r="S1786" s="111">
        <f t="shared" si="251"/>
        <v>6000</v>
      </c>
      <c r="T1786" s="111">
        <f t="shared" si="252"/>
        <v>360000</v>
      </c>
      <c r="U1786" s="111">
        <f t="shared" si="253"/>
        <v>3600</v>
      </c>
      <c r="V1786" s="111">
        <f t="shared" si="254"/>
        <v>363600</v>
      </c>
      <c r="W1786" t="s">
        <v>4247</v>
      </c>
    </row>
    <row r="1787" spans="1:23" x14ac:dyDescent="0.3">
      <c r="A1787" s="110">
        <v>2223055</v>
      </c>
      <c r="B1787" s="110" t="s">
        <v>1769</v>
      </c>
      <c r="C1787" s="110" t="s">
        <v>1770</v>
      </c>
      <c r="D1787" s="110" t="s">
        <v>1773</v>
      </c>
      <c r="E1787" s="110" t="s">
        <v>1985</v>
      </c>
      <c r="F1787" s="110" t="s">
        <v>119</v>
      </c>
      <c r="G1787" s="110" t="s">
        <v>114</v>
      </c>
      <c r="H1787" s="111">
        <v>1381</v>
      </c>
      <c r="I1787" s="111">
        <v>1479</v>
      </c>
      <c r="J1787" s="111">
        <v>1509</v>
      </c>
      <c r="K1787" s="111">
        <f t="shared" si="246"/>
        <v>1456.3333333333333</v>
      </c>
      <c r="L1787" s="111">
        <f>600000*0.7</f>
        <v>420000</v>
      </c>
      <c r="M1787" s="111">
        <f t="shared" si="247"/>
        <v>189000</v>
      </c>
      <c r="N1787" s="111">
        <f t="shared" si="248"/>
        <v>189000</v>
      </c>
      <c r="O1787" s="111">
        <f t="shared" si="249"/>
        <v>37800</v>
      </c>
      <c r="P1787" s="111">
        <f t="shared" si="250"/>
        <v>42000</v>
      </c>
      <c r="Q1787" s="111">
        <v>80000</v>
      </c>
      <c r="R1787" s="111">
        <v>8</v>
      </c>
      <c r="S1787" s="111">
        <f t="shared" si="251"/>
        <v>8000</v>
      </c>
      <c r="T1787" s="111">
        <f t="shared" si="252"/>
        <v>500000</v>
      </c>
      <c r="U1787" s="111">
        <f t="shared" si="253"/>
        <v>5000</v>
      </c>
      <c r="V1787" s="111">
        <f t="shared" si="254"/>
        <v>505000</v>
      </c>
      <c r="W1787" t="s">
        <v>4248</v>
      </c>
    </row>
    <row r="1788" spans="1:23" x14ac:dyDescent="0.3">
      <c r="A1788" s="110">
        <v>2223431</v>
      </c>
      <c r="B1788" s="110" t="s">
        <v>1769</v>
      </c>
      <c r="C1788" s="110" t="s">
        <v>1770</v>
      </c>
      <c r="D1788" s="110" t="s">
        <v>1773</v>
      </c>
      <c r="E1788" s="110" t="s">
        <v>1986</v>
      </c>
      <c r="F1788" s="110" t="s">
        <v>117</v>
      </c>
      <c r="G1788" s="110" t="s">
        <v>125</v>
      </c>
      <c r="H1788" s="111">
        <v>887</v>
      </c>
      <c r="I1788" s="111">
        <v>887</v>
      </c>
      <c r="J1788" s="111">
        <v>907</v>
      </c>
      <c r="K1788" s="111">
        <f t="shared" si="246"/>
        <v>893.66666666666663</v>
      </c>
      <c r="L1788" s="111">
        <f>300000*0.7</f>
        <v>210000</v>
      </c>
      <c r="M1788" s="111">
        <f t="shared" si="247"/>
        <v>94500</v>
      </c>
      <c r="N1788" s="111">
        <f t="shared" si="248"/>
        <v>94500</v>
      </c>
      <c r="O1788" s="111">
        <f t="shared" si="249"/>
        <v>18900</v>
      </c>
      <c r="P1788" s="111">
        <f t="shared" si="250"/>
        <v>21000</v>
      </c>
      <c r="Q1788" s="111">
        <v>60000</v>
      </c>
      <c r="R1788" s="111">
        <v>6</v>
      </c>
      <c r="S1788" s="111">
        <f t="shared" si="251"/>
        <v>6000</v>
      </c>
      <c r="T1788" s="111">
        <f t="shared" si="252"/>
        <v>270000</v>
      </c>
      <c r="U1788" s="111">
        <f t="shared" si="253"/>
        <v>2700</v>
      </c>
      <c r="V1788" s="111">
        <f t="shared" si="254"/>
        <v>272700</v>
      </c>
      <c r="W1788" t="s">
        <v>4249</v>
      </c>
    </row>
    <row r="1789" spans="1:23" x14ac:dyDescent="0.3">
      <c r="A1789" s="110">
        <v>2224020</v>
      </c>
      <c r="B1789" s="110" t="s">
        <v>1769</v>
      </c>
      <c r="C1789" s="110" t="s">
        <v>1770</v>
      </c>
      <c r="D1789" s="110" t="s">
        <v>1773</v>
      </c>
      <c r="E1789" s="110" t="s">
        <v>1987</v>
      </c>
      <c r="F1789" s="110" t="s">
        <v>113</v>
      </c>
      <c r="G1789" s="110" t="s">
        <v>114</v>
      </c>
      <c r="H1789" s="111">
        <v>721</v>
      </c>
      <c r="I1789" s="111">
        <v>722</v>
      </c>
      <c r="J1789" s="111">
        <v>709</v>
      </c>
      <c r="K1789" s="111">
        <f t="shared" si="246"/>
        <v>717.33333333333337</v>
      </c>
      <c r="L1789" s="111">
        <f>300000</f>
        <v>300000</v>
      </c>
      <c r="M1789" s="111">
        <f t="shared" si="247"/>
        <v>135000</v>
      </c>
      <c r="N1789" s="111">
        <f t="shared" si="248"/>
        <v>135000</v>
      </c>
      <c r="O1789" s="111">
        <f t="shared" si="249"/>
        <v>27000</v>
      </c>
      <c r="P1789" s="111">
        <f t="shared" si="250"/>
        <v>30000</v>
      </c>
      <c r="Q1789" s="111">
        <v>60000</v>
      </c>
      <c r="R1789" s="111">
        <v>6</v>
      </c>
      <c r="S1789" s="111">
        <f t="shared" si="251"/>
        <v>6000</v>
      </c>
      <c r="T1789" s="111">
        <f t="shared" si="252"/>
        <v>360000</v>
      </c>
      <c r="U1789" s="111">
        <f t="shared" si="253"/>
        <v>3600</v>
      </c>
      <c r="V1789" s="111">
        <f t="shared" si="254"/>
        <v>363600</v>
      </c>
      <c r="W1789" t="s">
        <v>4250</v>
      </c>
    </row>
    <row r="1790" spans="1:23" x14ac:dyDescent="0.3">
      <c r="A1790" s="110">
        <v>2224022</v>
      </c>
      <c r="B1790" s="110" t="s">
        <v>1769</v>
      </c>
      <c r="C1790" s="110" t="s">
        <v>1770</v>
      </c>
      <c r="D1790" s="110" t="s">
        <v>1773</v>
      </c>
      <c r="E1790" s="110" t="s">
        <v>1988</v>
      </c>
      <c r="F1790" s="110" t="s">
        <v>119</v>
      </c>
      <c r="G1790" s="110" t="s">
        <v>114</v>
      </c>
      <c r="H1790" s="111">
        <v>1561</v>
      </c>
      <c r="I1790" s="111">
        <v>1561</v>
      </c>
      <c r="J1790" s="111">
        <v>1590</v>
      </c>
      <c r="K1790" s="111">
        <f t="shared" si="246"/>
        <v>1570.6666666666667</v>
      </c>
      <c r="L1790" s="111">
        <f>600000</f>
        <v>600000</v>
      </c>
      <c r="M1790" s="111">
        <f t="shared" si="247"/>
        <v>270000</v>
      </c>
      <c r="N1790" s="111">
        <f t="shared" si="248"/>
        <v>270000</v>
      </c>
      <c r="O1790" s="111">
        <f t="shared" si="249"/>
        <v>54000</v>
      </c>
      <c r="P1790" s="111">
        <f t="shared" si="250"/>
        <v>60000</v>
      </c>
      <c r="Q1790" s="111">
        <v>80000</v>
      </c>
      <c r="R1790" s="111">
        <v>8</v>
      </c>
      <c r="S1790" s="111">
        <f t="shared" si="251"/>
        <v>8000</v>
      </c>
      <c r="T1790" s="111">
        <f t="shared" si="252"/>
        <v>680000</v>
      </c>
      <c r="U1790" s="111">
        <f t="shared" si="253"/>
        <v>6800</v>
      </c>
      <c r="V1790" s="111">
        <f t="shared" si="254"/>
        <v>686800</v>
      </c>
      <c r="W1790" t="s">
        <v>4251</v>
      </c>
    </row>
    <row r="1791" spans="1:23" x14ac:dyDescent="0.3">
      <c r="A1791" s="110">
        <v>2224041</v>
      </c>
      <c r="B1791" s="110" t="s">
        <v>1769</v>
      </c>
      <c r="C1791" s="110" t="s">
        <v>1770</v>
      </c>
      <c r="D1791" s="110" t="s">
        <v>1773</v>
      </c>
      <c r="E1791" s="110" t="s">
        <v>1989</v>
      </c>
      <c r="F1791" s="110" t="s">
        <v>113</v>
      </c>
      <c r="G1791" s="110" t="s">
        <v>114</v>
      </c>
      <c r="H1791" s="111">
        <v>593</v>
      </c>
      <c r="I1791" s="111">
        <v>573</v>
      </c>
      <c r="J1791" s="111">
        <v>541</v>
      </c>
      <c r="K1791" s="111">
        <f t="shared" si="246"/>
        <v>569</v>
      </c>
      <c r="L1791" s="111">
        <f>300000</f>
        <v>300000</v>
      </c>
      <c r="M1791" s="111">
        <f t="shared" si="247"/>
        <v>135000</v>
      </c>
      <c r="N1791" s="111">
        <f t="shared" si="248"/>
        <v>135000</v>
      </c>
      <c r="O1791" s="111">
        <f t="shared" si="249"/>
        <v>27000</v>
      </c>
      <c r="P1791" s="111">
        <f t="shared" si="250"/>
        <v>30000</v>
      </c>
      <c r="Q1791" s="111">
        <v>60000</v>
      </c>
      <c r="R1791" s="111">
        <v>6</v>
      </c>
      <c r="S1791" s="111">
        <f t="shared" si="251"/>
        <v>6000</v>
      </c>
      <c r="T1791" s="111">
        <f t="shared" si="252"/>
        <v>360000</v>
      </c>
      <c r="U1791" s="111">
        <f t="shared" si="253"/>
        <v>3600</v>
      </c>
      <c r="V1791" s="111">
        <f t="shared" si="254"/>
        <v>363600</v>
      </c>
      <c r="W1791" t="s">
        <v>4252</v>
      </c>
    </row>
    <row r="1792" spans="1:23" x14ac:dyDescent="0.3">
      <c r="A1792" s="110">
        <v>2224047</v>
      </c>
      <c r="B1792" s="110" t="s">
        <v>1769</v>
      </c>
      <c r="C1792" s="110" t="s">
        <v>1770</v>
      </c>
      <c r="D1792" s="110" t="s">
        <v>1773</v>
      </c>
      <c r="E1792" s="110" t="s">
        <v>1990</v>
      </c>
      <c r="F1792" s="110" t="s">
        <v>119</v>
      </c>
      <c r="G1792" s="110" t="s">
        <v>114</v>
      </c>
      <c r="H1792" s="111">
        <v>447</v>
      </c>
      <c r="I1792" s="111">
        <v>419</v>
      </c>
      <c r="J1792" s="111">
        <v>433</v>
      </c>
      <c r="K1792" s="111">
        <f t="shared" si="246"/>
        <v>433</v>
      </c>
      <c r="L1792" s="111">
        <f>300000</f>
        <v>300000</v>
      </c>
      <c r="M1792" s="111">
        <f t="shared" si="247"/>
        <v>135000</v>
      </c>
      <c r="N1792" s="111">
        <f t="shared" si="248"/>
        <v>135000</v>
      </c>
      <c r="O1792" s="111">
        <f t="shared" si="249"/>
        <v>27000</v>
      </c>
      <c r="P1792" s="111">
        <f t="shared" si="250"/>
        <v>30000</v>
      </c>
      <c r="Q1792" s="111">
        <v>60000</v>
      </c>
      <c r="R1792" s="111">
        <v>6</v>
      </c>
      <c r="S1792" s="111">
        <f t="shared" si="251"/>
        <v>6000</v>
      </c>
      <c r="T1792" s="111">
        <f t="shared" si="252"/>
        <v>360000</v>
      </c>
      <c r="U1792" s="111">
        <f t="shared" si="253"/>
        <v>3600</v>
      </c>
      <c r="V1792" s="111">
        <f t="shared" si="254"/>
        <v>363600</v>
      </c>
      <c r="W1792" t="s">
        <v>4253</v>
      </c>
    </row>
    <row r="1793" spans="1:23" x14ac:dyDescent="0.3">
      <c r="A1793" s="110">
        <v>2224073</v>
      </c>
      <c r="B1793" s="110" t="s">
        <v>1769</v>
      </c>
      <c r="C1793" s="110" t="s">
        <v>1770</v>
      </c>
      <c r="D1793" s="110" t="s">
        <v>1773</v>
      </c>
      <c r="E1793" s="110" t="s">
        <v>1991</v>
      </c>
      <c r="F1793" s="110" t="s">
        <v>119</v>
      </c>
      <c r="G1793" s="110" t="s">
        <v>114</v>
      </c>
      <c r="H1793" s="111">
        <v>1449</v>
      </c>
      <c r="I1793" s="111">
        <v>1387</v>
      </c>
      <c r="J1793" s="111">
        <v>1344</v>
      </c>
      <c r="K1793" s="111">
        <f t="shared" si="246"/>
        <v>1393.3333333333333</v>
      </c>
      <c r="L1793" s="111">
        <f>600000</f>
        <v>600000</v>
      </c>
      <c r="M1793" s="111">
        <f t="shared" si="247"/>
        <v>270000</v>
      </c>
      <c r="N1793" s="111">
        <f t="shared" si="248"/>
        <v>270000</v>
      </c>
      <c r="O1793" s="111">
        <f t="shared" si="249"/>
        <v>54000</v>
      </c>
      <c r="P1793" s="111">
        <f t="shared" si="250"/>
        <v>60000</v>
      </c>
      <c r="Q1793" s="111">
        <v>80000</v>
      </c>
      <c r="R1793" s="111">
        <v>8</v>
      </c>
      <c r="S1793" s="111">
        <f t="shared" si="251"/>
        <v>8000</v>
      </c>
      <c r="T1793" s="111">
        <f t="shared" si="252"/>
        <v>680000</v>
      </c>
      <c r="U1793" s="111">
        <f t="shared" si="253"/>
        <v>6800</v>
      </c>
      <c r="V1793" s="111">
        <f t="shared" si="254"/>
        <v>686800</v>
      </c>
      <c r="W1793" t="s">
        <v>4254</v>
      </c>
    </row>
    <row r="1794" spans="1:23" x14ac:dyDescent="0.3">
      <c r="A1794" s="110">
        <v>2224104</v>
      </c>
      <c r="B1794" s="110" t="s">
        <v>1769</v>
      </c>
      <c r="C1794" s="110" t="s">
        <v>1770</v>
      </c>
      <c r="D1794" s="110" t="s">
        <v>1773</v>
      </c>
      <c r="E1794" s="110" t="s">
        <v>1992</v>
      </c>
      <c r="F1794" s="110" t="s">
        <v>113</v>
      </c>
      <c r="G1794" s="110" t="s">
        <v>114</v>
      </c>
      <c r="H1794" s="111">
        <v>791</v>
      </c>
      <c r="I1794" s="111">
        <v>777</v>
      </c>
      <c r="J1794" s="111">
        <v>791</v>
      </c>
      <c r="K1794" s="111">
        <f t="shared" ref="K1794:K1857" si="255">+(H1794+I1794+J1794)/3</f>
        <v>786.33333333333337</v>
      </c>
      <c r="L1794" s="111">
        <f>300000</f>
        <v>300000</v>
      </c>
      <c r="M1794" s="111">
        <f t="shared" ref="M1794:M1857" si="256">+L1794*0.45</f>
        <v>135000</v>
      </c>
      <c r="N1794" s="111">
        <f t="shared" ref="N1794:N1857" si="257">+L1794*0.45</f>
        <v>135000</v>
      </c>
      <c r="O1794" s="111">
        <f t="shared" ref="O1794:O1857" si="258">+N1794*0.2</f>
        <v>27000</v>
      </c>
      <c r="P1794" s="111">
        <f t="shared" ref="P1794:P1857" si="259">++L1794*0.1</f>
        <v>30000</v>
      </c>
      <c r="Q1794" s="111">
        <v>60000</v>
      </c>
      <c r="R1794" s="111">
        <v>6</v>
      </c>
      <c r="S1794" s="111">
        <f t="shared" ref="S1794:S1857" si="260">+Q1794*0.1</f>
        <v>6000</v>
      </c>
      <c r="T1794" s="111">
        <f t="shared" ref="T1794:T1857" si="261">+L1794+Q1794</f>
        <v>360000</v>
      </c>
      <c r="U1794" s="111">
        <f t="shared" ref="U1794:U1857" si="262">+T1794*0.01</f>
        <v>3600</v>
      </c>
      <c r="V1794" s="111">
        <f t="shared" ref="V1794:V1857" si="263">+T1794+U1794</f>
        <v>363600</v>
      </c>
      <c r="W1794" t="s">
        <v>4255</v>
      </c>
    </row>
    <row r="1795" spans="1:23" x14ac:dyDescent="0.3">
      <c r="A1795" s="110">
        <v>2224121</v>
      </c>
      <c r="B1795" s="110" t="s">
        <v>1769</v>
      </c>
      <c r="C1795" s="110" t="s">
        <v>1770</v>
      </c>
      <c r="D1795" s="110" t="s">
        <v>1773</v>
      </c>
      <c r="E1795" s="110" t="s">
        <v>1993</v>
      </c>
      <c r="F1795" s="110" t="s">
        <v>119</v>
      </c>
      <c r="G1795" s="110" t="s">
        <v>114</v>
      </c>
      <c r="H1795" s="111">
        <v>625</v>
      </c>
      <c r="I1795" s="111">
        <v>771</v>
      </c>
      <c r="J1795" s="111">
        <v>920</v>
      </c>
      <c r="K1795" s="111">
        <f t="shared" si="255"/>
        <v>772</v>
      </c>
      <c r="L1795" s="111">
        <f>300000*0.7</f>
        <v>210000</v>
      </c>
      <c r="M1795" s="111">
        <f t="shared" si="256"/>
        <v>94500</v>
      </c>
      <c r="N1795" s="111">
        <f t="shared" si="257"/>
        <v>94500</v>
      </c>
      <c r="O1795" s="111">
        <f t="shared" si="258"/>
        <v>18900</v>
      </c>
      <c r="P1795" s="111">
        <f t="shared" si="259"/>
        <v>21000</v>
      </c>
      <c r="Q1795" s="111">
        <v>60000</v>
      </c>
      <c r="R1795" s="111">
        <v>6</v>
      </c>
      <c r="S1795" s="111">
        <f t="shared" si="260"/>
        <v>6000</v>
      </c>
      <c r="T1795" s="111">
        <f t="shared" si="261"/>
        <v>270000</v>
      </c>
      <c r="U1795" s="111">
        <f t="shared" si="262"/>
        <v>2700</v>
      </c>
      <c r="V1795" s="111">
        <f t="shared" si="263"/>
        <v>272700</v>
      </c>
      <c r="W1795" t="s">
        <v>4256</v>
      </c>
    </row>
    <row r="1796" spans="1:23" x14ac:dyDescent="0.3">
      <c r="A1796" s="110">
        <v>2224126</v>
      </c>
      <c r="B1796" s="110" t="s">
        <v>1769</v>
      </c>
      <c r="C1796" s="110" t="s">
        <v>1770</v>
      </c>
      <c r="D1796" s="110" t="s">
        <v>1773</v>
      </c>
      <c r="E1796" s="110" t="s">
        <v>1994</v>
      </c>
      <c r="F1796" s="110" t="s">
        <v>113</v>
      </c>
      <c r="G1796" s="110" t="s">
        <v>114</v>
      </c>
      <c r="H1796" s="111">
        <v>669</v>
      </c>
      <c r="I1796" s="111">
        <v>668</v>
      </c>
      <c r="J1796" s="111">
        <v>682</v>
      </c>
      <c r="K1796" s="111">
        <f t="shared" si="255"/>
        <v>673</v>
      </c>
      <c r="L1796" s="111">
        <f>300000</f>
        <v>300000</v>
      </c>
      <c r="M1796" s="111">
        <f t="shared" si="256"/>
        <v>135000</v>
      </c>
      <c r="N1796" s="111">
        <f t="shared" si="257"/>
        <v>135000</v>
      </c>
      <c r="O1796" s="111">
        <f t="shared" si="258"/>
        <v>27000</v>
      </c>
      <c r="P1796" s="111">
        <f t="shared" si="259"/>
        <v>30000</v>
      </c>
      <c r="Q1796" s="111">
        <v>60000</v>
      </c>
      <c r="R1796" s="111">
        <v>6</v>
      </c>
      <c r="S1796" s="111">
        <f t="shared" si="260"/>
        <v>6000</v>
      </c>
      <c r="T1796" s="111">
        <f t="shared" si="261"/>
        <v>360000</v>
      </c>
      <c r="U1796" s="111">
        <f t="shared" si="262"/>
        <v>3600</v>
      </c>
      <c r="V1796" s="111">
        <f t="shared" si="263"/>
        <v>363600</v>
      </c>
      <c r="W1796" t="s">
        <v>4257</v>
      </c>
    </row>
    <row r="1797" spans="1:23" x14ac:dyDescent="0.3">
      <c r="A1797" s="110">
        <v>2224432</v>
      </c>
      <c r="B1797" s="110" t="s">
        <v>1769</v>
      </c>
      <c r="C1797" s="110" t="s">
        <v>1770</v>
      </c>
      <c r="D1797" s="110" t="s">
        <v>1773</v>
      </c>
      <c r="E1797" s="110" t="s">
        <v>1995</v>
      </c>
      <c r="F1797" s="110" t="s">
        <v>117</v>
      </c>
      <c r="G1797" s="110" t="s">
        <v>125</v>
      </c>
      <c r="H1797" s="111">
        <v>489</v>
      </c>
      <c r="I1797" s="111">
        <v>570</v>
      </c>
      <c r="J1797" s="111">
        <v>592</v>
      </c>
      <c r="K1797" s="111">
        <f t="shared" si="255"/>
        <v>550.33333333333337</v>
      </c>
      <c r="L1797" s="111">
        <f>300000</f>
        <v>300000</v>
      </c>
      <c r="M1797" s="111">
        <f t="shared" si="256"/>
        <v>135000</v>
      </c>
      <c r="N1797" s="111">
        <f t="shared" si="257"/>
        <v>135000</v>
      </c>
      <c r="O1797" s="111">
        <f t="shared" si="258"/>
        <v>27000</v>
      </c>
      <c r="P1797" s="111">
        <f t="shared" si="259"/>
        <v>30000</v>
      </c>
      <c r="Q1797" s="111">
        <v>60000</v>
      </c>
      <c r="R1797" s="111">
        <v>6</v>
      </c>
      <c r="S1797" s="111">
        <f t="shared" si="260"/>
        <v>6000</v>
      </c>
      <c r="T1797" s="111">
        <f t="shared" si="261"/>
        <v>360000</v>
      </c>
      <c r="U1797" s="111">
        <f t="shared" si="262"/>
        <v>3600</v>
      </c>
      <c r="V1797" s="111">
        <f t="shared" si="263"/>
        <v>363600</v>
      </c>
      <c r="W1797" t="s">
        <v>4258</v>
      </c>
    </row>
    <row r="1798" spans="1:23" x14ac:dyDescent="0.3">
      <c r="A1798" s="110">
        <v>2224433</v>
      </c>
      <c r="B1798" s="110" t="s">
        <v>1769</v>
      </c>
      <c r="C1798" s="110" t="s">
        <v>1770</v>
      </c>
      <c r="D1798" s="110" t="s">
        <v>1773</v>
      </c>
      <c r="E1798" s="110" t="s">
        <v>1996</v>
      </c>
      <c r="F1798" s="110" t="s">
        <v>117</v>
      </c>
      <c r="G1798" s="110" t="s">
        <v>125</v>
      </c>
      <c r="H1798" s="111">
        <v>1343</v>
      </c>
      <c r="I1798" s="111">
        <v>1345</v>
      </c>
      <c r="J1798" s="111">
        <v>1327</v>
      </c>
      <c r="K1798" s="111">
        <f t="shared" si="255"/>
        <v>1338.3333333333333</v>
      </c>
      <c r="L1798" s="111">
        <f>600000</f>
        <v>600000</v>
      </c>
      <c r="M1798" s="111">
        <f t="shared" si="256"/>
        <v>270000</v>
      </c>
      <c r="N1798" s="111">
        <f t="shared" si="257"/>
        <v>270000</v>
      </c>
      <c r="O1798" s="111">
        <f t="shared" si="258"/>
        <v>54000</v>
      </c>
      <c r="P1798" s="111">
        <f t="shared" si="259"/>
        <v>60000</v>
      </c>
      <c r="Q1798" s="111">
        <v>80000</v>
      </c>
      <c r="R1798" s="111">
        <v>8</v>
      </c>
      <c r="S1798" s="111">
        <f t="shared" si="260"/>
        <v>8000</v>
      </c>
      <c r="T1798" s="111">
        <f t="shared" si="261"/>
        <v>680000</v>
      </c>
      <c r="U1798" s="111">
        <f t="shared" si="262"/>
        <v>6800</v>
      </c>
      <c r="V1798" s="111">
        <f t="shared" si="263"/>
        <v>686800</v>
      </c>
      <c r="W1798" t="s">
        <v>4259</v>
      </c>
    </row>
    <row r="1799" spans="1:23" x14ac:dyDescent="0.3">
      <c r="A1799" s="110">
        <v>2300012</v>
      </c>
      <c r="B1799" s="110" t="s">
        <v>1997</v>
      </c>
      <c r="C1799" s="110" t="s">
        <v>1998</v>
      </c>
      <c r="D1799" s="110" t="s">
        <v>1999</v>
      </c>
      <c r="E1799" s="110" t="s">
        <v>540</v>
      </c>
      <c r="F1799" s="110" t="s">
        <v>209</v>
      </c>
      <c r="G1799" s="110" t="s">
        <v>114</v>
      </c>
      <c r="H1799" s="111">
        <v>15</v>
      </c>
      <c r="I1799" s="111">
        <v>22</v>
      </c>
      <c r="J1799" s="111">
        <v>19</v>
      </c>
      <c r="K1799" s="111">
        <f t="shared" si="255"/>
        <v>18.666666666666668</v>
      </c>
      <c r="L1799" s="111">
        <v>50000</v>
      </c>
      <c r="M1799" s="111">
        <f t="shared" si="256"/>
        <v>22500</v>
      </c>
      <c r="N1799" s="111">
        <f t="shared" si="257"/>
        <v>22500</v>
      </c>
      <c r="O1799" s="111">
        <f t="shared" si="258"/>
        <v>4500</v>
      </c>
      <c r="P1799" s="111">
        <f t="shared" si="259"/>
        <v>5000</v>
      </c>
      <c r="Q1799" s="111">
        <v>10000</v>
      </c>
      <c r="R1799" s="111">
        <v>1</v>
      </c>
      <c r="S1799" s="111">
        <f t="shared" si="260"/>
        <v>1000</v>
      </c>
      <c r="T1799" s="111">
        <f t="shared" si="261"/>
        <v>60000</v>
      </c>
      <c r="U1799" s="111">
        <f t="shared" si="262"/>
        <v>600</v>
      </c>
      <c r="V1799" s="111">
        <f t="shared" si="263"/>
        <v>60600</v>
      </c>
      <c r="W1799" t="s">
        <v>4260</v>
      </c>
    </row>
    <row r="1800" spans="1:23" x14ac:dyDescent="0.3">
      <c r="A1800" s="110">
        <v>2300028</v>
      </c>
      <c r="B1800" s="110" t="s">
        <v>1997</v>
      </c>
      <c r="C1800" s="110" t="s">
        <v>2000</v>
      </c>
      <c r="D1800" s="110" t="s">
        <v>2001</v>
      </c>
      <c r="E1800" s="110" t="s">
        <v>390</v>
      </c>
      <c r="F1800" s="110" t="s">
        <v>113</v>
      </c>
      <c r="G1800" s="110" t="s">
        <v>114</v>
      </c>
      <c r="H1800" s="111">
        <v>22</v>
      </c>
      <c r="I1800" s="111">
        <v>22</v>
      </c>
      <c r="J1800" s="111">
        <v>14</v>
      </c>
      <c r="K1800" s="111">
        <f t="shared" si="255"/>
        <v>19.333333333333332</v>
      </c>
      <c r="L1800" s="111">
        <v>50000</v>
      </c>
      <c r="M1800" s="111">
        <f t="shared" si="256"/>
        <v>22500</v>
      </c>
      <c r="N1800" s="111">
        <f t="shared" si="257"/>
        <v>22500</v>
      </c>
      <c r="O1800" s="111">
        <f t="shared" si="258"/>
        <v>4500</v>
      </c>
      <c r="P1800" s="111">
        <f t="shared" si="259"/>
        <v>5000</v>
      </c>
      <c r="Q1800" s="111">
        <v>10000</v>
      </c>
      <c r="R1800" s="111">
        <v>1</v>
      </c>
      <c r="S1800" s="111">
        <f t="shared" si="260"/>
        <v>1000</v>
      </c>
      <c r="T1800" s="111">
        <f t="shared" si="261"/>
        <v>60000</v>
      </c>
      <c r="U1800" s="111">
        <f t="shared" si="262"/>
        <v>600</v>
      </c>
      <c r="V1800" s="111">
        <f t="shared" si="263"/>
        <v>60600</v>
      </c>
      <c r="W1800" t="s">
        <v>4261</v>
      </c>
    </row>
    <row r="1801" spans="1:23" x14ac:dyDescent="0.3">
      <c r="A1801" s="110">
        <v>2300062</v>
      </c>
      <c r="B1801" s="110" t="s">
        <v>1997</v>
      </c>
      <c r="C1801" s="110" t="s">
        <v>2002</v>
      </c>
      <c r="D1801" s="110" t="s">
        <v>2003</v>
      </c>
      <c r="E1801" s="110" t="s">
        <v>1469</v>
      </c>
      <c r="F1801" s="110" t="s">
        <v>113</v>
      </c>
      <c r="G1801" s="110" t="s">
        <v>114</v>
      </c>
      <c r="H1801" s="111">
        <v>65</v>
      </c>
      <c r="I1801" s="111">
        <v>61</v>
      </c>
      <c r="J1801" s="111">
        <v>54</v>
      </c>
      <c r="K1801" s="111">
        <f t="shared" si="255"/>
        <v>60</v>
      </c>
      <c r="L1801" s="111">
        <v>150000</v>
      </c>
      <c r="M1801" s="111">
        <f t="shared" si="256"/>
        <v>67500</v>
      </c>
      <c r="N1801" s="111">
        <f t="shared" si="257"/>
        <v>67500</v>
      </c>
      <c r="O1801" s="111">
        <f t="shared" si="258"/>
        <v>13500</v>
      </c>
      <c r="P1801" s="111">
        <f t="shared" si="259"/>
        <v>15000</v>
      </c>
      <c r="Q1801" s="111">
        <v>30000</v>
      </c>
      <c r="R1801" s="111">
        <v>3</v>
      </c>
      <c r="S1801" s="111">
        <f t="shared" si="260"/>
        <v>3000</v>
      </c>
      <c r="T1801" s="111">
        <f t="shared" si="261"/>
        <v>180000</v>
      </c>
      <c r="U1801" s="111">
        <f t="shared" si="262"/>
        <v>1800</v>
      </c>
      <c r="V1801" s="111">
        <f t="shared" si="263"/>
        <v>181800</v>
      </c>
      <c r="W1801" t="s">
        <v>4262</v>
      </c>
    </row>
    <row r="1802" spans="1:23" x14ac:dyDescent="0.3">
      <c r="A1802" s="110">
        <v>2300067</v>
      </c>
      <c r="B1802" s="110" t="s">
        <v>1997</v>
      </c>
      <c r="C1802" s="110" t="s">
        <v>1998</v>
      </c>
      <c r="D1802" s="110" t="s">
        <v>1998</v>
      </c>
      <c r="E1802" s="110" t="s">
        <v>2004</v>
      </c>
      <c r="F1802" s="110" t="s">
        <v>113</v>
      </c>
      <c r="G1802" s="110" t="s">
        <v>114</v>
      </c>
      <c r="H1802" s="111">
        <v>109</v>
      </c>
      <c r="I1802" s="111">
        <v>126</v>
      </c>
      <c r="J1802" s="111">
        <v>133</v>
      </c>
      <c r="K1802" s="111">
        <f t="shared" si="255"/>
        <v>122.66666666666667</v>
      </c>
      <c r="L1802" s="111">
        <v>150000</v>
      </c>
      <c r="M1802" s="111">
        <f t="shared" si="256"/>
        <v>67500</v>
      </c>
      <c r="N1802" s="111">
        <f t="shared" si="257"/>
        <v>67500</v>
      </c>
      <c r="O1802" s="111">
        <f t="shared" si="258"/>
        <v>13500</v>
      </c>
      <c r="P1802" s="111">
        <f t="shared" si="259"/>
        <v>15000</v>
      </c>
      <c r="Q1802" s="111">
        <v>30000</v>
      </c>
      <c r="R1802" s="111">
        <v>3</v>
      </c>
      <c r="S1802" s="111">
        <f t="shared" si="260"/>
        <v>3000</v>
      </c>
      <c r="T1802" s="111">
        <f t="shared" si="261"/>
        <v>180000</v>
      </c>
      <c r="U1802" s="111">
        <f t="shared" si="262"/>
        <v>1800</v>
      </c>
      <c r="V1802" s="111">
        <f t="shared" si="263"/>
        <v>181800</v>
      </c>
      <c r="W1802" t="s">
        <v>4263</v>
      </c>
    </row>
    <row r="1803" spans="1:23" x14ac:dyDescent="0.3">
      <c r="A1803" s="110">
        <v>2300099</v>
      </c>
      <c r="B1803" s="110" t="s">
        <v>1997</v>
      </c>
      <c r="C1803" s="110" t="s">
        <v>2005</v>
      </c>
      <c r="D1803" s="110" t="s">
        <v>2005</v>
      </c>
      <c r="E1803" s="110" t="s">
        <v>2006</v>
      </c>
      <c r="F1803" s="110" t="s">
        <v>122</v>
      </c>
      <c r="G1803" s="110" t="s">
        <v>114</v>
      </c>
      <c r="H1803" s="111">
        <v>565</v>
      </c>
      <c r="I1803" s="111">
        <v>576</v>
      </c>
      <c r="J1803" s="111">
        <v>581</v>
      </c>
      <c r="K1803" s="111">
        <f t="shared" si="255"/>
        <v>574</v>
      </c>
      <c r="L1803" s="111">
        <f>300000</f>
        <v>300000</v>
      </c>
      <c r="M1803" s="111">
        <f t="shared" si="256"/>
        <v>135000</v>
      </c>
      <c r="N1803" s="111">
        <f t="shared" si="257"/>
        <v>135000</v>
      </c>
      <c r="O1803" s="111">
        <f t="shared" si="258"/>
        <v>27000</v>
      </c>
      <c r="P1803" s="111">
        <f t="shared" si="259"/>
        <v>30000</v>
      </c>
      <c r="Q1803" s="111">
        <v>60000</v>
      </c>
      <c r="R1803" s="111">
        <v>6</v>
      </c>
      <c r="S1803" s="111">
        <f t="shared" si="260"/>
        <v>6000</v>
      </c>
      <c r="T1803" s="111">
        <f t="shared" si="261"/>
        <v>360000</v>
      </c>
      <c r="U1803" s="111">
        <f t="shared" si="262"/>
        <v>3600</v>
      </c>
      <c r="V1803" s="111">
        <f t="shared" si="263"/>
        <v>363600</v>
      </c>
      <c r="W1803" t="s">
        <v>4264</v>
      </c>
    </row>
    <row r="1804" spans="1:23" x14ac:dyDescent="0.3">
      <c r="A1804" s="110">
        <v>2300105</v>
      </c>
      <c r="B1804" s="110" t="s">
        <v>1997</v>
      </c>
      <c r="C1804" s="110" t="s">
        <v>2007</v>
      </c>
      <c r="D1804" s="110" t="s">
        <v>2007</v>
      </c>
      <c r="E1804" s="110" t="s">
        <v>2008</v>
      </c>
      <c r="F1804" s="110" t="s">
        <v>119</v>
      </c>
      <c r="G1804" s="110" t="s">
        <v>114</v>
      </c>
      <c r="H1804" s="111">
        <v>292</v>
      </c>
      <c r="I1804" s="111">
        <v>292</v>
      </c>
      <c r="J1804" s="111">
        <v>325</v>
      </c>
      <c r="K1804" s="111">
        <f t="shared" si="255"/>
        <v>303</v>
      </c>
      <c r="L1804" s="111">
        <v>200000</v>
      </c>
      <c r="M1804" s="111">
        <f t="shared" si="256"/>
        <v>90000</v>
      </c>
      <c r="N1804" s="111">
        <f t="shared" si="257"/>
        <v>90000</v>
      </c>
      <c r="O1804" s="111">
        <f t="shared" si="258"/>
        <v>18000</v>
      </c>
      <c r="P1804" s="111">
        <f t="shared" si="259"/>
        <v>20000</v>
      </c>
      <c r="Q1804" s="111">
        <v>50000</v>
      </c>
      <c r="R1804" s="111">
        <v>5</v>
      </c>
      <c r="S1804" s="111">
        <f t="shared" si="260"/>
        <v>5000</v>
      </c>
      <c r="T1804" s="111">
        <f t="shared" si="261"/>
        <v>250000</v>
      </c>
      <c r="U1804" s="111">
        <f t="shared" si="262"/>
        <v>2500</v>
      </c>
      <c r="V1804" s="111">
        <f t="shared" si="263"/>
        <v>252500</v>
      </c>
      <c r="W1804" t="s">
        <v>4265</v>
      </c>
    </row>
    <row r="1805" spans="1:23" x14ac:dyDescent="0.3">
      <c r="A1805" s="110">
        <v>2300114</v>
      </c>
      <c r="B1805" s="110" t="s">
        <v>1997</v>
      </c>
      <c r="C1805" s="110" t="s">
        <v>2005</v>
      </c>
      <c r="D1805" s="110" t="s">
        <v>2009</v>
      </c>
      <c r="E1805" s="110" t="s">
        <v>310</v>
      </c>
      <c r="F1805" s="110" t="s">
        <v>113</v>
      </c>
      <c r="G1805" s="110" t="s">
        <v>114</v>
      </c>
      <c r="H1805" s="111">
        <v>156</v>
      </c>
      <c r="I1805" s="111">
        <v>155</v>
      </c>
      <c r="J1805" s="111">
        <v>157</v>
      </c>
      <c r="K1805" s="111">
        <f t="shared" si="255"/>
        <v>156</v>
      </c>
      <c r="L1805" s="111">
        <v>150000</v>
      </c>
      <c r="M1805" s="111">
        <f t="shared" si="256"/>
        <v>67500</v>
      </c>
      <c r="N1805" s="111">
        <f t="shared" si="257"/>
        <v>67500</v>
      </c>
      <c r="O1805" s="111">
        <f t="shared" si="258"/>
        <v>13500</v>
      </c>
      <c r="P1805" s="111">
        <f t="shared" si="259"/>
        <v>15000</v>
      </c>
      <c r="Q1805" s="111">
        <v>30000</v>
      </c>
      <c r="R1805" s="111">
        <v>3</v>
      </c>
      <c r="S1805" s="111">
        <f t="shared" si="260"/>
        <v>3000</v>
      </c>
      <c r="T1805" s="111">
        <f t="shared" si="261"/>
        <v>180000</v>
      </c>
      <c r="U1805" s="111">
        <f t="shared" si="262"/>
        <v>1800</v>
      </c>
      <c r="V1805" s="111">
        <f t="shared" si="263"/>
        <v>181800</v>
      </c>
      <c r="W1805" t="s">
        <v>4266</v>
      </c>
    </row>
    <row r="1806" spans="1:23" x14ac:dyDescent="0.3">
      <c r="A1806" s="110">
        <v>2300131</v>
      </c>
      <c r="B1806" s="110" t="s">
        <v>1997</v>
      </c>
      <c r="C1806" s="110" t="s">
        <v>2002</v>
      </c>
      <c r="D1806" s="110" t="s">
        <v>2002</v>
      </c>
      <c r="E1806" s="110" t="s">
        <v>2010</v>
      </c>
      <c r="F1806" s="110" t="s">
        <v>122</v>
      </c>
      <c r="G1806" s="110" t="s">
        <v>114</v>
      </c>
      <c r="H1806" s="111">
        <v>368</v>
      </c>
      <c r="I1806" s="111">
        <v>364</v>
      </c>
      <c r="J1806" s="111">
        <v>360</v>
      </c>
      <c r="K1806" s="111">
        <f t="shared" si="255"/>
        <v>364</v>
      </c>
      <c r="L1806" s="111">
        <f>200000*0.7</f>
        <v>140000</v>
      </c>
      <c r="M1806" s="111">
        <f t="shared" si="256"/>
        <v>63000</v>
      </c>
      <c r="N1806" s="111">
        <f t="shared" si="257"/>
        <v>63000</v>
      </c>
      <c r="O1806" s="111">
        <f t="shared" si="258"/>
        <v>12600</v>
      </c>
      <c r="P1806" s="111">
        <f t="shared" si="259"/>
        <v>14000</v>
      </c>
      <c r="Q1806" s="111">
        <v>50000</v>
      </c>
      <c r="R1806" s="111">
        <v>5</v>
      </c>
      <c r="S1806" s="111">
        <f t="shared" si="260"/>
        <v>5000</v>
      </c>
      <c r="T1806" s="111">
        <f t="shared" si="261"/>
        <v>190000</v>
      </c>
      <c r="U1806" s="111">
        <f t="shared" si="262"/>
        <v>1900</v>
      </c>
      <c r="V1806" s="111">
        <f t="shared" si="263"/>
        <v>191900</v>
      </c>
      <c r="W1806" t="s">
        <v>4267</v>
      </c>
    </row>
    <row r="1807" spans="1:23" x14ac:dyDescent="0.3">
      <c r="A1807" s="110">
        <v>2300163</v>
      </c>
      <c r="B1807" s="110" t="s">
        <v>1997</v>
      </c>
      <c r="C1807" s="110" t="s">
        <v>2011</v>
      </c>
      <c r="D1807" s="110" t="s">
        <v>2011</v>
      </c>
      <c r="E1807" s="110" t="s">
        <v>1403</v>
      </c>
      <c r="F1807" s="110" t="s">
        <v>119</v>
      </c>
      <c r="G1807" s="110" t="s">
        <v>114</v>
      </c>
      <c r="H1807" s="111">
        <v>345</v>
      </c>
      <c r="I1807" s="111">
        <v>334</v>
      </c>
      <c r="J1807" s="111">
        <v>310</v>
      </c>
      <c r="K1807" s="111">
        <f t="shared" si="255"/>
        <v>329.66666666666669</v>
      </c>
      <c r="L1807" s="111">
        <v>200000</v>
      </c>
      <c r="M1807" s="111">
        <f t="shared" si="256"/>
        <v>90000</v>
      </c>
      <c r="N1807" s="111">
        <f t="shared" si="257"/>
        <v>90000</v>
      </c>
      <c r="O1807" s="111">
        <f t="shared" si="258"/>
        <v>18000</v>
      </c>
      <c r="P1807" s="111">
        <f t="shared" si="259"/>
        <v>20000</v>
      </c>
      <c r="Q1807" s="111">
        <v>50000</v>
      </c>
      <c r="R1807" s="111">
        <v>5</v>
      </c>
      <c r="S1807" s="111">
        <f t="shared" si="260"/>
        <v>5000</v>
      </c>
      <c r="T1807" s="111">
        <f t="shared" si="261"/>
        <v>250000</v>
      </c>
      <c r="U1807" s="111">
        <f t="shared" si="262"/>
        <v>2500</v>
      </c>
      <c r="V1807" s="111">
        <f t="shared" si="263"/>
        <v>252500</v>
      </c>
      <c r="W1807" t="s">
        <v>4268</v>
      </c>
    </row>
    <row r="1808" spans="1:23" x14ac:dyDescent="0.3">
      <c r="A1808" s="110">
        <v>2300170</v>
      </c>
      <c r="B1808" s="110" t="s">
        <v>1997</v>
      </c>
      <c r="C1808" s="110" t="s">
        <v>2012</v>
      </c>
      <c r="D1808" s="110" t="s">
        <v>2012</v>
      </c>
      <c r="E1808" s="110" t="s">
        <v>214</v>
      </c>
      <c r="F1808" s="110" t="s">
        <v>119</v>
      </c>
      <c r="G1808" s="110" t="s">
        <v>114</v>
      </c>
      <c r="H1808" s="111">
        <v>800</v>
      </c>
      <c r="I1808" s="111">
        <v>816</v>
      </c>
      <c r="J1808" s="111">
        <v>823</v>
      </c>
      <c r="K1808" s="111">
        <f t="shared" si="255"/>
        <v>813</v>
      </c>
      <c r="L1808" s="111">
        <f>300000</f>
        <v>300000</v>
      </c>
      <c r="M1808" s="111">
        <f t="shared" si="256"/>
        <v>135000</v>
      </c>
      <c r="N1808" s="111">
        <f t="shared" si="257"/>
        <v>135000</v>
      </c>
      <c r="O1808" s="111">
        <f t="shared" si="258"/>
        <v>27000</v>
      </c>
      <c r="P1808" s="111">
        <f t="shared" si="259"/>
        <v>30000</v>
      </c>
      <c r="Q1808" s="111">
        <v>60000</v>
      </c>
      <c r="R1808" s="111">
        <v>6</v>
      </c>
      <c r="S1808" s="111">
        <f t="shared" si="260"/>
        <v>6000</v>
      </c>
      <c r="T1808" s="111">
        <f t="shared" si="261"/>
        <v>360000</v>
      </c>
      <c r="U1808" s="111">
        <f t="shared" si="262"/>
        <v>3600</v>
      </c>
      <c r="V1808" s="111">
        <f t="shared" si="263"/>
        <v>363600</v>
      </c>
      <c r="W1808" t="s">
        <v>4269</v>
      </c>
    </row>
    <row r="1809" spans="1:23" x14ac:dyDescent="0.3">
      <c r="A1809" s="110">
        <v>2300188</v>
      </c>
      <c r="B1809" s="110" t="s">
        <v>1997</v>
      </c>
      <c r="C1809" s="110" t="s">
        <v>2013</v>
      </c>
      <c r="D1809" s="110" t="s">
        <v>2013</v>
      </c>
      <c r="E1809" s="110" t="s">
        <v>272</v>
      </c>
      <c r="F1809" s="110" t="s">
        <v>119</v>
      </c>
      <c r="G1809" s="110" t="s">
        <v>114</v>
      </c>
      <c r="H1809" s="111">
        <v>884</v>
      </c>
      <c r="I1809" s="111">
        <v>853</v>
      </c>
      <c r="J1809" s="111">
        <v>835</v>
      </c>
      <c r="K1809" s="111">
        <f t="shared" si="255"/>
        <v>857.33333333333337</v>
      </c>
      <c r="L1809" s="111">
        <f>300000</f>
        <v>300000</v>
      </c>
      <c r="M1809" s="111">
        <f t="shared" si="256"/>
        <v>135000</v>
      </c>
      <c r="N1809" s="111">
        <f t="shared" si="257"/>
        <v>135000</v>
      </c>
      <c r="O1809" s="111">
        <f t="shared" si="258"/>
        <v>27000</v>
      </c>
      <c r="P1809" s="111">
        <f t="shared" si="259"/>
        <v>30000</v>
      </c>
      <c r="Q1809" s="111">
        <v>60000</v>
      </c>
      <c r="R1809" s="111">
        <v>6</v>
      </c>
      <c r="S1809" s="111">
        <f t="shared" si="260"/>
        <v>6000</v>
      </c>
      <c r="T1809" s="111">
        <f t="shared" si="261"/>
        <v>360000</v>
      </c>
      <c r="U1809" s="111">
        <f t="shared" si="262"/>
        <v>3600</v>
      </c>
      <c r="V1809" s="111">
        <f t="shared" si="263"/>
        <v>363600</v>
      </c>
      <c r="W1809" t="s">
        <v>4270</v>
      </c>
    </row>
    <row r="1810" spans="1:23" x14ac:dyDescent="0.3">
      <c r="A1810" s="110">
        <v>2300195</v>
      </c>
      <c r="B1810" s="110" t="s">
        <v>1997</v>
      </c>
      <c r="C1810" s="110" t="s">
        <v>2014</v>
      </c>
      <c r="D1810" s="110" t="s">
        <v>2014</v>
      </c>
      <c r="E1810" s="110" t="s">
        <v>2015</v>
      </c>
      <c r="F1810" s="110" t="s">
        <v>119</v>
      </c>
      <c r="G1810" s="110" t="s">
        <v>114</v>
      </c>
      <c r="H1810" s="111">
        <v>738</v>
      </c>
      <c r="I1810" s="111">
        <v>742</v>
      </c>
      <c r="J1810" s="111">
        <v>771</v>
      </c>
      <c r="K1810" s="111">
        <f t="shared" si="255"/>
        <v>750.33333333333337</v>
      </c>
      <c r="L1810" s="111">
        <f>300000</f>
        <v>300000</v>
      </c>
      <c r="M1810" s="111">
        <f t="shared" si="256"/>
        <v>135000</v>
      </c>
      <c r="N1810" s="111">
        <f t="shared" si="257"/>
        <v>135000</v>
      </c>
      <c r="O1810" s="111">
        <f t="shared" si="258"/>
        <v>27000</v>
      </c>
      <c r="P1810" s="111">
        <f t="shared" si="259"/>
        <v>30000</v>
      </c>
      <c r="Q1810" s="111">
        <v>60000</v>
      </c>
      <c r="R1810" s="111">
        <v>6</v>
      </c>
      <c r="S1810" s="111">
        <f t="shared" si="260"/>
        <v>6000</v>
      </c>
      <c r="T1810" s="111">
        <f t="shared" si="261"/>
        <v>360000</v>
      </c>
      <c r="U1810" s="111">
        <f t="shared" si="262"/>
        <v>3600</v>
      </c>
      <c r="V1810" s="111">
        <f t="shared" si="263"/>
        <v>363600</v>
      </c>
      <c r="W1810" t="s">
        <v>4271</v>
      </c>
    </row>
    <row r="1811" spans="1:23" x14ac:dyDescent="0.3">
      <c r="A1811" s="110">
        <v>2300214</v>
      </c>
      <c r="B1811" s="110" t="s">
        <v>1997</v>
      </c>
      <c r="C1811" s="110" t="s">
        <v>2016</v>
      </c>
      <c r="D1811" s="110" t="s">
        <v>2016</v>
      </c>
      <c r="E1811" s="110" t="s">
        <v>272</v>
      </c>
      <c r="F1811" s="110" t="s">
        <v>119</v>
      </c>
      <c r="G1811" s="110" t="s">
        <v>114</v>
      </c>
      <c r="H1811" s="111">
        <v>271</v>
      </c>
      <c r="I1811" s="111">
        <v>267</v>
      </c>
      <c r="J1811" s="111">
        <v>255</v>
      </c>
      <c r="K1811" s="111">
        <f t="shared" si="255"/>
        <v>264.33333333333331</v>
      </c>
      <c r="L1811" s="111">
        <v>200000</v>
      </c>
      <c r="M1811" s="111">
        <f t="shared" si="256"/>
        <v>90000</v>
      </c>
      <c r="N1811" s="111">
        <f t="shared" si="257"/>
        <v>90000</v>
      </c>
      <c r="O1811" s="111">
        <f t="shared" si="258"/>
        <v>18000</v>
      </c>
      <c r="P1811" s="111">
        <f t="shared" si="259"/>
        <v>20000</v>
      </c>
      <c r="Q1811" s="111">
        <v>50000</v>
      </c>
      <c r="R1811" s="111">
        <v>5</v>
      </c>
      <c r="S1811" s="111">
        <f t="shared" si="260"/>
        <v>5000</v>
      </c>
      <c r="T1811" s="111">
        <f t="shared" si="261"/>
        <v>250000</v>
      </c>
      <c r="U1811" s="111">
        <f t="shared" si="262"/>
        <v>2500</v>
      </c>
      <c r="V1811" s="111">
        <f t="shared" si="263"/>
        <v>252500</v>
      </c>
      <c r="W1811" t="s">
        <v>4272</v>
      </c>
    </row>
    <row r="1812" spans="1:23" x14ac:dyDescent="0.3">
      <c r="A1812" s="110">
        <v>2300274</v>
      </c>
      <c r="B1812" s="110" t="s">
        <v>1997</v>
      </c>
      <c r="C1812" s="110" t="s">
        <v>2012</v>
      </c>
      <c r="D1812" s="110" t="s">
        <v>2012</v>
      </c>
      <c r="E1812" s="110" t="s">
        <v>2017</v>
      </c>
      <c r="F1812" s="110" t="s">
        <v>117</v>
      </c>
      <c r="G1812" s="110" t="s">
        <v>114</v>
      </c>
      <c r="H1812" s="111">
        <v>168</v>
      </c>
      <c r="I1812" s="111">
        <v>194</v>
      </c>
      <c r="J1812" s="111">
        <v>238</v>
      </c>
      <c r="K1812" s="111">
        <f t="shared" si="255"/>
        <v>200</v>
      </c>
      <c r="L1812" s="111">
        <v>150000</v>
      </c>
      <c r="M1812" s="111">
        <f t="shared" si="256"/>
        <v>67500</v>
      </c>
      <c r="N1812" s="111">
        <f t="shared" si="257"/>
        <v>67500</v>
      </c>
      <c r="O1812" s="111">
        <f t="shared" si="258"/>
        <v>13500</v>
      </c>
      <c r="P1812" s="111">
        <f t="shared" si="259"/>
        <v>15000</v>
      </c>
      <c r="Q1812" s="111">
        <v>30000</v>
      </c>
      <c r="R1812" s="111">
        <v>3</v>
      </c>
      <c r="S1812" s="111">
        <f t="shared" si="260"/>
        <v>3000</v>
      </c>
      <c r="T1812" s="111">
        <f t="shared" si="261"/>
        <v>180000</v>
      </c>
      <c r="U1812" s="111">
        <f t="shared" si="262"/>
        <v>1800</v>
      </c>
      <c r="V1812" s="111">
        <f t="shared" si="263"/>
        <v>181800</v>
      </c>
      <c r="W1812" t="s">
        <v>4273</v>
      </c>
    </row>
    <row r="1813" spans="1:23" x14ac:dyDescent="0.3">
      <c r="A1813" s="110">
        <v>2300284</v>
      </c>
      <c r="B1813" s="110" t="s">
        <v>1997</v>
      </c>
      <c r="C1813" s="110" t="s">
        <v>2005</v>
      </c>
      <c r="D1813" s="110" t="s">
        <v>2005</v>
      </c>
      <c r="E1813" s="110" t="s">
        <v>2018</v>
      </c>
      <c r="F1813" s="110" t="s">
        <v>117</v>
      </c>
      <c r="G1813" s="110" t="s">
        <v>125</v>
      </c>
      <c r="H1813" s="111">
        <v>337</v>
      </c>
      <c r="I1813" s="111">
        <v>359</v>
      </c>
      <c r="J1813" s="111">
        <v>393</v>
      </c>
      <c r="K1813" s="111">
        <f t="shared" si="255"/>
        <v>363</v>
      </c>
      <c r="L1813" s="111">
        <v>200000</v>
      </c>
      <c r="M1813" s="111">
        <f t="shared" si="256"/>
        <v>90000</v>
      </c>
      <c r="N1813" s="111">
        <f t="shared" si="257"/>
        <v>90000</v>
      </c>
      <c r="O1813" s="111">
        <f t="shared" si="258"/>
        <v>18000</v>
      </c>
      <c r="P1813" s="111">
        <f t="shared" si="259"/>
        <v>20000</v>
      </c>
      <c r="Q1813" s="111">
        <v>50000</v>
      </c>
      <c r="R1813" s="111">
        <v>5</v>
      </c>
      <c r="S1813" s="111">
        <f t="shared" si="260"/>
        <v>5000</v>
      </c>
      <c r="T1813" s="111">
        <f t="shared" si="261"/>
        <v>250000</v>
      </c>
      <c r="U1813" s="111">
        <f t="shared" si="262"/>
        <v>2500</v>
      </c>
      <c r="V1813" s="111">
        <f t="shared" si="263"/>
        <v>252500</v>
      </c>
      <c r="W1813" t="s">
        <v>4274</v>
      </c>
    </row>
    <row r="1814" spans="1:23" x14ac:dyDescent="0.3">
      <c r="A1814" s="110">
        <v>2300291</v>
      </c>
      <c r="B1814" s="110" t="s">
        <v>1997</v>
      </c>
      <c r="C1814" s="110" t="s">
        <v>2002</v>
      </c>
      <c r="D1814" s="110" t="s">
        <v>2002</v>
      </c>
      <c r="E1814" s="110" t="s">
        <v>2019</v>
      </c>
      <c r="F1814" s="110" t="s">
        <v>117</v>
      </c>
      <c r="G1814" s="110" t="s">
        <v>125</v>
      </c>
      <c r="H1814" s="111">
        <v>342</v>
      </c>
      <c r="I1814" s="111">
        <v>344</v>
      </c>
      <c r="J1814" s="111">
        <v>356</v>
      </c>
      <c r="K1814" s="111">
        <f t="shared" si="255"/>
        <v>347.33333333333331</v>
      </c>
      <c r="L1814" s="111">
        <v>200000</v>
      </c>
      <c r="M1814" s="111">
        <f t="shared" si="256"/>
        <v>90000</v>
      </c>
      <c r="N1814" s="111">
        <f t="shared" si="257"/>
        <v>90000</v>
      </c>
      <c r="O1814" s="111">
        <f t="shared" si="258"/>
        <v>18000</v>
      </c>
      <c r="P1814" s="111">
        <f t="shared" si="259"/>
        <v>20000</v>
      </c>
      <c r="Q1814" s="111">
        <v>50000</v>
      </c>
      <c r="R1814" s="111">
        <v>5</v>
      </c>
      <c r="S1814" s="111">
        <f t="shared" si="260"/>
        <v>5000</v>
      </c>
      <c r="T1814" s="111">
        <f t="shared" si="261"/>
        <v>250000</v>
      </c>
      <c r="U1814" s="111">
        <f t="shared" si="262"/>
        <v>2500</v>
      </c>
      <c r="V1814" s="111">
        <f t="shared" si="263"/>
        <v>252500</v>
      </c>
      <c r="W1814" t="s">
        <v>4275</v>
      </c>
    </row>
    <row r="1815" spans="1:23" x14ac:dyDescent="0.3">
      <c r="A1815" s="110">
        <v>2300302</v>
      </c>
      <c r="B1815" s="110" t="s">
        <v>1997</v>
      </c>
      <c r="C1815" s="110" t="s">
        <v>2020</v>
      </c>
      <c r="D1815" s="110" t="s">
        <v>2020</v>
      </c>
      <c r="E1815" s="110" t="s">
        <v>2021</v>
      </c>
      <c r="F1815" s="110" t="s">
        <v>117</v>
      </c>
      <c r="G1815" s="110" t="s">
        <v>114</v>
      </c>
      <c r="H1815" s="111">
        <v>137</v>
      </c>
      <c r="I1815" s="111">
        <v>113</v>
      </c>
      <c r="J1815" s="111">
        <v>116</v>
      </c>
      <c r="K1815" s="111">
        <f t="shared" si="255"/>
        <v>122</v>
      </c>
      <c r="L1815" s="111">
        <v>150000</v>
      </c>
      <c r="M1815" s="111">
        <f t="shared" si="256"/>
        <v>67500</v>
      </c>
      <c r="N1815" s="111">
        <f t="shared" si="257"/>
        <v>67500</v>
      </c>
      <c r="O1815" s="111">
        <f t="shared" si="258"/>
        <v>13500</v>
      </c>
      <c r="P1815" s="111">
        <f t="shared" si="259"/>
        <v>15000</v>
      </c>
      <c r="Q1815" s="111">
        <v>30000</v>
      </c>
      <c r="R1815" s="111">
        <v>3</v>
      </c>
      <c r="S1815" s="111">
        <f t="shared" si="260"/>
        <v>3000</v>
      </c>
      <c r="T1815" s="111">
        <f t="shared" si="261"/>
        <v>180000</v>
      </c>
      <c r="U1815" s="111">
        <f t="shared" si="262"/>
        <v>1800</v>
      </c>
      <c r="V1815" s="111">
        <f t="shared" si="263"/>
        <v>181800</v>
      </c>
      <c r="W1815" t="s">
        <v>4276</v>
      </c>
    </row>
    <row r="1816" spans="1:23" x14ac:dyDescent="0.3">
      <c r="A1816" s="110">
        <v>2300327</v>
      </c>
      <c r="B1816" s="110" t="s">
        <v>1997</v>
      </c>
      <c r="C1816" s="110" t="s">
        <v>2014</v>
      </c>
      <c r="D1816" s="110" t="s">
        <v>2014</v>
      </c>
      <c r="E1816" s="110" t="s">
        <v>2022</v>
      </c>
      <c r="F1816" s="110" t="s">
        <v>117</v>
      </c>
      <c r="G1816" s="110" t="s">
        <v>114</v>
      </c>
      <c r="H1816" s="111">
        <v>175</v>
      </c>
      <c r="I1816" s="111">
        <v>190</v>
      </c>
      <c r="J1816" s="111">
        <v>193</v>
      </c>
      <c r="K1816" s="111">
        <f t="shared" si="255"/>
        <v>186</v>
      </c>
      <c r="L1816" s="111">
        <v>150000</v>
      </c>
      <c r="M1816" s="111">
        <f t="shared" si="256"/>
        <v>67500</v>
      </c>
      <c r="N1816" s="111">
        <f t="shared" si="257"/>
        <v>67500</v>
      </c>
      <c r="O1816" s="111">
        <f t="shared" si="258"/>
        <v>13500</v>
      </c>
      <c r="P1816" s="111">
        <f t="shared" si="259"/>
        <v>15000</v>
      </c>
      <c r="Q1816" s="111">
        <v>30000</v>
      </c>
      <c r="R1816" s="111">
        <v>3</v>
      </c>
      <c r="S1816" s="111">
        <f t="shared" si="260"/>
        <v>3000</v>
      </c>
      <c r="T1816" s="111">
        <f t="shared" si="261"/>
        <v>180000</v>
      </c>
      <c r="U1816" s="111">
        <f t="shared" si="262"/>
        <v>1800</v>
      </c>
      <c r="V1816" s="111">
        <f t="shared" si="263"/>
        <v>181800</v>
      </c>
      <c r="W1816" t="s">
        <v>4277</v>
      </c>
    </row>
    <row r="1817" spans="1:23" x14ac:dyDescent="0.3">
      <c r="A1817" s="110">
        <v>2300417</v>
      </c>
      <c r="B1817" s="110" t="s">
        <v>1997</v>
      </c>
      <c r="C1817" s="110" t="s">
        <v>2013</v>
      </c>
      <c r="D1817" s="110" t="s">
        <v>2013</v>
      </c>
      <c r="E1817" s="110" t="s">
        <v>755</v>
      </c>
      <c r="F1817" s="110" t="s">
        <v>117</v>
      </c>
      <c r="G1817" s="110" t="s">
        <v>125</v>
      </c>
      <c r="H1817" s="111">
        <v>442</v>
      </c>
      <c r="I1817" s="111">
        <v>434</v>
      </c>
      <c r="J1817" s="111">
        <v>446</v>
      </c>
      <c r="K1817" s="111">
        <f t="shared" si="255"/>
        <v>440.66666666666669</v>
      </c>
      <c r="L1817" s="111">
        <f>300000</f>
        <v>300000</v>
      </c>
      <c r="M1817" s="111">
        <f t="shared" si="256"/>
        <v>135000</v>
      </c>
      <c r="N1817" s="111">
        <f t="shared" si="257"/>
        <v>135000</v>
      </c>
      <c r="O1817" s="111">
        <f t="shared" si="258"/>
        <v>27000</v>
      </c>
      <c r="P1817" s="111">
        <f t="shared" si="259"/>
        <v>30000</v>
      </c>
      <c r="Q1817" s="111">
        <v>60000</v>
      </c>
      <c r="R1817" s="111">
        <v>6</v>
      </c>
      <c r="S1817" s="111">
        <f t="shared" si="260"/>
        <v>6000</v>
      </c>
      <c r="T1817" s="111">
        <f t="shared" si="261"/>
        <v>360000</v>
      </c>
      <c r="U1817" s="111">
        <f t="shared" si="262"/>
        <v>3600</v>
      </c>
      <c r="V1817" s="111">
        <f t="shared" si="263"/>
        <v>363600</v>
      </c>
      <c r="W1817" t="s">
        <v>4278</v>
      </c>
    </row>
    <row r="1818" spans="1:23" x14ac:dyDescent="0.3">
      <c r="A1818" s="110">
        <v>2300448</v>
      </c>
      <c r="B1818" s="110" t="s">
        <v>1997</v>
      </c>
      <c r="C1818" s="110" t="s">
        <v>2007</v>
      </c>
      <c r="D1818" s="110" t="s">
        <v>2007</v>
      </c>
      <c r="E1818" s="110" t="s">
        <v>2023</v>
      </c>
      <c r="F1818" s="110" t="s">
        <v>117</v>
      </c>
      <c r="G1818" s="110" t="s">
        <v>125</v>
      </c>
      <c r="H1818" s="111">
        <v>193</v>
      </c>
      <c r="I1818" s="111">
        <v>159</v>
      </c>
      <c r="J1818" s="111">
        <v>186</v>
      </c>
      <c r="K1818" s="111">
        <f t="shared" si="255"/>
        <v>179.33333333333334</v>
      </c>
      <c r="L1818" s="111">
        <v>150000</v>
      </c>
      <c r="M1818" s="111">
        <f t="shared" si="256"/>
        <v>67500</v>
      </c>
      <c r="N1818" s="111">
        <f t="shared" si="257"/>
        <v>67500</v>
      </c>
      <c r="O1818" s="111">
        <f t="shared" si="258"/>
        <v>13500</v>
      </c>
      <c r="P1818" s="111">
        <f t="shared" si="259"/>
        <v>15000</v>
      </c>
      <c r="Q1818" s="111">
        <v>30000</v>
      </c>
      <c r="R1818" s="111">
        <v>3</v>
      </c>
      <c r="S1818" s="111">
        <f t="shared" si="260"/>
        <v>3000</v>
      </c>
      <c r="T1818" s="111">
        <f t="shared" si="261"/>
        <v>180000</v>
      </c>
      <c r="U1818" s="111">
        <f t="shared" si="262"/>
        <v>1800</v>
      </c>
      <c r="V1818" s="111">
        <f t="shared" si="263"/>
        <v>181800</v>
      </c>
      <c r="W1818" t="s">
        <v>4279</v>
      </c>
    </row>
    <row r="1819" spans="1:23" x14ac:dyDescent="0.3">
      <c r="A1819" s="110">
        <v>2300455</v>
      </c>
      <c r="B1819" s="110" t="s">
        <v>1997</v>
      </c>
      <c r="C1819" s="110" t="s">
        <v>2024</v>
      </c>
      <c r="D1819" s="110" t="s">
        <v>2024</v>
      </c>
      <c r="E1819" s="110" t="s">
        <v>2025</v>
      </c>
      <c r="F1819" s="110" t="s">
        <v>117</v>
      </c>
      <c r="G1819" s="110" t="s">
        <v>114</v>
      </c>
      <c r="H1819" s="111">
        <v>142</v>
      </c>
      <c r="I1819" s="111">
        <v>145</v>
      </c>
      <c r="J1819" s="111">
        <v>154</v>
      </c>
      <c r="K1819" s="111">
        <f t="shared" si="255"/>
        <v>147</v>
      </c>
      <c r="L1819" s="111">
        <v>150000</v>
      </c>
      <c r="M1819" s="111">
        <f t="shared" si="256"/>
        <v>67500</v>
      </c>
      <c r="N1819" s="111">
        <f t="shared" si="257"/>
        <v>67500</v>
      </c>
      <c r="O1819" s="111">
        <f t="shared" si="258"/>
        <v>13500</v>
      </c>
      <c r="P1819" s="111">
        <f t="shared" si="259"/>
        <v>15000</v>
      </c>
      <c r="Q1819" s="111">
        <v>30000</v>
      </c>
      <c r="R1819" s="111">
        <v>3</v>
      </c>
      <c r="S1819" s="111">
        <f t="shared" si="260"/>
        <v>3000</v>
      </c>
      <c r="T1819" s="111">
        <f t="shared" si="261"/>
        <v>180000</v>
      </c>
      <c r="U1819" s="111">
        <f t="shared" si="262"/>
        <v>1800</v>
      </c>
      <c r="V1819" s="111">
        <f t="shared" si="263"/>
        <v>181800</v>
      </c>
      <c r="W1819" t="s">
        <v>4280</v>
      </c>
    </row>
    <row r="1820" spans="1:23" x14ac:dyDescent="0.3">
      <c r="A1820" s="110">
        <v>2300505</v>
      </c>
      <c r="B1820" s="110" t="s">
        <v>1997</v>
      </c>
      <c r="C1820" s="110" t="s">
        <v>2002</v>
      </c>
      <c r="D1820" s="110" t="s">
        <v>2002</v>
      </c>
      <c r="E1820" s="110" t="s">
        <v>2026</v>
      </c>
      <c r="F1820" s="110" t="s">
        <v>117</v>
      </c>
      <c r="G1820" s="110" t="s">
        <v>125</v>
      </c>
      <c r="H1820" s="111">
        <v>282</v>
      </c>
      <c r="I1820" s="111">
        <v>310</v>
      </c>
      <c r="J1820" s="111">
        <v>379</v>
      </c>
      <c r="K1820" s="111">
        <f t="shared" si="255"/>
        <v>323.66666666666669</v>
      </c>
      <c r="L1820" s="111">
        <v>200000</v>
      </c>
      <c r="M1820" s="111">
        <f t="shared" si="256"/>
        <v>90000</v>
      </c>
      <c r="N1820" s="111">
        <f t="shared" si="257"/>
        <v>90000</v>
      </c>
      <c r="O1820" s="111">
        <f t="shared" si="258"/>
        <v>18000</v>
      </c>
      <c r="P1820" s="111">
        <f t="shared" si="259"/>
        <v>20000</v>
      </c>
      <c r="Q1820" s="111">
        <v>50000</v>
      </c>
      <c r="R1820" s="111">
        <v>5</v>
      </c>
      <c r="S1820" s="111">
        <f t="shared" si="260"/>
        <v>5000</v>
      </c>
      <c r="T1820" s="111">
        <f t="shared" si="261"/>
        <v>250000</v>
      </c>
      <c r="U1820" s="111">
        <f t="shared" si="262"/>
        <v>2500</v>
      </c>
      <c r="V1820" s="111">
        <f t="shared" si="263"/>
        <v>252500</v>
      </c>
      <c r="W1820" t="s">
        <v>4281</v>
      </c>
    </row>
    <row r="1821" spans="1:23" x14ac:dyDescent="0.3">
      <c r="A1821" s="110">
        <v>2301044</v>
      </c>
      <c r="B1821" s="110" t="s">
        <v>1997</v>
      </c>
      <c r="C1821" s="110" t="s">
        <v>2005</v>
      </c>
      <c r="D1821" s="110" t="s">
        <v>2005</v>
      </c>
      <c r="E1821" s="110" t="s">
        <v>2027</v>
      </c>
      <c r="F1821" s="110" t="s">
        <v>117</v>
      </c>
      <c r="G1821" s="110" t="s">
        <v>125</v>
      </c>
      <c r="H1821" s="111">
        <v>397</v>
      </c>
      <c r="I1821" s="111">
        <v>394</v>
      </c>
      <c r="J1821" s="111">
        <v>326</v>
      </c>
      <c r="K1821" s="111">
        <f t="shared" si="255"/>
        <v>372.33333333333331</v>
      </c>
      <c r="L1821" s="111">
        <v>200000</v>
      </c>
      <c r="M1821" s="111">
        <f t="shared" si="256"/>
        <v>90000</v>
      </c>
      <c r="N1821" s="111">
        <f t="shared" si="257"/>
        <v>90000</v>
      </c>
      <c r="O1821" s="111">
        <f t="shared" si="258"/>
        <v>18000</v>
      </c>
      <c r="P1821" s="111">
        <f t="shared" si="259"/>
        <v>20000</v>
      </c>
      <c r="Q1821" s="111">
        <v>50000</v>
      </c>
      <c r="R1821" s="111">
        <v>5</v>
      </c>
      <c r="S1821" s="111">
        <f t="shared" si="260"/>
        <v>5000</v>
      </c>
      <c r="T1821" s="111">
        <f t="shared" si="261"/>
        <v>250000</v>
      </c>
      <c r="U1821" s="111">
        <f t="shared" si="262"/>
        <v>2500</v>
      </c>
      <c r="V1821" s="111">
        <f t="shared" si="263"/>
        <v>252500</v>
      </c>
      <c r="W1821" t="s">
        <v>4282</v>
      </c>
    </row>
    <row r="1822" spans="1:23" x14ac:dyDescent="0.3">
      <c r="A1822" s="110">
        <v>2301045</v>
      </c>
      <c r="B1822" s="110" t="s">
        <v>1997</v>
      </c>
      <c r="C1822" s="110" t="s">
        <v>2005</v>
      </c>
      <c r="D1822" s="110" t="s">
        <v>2005</v>
      </c>
      <c r="E1822" s="110" t="s">
        <v>588</v>
      </c>
      <c r="F1822" s="110" t="s">
        <v>113</v>
      </c>
      <c r="G1822" s="110" t="s">
        <v>114</v>
      </c>
      <c r="H1822" s="111">
        <v>341</v>
      </c>
      <c r="I1822" s="111">
        <v>335</v>
      </c>
      <c r="J1822" s="111">
        <v>335</v>
      </c>
      <c r="K1822" s="111">
        <f t="shared" si="255"/>
        <v>337</v>
      </c>
      <c r="L1822" s="111">
        <v>200000</v>
      </c>
      <c r="M1822" s="111">
        <f t="shared" si="256"/>
        <v>90000</v>
      </c>
      <c r="N1822" s="111">
        <f t="shared" si="257"/>
        <v>90000</v>
      </c>
      <c r="O1822" s="111">
        <f t="shared" si="258"/>
        <v>18000</v>
      </c>
      <c r="P1822" s="111">
        <f t="shared" si="259"/>
        <v>20000</v>
      </c>
      <c r="Q1822" s="111">
        <v>50000</v>
      </c>
      <c r="R1822" s="111">
        <v>5</v>
      </c>
      <c r="S1822" s="111">
        <f t="shared" si="260"/>
        <v>5000</v>
      </c>
      <c r="T1822" s="111">
        <f t="shared" si="261"/>
        <v>250000</v>
      </c>
      <c r="U1822" s="111">
        <f t="shared" si="262"/>
        <v>2500</v>
      </c>
      <c r="V1822" s="111">
        <f t="shared" si="263"/>
        <v>252500</v>
      </c>
      <c r="W1822" t="s">
        <v>4283</v>
      </c>
    </row>
    <row r="1823" spans="1:23" x14ac:dyDescent="0.3">
      <c r="A1823" s="110">
        <v>2301881</v>
      </c>
      <c r="B1823" s="110" t="s">
        <v>1997</v>
      </c>
      <c r="C1823" s="110" t="s">
        <v>2002</v>
      </c>
      <c r="D1823" s="110" t="s">
        <v>2002</v>
      </c>
      <c r="E1823" s="110" t="s">
        <v>201</v>
      </c>
      <c r="F1823" s="110" t="s">
        <v>113</v>
      </c>
      <c r="G1823" s="110" t="s">
        <v>114</v>
      </c>
      <c r="H1823" s="111">
        <v>276</v>
      </c>
      <c r="I1823" s="111">
        <v>292</v>
      </c>
      <c r="J1823" s="111">
        <v>289</v>
      </c>
      <c r="K1823" s="111">
        <f t="shared" si="255"/>
        <v>285.66666666666669</v>
      </c>
      <c r="L1823" s="111">
        <v>200000</v>
      </c>
      <c r="M1823" s="111">
        <f t="shared" si="256"/>
        <v>90000</v>
      </c>
      <c r="N1823" s="111">
        <f t="shared" si="257"/>
        <v>90000</v>
      </c>
      <c r="O1823" s="111">
        <f t="shared" si="258"/>
        <v>18000</v>
      </c>
      <c r="P1823" s="111">
        <f t="shared" si="259"/>
        <v>20000</v>
      </c>
      <c r="Q1823" s="111">
        <v>50000</v>
      </c>
      <c r="R1823" s="111">
        <v>5</v>
      </c>
      <c r="S1823" s="111">
        <f t="shared" si="260"/>
        <v>5000</v>
      </c>
      <c r="T1823" s="111">
        <f t="shared" si="261"/>
        <v>250000</v>
      </c>
      <c r="U1823" s="111">
        <f t="shared" si="262"/>
        <v>2500</v>
      </c>
      <c r="V1823" s="111">
        <f t="shared" si="263"/>
        <v>252500</v>
      </c>
      <c r="W1823" t="s">
        <v>4284</v>
      </c>
    </row>
    <row r="1824" spans="1:23" x14ac:dyDescent="0.3">
      <c r="A1824" s="110">
        <v>2302003</v>
      </c>
      <c r="B1824" s="110" t="s">
        <v>1997</v>
      </c>
      <c r="C1824" s="110" t="s">
        <v>2000</v>
      </c>
      <c r="D1824" s="110" t="s">
        <v>1150</v>
      </c>
      <c r="E1824" s="110" t="s">
        <v>319</v>
      </c>
      <c r="F1824" s="110" t="s">
        <v>113</v>
      </c>
      <c r="G1824" s="110" t="s">
        <v>114</v>
      </c>
      <c r="H1824" s="111">
        <v>66</v>
      </c>
      <c r="I1824" s="111">
        <v>58</v>
      </c>
      <c r="J1824" s="111">
        <v>68</v>
      </c>
      <c r="K1824" s="111">
        <f t="shared" si="255"/>
        <v>64</v>
      </c>
      <c r="L1824" s="111">
        <v>150000</v>
      </c>
      <c r="M1824" s="111">
        <f t="shared" si="256"/>
        <v>67500</v>
      </c>
      <c r="N1824" s="111">
        <f t="shared" si="257"/>
        <v>67500</v>
      </c>
      <c r="O1824" s="111">
        <f t="shared" si="258"/>
        <v>13500</v>
      </c>
      <c r="P1824" s="111">
        <f t="shared" si="259"/>
        <v>15000</v>
      </c>
      <c r="Q1824" s="111">
        <v>30000</v>
      </c>
      <c r="R1824" s="111">
        <v>3</v>
      </c>
      <c r="S1824" s="111">
        <f t="shared" si="260"/>
        <v>3000</v>
      </c>
      <c r="T1824" s="111">
        <f t="shared" si="261"/>
        <v>180000</v>
      </c>
      <c r="U1824" s="111">
        <f t="shared" si="262"/>
        <v>1800</v>
      </c>
      <c r="V1824" s="111">
        <f t="shared" si="263"/>
        <v>181800</v>
      </c>
      <c r="W1824" t="s">
        <v>4285</v>
      </c>
    </row>
    <row r="1825" spans="1:23" x14ac:dyDescent="0.3">
      <c r="A1825" s="110">
        <v>2302142</v>
      </c>
      <c r="B1825" s="110" t="s">
        <v>1997</v>
      </c>
      <c r="C1825" s="110" t="s">
        <v>1998</v>
      </c>
      <c r="D1825" s="110" t="s">
        <v>2028</v>
      </c>
      <c r="E1825" s="110" t="s">
        <v>390</v>
      </c>
      <c r="F1825" s="110" t="s">
        <v>113</v>
      </c>
      <c r="G1825" s="110" t="s">
        <v>114</v>
      </c>
      <c r="H1825" s="111">
        <v>128</v>
      </c>
      <c r="I1825" s="111">
        <v>127</v>
      </c>
      <c r="J1825" s="111">
        <v>121</v>
      </c>
      <c r="K1825" s="111">
        <f t="shared" si="255"/>
        <v>125.33333333333333</v>
      </c>
      <c r="L1825" s="111">
        <v>150000</v>
      </c>
      <c r="M1825" s="111">
        <f t="shared" si="256"/>
        <v>67500</v>
      </c>
      <c r="N1825" s="111">
        <f t="shared" si="257"/>
        <v>67500</v>
      </c>
      <c r="O1825" s="111">
        <f t="shared" si="258"/>
        <v>13500</v>
      </c>
      <c r="P1825" s="111">
        <f t="shared" si="259"/>
        <v>15000</v>
      </c>
      <c r="Q1825" s="111">
        <v>30000</v>
      </c>
      <c r="R1825" s="111">
        <v>3</v>
      </c>
      <c r="S1825" s="111">
        <f t="shared" si="260"/>
        <v>3000</v>
      </c>
      <c r="T1825" s="111">
        <f t="shared" si="261"/>
        <v>180000</v>
      </c>
      <c r="U1825" s="111">
        <f t="shared" si="262"/>
        <v>1800</v>
      </c>
      <c r="V1825" s="111">
        <f t="shared" si="263"/>
        <v>181800</v>
      </c>
      <c r="W1825" t="s">
        <v>4286</v>
      </c>
    </row>
    <row r="1826" spans="1:23" x14ac:dyDescent="0.3">
      <c r="A1826" s="110">
        <v>2302504</v>
      </c>
      <c r="B1826" s="110" t="s">
        <v>1997</v>
      </c>
      <c r="C1826" s="110" t="s">
        <v>2007</v>
      </c>
      <c r="D1826" s="110" t="s">
        <v>2007</v>
      </c>
      <c r="E1826" s="110" t="s">
        <v>2029</v>
      </c>
      <c r="F1826" s="110" t="s">
        <v>117</v>
      </c>
      <c r="G1826" s="110" t="s">
        <v>125</v>
      </c>
      <c r="H1826" s="111">
        <v>201</v>
      </c>
      <c r="I1826" s="111">
        <v>227</v>
      </c>
      <c r="J1826" s="111">
        <v>246</v>
      </c>
      <c r="K1826" s="111">
        <f t="shared" si="255"/>
        <v>224.66666666666666</v>
      </c>
      <c r="L1826" s="111">
        <v>200000</v>
      </c>
      <c r="M1826" s="111">
        <f t="shared" si="256"/>
        <v>90000</v>
      </c>
      <c r="N1826" s="111">
        <f t="shared" si="257"/>
        <v>90000</v>
      </c>
      <c r="O1826" s="111">
        <f t="shared" si="258"/>
        <v>18000</v>
      </c>
      <c r="P1826" s="111">
        <f t="shared" si="259"/>
        <v>20000</v>
      </c>
      <c r="Q1826" s="111">
        <v>50000</v>
      </c>
      <c r="R1826" s="111">
        <v>5</v>
      </c>
      <c r="S1826" s="111">
        <f t="shared" si="260"/>
        <v>5000</v>
      </c>
      <c r="T1826" s="111">
        <f t="shared" si="261"/>
        <v>250000</v>
      </c>
      <c r="U1826" s="111">
        <f t="shared" si="262"/>
        <v>2500</v>
      </c>
      <c r="V1826" s="111">
        <f t="shared" si="263"/>
        <v>252500</v>
      </c>
      <c r="W1826" t="s">
        <v>4287</v>
      </c>
    </row>
    <row r="1827" spans="1:23" x14ac:dyDescent="0.3">
      <c r="A1827" s="110">
        <v>2303022</v>
      </c>
      <c r="B1827" s="110" t="s">
        <v>1997</v>
      </c>
      <c r="C1827" s="110" t="s">
        <v>2000</v>
      </c>
      <c r="D1827" s="110" t="s">
        <v>2000</v>
      </c>
      <c r="E1827" s="110" t="s">
        <v>2030</v>
      </c>
      <c r="F1827" s="110" t="s">
        <v>117</v>
      </c>
      <c r="G1827" s="110" t="s">
        <v>125</v>
      </c>
      <c r="H1827" s="111">
        <v>487</v>
      </c>
      <c r="I1827" s="111">
        <v>451</v>
      </c>
      <c r="J1827" s="111">
        <v>505</v>
      </c>
      <c r="K1827" s="111">
        <f t="shared" si="255"/>
        <v>481</v>
      </c>
      <c r="L1827" s="111">
        <f>300000*0.7</f>
        <v>210000</v>
      </c>
      <c r="M1827" s="111">
        <f t="shared" si="256"/>
        <v>94500</v>
      </c>
      <c r="N1827" s="111">
        <f t="shared" si="257"/>
        <v>94500</v>
      </c>
      <c r="O1827" s="111">
        <f t="shared" si="258"/>
        <v>18900</v>
      </c>
      <c r="P1827" s="111">
        <f t="shared" si="259"/>
        <v>21000</v>
      </c>
      <c r="Q1827" s="111">
        <v>60000</v>
      </c>
      <c r="R1827" s="111">
        <v>6</v>
      </c>
      <c r="S1827" s="111">
        <f t="shared" si="260"/>
        <v>6000</v>
      </c>
      <c r="T1827" s="111">
        <f t="shared" si="261"/>
        <v>270000</v>
      </c>
      <c r="U1827" s="111">
        <f t="shared" si="262"/>
        <v>2700</v>
      </c>
      <c r="V1827" s="111">
        <f t="shared" si="263"/>
        <v>272700</v>
      </c>
      <c r="W1827" t="s">
        <v>4288</v>
      </c>
    </row>
    <row r="1828" spans="1:23" x14ac:dyDescent="0.3">
      <c r="A1828" s="110">
        <v>2303106</v>
      </c>
      <c r="B1828" s="110" t="s">
        <v>1997</v>
      </c>
      <c r="C1828" s="110" t="s">
        <v>2002</v>
      </c>
      <c r="D1828" s="110" t="s">
        <v>2002</v>
      </c>
      <c r="E1828" s="110" t="s">
        <v>746</v>
      </c>
      <c r="F1828" s="110" t="s">
        <v>119</v>
      </c>
      <c r="G1828" s="110" t="s">
        <v>114</v>
      </c>
      <c r="H1828" s="111">
        <v>463</v>
      </c>
      <c r="I1828" s="111">
        <v>464</v>
      </c>
      <c r="J1828" s="111">
        <v>482</v>
      </c>
      <c r="K1828" s="111">
        <f t="shared" si="255"/>
        <v>469.66666666666669</v>
      </c>
      <c r="L1828" s="111">
        <f>300000</f>
        <v>300000</v>
      </c>
      <c r="M1828" s="111">
        <f t="shared" si="256"/>
        <v>135000</v>
      </c>
      <c r="N1828" s="111">
        <f t="shared" si="257"/>
        <v>135000</v>
      </c>
      <c r="O1828" s="111">
        <f t="shared" si="258"/>
        <v>27000</v>
      </c>
      <c r="P1828" s="111">
        <f t="shared" si="259"/>
        <v>30000</v>
      </c>
      <c r="Q1828" s="111">
        <v>60000</v>
      </c>
      <c r="R1828" s="111">
        <v>6</v>
      </c>
      <c r="S1828" s="111">
        <f t="shared" si="260"/>
        <v>6000</v>
      </c>
      <c r="T1828" s="111">
        <f t="shared" si="261"/>
        <v>360000</v>
      </c>
      <c r="U1828" s="111">
        <f t="shared" si="262"/>
        <v>3600</v>
      </c>
      <c r="V1828" s="111">
        <f t="shared" si="263"/>
        <v>363600</v>
      </c>
      <c r="W1828" t="s">
        <v>4289</v>
      </c>
    </row>
    <row r="1829" spans="1:23" x14ac:dyDescent="0.3">
      <c r="A1829" s="110">
        <v>2303456</v>
      </c>
      <c r="B1829" s="110" t="s">
        <v>1997</v>
      </c>
      <c r="C1829" s="110" t="s">
        <v>2014</v>
      </c>
      <c r="D1829" s="110" t="s">
        <v>2031</v>
      </c>
      <c r="E1829" s="110" t="s">
        <v>184</v>
      </c>
      <c r="F1829" s="110" t="s">
        <v>113</v>
      </c>
      <c r="G1829" s="110" t="s">
        <v>114</v>
      </c>
      <c r="H1829" s="111">
        <v>120</v>
      </c>
      <c r="I1829" s="111">
        <v>139</v>
      </c>
      <c r="J1829" s="111">
        <v>149</v>
      </c>
      <c r="K1829" s="111">
        <f t="shared" si="255"/>
        <v>136</v>
      </c>
      <c r="L1829" s="111">
        <v>150000</v>
      </c>
      <c r="M1829" s="111">
        <f t="shared" si="256"/>
        <v>67500</v>
      </c>
      <c r="N1829" s="111">
        <f t="shared" si="257"/>
        <v>67500</v>
      </c>
      <c r="O1829" s="111">
        <f t="shared" si="258"/>
        <v>13500</v>
      </c>
      <c r="P1829" s="111">
        <f t="shared" si="259"/>
        <v>15000</v>
      </c>
      <c r="Q1829" s="111">
        <v>30000</v>
      </c>
      <c r="R1829" s="111">
        <v>3</v>
      </c>
      <c r="S1829" s="111">
        <f t="shared" si="260"/>
        <v>3000</v>
      </c>
      <c r="T1829" s="111">
        <f t="shared" si="261"/>
        <v>180000</v>
      </c>
      <c r="U1829" s="111">
        <f t="shared" si="262"/>
        <v>1800</v>
      </c>
      <c r="V1829" s="111">
        <f t="shared" si="263"/>
        <v>181800</v>
      </c>
      <c r="W1829" t="s">
        <v>4290</v>
      </c>
    </row>
    <row r="1830" spans="1:23" x14ac:dyDescent="0.3">
      <c r="A1830" s="110">
        <v>2303490</v>
      </c>
      <c r="B1830" s="110" t="s">
        <v>1997</v>
      </c>
      <c r="C1830" s="110" t="s">
        <v>2032</v>
      </c>
      <c r="D1830" s="110" t="s">
        <v>2032</v>
      </c>
      <c r="E1830" s="110" t="s">
        <v>546</v>
      </c>
      <c r="F1830" s="110" t="s">
        <v>119</v>
      </c>
      <c r="G1830" s="110" t="s">
        <v>114</v>
      </c>
      <c r="H1830" s="111">
        <v>554</v>
      </c>
      <c r="I1830" s="111">
        <v>558</v>
      </c>
      <c r="J1830" s="111">
        <v>527</v>
      </c>
      <c r="K1830" s="111">
        <f t="shared" si="255"/>
        <v>546.33333333333337</v>
      </c>
      <c r="L1830" s="111">
        <f>300000*0.7</f>
        <v>210000</v>
      </c>
      <c r="M1830" s="111">
        <f t="shared" si="256"/>
        <v>94500</v>
      </c>
      <c r="N1830" s="111">
        <f t="shared" si="257"/>
        <v>94500</v>
      </c>
      <c r="O1830" s="111">
        <f t="shared" si="258"/>
        <v>18900</v>
      </c>
      <c r="P1830" s="111">
        <f t="shared" si="259"/>
        <v>21000</v>
      </c>
      <c r="Q1830" s="111">
        <v>60000</v>
      </c>
      <c r="R1830" s="111">
        <v>6</v>
      </c>
      <c r="S1830" s="111">
        <f t="shared" si="260"/>
        <v>6000</v>
      </c>
      <c r="T1830" s="111">
        <f t="shared" si="261"/>
        <v>270000</v>
      </c>
      <c r="U1830" s="111">
        <f t="shared" si="262"/>
        <v>2700</v>
      </c>
      <c r="V1830" s="111">
        <f t="shared" si="263"/>
        <v>272700</v>
      </c>
      <c r="W1830" t="s">
        <v>4291</v>
      </c>
    </row>
    <row r="1831" spans="1:23" x14ac:dyDescent="0.3">
      <c r="A1831" s="110">
        <v>2303582</v>
      </c>
      <c r="B1831" s="110" t="s">
        <v>1997</v>
      </c>
      <c r="C1831" s="110" t="s">
        <v>2033</v>
      </c>
      <c r="D1831" s="110" t="s">
        <v>2033</v>
      </c>
      <c r="E1831" s="110" t="s">
        <v>2034</v>
      </c>
      <c r="F1831" s="110" t="s">
        <v>117</v>
      </c>
      <c r="G1831" s="110" t="s">
        <v>114</v>
      </c>
      <c r="H1831" s="111">
        <v>121</v>
      </c>
      <c r="I1831" s="111">
        <v>113</v>
      </c>
      <c r="J1831" s="111">
        <v>137</v>
      </c>
      <c r="K1831" s="111">
        <f t="shared" si="255"/>
        <v>123.66666666666667</v>
      </c>
      <c r="L1831" s="111">
        <v>150000</v>
      </c>
      <c r="M1831" s="111">
        <f t="shared" si="256"/>
        <v>67500</v>
      </c>
      <c r="N1831" s="111">
        <f t="shared" si="257"/>
        <v>67500</v>
      </c>
      <c r="O1831" s="111">
        <f t="shared" si="258"/>
        <v>13500</v>
      </c>
      <c r="P1831" s="111">
        <f t="shared" si="259"/>
        <v>15000</v>
      </c>
      <c r="Q1831" s="111">
        <v>30000</v>
      </c>
      <c r="R1831" s="111">
        <v>3</v>
      </c>
      <c r="S1831" s="111">
        <f t="shared" si="260"/>
        <v>3000</v>
      </c>
      <c r="T1831" s="111">
        <f t="shared" si="261"/>
        <v>180000</v>
      </c>
      <c r="U1831" s="111">
        <f t="shared" si="262"/>
        <v>1800</v>
      </c>
      <c r="V1831" s="111">
        <f t="shared" si="263"/>
        <v>181800</v>
      </c>
      <c r="W1831" t="s">
        <v>4292</v>
      </c>
    </row>
    <row r="1832" spans="1:23" x14ac:dyDescent="0.3">
      <c r="A1832" s="110">
        <v>2303825</v>
      </c>
      <c r="B1832" s="110" t="s">
        <v>1997</v>
      </c>
      <c r="C1832" s="110" t="s">
        <v>2002</v>
      </c>
      <c r="D1832" s="110" t="s">
        <v>2002</v>
      </c>
      <c r="E1832" s="110" t="s">
        <v>980</v>
      </c>
      <c r="F1832" s="110" t="s">
        <v>168</v>
      </c>
      <c r="G1832" s="110" t="s">
        <v>114</v>
      </c>
      <c r="H1832" s="111">
        <v>871</v>
      </c>
      <c r="I1832" s="111">
        <v>889</v>
      </c>
      <c r="J1832" s="111">
        <v>873</v>
      </c>
      <c r="K1832" s="111">
        <f t="shared" si="255"/>
        <v>877.66666666666663</v>
      </c>
      <c r="L1832" s="111">
        <f>300000</f>
        <v>300000</v>
      </c>
      <c r="M1832" s="111">
        <f t="shared" si="256"/>
        <v>135000</v>
      </c>
      <c r="N1832" s="111">
        <f t="shared" si="257"/>
        <v>135000</v>
      </c>
      <c r="O1832" s="111">
        <f t="shared" si="258"/>
        <v>27000</v>
      </c>
      <c r="P1832" s="111">
        <f t="shared" si="259"/>
        <v>30000</v>
      </c>
      <c r="Q1832" s="111">
        <v>60000</v>
      </c>
      <c r="R1832" s="111">
        <v>6</v>
      </c>
      <c r="S1832" s="111">
        <f t="shared" si="260"/>
        <v>6000</v>
      </c>
      <c r="T1832" s="111">
        <f t="shared" si="261"/>
        <v>360000</v>
      </c>
      <c r="U1832" s="111">
        <f t="shared" si="262"/>
        <v>3600</v>
      </c>
      <c r="V1832" s="111">
        <f t="shared" si="263"/>
        <v>363600</v>
      </c>
      <c r="W1832" t="s">
        <v>4293</v>
      </c>
    </row>
    <row r="1833" spans="1:23" x14ac:dyDescent="0.3">
      <c r="A1833" s="110">
        <v>2304051</v>
      </c>
      <c r="B1833" s="110" t="s">
        <v>1997</v>
      </c>
      <c r="C1833" s="110" t="s">
        <v>2000</v>
      </c>
      <c r="D1833" s="110" t="s">
        <v>2000</v>
      </c>
      <c r="E1833" s="110" t="s">
        <v>709</v>
      </c>
      <c r="F1833" s="110" t="s">
        <v>209</v>
      </c>
      <c r="G1833" s="110" t="s">
        <v>114</v>
      </c>
      <c r="H1833" s="111">
        <v>37</v>
      </c>
      <c r="I1833" s="111">
        <v>32</v>
      </c>
      <c r="J1833" s="111">
        <v>36</v>
      </c>
      <c r="K1833" s="111">
        <f t="shared" si="255"/>
        <v>35</v>
      </c>
      <c r="L1833" s="111">
        <v>50000</v>
      </c>
      <c r="M1833" s="111">
        <f t="shared" si="256"/>
        <v>22500</v>
      </c>
      <c r="N1833" s="111">
        <f t="shared" si="257"/>
        <v>22500</v>
      </c>
      <c r="O1833" s="111">
        <f t="shared" si="258"/>
        <v>4500</v>
      </c>
      <c r="P1833" s="111">
        <f t="shared" si="259"/>
        <v>5000</v>
      </c>
      <c r="Q1833" s="111">
        <v>10000</v>
      </c>
      <c r="R1833" s="111">
        <v>1</v>
      </c>
      <c r="S1833" s="111">
        <f t="shared" si="260"/>
        <v>1000</v>
      </c>
      <c r="T1833" s="111">
        <f t="shared" si="261"/>
        <v>60000</v>
      </c>
      <c r="U1833" s="111">
        <f t="shared" si="262"/>
        <v>600</v>
      </c>
      <c r="V1833" s="111">
        <f t="shared" si="263"/>
        <v>60600</v>
      </c>
      <c r="W1833" t="s">
        <v>4294</v>
      </c>
    </row>
    <row r="1834" spans="1:23" x14ac:dyDescent="0.3">
      <c r="A1834" s="110">
        <v>2304101</v>
      </c>
      <c r="B1834" s="110" t="s">
        <v>1997</v>
      </c>
      <c r="C1834" s="110" t="s">
        <v>2013</v>
      </c>
      <c r="D1834" s="110" t="s">
        <v>2013</v>
      </c>
      <c r="E1834" s="110" t="s">
        <v>2035</v>
      </c>
      <c r="F1834" s="110" t="s">
        <v>113</v>
      </c>
      <c r="G1834" s="110" t="s">
        <v>114</v>
      </c>
      <c r="H1834" s="111">
        <v>239</v>
      </c>
      <c r="I1834" s="111">
        <v>252</v>
      </c>
      <c r="J1834" s="111">
        <v>258</v>
      </c>
      <c r="K1834" s="111">
        <f t="shared" si="255"/>
        <v>249.66666666666666</v>
      </c>
      <c r="L1834" s="111">
        <v>200000</v>
      </c>
      <c r="M1834" s="111">
        <f t="shared" si="256"/>
        <v>90000</v>
      </c>
      <c r="N1834" s="111">
        <f t="shared" si="257"/>
        <v>90000</v>
      </c>
      <c r="O1834" s="111">
        <f t="shared" si="258"/>
        <v>18000</v>
      </c>
      <c r="P1834" s="111">
        <f t="shared" si="259"/>
        <v>20000</v>
      </c>
      <c r="Q1834" s="111">
        <v>50000</v>
      </c>
      <c r="R1834" s="111">
        <v>5</v>
      </c>
      <c r="S1834" s="111">
        <f t="shared" si="260"/>
        <v>5000</v>
      </c>
      <c r="T1834" s="111">
        <f t="shared" si="261"/>
        <v>250000</v>
      </c>
      <c r="U1834" s="111">
        <f t="shared" si="262"/>
        <v>2500</v>
      </c>
      <c r="V1834" s="111">
        <f t="shared" si="263"/>
        <v>252500</v>
      </c>
      <c r="W1834" t="s">
        <v>4295</v>
      </c>
    </row>
    <row r="1835" spans="1:23" x14ac:dyDescent="0.3">
      <c r="A1835" s="110">
        <v>2304610</v>
      </c>
      <c r="B1835" s="110" t="s">
        <v>1997</v>
      </c>
      <c r="C1835" s="110" t="s">
        <v>2002</v>
      </c>
      <c r="D1835" s="110" t="s">
        <v>2002</v>
      </c>
      <c r="E1835" s="110" t="s">
        <v>2036</v>
      </c>
      <c r="F1835" s="110" t="s">
        <v>296</v>
      </c>
      <c r="G1835" s="110" t="s">
        <v>114</v>
      </c>
      <c r="H1835" s="111">
        <v>164</v>
      </c>
      <c r="I1835" s="111">
        <v>163</v>
      </c>
      <c r="J1835" s="111">
        <v>173</v>
      </c>
      <c r="K1835" s="111">
        <f t="shared" si="255"/>
        <v>166.66666666666666</v>
      </c>
      <c r="L1835" s="111">
        <v>150000</v>
      </c>
      <c r="M1835" s="111">
        <f t="shared" si="256"/>
        <v>67500</v>
      </c>
      <c r="N1835" s="111">
        <f t="shared" si="257"/>
        <v>67500</v>
      </c>
      <c r="O1835" s="111">
        <f t="shared" si="258"/>
        <v>13500</v>
      </c>
      <c r="P1835" s="111">
        <f t="shared" si="259"/>
        <v>15000</v>
      </c>
      <c r="Q1835" s="111">
        <v>30000</v>
      </c>
      <c r="R1835" s="111">
        <v>3</v>
      </c>
      <c r="S1835" s="111">
        <f t="shared" si="260"/>
        <v>3000</v>
      </c>
      <c r="T1835" s="111">
        <f t="shared" si="261"/>
        <v>180000</v>
      </c>
      <c r="U1835" s="111">
        <f t="shared" si="262"/>
        <v>1800</v>
      </c>
      <c r="V1835" s="111">
        <f t="shared" si="263"/>
        <v>181800</v>
      </c>
      <c r="W1835" t="s">
        <v>4296</v>
      </c>
    </row>
    <row r="1836" spans="1:23" x14ac:dyDescent="0.3">
      <c r="A1836" s="110">
        <v>2304717</v>
      </c>
      <c r="B1836" s="110" t="s">
        <v>1997</v>
      </c>
      <c r="C1836" s="110" t="s">
        <v>2032</v>
      </c>
      <c r="D1836" s="110" t="s">
        <v>2032</v>
      </c>
      <c r="E1836" s="110" t="s">
        <v>2037</v>
      </c>
      <c r="F1836" s="110" t="s">
        <v>117</v>
      </c>
      <c r="G1836" s="110" t="s">
        <v>114</v>
      </c>
      <c r="H1836" s="111">
        <v>177</v>
      </c>
      <c r="I1836" s="111">
        <v>201</v>
      </c>
      <c r="J1836" s="111">
        <v>218</v>
      </c>
      <c r="K1836" s="111">
        <f t="shared" si="255"/>
        <v>198.66666666666666</v>
      </c>
      <c r="L1836" s="111">
        <f>150000*0.7</f>
        <v>105000</v>
      </c>
      <c r="M1836" s="111">
        <f t="shared" si="256"/>
        <v>47250</v>
      </c>
      <c r="N1836" s="111">
        <f t="shared" si="257"/>
        <v>47250</v>
      </c>
      <c r="O1836" s="111">
        <f t="shared" si="258"/>
        <v>9450</v>
      </c>
      <c r="P1836" s="111">
        <f t="shared" si="259"/>
        <v>10500</v>
      </c>
      <c r="Q1836" s="111">
        <v>30000</v>
      </c>
      <c r="R1836" s="111">
        <v>3</v>
      </c>
      <c r="S1836" s="111">
        <f t="shared" si="260"/>
        <v>3000</v>
      </c>
      <c r="T1836" s="111">
        <f t="shared" si="261"/>
        <v>135000</v>
      </c>
      <c r="U1836" s="111">
        <f t="shared" si="262"/>
        <v>1350</v>
      </c>
      <c r="V1836" s="111">
        <f t="shared" si="263"/>
        <v>136350</v>
      </c>
      <c r="W1836" t="s">
        <v>4297</v>
      </c>
    </row>
    <row r="1837" spans="1:23" x14ac:dyDescent="0.3">
      <c r="A1837" s="110">
        <v>2304763</v>
      </c>
      <c r="B1837" s="110" t="s">
        <v>1997</v>
      </c>
      <c r="C1837" s="110" t="s">
        <v>2032</v>
      </c>
      <c r="D1837" s="110" t="s">
        <v>2032</v>
      </c>
      <c r="E1837" s="110" t="s">
        <v>2038</v>
      </c>
      <c r="F1837" s="110" t="s">
        <v>113</v>
      </c>
      <c r="G1837" s="110" t="s">
        <v>114</v>
      </c>
      <c r="H1837" s="111">
        <v>163</v>
      </c>
      <c r="I1837" s="111">
        <v>180</v>
      </c>
      <c r="J1837" s="111">
        <v>153</v>
      </c>
      <c r="K1837" s="111">
        <f t="shared" si="255"/>
        <v>165.33333333333334</v>
      </c>
      <c r="L1837" s="111">
        <v>150000</v>
      </c>
      <c r="M1837" s="111">
        <f t="shared" si="256"/>
        <v>67500</v>
      </c>
      <c r="N1837" s="111">
        <f t="shared" si="257"/>
        <v>67500</v>
      </c>
      <c r="O1837" s="111">
        <f t="shared" si="258"/>
        <v>13500</v>
      </c>
      <c r="P1837" s="111">
        <f t="shared" si="259"/>
        <v>15000</v>
      </c>
      <c r="Q1837" s="111">
        <v>30000</v>
      </c>
      <c r="R1837" s="111">
        <v>3</v>
      </c>
      <c r="S1837" s="111">
        <f t="shared" si="260"/>
        <v>3000</v>
      </c>
      <c r="T1837" s="111">
        <f t="shared" si="261"/>
        <v>180000</v>
      </c>
      <c r="U1837" s="111">
        <f t="shared" si="262"/>
        <v>1800</v>
      </c>
      <c r="V1837" s="111">
        <f t="shared" si="263"/>
        <v>181800</v>
      </c>
      <c r="W1837" t="s">
        <v>4298</v>
      </c>
    </row>
    <row r="1838" spans="1:23" x14ac:dyDescent="0.3">
      <c r="A1838" s="110">
        <v>2304770</v>
      </c>
      <c r="B1838" s="110" t="s">
        <v>1997</v>
      </c>
      <c r="C1838" s="110" t="s">
        <v>2039</v>
      </c>
      <c r="D1838" s="110" t="s">
        <v>2039</v>
      </c>
      <c r="E1838" s="110" t="s">
        <v>2040</v>
      </c>
      <c r="F1838" s="110" t="s">
        <v>122</v>
      </c>
      <c r="G1838" s="110" t="s">
        <v>114</v>
      </c>
      <c r="H1838" s="111">
        <v>349</v>
      </c>
      <c r="I1838" s="111">
        <v>365</v>
      </c>
      <c r="J1838" s="111">
        <v>383</v>
      </c>
      <c r="K1838" s="111">
        <f t="shared" si="255"/>
        <v>365.66666666666669</v>
      </c>
      <c r="L1838" s="111">
        <v>200000</v>
      </c>
      <c r="M1838" s="111">
        <f t="shared" si="256"/>
        <v>90000</v>
      </c>
      <c r="N1838" s="111">
        <f t="shared" si="257"/>
        <v>90000</v>
      </c>
      <c r="O1838" s="111">
        <f t="shared" si="258"/>
        <v>18000</v>
      </c>
      <c r="P1838" s="111">
        <f t="shared" si="259"/>
        <v>20000</v>
      </c>
      <c r="Q1838" s="111">
        <v>50000</v>
      </c>
      <c r="R1838" s="111">
        <v>5</v>
      </c>
      <c r="S1838" s="111">
        <f t="shared" si="260"/>
        <v>5000</v>
      </c>
      <c r="T1838" s="111">
        <f t="shared" si="261"/>
        <v>250000</v>
      </c>
      <c r="U1838" s="111">
        <f t="shared" si="262"/>
        <v>2500</v>
      </c>
      <c r="V1838" s="111">
        <f t="shared" si="263"/>
        <v>252500</v>
      </c>
      <c r="W1838" t="s">
        <v>4299</v>
      </c>
    </row>
    <row r="1839" spans="1:23" x14ac:dyDescent="0.3">
      <c r="A1839" s="110">
        <v>2306213</v>
      </c>
      <c r="B1839" s="110" t="s">
        <v>1997</v>
      </c>
      <c r="C1839" s="110" t="s">
        <v>2033</v>
      </c>
      <c r="D1839" s="110" t="s">
        <v>2033</v>
      </c>
      <c r="E1839" s="110" t="s">
        <v>245</v>
      </c>
      <c r="F1839" s="110" t="s">
        <v>119</v>
      </c>
      <c r="G1839" s="110" t="s">
        <v>114</v>
      </c>
      <c r="H1839" s="111">
        <v>400</v>
      </c>
      <c r="I1839" s="111">
        <v>411</v>
      </c>
      <c r="J1839" s="111">
        <v>405</v>
      </c>
      <c r="K1839" s="111">
        <f t="shared" si="255"/>
        <v>405.33333333333331</v>
      </c>
      <c r="L1839" s="111">
        <f>300000</f>
        <v>300000</v>
      </c>
      <c r="M1839" s="111">
        <f t="shared" si="256"/>
        <v>135000</v>
      </c>
      <c r="N1839" s="111">
        <f t="shared" si="257"/>
        <v>135000</v>
      </c>
      <c r="O1839" s="111">
        <f t="shared" si="258"/>
        <v>27000</v>
      </c>
      <c r="P1839" s="111">
        <f t="shared" si="259"/>
        <v>30000</v>
      </c>
      <c r="Q1839" s="111">
        <v>60000</v>
      </c>
      <c r="R1839" s="111">
        <v>6</v>
      </c>
      <c r="S1839" s="111">
        <f t="shared" si="260"/>
        <v>6000</v>
      </c>
      <c r="T1839" s="111">
        <f t="shared" si="261"/>
        <v>360000</v>
      </c>
      <c r="U1839" s="111">
        <f t="shared" si="262"/>
        <v>3600</v>
      </c>
      <c r="V1839" s="111">
        <f t="shared" si="263"/>
        <v>363600</v>
      </c>
      <c r="W1839" t="s">
        <v>4300</v>
      </c>
    </row>
    <row r="1840" spans="1:23" x14ac:dyDescent="0.3">
      <c r="A1840" s="110">
        <v>2306331</v>
      </c>
      <c r="B1840" s="110" t="s">
        <v>1997</v>
      </c>
      <c r="C1840" s="110" t="s">
        <v>2041</v>
      </c>
      <c r="D1840" s="110" t="s">
        <v>2041</v>
      </c>
      <c r="E1840" s="110" t="s">
        <v>374</v>
      </c>
      <c r="F1840" s="110" t="s">
        <v>119</v>
      </c>
      <c r="G1840" s="110" t="s">
        <v>114</v>
      </c>
      <c r="H1840" s="111">
        <v>318</v>
      </c>
      <c r="I1840" s="111">
        <v>299</v>
      </c>
      <c r="J1840" s="111">
        <v>305</v>
      </c>
      <c r="K1840" s="111">
        <f t="shared" si="255"/>
        <v>307.33333333333331</v>
      </c>
      <c r="L1840" s="111">
        <v>200000</v>
      </c>
      <c r="M1840" s="111">
        <f t="shared" si="256"/>
        <v>90000</v>
      </c>
      <c r="N1840" s="111">
        <f t="shared" si="257"/>
        <v>90000</v>
      </c>
      <c r="O1840" s="111">
        <f t="shared" si="258"/>
        <v>18000</v>
      </c>
      <c r="P1840" s="111">
        <f t="shared" si="259"/>
        <v>20000</v>
      </c>
      <c r="Q1840" s="111">
        <v>50000</v>
      </c>
      <c r="R1840" s="111">
        <v>5</v>
      </c>
      <c r="S1840" s="111">
        <f t="shared" si="260"/>
        <v>5000</v>
      </c>
      <c r="T1840" s="111">
        <f t="shared" si="261"/>
        <v>250000</v>
      </c>
      <c r="U1840" s="111">
        <f t="shared" si="262"/>
        <v>2500</v>
      </c>
      <c r="V1840" s="111">
        <f t="shared" si="263"/>
        <v>252500</v>
      </c>
      <c r="W1840" t="s">
        <v>4301</v>
      </c>
    </row>
    <row r="1841" spans="1:23" x14ac:dyDescent="0.3">
      <c r="A1841" s="110">
        <v>2306477</v>
      </c>
      <c r="B1841" s="110" t="s">
        <v>1997</v>
      </c>
      <c r="C1841" s="110" t="s">
        <v>2012</v>
      </c>
      <c r="D1841" s="110" t="s">
        <v>2012</v>
      </c>
      <c r="E1841" s="110" t="s">
        <v>540</v>
      </c>
      <c r="F1841" s="110" t="s">
        <v>209</v>
      </c>
      <c r="G1841" s="110" t="s">
        <v>114</v>
      </c>
      <c r="H1841" s="111">
        <v>39</v>
      </c>
      <c r="I1841" s="111">
        <v>46</v>
      </c>
      <c r="J1841" s="111">
        <v>54</v>
      </c>
      <c r="K1841" s="111">
        <f t="shared" si="255"/>
        <v>46.333333333333336</v>
      </c>
      <c r="L1841" s="111">
        <v>50000</v>
      </c>
      <c r="M1841" s="111">
        <f t="shared" si="256"/>
        <v>22500</v>
      </c>
      <c r="N1841" s="111">
        <f t="shared" si="257"/>
        <v>22500</v>
      </c>
      <c r="O1841" s="111">
        <f t="shared" si="258"/>
        <v>4500</v>
      </c>
      <c r="P1841" s="111">
        <f t="shared" si="259"/>
        <v>5000</v>
      </c>
      <c r="Q1841" s="111">
        <v>10000</v>
      </c>
      <c r="R1841" s="111">
        <v>1</v>
      </c>
      <c r="S1841" s="111">
        <f t="shared" si="260"/>
        <v>1000</v>
      </c>
      <c r="T1841" s="111">
        <f t="shared" si="261"/>
        <v>60000</v>
      </c>
      <c r="U1841" s="111">
        <f t="shared" si="262"/>
        <v>600</v>
      </c>
      <c r="V1841" s="111">
        <f t="shared" si="263"/>
        <v>60600</v>
      </c>
      <c r="W1841" t="s">
        <v>4302</v>
      </c>
    </row>
    <row r="1842" spans="1:23" x14ac:dyDescent="0.3">
      <c r="A1842" s="110">
        <v>2306517</v>
      </c>
      <c r="B1842" s="110" t="s">
        <v>1997</v>
      </c>
      <c r="C1842" s="110" t="s">
        <v>2024</v>
      </c>
      <c r="D1842" s="110" t="s">
        <v>2024</v>
      </c>
      <c r="E1842" s="110" t="s">
        <v>2042</v>
      </c>
      <c r="F1842" s="110" t="s">
        <v>119</v>
      </c>
      <c r="G1842" s="110" t="s">
        <v>114</v>
      </c>
      <c r="H1842" s="111">
        <v>507</v>
      </c>
      <c r="I1842" s="111">
        <v>519</v>
      </c>
      <c r="J1842" s="111">
        <v>513</v>
      </c>
      <c r="K1842" s="111">
        <f t="shared" si="255"/>
        <v>513</v>
      </c>
      <c r="L1842" s="111">
        <f>300000</f>
        <v>300000</v>
      </c>
      <c r="M1842" s="111">
        <f t="shared" si="256"/>
        <v>135000</v>
      </c>
      <c r="N1842" s="111">
        <f t="shared" si="257"/>
        <v>135000</v>
      </c>
      <c r="O1842" s="111">
        <f t="shared" si="258"/>
        <v>27000</v>
      </c>
      <c r="P1842" s="111">
        <f t="shared" si="259"/>
        <v>30000</v>
      </c>
      <c r="Q1842" s="111">
        <v>60000</v>
      </c>
      <c r="R1842" s="111">
        <v>6</v>
      </c>
      <c r="S1842" s="111">
        <f t="shared" si="260"/>
        <v>6000</v>
      </c>
      <c r="T1842" s="111">
        <f t="shared" si="261"/>
        <v>360000</v>
      </c>
      <c r="U1842" s="111">
        <f t="shared" si="262"/>
        <v>3600</v>
      </c>
      <c r="V1842" s="111">
        <f t="shared" si="263"/>
        <v>363600</v>
      </c>
      <c r="W1842" t="s">
        <v>4303</v>
      </c>
    </row>
    <row r="1843" spans="1:23" x14ac:dyDescent="0.3">
      <c r="A1843" s="110">
        <v>2306518</v>
      </c>
      <c r="B1843" s="110" t="s">
        <v>1997</v>
      </c>
      <c r="C1843" s="110" t="s">
        <v>2024</v>
      </c>
      <c r="D1843" s="110" t="s">
        <v>2043</v>
      </c>
      <c r="E1843" s="110" t="s">
        <v>2044</v>
      </c>
      <c r="F1843" s="110" t="s">
        <v>168</v>
      </c>
      <c r="G1843" s="110" t="s">
        <v>114</v>
      </c>
      <c r="H1843" s="111">
        <v>98</v>
      </c>
      <c r="I1843" s="111">
        <v>114</v>
      </c>
      <c r="J1843" s="111">
        <v>115</v>
      </c>
      <c r="K1843" s="111">
        <f t="shared" si="255"/>
        <v>109</v>
      </c>
      <c r="L1843" s="111">
        <v>150000</v>
      </c>
      <c r="M1843" s="111">
        <f t="shared" si="256"/>
        <v>67500</v>
      </c>
      <c r="N1843" s="111">
        <f t="shared" si="257"/>
        <v>67500</v>
      </c>
      <c r="O1843" s="111">
        <f t="shared" si="258"/>
        <v>13500</v>
      </c>
      <c r="P1843" s="111">
        <f t="shared" si="259"/>
        <v>15000</v>
      </c>
      <c r="Q1843" s="111">
        <v>30000</v>
      </c>
      <c r="R1843" s="111">
        <v>3</v>
      </c>
      <c r="S1843" s="111">
        <f t="shared" si="260"/>
        <v>3000</v>
      </c>
      <c r="T1843" s="111">
        <f t="shared" si="261"/>
        <v>180000</v>
      </c>
      <c r="U1843" s="111">
        <f t="shared" si="262"/>
        <v>1800</v>
      </c>
      <c r="V1843" s="111">
        <f t="shared" si="263"/>
        <v>181800</v>
      </c>
      <c r="W1843" t="s">
        <v>4304</v>
      </c>
    </row>
    <row r="1844" spans="1:23" x14ac:dyDescent="0.3">
      <c r="A1844" s="110">
        <v>2307223</v>
      </c>
      <c r="B1844" s="110" t="s">
        <v>1997</v>
      </c>
      <c r="C1844" s="110" t="s">
        <v>2045</v>
      </c>
      <c r="D1844" s="110" t="s">
        <v>2045</v>
      </c>
      <c r="E1844" s="110" t="s">
        <v>201</v>
      </c>
      <c r="F1844" s="110" t="s">
        <v>113</v>
      </c>
      <c r="G1844" s="110" t="s">
        <v>114</v>
      </c>
      <c r="H1844" s="111">
        <v>172</v>
      </c>
      <c r="I1844" s="111">
        <v>184</v>
      </c>
      <c r="J1844" s="111">
        <v>198</v>
      </c>
      <c r="K1844" s="111">
        <f t="shared" si="255"/>
        <v>184.66666666666666</v>
      </c>
      <c r="L1844" s="111">
        <v>150000</v>
      </c>
      <c r="M1844" s="111">
        <f t="shared" si="256"/>
        <v>67500</v>
      </c>
      <c r="N1844" s="111">
        <f t="shared" si="257"/>
        <v>67500</v>
      </c>
      <c r="O1844" s="111">
        <f t="shared" si="258"/>
        <v>13500</v>
      </c>
      <c r="P1844" s="111">
        <f t="shared" si="259"/>
        <v>15000</v>
      </c>
      <c r="Q1844" s="111">
        <v>30000</v>
      </c>
      <c r="R1844" s="111">
        <v>3</v>
      </c>
      <c r="S1844" s="111">
        <f t="shared" si="260"/>
        <v>3000</v>
      </c>
      <c r="T1844" s="111">
        <f t="shared" si="261"/>
        <v>180000</v>
      </c>
      <c r="U1844" s="111">
        <f t="shared" si="262"/>
        <v>1800</v>
      </c>
      <c r="V1844" s="111">
        <f t="shared" si="263"/>
        <v>181800</v>
      </c>
      <c r="W1844" t="s">
        <v>4305</v>
      </c>
    </row>
    <row r="1845" spans="1:23" x14ac:dyDescent="0.3">
      <c r="A1845" s="110">
        <v>2307255</v>
      </c>
      <c r="B1845" s="110" t="s">
        <v>1997</v>
      </c>
      <c r="C1845" s="110" t="s">
        <v>2046</v>
      </c>
      <c r="D1845" s="110" t="s">
        <v>2046</v>
      </c>
      <c r="E1845" s="110" t="s">
        <v>588</v>
      </c>
      <c r="F1845" s="110" t="s">
        <v>113</v>
      </c>
      <c r="G1845" s="110" t="s">
        <v>114</v>
      </c>
      <c r="H1845" s="111">
        <v>69</v>
      </c>
      <c r="I1845" s="111">
        <v>67</v>
      </c>
      <c r="J1845" s="111">
        <v>71</v>
      </c>
      <c r="K1845" s="111">
        <f t="shared" si="255"/>
        <v>69</v>
      </c>
      <c r="L1845" s="111">
        <v>150000</v>
      </c>
      <c r="M1845" s="111">
        <f t="shared" si="256"/>
        <v>67500</v>
      </c>
      <c r="N1845" s="111">
        <f t="shared" si="257"/>
        <v>67500</v>
      </c>
      <c r="O1845" s="111">
        <f t="shared" si="258"/>
        <v>13500</v>
      </c>
      <c r="P1845" s="111">
        <f t="shared" si="259"/>
        <v>15000</v>
      </c>
      <c r="Q1845" s="111">
        <v>30000</v>
      </c>
      <c r="R1845" s="111">
        <v>3</v>
      </c>
      <c r="S1845" s="111">
        <f t="shared" si="260"/>
        <v>3000</v>
      </c>
      <c r="T1845" s="111">
        <f t="shared" si="261"/>
        <v>180000</v>
      </c>
      <c r="U1845" s="111">
        <f t="shared" si="262"/>
        <v>1800</v>
      </c>
      <c r="V1845" s="111">
        <f t="shared" si="263"/>
        <v>181800</v>
      </c>
      <c r="W1845" t="s">
        <v>4306</v>
      </c>
    </row>
    <row r="1846" spans="1:23" x14ac:dyDescent="0.3">
      <c r="A1846" s="110">
        <v>2307277</v>
      </c>
      <c r="B1846" s="110" t="s">
        <v>1997</v>
      </c>
      <c r="C1846" s="110" t="s">
        <v>2047</v>
      </c>
      <c r="D1846" s="110" t="s">
        <v>2047</v>
      </c>
      <c r="E1846" s="110" t="s">
        <v>313</v>
      </c>
      <c r="F1846" s="110" t="s">
        <v>113</v>
      </c>
      <c r="G1846" s="110" t="s">
        <v>114</v>
      </c>
      <c r="H1846" s="111">
        <v>110</v>
      </c>
      <c r="I1846" s="111">
        <v>104</v>
      </c>
      <c r="J1846" s="111">
        <v>94</v>
      </c>
      <c r="K1846" s="111">
        <f t="shared" si="255"/>
        <v>102.66666666666667</v>
      </c>
      <c r="L1846" s="111">
        <v>150000</v>
      </c>
      <c r="M1846" s="111">
        <f t="shared" si="256"/>
        <v>67500</v>
      </c>
      <c r="N1846" s="111">
        <f t="shared" si="257"/>
        <v>67500</v>
      </c>
      <c r="O1846" s="111">
        <f t="shared" si="258"/>
        <v>13500</v>
      </c>
      <c r="P1846" s="111">
        <f t="shared" si="259"/>
        <v>15000</v>
      </c>
      <c r="Q1846" s="111">
        <v>30000</v>
      </c>
      <c r="R1846" s="111">
        <v>3</v>
      </c>
      <c r="S1846" s="111">
        <f t="shared" si="260"/>
        <v>3000</v>
      </c>
      <c r="T1846" s="111">
        <f t="shared" si="261"/>
        <v>180000</v>
      </c>
      <c r="U1846" s="111">
        <f t="shared" si="262"/>
        <v>1800</v>
      </c>
      <c r="V1846" s="111">
        <f t="shared" si="263"/>
        <v>181800</v>
      </c>
      <c r="W1846" t="s">
        <v>4307</v>
      </c>
    </row>
    <row r="1847" spans="1:23" x14ac:dyDescent="0.3">
      <c r="A1847" s="110">
        <v>2307576</v>
      </c>
      <c r="B1847" s="110" t="s">
        <v>1997</v>
      </c>
      <c r="C1847" s="110" t="s">
        <v>2012</v>
      </c>
      <c r="D1847" s="110" t="s">
        <v>2012</v>
      </c>
      <c r="E1847" s="110" t="s">
        <v>646</v>
      </c>
      <c r="F1847" s="110" t="s">
        <v>209</v>
      </c>
      <c r="G1847" s="110" t="s">
        <v>114</v>
      </c>
      <c r="H1847" s="111">
        <v>306</v>
      </c>
      <c r="I1847" s="111">
        <v>308</v>
      </c>
      <c r="J1847" s="111">
        <v>302</v>
      </c>
      <c r="K1847" s="111">
        <f t="shared" si="255"/>
        <v>305.33333333333331</v>
      </c>
      <c r="L1847" s="111">
        <v>200000</v>
      </c>
      <c r="M1847" s="111">
        <f t="shared" si="256"/>
        <v>90000</v>
      </c>
      <c r="N1847" s="111">
        <f t="shared" si="257"/>
        <v>90000</v>
      </c>
      <c r="O1847" s="111">
        <f t="shared" si="258"/>
        <v>18000</v>
      </c>
      <c r="P1847" s="111">
        <f t="shared" si="259"/>
        <v>20000</v>
      </c>
      <c r="Q1847" s="111">
        <v>50000</v>
      </c>
      <c r="R1847" s="111">
        <v>5</v>
      </c>
      <c r="S1847" s="111">
        <f t="shared" si="260"/>
        <v>5000</v>
      </c>
      <c r="T1847" s="111">
        <f t="shared" si="261"/>
        <v>250000</v>
      </c>
      <c r="U1847" s="111">
        <f t="shared" si="262"/>
        <v>2500</v>
      </c>
      <c r="V1847" s="111">
        <f t="shared" si="263"/>
        <v>252500</v>
      </c>
      <c r="W1847" t="s">
        <v>4308</v>
      </c>
    </row>
    <row r="1848" spans="1:23" x14ac:dyDescent="0.3">
      <c r="A1848" s="110">
        <v>2308290</v>
      </c>
      <c r="B1848" s="110" t="s">
        <v>1997</v>
      </c>
      <c r="C1848" s="110" t="s">
        <v>1998</v>
      </c>
      <c r="D1848" s="110" t="s">
        <v>1998</v>
      </c>
      <c r="E1848" s="110" t="s">
        <v>1062</v>
      </c>
      <c r="F1848" s="110" t="s">
        <v>113</v>
      </c>
      <c r="G1848" s="110" t="s">
        <v>114</v>
      </c>
      <c r="H1848" s="111">
        <v>129</v>
      </c>
      <c r="I1848" s="111">
        <v>123</v>
      </c>
      <c r="J1848" s="111">
        <v>117</v>
      </c>
      <c r="K1848" s="111">
        <f t="shared" si="255"/>
        <v>123</v>
      </c>
      <c r="L1848" s="111">
        <v>150000</v>
      </c>
      <c r="M1848" s="111">
        <f t="shared" si="256"/>
        <v>67500</v>
      </c>
      <c r="N1848" s="111">
        <f t="shared" si="257"/>
        <v>67500</v>
      </c>
      <c r="O1848" s="111">
        <f t="shared" si="258"/>
        <v>13500</v>
      </c>
      <c r="P1848" s="111">
        <f t="shared" si="259"/>
        <v>15000</v>
      </c>
      <c r="Q1848" s="111">
        <v>30000</v>
      </c>
      <c r="R1848" s="111">
        <v>3</v>
      </c>
      <c r="S1848" s="111">
        <f t="shared" si="260"/>
        <v>3000</v>
      </c>
      <c r="T1848" s="111">
        <f t="shared" si="261"/>
        <v>180000</v>
      </c>
      <c r="U1848" s="111">
        <f t="shared" si="262"/>
        <v>1800</v>
      </c>
      <c r="V1848" s="111">
        <f t="shared" si="263"/>
        <v>181800</v>
      </c>
      <c r="W1848" t="s">
        <v>4309</v>
      </c>
    </row>
    <row r="1849" spans="1:23" x14ac:dyDescent="0.3">
      <c r="A1849" s="110">
        <v>2308415</v>
      </c>
      <c r="B1849" s="110" t="s">
        <v>1997</v>
      </c>
      <c r="C1849" s="110" t="s">
        <v>2005</v>
      </c>
      <c r="D1849" s="110" t="s">
        <v>2048</v>
      </c>
      <c r="E1849" s="110" t="s">
        <v>319</v>
      </c>
      <c r="F1849" s="110" t="s">
        <v>113</v>
      </c>
      <c r="G1849" s="110" t="s">
        <v>114</v>
      </c>
      <c r="H1849" s="111">
        <v>138</v>
      </c>
      <c r="I1849" s="111">
        <v>135</v>
      </c>
      <c r="J1849" s="111">
        <v>148</v>
      </c>
      <c r="K1849" s="111">
        <f t="shared" si="255"/>
        <v>140.33333333333334</v>
      </c>
      <c r="L1849" s="111">
        <f>150000*0.7</f>
        <v>105000</v>
      </c>
      <c r="M1849" s="111">
        <f t="shared" si="256"/>
        <v>47250</v>
      </c>
      <c r="N1849" s="111">
        <f t="shared" si="257"/>
        <v>47250</v>
      </c>
      <c r="O1849" s="111">
        <f t="shared" si="258"/>
        <v>9450</v>
      </c>
      <c r="P1849" s="111">
        <f t="shared" si="259"/>
        <v>10500</v>
      </c>
      <c r="Q1849" s="111">
        <v>30000</v>
      </c>
      <c r="R1849" s="111">
        <v>3</v>
      </c>
      <c r="S1849" s="111">
        <f t="shared" si="260"/>
        <v>3000</v>
      </c>
      <c r="T1849" s="111">
        <f t="shared" si="261"/>
        <v>135000</v>
      </c>
      <c r="U1849" s="111">
        <f t="shared" si="262"/>
        <v>1350</v>
      </c>
      <c r="V1849" s="111">
        <f t="shared" si="263"/>
        <v>136350</v>
      </c>
      <c r="W1849" t="s">
        <v>4310</v>
      </c>
    </row>
    <row r="1850" spans="1:23" x14ac:dyDescent="0.3">
      <c r="A1850" s="110">
        <v>2308753</v>
      </c>
      <c r="B1850" s="110" t="s">
        <v>1997</v>
      </c>
      <c r="C1850" s="110" t="s">
        <v>2005</v>
      </c>
      <c r="D1850" s="110" t="s">
        <v>2005</v>
      </c>
      <c r="E1850" s="110" t="s">
        <v>319</v>
      </c>
      <c r="F1850" s="110" t="s">
        <v>113</v>
      </c>
      <c r="G1850" s="110" t="s">
        <v>114</v>
      </c>
      <c r="H1850" s="111">
        <v>279</v>
      </c>
      <c r="I1850" s="111">
        <v>280</v>
      </c>
      <c r="J1850" s="111">
        <v>259</v>
      </c>
      <c r="K1850" s="111">
        <f t="shared" si="255"/>
        <v>272.66666666666669</v>
      </c>
      <c r="L1850" s="111">
        <v>200000</v>
      </c>
      <c r="M1850" s="111">
        <f t="shared" si="256"/>
        <v>90000</v>
      </c>
      <c r="N1850" s="111">
        <f t="shared" si="257"/>
        <v>90000</v>
      </c>
      <c r="O1850" s="111">
        <f t="shared" si="258"/>
        <v>18000</v>
      </c>
      <c r="P1850" s="111">
        <f t="shared" si="259"/>
        <v>20000</v>
      </c>
      <c r="Q1850" s="111">
        <v>50000</v>
      </c>
      <c r="R1850" s="111">
        <v>5</v>
      </c>
      <c r="S1850" s="111">
        <f t="shared" si="260"/>
        <v>5000</v>
      </c>
      <c r="T1850" s="111">
        <f t="shared" si="261"/>
        <v>250000</v>
      </c>
      <c r="U1850" s="111">
        <f t="shared" si="262"/>
        <v>2500</v>
      </c>
      <c r="V1850" s="111">
        <f t="shared" si="263"/>
        <v>252500</v>
      </c>
      <c r="W1850" t="s">
        <v>4311</v>
      </c>
    </row>
    <row r="1851" spans="1:23" x14ac:dyDescent="0.3">
      <c r="A1851" s="110">
        <v>2308760</v>
      </c>
      <c r="B1851" s="110" t="s">
        <v>1997</v>
      </c>
      <c r="C1851" s="110" t="s">
        <v>2005</v>
      </c>
      <c r="D1851" s="110" t="s">
        <v>2005</v>
      </c>
      <c r="E1851" s="110" t="s">
        <v>1762</v>
      </c>
      <c r="F1851" s="110" t="s">
        <v>113</v>
      </c>
      <c r="G1851" s="110" t="s">
        <v>114</v>
      </c>
      <c r="H1851" s="111">
        <v>883</v>
      </c>
      <c r="I1851" s="111">
        <v>862</v>
      </c>
      <c r="J1851" s="111">
        <v>840</v>
      </c>
      <c r="K1851" s="111">
        <f t="shared" si="255"/>
        <v>861.66666666666663</v>
      </c>
      <c r="L1851" s="111">
        <f>300000*0.7</f>
        <v>210000</v>
      </c>
      <c r="M1851" s="111">
        <f t="shared" si="256"/>
        <v>94500</v>
      </c>
      <c r="N1851" s="111">
        <f t="shared" si="257"/>
        <v>94500</v>
      </c>
      <c r="O1851" s="111">
        <f t="shared" si="258"/>
        <v>18900</v>
      </c>
      <c r="P1851" s="111">
        <f t="shared" si="259"/>
        <v>21000</v>
      </c>
      <c r="Q1851" s="111">
        <v>60000</v>
      </c>
      <c r="R1851" s="111">
        <v>6</v>
      </c>
      <c r="S1851" s="111">
        <f t="shared" si="260"/>
        <v>6000</v>
      </c>
      <c r="T1851" s="111">
        <f t="shared" si="261"/>
        <v>270000</v>
      </c>
      <c r="U1851" s="111">
        <f t="shared" si="262"/>
        <v>2700</v>
      </c>
      <c r="V1851" s="111">
        <f t="shared" si="263"/>
        <v>272700</v>
      </c>
      <c r="W1851" t="s">
        <v>4312</v>
      </c>
    </row>
    <row r="1852" spans="1:23" x14ac:dyDescent="0.3">
      <c r="A1852" s="110">
        <v>2308778</v>
      </c>
      <c r="B1852" s="110" t="s">
        <v>1997</v>
      </c>
      <c r="C1852" s="110" t="s">
        <v>2012</v>
      </c>
      <c r="D1852" s="110" t="s">
        <v>2012</v>
      </c>
      <c r="E1852" s="110" t="s">
        <v>2049</v>
      </c>
      <c r="F1852" s="110" t="s">
        <v>113</v>
      </c>
      <c r="G1852" s="110" t="s">
        <v>114</v>
      </c>
      <c r="H1852" s="111">
        <v>104</v>
      </c>
      <c r="I1852" s="111">
        <v>88</v>
      </c>
      <c r="J1852" s="111">
        <v>102</v>
      </c>
      <c r="K1852" s="111">
        <f t="shared" si="255"/>
        <v>98</v>
      </c>
      <c r="L1852" s="111">
        <v>150000</v>
      </c>
      <c r="M1852" s="111">
        <f t="shared" si="256"/>
        <v>67500</v>
      </c>
      <c r="N1852" s="111">
        <f t="shared" si="257"/>
        <v>67500</v>
      </c>
      <c r="O1852" s="111">
        <f t="shared" si="258"/>
        <v>13500</v>
      </c>
      <c r="P1852" s="111">
        <f t="shared" si="259"/>
        <v>15000</v>
      </c>
      <c r="Q1852" s="111">
        <v>30000</v>
      </c>
      <c r="R1852" s="111">
        <v>3</v>
      </c>
      <c r="S1852" s="111">
        <f t="shared" si="260"/>
        <v>3000</v>
      </c>
      <c r="T1852" s="111">
        <f t="shared" si="261"/>
        <v>180000</v>
      </c>
      <c r="U1852" s="111">
        <f t="shared" si="262"/>
        <v>1800</v>
      </c>
      <c r="V1852" s="111">
        <f t="shared" si="263"/>
        <v>181800</v>
      </c>
      <c r="W1852" t="s">
        <v>4313</v>
      </c>
    </row>
    <row r="1853" spans="1:23" x14ac:dyDescent="0.3">
      <c r="A1853" s="110">
        <v>2308785</v>
      </c>
      <c r="B1853" s="110" t="s">
        <v>1997</v>
      </c>
      <c r="C1853" s="110" t="s">
        <v>2014</v>
      </c>
      <c r="D1853" s="110" t="s">
        <v>2014</v>
      </c>
      <c r="E1853" s="110" t="s">
        <v>184</v>
      </c>
      <c r="F1853" s="110" t="s">
        <v>113</v>
      </c>
      <c r="G1853" s="110" t="s">
        <v>114</v>
      </c>
      <c r="H1853" s="111">
        <v>102</v>
      </c>
      <c r="I1853" s="111">
        <v>108</v>
      </c>
      <c r="J1853" s="111">
        <v>95</v>
      </c>
      <c r="K1853" s="111">
        <f t="shared" si="255"/>
        <v>101.66666666666667</v>
      </c>
      <c r="L1853" s="111">
        <v>150000</v>
      </c>
      <c r="M1853" s="111">
        <f t="shared" si="256"/>
        <v>67500</v>
      </c>
      <c r="N1853" s="111">
        <f t="shared" si="257"/>
        <v>67500</v>
      </c>
      <c r="O1853" s="111">
        <f t="shared" si="258"/>
        <v>13500</v>
      </c>
      <c r="P1853" s="111">
        <f t="shared" si="259"/>
        <v>15000</v>
      </c>
      <c r="Q1853" s="111">
        <v>30000</v>
      </c>
      <c r="R1853" s="111">
        <v>3</v>
      </c>
      <c r="S1853" s="111">
        <f t="shared" si="260"/>
        <v>3000</v>
      </c>
      <c r="T1853" s="111">
        <f t="shared" si="261"/>
        <v>180000</v>
      </c>
      <c r="U1853" s="111">
        <f t="shared" si="262"/>
        <v>1800</v>
      </c>
      <c r="V1853" s="111">
        <f t="shared" si="263"/>
        <v>181800</v>
      </c>
      <c r="W1853" t="s">
        <v>4314</v>
      </c>
    </row>
    <row r="1854" spans="1:23" x14ac:dyDescent="0.3">
      <c r="A1854" s="110">
        <v>2308792</v>
      </c>
      <c r="B1854" s="110" t="s">
        <v>1997</v>
      </c>
      <c r="C1854" s="110" t="s">
        <v>2020</v>
      </c>
      <c r="D1854" s="110" t="s">
        <v>2020</v>
      </c>
      <c r="E1854" s="110" t="s">
        <v>2050</v>
      </c>
      <c r="F1854" s="110" t="s">
        <v>119</v>
      </c>
      <c r="G1854" s="110" t="s">
        <v>114</v>
      </c>
      <c r="H1854" s="111">
        <v>460</v>
      </c>
      <c r="I1854" s="111">
        <v>448</v>
      </c>
      <c r="J1854" s="111">
        <v>411</v>
      </c>
      <c r="K1854" s="111">
        <f t="shared" si="255"/>
        <v>439.66666666666669</v>
      </c>
      <c r="L1854" s="111">
        <f>300000*0.7</f>
        <v>210000</v>
      </c>
      <c r="M1854" s="111">
        <f t="shared" si="256"/>
        <v>94500</v>
      </c>
      <c r="N1854" s="111">
        <f t="shared" si="257"/>
        <v>94500</v>
      </c>
      <c r="O1854" s="111">
        <f t="shared" si="258"/>
        <v>18900</v>
      </c>
      <c r="P1854" s="111">
        <f t="shared" si="259"/>
        <v>21000</v>
      </c>
      <c r="Q1854" s="111">
        <v>60000</v>
      </c>
      <c r="R1854" s="111">
        <v>6</v>
      </c>
      <c r="S1854" s="111">
        <f t="shared" si="260"/>
        <v>6000</v>
      </c>
      <c r="T1854" s="111">
        <f t="shared" si="261"/>
        <v>270000</v>
      </c>
      <c r="U1854" s="111">
        <f t="shared" si="262"/>
        <v>2700</v>
      </c>
      <c r="V1854" s="111">
        <f t="shared" si="263"/>
        <v>272700</v>
      </c>
      <c r="W1854" t="s">
        <v>4315</v>
      </c>
    </row>
    <row r="1855" spans="1:23" x14ac:dyDescent="0.3">
      <c r="A1855" s="110">
        <v>2308810</v>
      </c>
      <c r="B1855" s="110" t="s">
        <v>1997</v>
      </c>
      <c r="C1855" s="110" t="s">
        <v>2013</v>
      </c>
      <c r="D1855" s="110" t="s">
        <v>2013</v>
      </c>
      <c r="E1855" s="110" t="s">
        <v>588</v>
      </c>
      <c r="F1855" s="110" t="s">
        <v>113</v>
      </c>
      <c r="G1855" s="110" t="s">
        <v>114</v>
      </c>
      <c r="H1855" s="111">
        <v>656</v>
      </c>
      <c r="I1855" s="111">
        <v>665</v>
      </c>
      <c r="J1855" s="111">
        <v>699</v>
      </c>
      <c r="K1855" s="111">
        <f t="shared" si="255"/>
        <v>673.33333333333337</v>
      </c>
      <c r="L1855" s="111">
        <f>300000</f>
        <v>300000</v>
      </c>
      <c r="M1855" s="111">
        <f t="shared" si="256"/>
        <v>135000</v>
      </c>
      <c r="N1855" s="111">
        <f t="shared" si="257"/>
        <v>135000</v>
      </c>
      <c r="O1855" s="111">
        <f t="shared" si="258"/>
        <v>27000</v>
      </c>
      <c r="P1855" s="111">
        <f t="shared" si="259"/>
        <v>30000</v>
      </c>
      <c r="Q1855" s="111">
        <v>60000</v>
      </c>
      <c r="R1855" s="111">
        <v>6</v>
      </c>
      <c r="S1855" s="111">
        <f t="shared" si="260"/>
        <v>6000</v>
      </c>
      <c r="T1855" s="111">
        <f t="shared" si="261"/>
        <v>360000</v>
      </c>
      <c r="U1855" s="111">
        <f t="shared" si="262"/>
        <v>3600</v>
      </c>
      <c r="V1855" s="111">
        <f t="shared" si="263"/>
        <v>363600</v>
      </c>
      <c r="W1855" t="s">
        <v>4316</v>
      </c>
    </row>
    <row r="1856" spans="1:23" x14ac:dyDescent="0.3">
      <c r="A1856" s="110">
        <v>2308828</v>
      </c>
      <c r="B1856" s="110" t="s">
        <v>1997</v>
      </c>
      <c r="C1856" s="110" t="s">
        <v>2000</v>
      </c>
      <c r="D1856" s="110" t="s">
        <v>2051</v>
      </c>
      <c r="E1856" s="110" t="s">
        <v>458</v>
      </c>
      <c r="F1856" s="110" t="s">
        <v>113</v>
      </c>
      <c r="G1856" s="110" t="s">
        <v>114</v>
      </c>
      <c r="H1856" s="111">
        <v>66</v>
      </c>
      <c r="I1856" s="111">
        <v>61</v>
      </c>
      <c r="J1856" s="111">
        <v>63</v>
      </c>
      <c r="K1856" s="111">
        <f t="shared" si="255"/>
        <v>63.333333333333336</v>
      </c>
      <c r="L1856" s="111">
        <v>150000</v>
      </c>
      <c r="M1856" s="111">
        <f t="shared" si="256"/>
        <v>67500</v>
      </c>
      <c r="N1856" s="111">
        <f t="shared" si="257"/>
        <v>67500</v>
      </c>
      <c r="O1856" s="111">
        <f t="shared" si="258"/>
        <v>13500</v>
      </c>
      <c r="P1856" s="111">
        <f t="shared" si="259"/>
        <v>15000</v>
      </c>
      <c r="Q1856" s="111">
        <v>30000</v>
      </c>
      <c r="R1856" s="111">
        <v>3</v>
      </c>
      <c r="S1856" s="111">
        <f t="shared" si="260"/>
        <v>3000</v>
      </c>
      <c r="T1856" s="111">
        <f t="shared" si="261"/>
        <v>180000</v>
      </c>
      <c r="U1856" s="111">
        <f t="shared" si="262"/>
        <v>1800</v>
      </c>
      <c r="V1856" s="111">
        <f t="shared" si="263"/>
        <v>181800</v>
      </c>
      <c r="W1856" t="s">
        <v>4317</v>
      </c>
    </row>
    <row r="1857" spans="1:23" x14ac:dyDescent="0.3">
      <c r="A1857" s="110">
        <v>2308850</v>
      </c>
      <c r="B1857" s="110" t="s">
        <v>1997</v>
      </c>
      <c r="C1857" s="110" t="s">
        <v>2007</v>
      </c>
      <c r="D1857" s="110" t="s">
        <v>2007</v>
      </c>
      <c r="E1857" s="110" t="s">
        <v>2052</v>
      </c>
      <c r="F1857" s="110" t="s">
        <v>209</v>
      </c>
      <c r="G1857" s="110" t="s">
        <v>114</v>
      </c>
      <c r="H1857" s="111">
        <v>239</v>
      </c>
      <c r="I1857" s="111">
        <v>240</v>
      </c>
      <c r="J1857" s="111">
        <v>229</v>
      </c>
      <c r="K1857" s="111">
        <f t="shared" si="255"/>
        <v>236</v>
      </c>
      <c r="L1857" s="111">
        <v>200000</v>
      </c>
      <c r="M1857" s="111">
        <f t="shared" si="256"/>
        <v>90000</v>
      </c>
      <c r="N1857" s="111">
        <f t="shared" si="257"/>
        <v>90000</v>
      </c>
      <c r="O1857" s="111">
        <f t="shared" si="258"/>
        <v>18000</v>
      </c>
      <c r="P1857" s="111">
        <f t="shared" si="259"/>
        <v>20000</v>
      </c>
      <c r="Q1857" s="111">
        <v>50000</v>
      </c>
      <c r="R1857" s="111">
        <v>5</v>
      </c>
      <c r="S1857" s="111">
        <f t="shared" si="260"/>
        <v>5000</v>
      </c>
      <c r="T1857" s="111">
        <f t="shared" si="261"/>
        <v>250000</v>
      </c>
      <c r="U1857" s="111">
        <f t="shared" si="262"/>
        <v>2500</v>
      </c>
      <c r="V1857" s="111">
        <f t="shared" si="263"/>
        <v>252500</v>
      </c>
      <c r="W1857" t="s">
        <v>4318</v>
      </c>
    </row>
    <row r="1858" spans="1:23" x14ac:dyDescent="0.3">
      <c r="A1858" s="110">
        <v>2308867</v>
      </c>
      <c r="B1858" s="110" t="s">
        <v>1997</v>
      </c>
      <c r="C1858" s="110" t="s">
        <v>2000</v>
      </c>
      <c r="D1858" s="110" t="s">
        <v>2000</v>
      </c>
      <c r="E1858" s="110" t="s">
        <v>137</v>
      </c>
      <c r="F1858" s="110" t="s">
        <v>119</v>
      </c>
      <c r="G1858" s="110" t="s">
        <v>114</v>
      </c>
      <c r="H1858" s="111">
        <v>572</v>
      </c>
      <c r="I1858" s="111">
        <v>561</v>
      </c>
      <c r="J1858" s="111">
        <v>530</v>
      </c>
      <c r="K1858" s="111">
        <f t="shared" ref="K1858:K1921" si="264">+(H1858+I1858+J1858)/3</f>
        <v>554.33333333333337</v>
      </c>
      <c r="L1858" s="111">
        <f>300000</f>
        <v>300000</v>
      </c>
      <c r="M1858" s="111">
        <f t="shared" ref="M1858:M1921" si="265">+L1858*0.45</f>
        <v>135000</v>
      </c>
      <c r="N1858" s="111">
        <f t="shared" ref="N1858:N1921" si="266">+L1858*0.45</f>
        <v>135000</v>
      </c>
      <c r="O1858" s="111">
        <f t="shared" ref="O1858:O1921" si="267">+N1858*0.2</f>
        <v>27000</v>
      </c>
      <c r="P1858" s="111">
        <f t="shared" ref="P1858:P1921" si="268">++L1858*0.1</f>
        <v>30000</v>
      </c>
      <c r="Q1858" s="111">
        <v>60000</v>
      </c>
      <c r="R1858" s="111">
        <v>6</v>
      </c>
      <c r="S1858" s="111">
        <f t="shared" ref="S1858:S1921" si="269">+Q1858*0.1</f>
        <v>6000</v>
      </c>
      <c r="T1858" s="111">
        <f t="shared" ref="T1858:T1921" si="270">+L1858+Q1858</f>
        <v>360000</v>
      </c>
      <c r="U1858" s="111">
        <f t="shared" ref="U1858:U1921" si="271">+T1858*0.01</f>
        <v>3600</v>
      </c>
      <c r="V1858" s="111">
        <f t="shared" ref="V1858:V1921" si="272">+T1858+U1858</f>
        <v>363600</v>
      </c>
      <c r="W1858" t="s">
        <v>4319</v>
      </c>
    </row>
    <row r="1859" spans="1:23" x14ac:dyDescent="0.3">
      <c r="A1859" s="110">
        <v>2308899</v>
      </c>
      <c r="B1859" s="110" t="s">
        <v>1997</v>
      </c>
      <c r="C1859" s="110" t="s">
        <v>2002</v>
      </c>
      <c r="D1859" s="110" t="s">
        <v>2002</v>
      </c>
      <c r="E1859" s="110" t="s">
        <v>2053</v>
      </c>
      <c r="F1859" s="110" t="s">
        <v>209</v>
      </c>
      <c r="G1859" s="110" t="s">
        <v>114</v>
      </c>
      <c r="H1859" s="111">
        <v>317</v>
      </c>
      <c r="I1859" s="111">
        <v>293</v>
      </c>
      <c r="J1859" s="111">
        <v>287</v>
      </c>
      <c r="K1859" s="111">
        <f t="shared" si="264"/>
        <v>299</v>
      </c>
      <c r="L1859" s="111">
        <v>200000</v>
      </c>
      <c r="M1859" s="111">
        <f t="shared" si="265"/>
        <v>90000</v>
      </c>
      <c r="N1859" s="111">
        <f t="shared" si="266"/>
        <v>90000</v>
      </c>
      <c r="O1859" s="111">
        <f t="shared" si="267"/>
        <v>18000</v>
      </c>
      <c r="P1859" s="111">
        <f t="shared" si="268"/>
        <v>20000</v>
      </c>
      <c r="Q1859" s="111">
        <v>50000</v>
      </c>
      <c r="R1859" s="111">
        <v>5</v>
      </c>
      <c r="S1859" s="111">
        <f t="shared" si="269"/>
        <v>5000</v>
      </c>
      <c r="T1859" s="111">
        <f t="shared" si="270"/>
        <v>250000</v>
      </c>
      <c r="U1859" s="111">
        <f t="shared" si="271"/>
        <v>2500</v>
      </c>
      <c r="V1859" s="111">
        <f t="shared" si="272"/>
        <v>252500</v>
      </c>
      <c r="W1859" t="s">
        <v>4320</v>
      </c>
    </row>
    <row r="1860" spans="1:23" x14ac:dyDescent="0.3">
      <c r="A1860" s="110">
        <v>2308917</v>
      </c>
      <c r="B1860" s="110" t="s">
        <v>1997</v>
      </c>
      <c r="C1860" s="110" t="s">
        <v>2002</v>
      </c>
      <c r="D1860" s="110" t="s">
        <v>2002</v>
      </c>
      <c r="E1860" s="110" t="s">
        <v>2054</v>
      </c>
      <c r="F1860" s="110" t="s">
        <v>113</v>
      </c>
      <c r="G1860" s="110" t="s">
        <v>114</v>
      </c>
      <c r="H1860" s="111">
        <v>408</v>
      </c>
      <c r="I1860" s="111">
        <v>390</v>
      </c>
      <c r="J1860" s="111">
        <v>343</v>
      </c>
      <c r="K1860" s="111">
        <f t="shared" si="264"/>
        <v>380.33333333333331</v>
      </c>
      <c r="L1860" s="111">
        <f>200000*0.7</f>
        <v>140000</v>
      </c>
      <c r="M1860" s="111">
        <f t="shared" si="265"/>
        <v>63000</v>
      </c>
      <c r="N1860" s="111">
        <f t="shared" si="266"/>
        <v>63000</v>
      </c>
      <c r="O1860" s="111">
        <f t="shared" si="267"/>
        <v>12600</v>
      </c>
      <c r="P1860" s="111">
        <f t="shared" si="268"/>
        <v>14000</v>
      </c>
      <c r="Q1860" s="111">
        <v>50000</v>
      </c>
      <c r="R1860" s="111">
        <v>5</v>
      </c>
      <c r="S1860" s="111">
        <f t="shared" si="269"/>
        <v>5000</v>
      </c>
      <c r="T1860" s="111">
        <f t="shared" si="270"/>
        <v>190000</v>
      </c>
      <c r="U1860" s="111">
        <f t="shared" si="271"/>
        <v>1900</v>
      </c>
      <c r="V1860" s="111">
        <f t="shared" si="272"/>
        <v>191900</v>
      </c>
      <c r="W1860" t="s">
        <v>4321</v>
      </c>
    </row>
    <row r="1861" spans="1:23" x14ac:dyDescent="0.3">
      <c r="A1861" s="110">
        <v>2308924</v>
      </c>
      <c r="B1861" s="110" t="s">
        <v>1997</v>
      </c>
      <c r="C1861" s="110" t="s">
        <v>2002</v>
      </c>
      <c r="D1861" s="110" t="s">
        <v>2002</v>
      </c>
      <c r="E1861" s="110" t="s">
        <v>2055</v>
      </c>
      <c r="F1861" s="110" t="s">
        <v>113</v>
      </c>
      <c r="G1861" s="110" t="s">
        <v>114</v>
      </c>
      <c r="H1861" s="111">
        <v>140</v>
      </c>
      <c r="I1861" s="111">
        <v>134</v>
      </c>
      <c r="J1861" s="111">
        <v>137</v>
      </c>
      <c r="K1861" s="111">
        <f t="shared" si="264"/>
        <v>137</v>
      </c>
      <c r="L1861" s="111">
        <f>150000*0.7</f>
        <v>105000</v>
      </c>
      <c r="M1861" s="111">
        <f t="shared" si="265"/>
        <v>47250</v>
      </c>
      <c r="N1861" s="111">
        <f t="shared" si="266"/>
        <v>47250</v>
      </c>
      <c r="O1861" s="111">
        <f t="shared" si="267"/>
        <v>9450</v>
      </c>
      <c r="P1861" s="111">
        <f t="shared" si="268"/>
        <v>10500</v>
      </c>
      <c r="Q1861" s="111">
        <v>30000</v>
      </c>
      <c r="R1861" s="111">
        <v>3</v>
      </c>
      <c r="S1861" s="111">
        <f t="shared" si="269"/>
        <v>3000</v>
      </c>
      <c r="T1861" s="111">
        <f t="shared" si="270"/>
        <v>135000</v>
      </c>
      <c r="U1861" s="111">
        <f t="shared" si="271"/>
        <v>1350</v>
      </c>
      <c r="V1861" s="111">
        <f t="shared" si="272"/>
        <v>136350</v>
      </c>
      <c r="W1861" t="s">
        <v>4322</v>
      </c>
    </row>
    <row r="1862" spans="1:23" x14ac:dyDescent="0.3">
      <c r="A1862" s="110">
        <v>2308970</v>
      </c>
      <c r="B1862" s="110" t="s">
        <v>1997</v>
      </c>
      <c r="C1862" s="110" t="s">
        <v>2056</v>
      </c>
      <c r="D1862" s="110" t="s">
        <v>2056</v>
      </c>
      <c r="E1862" s="110" t="s">
        <v>2057</v>
      </c>
      <c r="F1862" s="110" t="s">
        <v>119</v>
      </c>
      <c r="G1862" s="110" t="s">
        <v>114</v>
      </c>
      <c r="H1862" s="111">
        <v>656</v>
      </c>
      <c r="I1862" s="111">
        <v>681</v>
      </c>
      <c r="J1862" s="111">
        <v>704</v>
      </c>
      <c r="K1862" s="111">
        <f t="shared" si="264"/>
        <v>680.33333333333337</v>
      </c>
      <c r="L1862" s="111">
        <f>300000</f>
        <v>300000</v>
      </c>
      <c r="M1862" s="111">
        <f t="shared" si="265"/>
        <v>135000</v>
      </c>
      <c r="N1862" s="111">
        <f t="shared" si="266"/>
        <v>135000</v>
      </c>
      <c r="O1862" s="111">
        <f t="shared" si="267"/>
        <v>27000</v>
      </c>
      <c r="P1862" s="111">
        <f t="shared" si="268"/>
        <v>30000</v>
      </c>
      <c r="Q1862" s="111">
        <v>60000</v>
      </c>
      <c r="R1862" s="111">
        <v>6</v>
      </c>
      <c r="S1862" s="111">
        <f t="shared" si="269"/>
        <v>6000</v>
      </c>
      <c r="T1862" s="111">
        <f t="shared" si="270"/>
        <v>360000</v>
      </c>
      <c r="U1862" s="111">
        <f t="shared" si="271"/>
        <v>3600</v>
      </c>
      <c r="V1862" s="111">
        <f t="shared" si="272"/>
        <v>363600</v>
      </c>
      <c r="W1862" t="s">
        <v>4323</v>
      </c>
    </row>
    <row r="1863" spans="1:23" x14ac:dyDescent="0.3">
      <c r="A1863" s="110">
        <v>2308988</v>
      </c>
      <c r="B1863" s="110" t="s">
        <v>1997</v>
      </c>
      <c r="C1863" s="110" t="s">
        <v>2056</v>
      </c>
      <c r="D1863" s="110" t="s">
        <v>2058</v>
      </c>
      <c r="E1863" s="110" t="s">
        <v>588</v>
      </c>
      <c r="F1863" s="110" t="s">
        <v>113</v>
      </c>
      <c r="G1863" s="110" t="s">
        <v>114</v>
      </c>
      <c r="H1863" s="111">
        <v>35</v>
      </c>
      <c r="I1863" s="111">
        <v>38</v>
      </c>
      <c r="J1863" s="111">
        <v>40</v>
      </c>
      <c r="K1863" s="111">
        <f t="shared" si="264"/>
        <v>37.666666666666664</v>
      </c>
      <c r="L1863" s="111">
        <v>50000</v>
      </c>
      <c r="M1863" s="111">
        <f t="shared" si="265"/>
        <v>22500</v>
      </c>
      <c r="N1863" s="111">
        <f t="shared" si="266"/>
        <v>22500</v>
      </c>
      <c r="O1863" s="111">
        <f t="shared" si="267"/>
        <v>4500</v>
      </c>
      <c r="P1863" s="111">
        <f t="shared" si="268"/>
        <v>5000</v>
      </c>
      <c r="Q1863" s="111">
        <v>10000</v>
      </c>
      <c r="R1863" s="111">
        <v>1</v>
      </c>
      <c r="S1863" s="111">
        <f t="shared" si="269"/>
        <v>1000</v>
      </c>
      <c r="T1863" s="111">
        <f t="shared" si="270"/>
        <v>60000</v>
      </c>
      <c r="U1863" s="111">
        <f t="shared" si="271"/>
        <v>600</v>
      </c>
      <c r="V1863" s="111">
        <f t="shared" si="272"/>
        <v>60600</v>
      </c>
      <c r="W1863" t="s">
        <v>4324</v>
      </c>
    </row>
    <row r="1864" spans="1:23" x14ac:dyDescent="0.3">
      <c r="A1864" s="110">
        <v>2309015</v>
      </c>
      <c r="B1864" s="110" t="s">
        <v>1997</v>
      </c>
      <c r="C1864" s="110" t="s">
        <v>2005</v>
      </c>
      <c r="D1864" s="110" t="s">
        <v>2059</v>
      </c>
      <c r="E1864" s="110" t="s">
        <v>390</v>
      </c>
      <c r="F1864" s="110" t="s">
        <v>113</v>
      </c>
      <c r="G1864" s="110" t="s">
        <v>114</v>
      </c>
      <c r="H1864" s="111">
        <v>165</v>
      </c>
      <c r="I1864" s="111">
        <v>181</v>
      </c>
      <c r="J1864" s="111">
        <v>176</v>
      </c>
      <c r="K1864" s="111">
        <f t="shared" si="264"/>
        <v>174</v>
      </c>
      <c r="L1864" s="111">
        <v>150000</v>
      </c>
      <c r="M1864" s="111">
        <f t="shared" si="265"/>
        <v>67500</v>
      </c>
      <c r="N1864" s="111">
        <f t="shared" si="266"/>
        <v>67500</v>
      </c>
      <c r="O1864" s="111">
        <f t="shared" si="267"/>
        <v>13500</v>
      </c>
      <c r="P1864" s="111">
        <f t="shared" si="268"/>
        <v>15000</v>
      </c>
      <c r="Q1864" s="111">
        <v>30000</v>
      </c>
      <c r="R1864" s="111">
        <v>3</v>
      </c>
      <c r="S1864" s="111">
        <f t="shared" si="269"/>
        <v>3000</v>
      </c>
      <c r="T1864" s="111">
        <f t="shared" si="270"/>
        <v>180000</v>
      </c>
      <c r="U1864" s="111">
        <f t="shared" si="271"/>
        <v>1800</v>
      </c>
      <c r="V1864" s="111">
        <f t="shared" si="272"/>
        <v>181800</v>
      </c>
      <c r="W1864" t="s">
        <v>4325</v>
      </c>
    </row>
    <row r="1865" spans="1:23" x14ac:dyDescent="0.3">
      <c r="A1865" s="110">
        <v>2309022</v>
      </c>
      <c r="B1865" s="110" t="s">
        <v>1997</v>
      </c>
      <c r="C1865" s="110" t="s">
        <v>2005</v>
      </c>
      <c r="D1865" s="110" t="s">
        <v>2060</v>
      </c>
      <c r="E1865" s="110" t="s">
        <v>588</v>
      </c>
      <c r="F1865" s="110" t="s">
        <v>113</v>
      </c>
      <c r="G1865" s="110" t="s">
        <v>114</v>
      </c>
      <c r="H1865" s="111">
        <v>118</v>
      </c>
      <c r="I1865" s="111">
        <v>121</v>
      </c>
      <c r="J1865" s="111">
        <v>124</v>
      </c>
      <c r="K1865" s="111">
        <f t="shared" si="264"/>
        <v>121</v>
      </c>
      <c r="L1865" s="111">
        <f>150000*0.7</f>
        <v>105000</v>
      </c>
      <c r="M1865" s="111">
        <f t="shared" si="265"/>
        <v>47250</v>
      </c>
      <c r="N1865" s="111">
        <f t="shared" si="266"/>
        <v>47250</v>
      </c>
      <c r="O1865" s="111">
        <f t="shared" si="267"/>
        <v>9450</v>
      </c>
      <c r="P1865" s="111">
        <f t="shared" si="268"/>
        <v>10500</v>
      </c>
      <c r="Q1865" s="111">
        <v>30000</v>
      </c>
      <c r="R1865" s="111">
        <v>3</v>
      </c>
      <c r="S1865" s="111">
        <f t="shared" si="269"/>
        <v>3000</v>
      </c>
      <c r="T1865" s="111">
        <f t="shared" si="270"/>
        <v>135000</v>
      </c>
      <c r="U1865" s="111">
        <f t="shared" si="271"/>
        <v>1350</v>
      </c>
      <c r="V1865" s="111">
        <f t="shared" si="272"/>
        <v>136350</v>
      </c>
      <c r="W1865" t="s">
        <v>4326</v>
      </c>
    </row>
    <row r="1866" spans="1:23" x14ac:dyDescent="0.3">
      <c r="A1866" s="110">
        <v>2309054</v>
      </c>
      <c r="B1866" s="110" t="s">
        <v>1997</v>
      </c>
      <c r="C1866" s="110" t="s">
        <v>2013</v>
      </c>
      <c r="D1866" s="110" t="s">
        <v>2061</v>
      </c>
      <c r="E1866" s="110" t="s">
        <v>2062</v>
      </c>
      <c r="F1866" s="110" t="s">
        <v>168</v>
      </c>
      <c r="G1866" s="110" t="s">
        <v>114</v>
      </c>
      <c r="H1866" s="111">
        <v>143</v>
      </c>
      <c r="I1866" s="111">
        <v>144</v>
      </c>
      <c r="J1866" s="111">
        <v>145</v>
      </c>
      <c r="K1866" s="111">
        <f t="shared" si="264"/>
        <v>144</v>
      </c>
      <c r="L1866" s="111">
        <v>150000</v>
      </c>
      <c r="M1866" s="111">
        <f t="shared" si="265"/>
        <v>67500</v>
      </c>
      <c r="N1866" s="111">
        <f t="shared" si="266"/>
        <v>67500</v>
      </c>
      <c r="O1866" s="111">
        <f t="shared" si="267"/>
        <v>13500</v>
      </c>
      <c r="P1866" s="111">
        <f t="shared" si="268"/>
        <v>15000</v>
      </c>
      <c r="Q1866" s="111">
        <v>30000</v>
      </c>
      <c r="R1866" s="111">
        <v>3</v>
      </c>
      <c r="S1866" s="111">
        <f t="shared" si="269"/>
        <v>3000</v>
      </c>
      <c r="T1866" s="111">
        <f t="shared" si="270"/>
        <v>180000</v>
      </c>
      <c r="U1866" s="111">
        <f t="shared" si="271"/>
        <v>1800</v>
      </c>
      <c r="V1866" s="111">
        <f t="shared" si="272"/>
        <v>181800</v>
      </c>
      <c r="W1866" t="s">
        <v>4327</v>
      </c>
    </row>
    <row r="1867" spans="1:23" x14ac:dyDescent="0.3">
      <c r="A1867" s="110">
        <v>2309080</v>
      </c>
      <c r="B1867" s="110" t="s">
        <v>1997</v>
      </c>
      <c r="C1867" s="110" t="s">
        <v>2012</v>
      </c>
      <c r="D1867" s="110" t="s">
        <v>2063</v>
      </c>
      <c r="E1867" s="110" t="s">
        <v>390</v>
      </c>
      <c r="F1867" s="110" t="s">
        <v>113</v>
      </c>
      <c r="G1867" s="110" t="s">
        <v>114</v>
      </c>
      <c r="H1867" s="111">
        <v>30</v>
      </c>
      <c r="I1867" s="111">
        <v>32</v>
      </c>
      <c r="J1867" s="111">
        <v>34</v>
      </c>
      <c r="K1867" s="111">
        <f t="shared" si="264"/>
        <v>32</v>
      </c>
      <c r="L1867" s="111">
        <v>50000</v>
      </c>
      <c r="M1867" s="111">
        <f t="shared" si="265"/>
        <v>22500</v>
      </c>
      <c r="N1867" s="111">
        <f t="shared" si="266"/>
        <v>22500</v>
      </c>
      <c r="O1867" s="111">
        <f t="shared" si="267"/>
        <v>4500</v>
      </c>
      <c r="P1867" s="111">
        <f t="shared" si="268"/>
        <v>5000</v>
      </c>
      <c r="Q1867" s="111">
        <v>10000</v>
      </c>
      <c r="R1867" s="111">
        <v>1</v>
      </c>
      <c r="S1867" s="111">
        <f t="shared" si="269"/>
        <v>1000</v>
      </c>
      <c r="T1867" s="111">
        <f t="shared" si="270"/>
        <v>60000</v>
      </c>
      <c r="U1867" s="111">
        <f t="shared" si="271"/>
        <v>600</v>
      </c>
      <c r="V1867" s="111">
        <f t="shared" si="272"/>
        <v>60600</v>
      </c>
      <c r="W1867" t="s">
        <v>4328</v>
      </c>
    </row>
    <row r="1868" spans="1:23" x14ac:dyDescent="0.3">
      <c r="A1868" s="110">
        <v>2309111</v>
      </c>
      <c r="B1868" s="110" t="s">
        <v>1997</v>
      </c>
      <c r="C1868" s="110" t="s">
        <v>2000</v>
      </c>
      <c r="D1868" s="110" t="s">
        <v>2064</v>
      </c>
      <c r="E1868" s="110" t="s">
        <v>184</v>
      </c>
      <c r="F1868" s="110" t="s">
        <v>113</v>
      </c>
      <c r="G1868" s="110" t="s">
        <v>114</v>
      </c>
      <c r="H1868" s="111">
        <v>41</v>
      </c>
      <c r="I1868" s="111">
        <v>38</v>
      </c>
      <c r="J1868" s="111">
        <v>41</v>
      </c>
      <c r="K1868" s="111">
        <f t="shared" si="264"/>
        <v>40</v>
      </c>
      <c r="L1868" s="111">
        <v>50000</v>
      </c>
      <c r="M1868" s="111">
        <f t="shared" si="265"/>
        <v>22500</v>
      </c>
      <c r="N1868" s="111">
        <f t="shared" si="266"/>
        <v>22500</v>
      </c>
      <c r="O1868" s="111">
        <f t="shared" si="267"/>
        <v>4500</v>
      </c>
      <c r="P1868" s="111">
        <f t="shared" si="268"/>
        <v>5000</v>
      </c>
      <c r="Q1868" s="111">
        <v>10000</v>
      </c>
      <c r="R1868" s="111">
        <v>1</v>
      </c>
      <c r="S1868" s="111">
        <f t="shared" si="269"/>
        <v>1000</v>
      </c>
      <c r="T1868" s="111">
        <f t="shared" si="270"/>
        <v>60000</v>
      </c>
      <c r="U1868" s="111">
        <f t="shared" si="271"/>
        <v>600</v>
      </c>
      <c r="V1868" s="111">
        <f t="shared" si="272"/>
        <v>60600</v>
      </c>
      <c r="W1868" t="s">
        <v>4329</v>
      </c>
    </row>
    <row r="1869" spans="1:23" x14ac:dyDescent="0.3">
      <c r="A1869" s="110">
        <v>2309200</v>
      </c>
      <c r="B1869" s="110" t="s">
        <v>1997</v>
      </c>
      <c r="C1869" s="110" t="s">
        <v>2065</v>
      </c>
      <c r="D1869" s="110" t="s">
        <v>2066</v>
      </c>
      <c r="E1869" s="110" t="s">
        <v>1253</v>
      </c>
      <c r="F1869" s="110" t="s">
        <v>168</v>
      </c>
      <c r="G1869" s="110" t="s">
        <v>114</v>
      </c>
      <c r="H1869" s="111">
        <v>149</v>
      </c>
      <c r="I1869" s="111">
        <v>195</v>
      </c>
      <c r="J1869" s="111">
        <v>197</v>
      </c>
      <c r="K1869" s="111">
        <f t="shared" si="264"/>
        <v>180.33333333333334</v>
      </c>
      <c r="L1869" s="111">
        <v>150000</v>
      </c>
      <c r="M1869" s="111">
        <f t="shared" si="265"/>
        <v>67500</v>
      </c>
      <c r="N1869" s="111">
        <f t="shared" si="266"/>
        <v>67500</v>
      </c>
      <c r="O1869" s="111">
        <f t="shared" si="267"/>
        <v>13500</v>
      </c>
      <c r="P1869" s="111">
        <f t="shared" si="268"/>
        <v>15000</v>
      </c>
      <c r="Q1869" s="111">
        <v>30000</v>
      </c>
      <c r="R1869" s="111">
        <v>3</v>
      </c>
      <c r="S1869" s="111">
        <f t="shared" si="269"/>
        <v>3000</v>
      </c>
      <c r="T1869" s="111">
        <f t="shared" si="270"/>
        <v>180000</v>
      </c>
      <c r="U1869" s="111">
        <f t="shared" si="271"/>
        <v>1800</v>
      </c>
      <c r="V1869" s="111">
        <f t="shared" si="272"/>
        <v>181800</v>
      </c>
      <c r="W1869" t="s">
        <v>4330</v>
      </c>
    </row>
    <row r="1870" spans="1:23" x14ac:dyDescent="0.3">
      <c r="A1870" s="110">
        <v>2309225</v>
      </c>
      <c r="B1870" s="110" t="s">
        <v>1997</v>
      </c>
      <c r="C1870" s="110" t="s">
        <v>2065</v>
      </c>
      <c r="D1870" s="110" t="s">
        <v>2065</v>
      </c>
      <c r="E1870" s="110" t="s">
        <v>272</v>
      </c>
      <c r="F1870" s="110" t="s">
        <v>119</v>
      </c>
      <c r="G1870" s="110" t="s">
        <v>114</v>
      </c>
      <c r="H1870" s="111">
        <v>382</v>
      </c>
      <c r="I1870" s="111">
        <v>382</v>
      </c>
      <c r="J1870" s="111">
        <v>380</v>
      </c>
      <c r="K1870" s="111">
        <f t="shared" si="264"/>
        <v>381.33333333333331</v>
      </c>
      <c r="L1870" s="111">
        <v>200000</v>
      </c>
      <c r="M1870" s="111">
        <f t="shared" si="265"/>
        <v>90000</v>
      </c>
      <c r="N1870" s="111">
        <f t="shared" si="266"/>
        <v>90000</v>
      </c>
      <c r="O1870" s="111">
        <f t="shared" si="267"/>
        <v>18000</v>
      </c>
      <c r="P1870" s="111">
        <f t="shared" si="268"/>
        <v>20000</v>
      </c>
      <c r="Q1870" s="111">
        <v>50000</v>
      </c>
      <c r="R1870" s="111">
        <v>5</v>
      </c>
      <c r="S1870" s="111">
        <f t="shared" si="269"/>
        <v>5000</v>
      </c>
      <c r="T1870" s="111">
        <f t="shared" si="270"/>
        <v>250000</v>
      </c>
      <c r="U1870" s="111">
        <f t="shared" si="271"/>
        <v>2500</v>
      </c>
      <c r="V1870" s="111">
        <f t="shared" si="272"/>
        <v>252500</v>
      </c>
      <c r="W1870" t="s">
        <v>4331</v>
      </c>
    </row>
    <row r="1871" spans="1:23" x14ac:dyDescent="0.3">
      <c r="A1871" s="110">
        <v>2309264</v>
      </c>
      <c r="B1871" s="110" t="s">
        <v>1997</v>
      </c>
      <c r="C1871" s="110" t="s">
        <v>2012</v>
      </c>
      <c r="D1871" s="110" t="s">
        <v>2067</v>
      </c>
      <c r="E1871" s="110" t="s">
        <v>184</v>
      </c>
      <c r="F1871" s="110" t="s">
        <v>113</v>
      </c>
      <c r="G1871" s="110" t="s">
        <v>114</v>
      </c>
      <c r="H1871" s="111">
        <v>48</v>
      </c>
      <c r="I1871" s="111">
        <v>46</v>
      </c>
      <c r="J1871" s="111">
        <v>53</v>
      </c>
      <c r="K1871" s="111">
        <f t="shared" si="264"/>
        <v>49</v>
      </c>
      <c r="L1871" s="111">
        <v>50000</v>
      </c>
      <c r="M1871" s="111">
        <f t="shared" si="265"/>
        <v>22500</v>
      </c>
      <c r="N1871" s="111">
        <f t="shared" si="266"/>
        <v>22500</v>
      </c>
      <c r="O1871" s="111">
        <f t="shared" si="267"/>
        <v>4500</v>
      </c>
      <c r="P1871" s="111">
        <f t="shared" si="268"/>
        <v>5000</v>
      </c>
      <c r="Q1871" s="111">
        <v>10000</v>
      </c>
      <c r="R1871" s="111">
        <v>1</v>
      </c>
      <c r="S1871" s="111">
        <f t="shared" si="269"/>
        <v>1000</v>
      </c>
      <c r="T1871" s="111">
        <f t="shared" si="270"/>
        <v>60000</v>
      </c>
      <c r="U1871" s="111">
        <f t="shared" si="271"/>
        <v>600</v>
      </c>
      <c r="V1871" s="111">
        <f t="shared" si="272"/>
        <v>60600</v>
      </c>
      <c r="W1871" t="s">
        <v>4332</v>
      </c>
    </row>
    <row r="1872" spans="1:23" x14ac:dyDescent="0.3">
      <c r="A1872" s="110">
        <v>2309314</v>
      </c>
      <c r="B1872" s="110" t="s">
        <v>1997</v>
      </c>
      <c r="C1872" s="110" t="s">
        <v>2039</v>
      </c>
      <c r="D1872" s="110" t="s">
        <v>2068</v>
      </c>
      <c r="E1872" s="110" t="s">
        <v>184</v>
      </c>
      <c r="F1872" s="110" t="s">
        <v>113</v>
      </c>
      <c r="G1872" s="110" t="s">
        <v>114</v>
      </c>
      <c r="H1872" s="111">
        <v>111</v>
      </c>
      <c r="I1872" s="111">
        <v>116</v>
      </c>
      <c r="J1872" s="111">
        <v>123</v>
      </c>
      <c r="K1872" s="111">
        <f t="shared" si="264"/>
        <v>116.66666666666667</v>
      </c>
      <c r="L1872" s="111">
        <v>150000</v>
      </c>
      <c r="M1872" s="111">
        <f t="shared" si="265"/>
        <v>67500</v>
      </c>
      <c r="N1872" s="111">
        <f t="shared" si="266"/>
        <v>67500</v>
      </c>
      <c r="O1872" s="111">
        <f t="shared" si="267"/>
        <v>13500</v>
      </c>
      <c r="P1872" s="111">
        <f t="shared" si="268"/>
        <v>15000</v>
      </c>
      <c r="Q1872" s="111">
        <v>30000</v>
      </c>
      <c r="R1872" s="111">
        <v>3</v>
      </c>
      <c r="S1872" s="111">
        <f t="shared" si="269"/>
        <v>3000</v>
      </c>
      <c r="T1872" s="111">
        <f t="shared" si="270"/>
        <v>180000</v>
      </c>
      <c r="U1872" s="111">
        <f t="shared" si="271"/>
        <v>1800</v>
      </c>
      <c r="V1872" s="111">
        <f t="shared" si="272"/>
        <v>181800</v>
      </c>
      <c r="W1872" t="s">
        <v>4333</v>
      </c>
    </row>
    <row r="1873" spans="1:23" x14ac:dyDescent="0.3">
      <c r="A1873" s="110">
        <v>2309321</v>
      </c>
      <c r="B1873" s="110" t="s">
        <v>1997</v>
      </c>
      <c r="C1873" s="110" t="s">
        <v>2039</v>
      </c>
      <c r="D1873" s="110" t="s">
        <v>2069</v>
      </c>
      <c r="E1873" s="110" t="s">
        <v>319</v>
      </c>
      <c r="F1873" s="110" t="s">
        <v>113</v>
      </c>
      <c r="G1873" s="110" t="s">
        <v>114</v>
      </c>
      <c r="H1873" s="111">
        <v>46</v>
      </c>
      <c r="I1873" s="111">
        <v>40</v>
      </c>
      <c r="J1873" s="111">
        <v>33</v>
      </c>
      <c r="K1873" s="111">
        <f t="shared" si="264"/>
        <v>39.666666666666664</v>
      </c>
      <c r="L1873" s="111">
        <v>50000</v>
      </c>
      <c r="M1873" s="111">
        <f t="shared" si="265"/>
        <v>22500</v>
      </c>
      <c r="N1873" s="111">
        <f t="shared" si="266"/>
        <v>22500</v>
      </c>
      <c r="O1873" s="111">
        <f t="shared" si="267"/>
        <v>4500</v>
      </c>
      <c r="P1873" s="111">
        <f t="shared" si="268"/>
        <v>5000</v>
      </c>
      <c r="Q1873" s="111">
        <v>10000</v>
      </c>
      <c r="R1873" s="111">
        <v>1</v>
      </c>
      <c r="S1873" s="111">
        <f t="shared" si="269"/>
        <v>1000</v>
      </c>
      <c r="T1873" s="111">
        <f t="shared" si="270"/>
        <v>60000</v>
      </c>
      <c r="U1873" s="111">
        <f t="shared" si="271"/>
        <v>600</v>
      </c>
      <c r="V1873" s="111">
        <f t="shared" si="272"/>
        <v>60600</v>
      </c>
      <c r="W1873" t="s">
        <v>4334</v>
      </c>
    </row>
    <row r="1874" spans="1:23" x14ac:dyDescent="0.3">
      <c r="A1874" s="110">
        <v>2309339</v>
      </c>
      <c r="B1874" s="110" t="s">
        <v>1997</v>
      </c>
      <c r="C1874" s="110" t="s">
        <v>2039</v>
      </c>
      <c r="D1874" s="110" t="s">
        <v>2070</v>
      </c>
      <c r="E1874" s="110" t="s">
        <v>2071</v>
      </c>
      <c r="F1874" s="110" t="s">
        <v>113</v>
      </c>
      <c r="G1874" s="110" t="s">
        <v>114</v>
      </c>
      <c r="H1874" s="111">
        <v>99</v>
      </c>
      <c r="I1874" s="111">
        <v>95</v>
      </c>
      <c r="J1874" s="111">
        <v>101</v>
      </c>
      <c r="K1874" s="111">
        <f t="shared" si="264"/>
        <v>98.333333333333329</v>
      </c>
      <c r="L1874" s="111">
        <v>150000</v>
      </c>
      <c r="M1874" s="111">
        <f t="shared" si="265"/>
        <v>67500</v>
      </c>
      <c r="N1874" s="111">
        <f t="shared" si="266"/>
        <v>67500</v>
      </c>
      <c r="O1874" s="111">
        <f t="shared" si="267"/>
        <v>13500</v>
      </c>
      <c r="P1874" s="111">
        <f t="shared" si="268"/>
        <v>15000</v>
      </c>
      <c r="Q1874" s="111">
        <v>30000</v>
      </c>
      <c r="R1874" s="111">
        <v>3</v>
      </c>
      <c r="S1874" s="111">
        <f t="shared" si="269"/>
        <v>3000</v>
      </c>
      <c r="T1874" s="111">
        <f t="shared" si="270"/>
        <v>180000</v>
      </c>
      <c r="U1874" s="111">
        <f t="shared" si="271"/>
        <v>1800</v>
      </c>
      <c r="V1874" s="111">
        <f t="shared" si="272"/>
        <v>181800</v>
      </c>
      <c r="W1874" t="s">
        <v>4335</v>
      </c>
    </row>
    <row r="1875" spans="1:23" x14ac:dyDescent="0.3">
      <c r="A1875" s="110">
        <v>2309353</v>
      </c>
      <c r="B1875" s="110" t="s">
        <v>1997</v>
      </c>
      <c r="C1875" s="110" t="s">
        <v>2002</v>
      </c>
      <c r="D1875" s="110" t="s">
        <v>2072</v>
      </c>
      <c r="E1875" s="110" t="s">
        <v>353</v>
      </c>
      <c r="F1875" s="110" t="s">
        <v>113</v>
      </c>
      <c r="G1875" s="110" t="s">
        <v>114</v>
      </c>
      <c r="H1875" s="111">
        <v>36</v>
      </c>
      <c r="I1875" s="111">
        <v>39</v>
      </c>
      <c r="J1875" s="111">
        <v>44</v>
      </c>
      <c r="K1875" s="111">
        <f t="shared" si="264"/>
        <v>39.666666666666664</v>
      </c>
      <c r="L1875" s="111">
        <v>50000</v>
      </c>
      <c r="M1875" s="111">
        <f t="shared" si="265"/>
        <v>22500</v>
      </c>
      <c r="N1875" s="111">
        <f t="shared" si="266"/>
        <v>22500</v>
      </c>
      <c r="O1875" s="111">
        <f t="shared" si="267"/>
        <v>4500</v>
      </c>
      <c r="P1875" s="111">
        <f t="shared" si="268"/>
        <v>5000</v>
      </c>
      <c r="Q1875" s="111">
        <v>10000</v>
      </c>
      <c r="R1875" s="111">
        <v>1</v>
      </c>
      <c r="S1875" s="111">
        <f t="shared" si="269"/>
        <v>1000</v>
      </c>
      <c r="T1875" s="111">
        <f t="shared" si="270"/>
        <v>60000</v>
      </c>
      <c r="U1875" s="111">
        <f t="shared" si="271"/>
        <v>600</v>
      </c>
      <c r="V1875" s="111">
        <f t="shared" si="272"/>
        <v>60600</v>
      </c>
      <c r="W1875" t="s">
        <v>4336</v>
      </c>
    </row>
    <row r="1876" spans="1:23" x14ac:dyDescent="0.3">
      <c r="A1876" s="110">
        <v>2309403</v>
      </c>
      <c r="B1876" s="110" t="s">
        <v>1997</v>
      </c>
      <c r="C1876" s="110" t="s">
        <v>2012</v>
      </c>
      <c r="D1876" s="110" t="s">
        <v>2073</v>
      </c>
      <c r="E1876" s="110" t="s">
        <v>320</v>
      </c>
      <c r="F1876" s="110" t="s">
        <v>113</v>
      </c>
      <c r="G1876" s="110" t="s">
        <v>114</v>
      </c>
      <c r="H1876" s="111">
        <v>19</v>
      </c>
      <c r="I1876" s="111">
        <v>26</v>
      </c>
      <c r="J1876" s="111">
        <v>34</v>
      </c>
      <c r="K1876" s="111">
        <f t="shared" si="264"/>
        <v>26.333333333333332</v>
      </c>
      <c r="L1876" s="111">
        <v>50000</v>
      </c>
      <c r="M1876" s="111">
        <f t="shared" si="265"/>
        <v>22500</v>
      </c>
      <c r="N1876" s="111">
        <f t="shared" si="266"/>
        <v>22500</v>
      </c>
      <c r="O1876" s="111">
        <f t="shared" si="267"/>
        <v>4500</v>
      </c>
      <c r="P1876" s="111">
        <f t="shared" si="268"/>
        <v>5000</v>
      </c>
      <c r="Q1876" s="111">
        <v>10000</v>
      </c>
      <c r="R1876" s="111">
        <v>1</v>
      </c>
      <c r="S1876" s="111">
        <f t="shared" si="269"/>
        <v>1000</v>
      </c>
      <c r="T1876" s="111">
        <f t="shared" si="270"/>
        <v>60000</v>
      </c>
      <c r="U1876" s="111">
        <f t="shared" si="271"/>
        <v>600</v>
      </c>
      <c r="V1876" s="111">
        <f t="shared" si="272"/>
        <v>60600</v>
      </c>
      <c r="W1876" t="s">
        <v>4337</v>
      </c>
    </row>
    <row r="1877" spans="1:23" x14ac:dyDescent="0.3">
      <c r="A1877" s="110">
        <v>2309410</v>
      </c>
      <c r="B1877" s="110" t="s">
        <v>1997</v>
      </c>
      <c r="C1877" s="110" t="s">
        <v>2012</v>
      </c>
      <c r="D1877" s="110" t="s">
        <v>2074</v>
      </c>
      <c r="E1877" s="110" t="s">
        <v>143</v>
      </c>
      <c r="F1877" s="110" t="s">
        <v>113</v>
      </c>
      <c r="G1877" s="110" t="s">
        <v>114</v>
      </c>
      <c r="H1877" s="111">
        <v>153</v>
      </c>
      <c r="I1877" s="111">
        <v>174</v>
      </c>
      <c r="J1877" s="111">
        <v>187</v>
      </c>
      <c r="K1877" s="111">
        <f t="shared" si="264"/>
        <v>171.33333333333334</v>
      </c>
      <c r="L1877" s="111">
        <v>150000</v>
      </c>
      <c r="M1877" s="111">
        <f t="shared" si="265"/>
        <v>67500</v>
      </c>
      <c r="N1877" s="111">
        <f t="shared" si="266"/>
        <v>67500</v>
      </c>
      <c r="O1877" s="111">
        <f t="shared" si="267"/>
        <v>13500</v>
      </c>
      <c r="P1877" s="111">
        <f t="shared" si="268"/>
        <v>15000</v>
      </c>
      <c r="Q1877" s="111">
        <v>30000</v>
      </c>
      <c r="R1877" s="111">
        <v>3</v>
      </c>
      <c r="S1877" s="111">
        <f t="shared" si="269"/>
        <v>3000</v>
      </c>
      <c r="T1877" s="111">
        <f t="shared" si="270"/>
        <v>180000</v>
      </c>
      <c r="U1877" s="111">
        <f t="shared" si="271"/>
        <v>1800</v>
      </c>
      <c r="V1877" s="111">
        <f t="shared" si="272"/>
        <v>181800</v>
      </c>
      <c r="W1877" t="s">
        <v>4338</v>
      </c>
    </row>
    <row r="1878" spans="1:23" x14ac:dyDescent="0.3">
      <c r="A1878" s="110">
        <v>2309499</v>
      </c>
      <c r="B1878" s="110" t="s">
        <v>1997</v>
      </c>
      <c r="C1878" s="110" t="s">
        <v>1759</v>
      </c>
      <c r="D1878" s="110" t="s">
        <v>1759</v>
      </c>
      <c r="E1878" s="110" t="s">
        <v>201</v>
      </c>
      <c r="F1878" s="110" t="s">
        <v>113</v>
      </c>
      <c r="G1878" s="110" t="s">
        <v>114</v>
      </c>
      <c r="H1878" s="111">
        <v>65</v>
      </c>
      <c r="I1878" s="111">
        <v>68</v>
      </c>
      <c r="J1878" s="111">
        <v>70</v>
      </c>
      <c r="K1878" s="111">
        <f t="shared" si="264"/>
        <v>67.666666666666671</v>
      </c>
      <c r="L1878" s="111">
        <v>150000</v>
      </c>
      <c r="M1878" s="111">
        <f t="shared" si="265"/>
        <v>67500</v>
      </c>
      <c r="N1878" s="111">
        <f t="shared" si="266"/>
        <v>67500</v>
      </c>
      <c r="O1878" s="111">
        <f t="shared" si="267"/>
        <v>13500</v>
      </c>
      <c r="P1878" s="111">
        <f t="shared" si="268"/>
        <v>15000</v>
      </c>
      <c r="Q1878" s="111">
        <v>30000</v>
      </c>
      <c r="R1878" s="111">
        <v>3</v>
      </c>
      <c r="S1878" s="111">
        <f t="shared" si="269"/>
        <v>3000</v>
      </c>
      <c r="T1878" s="111">
        <f t="shared" si="270"/>
        <v>180000</v>
      </c>
      <c r="U1878" s="111">
        <f t="shared" si="271"/>
        <v>1800</v>
      </c>
      <c r="V1878" s="111">
        <f t="shared" si="272"/>
        <v>181800</v>
      </c>
      <c r="W1878" t="s">
        <v>4339</v>
      </c>
    </row>
    <row r="1879" spans="1:23" x14ac:dyDescent="0.3">
      <c r="A1879" s="110">
        <v>2309531</v>
      </c>
      <c r="B1879" s="110" t="s">
        <v>1997</v>
      </c>
      <c r="C1879" s="110" t="s">
        <v>2032</v>
      </c>
      <c r="D1879" s="110" t="s">
        <v>2032</v>
      </c>
      <c r="E1879" s="110" t="s">
        <v>2075</v>
      </c>
      <c r="F1879" s="110" t="s">
        <v>113</v>
      </c>
      <c r="G1879" s="110" t="s">
        <v>114</v>
      </c>
      <c r="H1879" s="111">
        <v>235</v>
      </c>
      <c r="I1879" s="111">
        <v>217</v>
      </c>
      <c r="J1879" s="111">
        <v>228</v>
      </c>
      <c r="K1879" s="111">
        <f t="shared" si="264"/>
        <v>226.66666666666666</v>
      </c>
      <c r="L1879" s="111">
        <v>200000</v>
      </c>
      <c r="M1879" s="111">
        <f t="shared" si="265"/>
        <v>90000</v>
      </c>
      <c r="N1879" s="111">
        <f t="shared" si="266"/>
        <v>90000</v>
      </c>
      <c r="O1879" s="111">
        <f t="shared" si="267"/>
        <v>18000</v>
      </c>
      <c r="P1879" s="111">
        <f t="shared" si="268"/>
        <v>20000</v>
      </c>
      <c r="Q1879" s="111">
        <v>50000</v>
      </c>
      <c r="R1879" s="111">
        <v>5</v>
      </c>
      <c r="S1879" s="111">
        <f t="shared" si="269"/>
        <v>5000</v>
      </c>
      <c r="T1879" s="111">
        <f t="shared" si="270"/>
        <v>250000</v>
      </c>
      <c r="U1879" s="111">
        <f t="shared" si="271"/>
        <v>2500</v>
      </c>
      <c r="V1879" s="111">
        <f t="shared" si="272"/>
        <v>252500</v>
      </c>
      <c r="W1879" t="s">
        <v>4340</v>
      </c>
    </row>
    <row r="1880" spans="1:23" x14ac:dyDescent="0.3">
      <c r="A1880" s="110">
        <v>2309532</v>
      </c>
      <c r="B1880" s="110" t="s">
        <v>1997</v>
      </c>
      <c r="C1880" s="110" t="s">
        <v>2032</v>
      </c>
      <c r="D1880" s="110" t="s">
        <v>2076</v>
      </c>
      <c r="E1880" s="110" t="s">
        <v>2077</v>
      </c>
      <c r="F1880" s="110" t="s">
        <v>113</v>
      </c>
      <c r="G1880" s="110" t="s">
        <v>114</v>
      </c>
      <c r="H1880" s="111">
        <v>61</v>
      </c>
      <c r="I1880" s="111">
        <v>61</v>
      </c>
      <c r="J1880" s="111">
        <v>60</v>
      </c>
      <c r="K1880" s="111">
        <f t="shared" si="264"/>
        <v>60.666666666666664</v>
      </c>
      <c r="L1880" s="111">
        <v>150000</v>
      </c>
      <c r="M1880" s="111">
        <f t="shared" si="265"/>
        <v>67500</v>
      </c>
      <c r="N1880" s="111">
        <f t="shared" si="266"/>
        <v>67500</v>
      </c>
      <c r="O1880" s="111">
        <f t="shared" si="267"/>
        <v>13500</v>
      </c>
      <c r="P1880" s="111">
        <f t="shared" si="268"/>
        <v>15000</v>
      </c>
      <c r="Q1880" s="111">
        <v>30000</v>
      </c>
      <c r="R1880" s="111">
        <v>3</v>
      </c>
      <c r="S1880" s="111">
        <f t="shared" si="269"/>
        <v>3000</v>
      </c>
      <c r="T1880" s="111">
        <f t="shared" si="270"/>
        <v>180000</v>
      </c>
      <c r="U1880" s="111">
        <f t="shared" si="271"/>
        <v>1800</v>
      </c>
      <c r="V1880" s="111">
        <f t="shared" si="272"/>
        <v>181800</v>
      </c>
      <c r="W1880" t="s">
        <v>4341</v>
      </c>
    </row>
    <row r="1881" spans="1:23" x14ac:dyDescent="0.3">
      <c r="A1881" s="110">
        <v>2309606</v>
      </c>
      <c r="B1881" s="110" t="s">
        <v>1997</v>
      </c>
      <c r="C1881" s="110" t="s">
        <v>2002</v>
      </c>
      <c r="D1881" s="110" t="s">
        <v>2078</v>
      </c>
      <c r="E1881" s="110" t="s">
        <v>2079</v>
      </c>
      <c r="F1881" s="110" t="s">
        <v>113</v>
      </c>
      <c r="G1881" s="110" t="s">
        <v>114</v>
      </c>
      <c r="H1881" s="111">
        <v>64</v>
      </c>
      <c r="I1881" s="111">
        <v>62</v>
      </c>
      <c r="J1881" s="111">
        <v>72</v>
      </c>
      <c r="K1881" s="111">
        <f t="shared" si="264"/>
        <v>66</v>
      </c>
      <c r="L1881" s="111">
        <v>150000</v>
      </c>
      <c r="M1881" s="111">
        <f t="shared" si="265"/>
        <v>67500</v>
      </c>
      <c r="N1881" s="111">
        <f t="shared" si="266"/>
        <v>67500</v>
      </c>
      <c r="O1881" s="111">
        <f t="shared" si="267"/>
        <v>13500</v>
      </c>
      <c r="P1881" s="111">
        <f t="shared" si="268"/>
        <v>15000</v>
      </c>
      <c r="Q1881" s="111">
        <v>30000</v>
      </c>
      <c r="R1881" s="111">
        <v>3</v>
      </c>
      <c r="S1881" s="111">
        <f t="shared" si="269"/>
        <v>3000</v>
      </c>
      <c r="T1881" s="111">
        <f t="shared" si="270"/>
        <v>180000</v>
      </c>
      <c r="U1881" s="111">
        <f t="shared" si="271"/>
        <v>1800</v>
      </c>
      <c r="V1881" s="111">
        <f t="shared" si="272"/>
        <v>181800</v>
      </c>
      <c r="W1881" t="s">
        <v>4342</v>
      </c>
    </row>
    <row r="1882" spans="1:23" x14ac:dyDescent="0.3">
      <c r="A1882" s="110">
        <v>2309638</v>
      </c>
      <c r="B1882" s="110" t="s">
        <v>1997</v>
      </c>
      <c r="C1882" s="110" t="s">
        <v>1998</v>
      </c>
      <c r="D1882" s="110" t="s">
        <v>1998</v>
      </c>
      <c r="E1882" s="110" t="s">
        <v>1032</v>
      </c>
      <c r="F1882" s="110" t="s">
        <v>119</v>
      </c>
      <c r="G1882" s="110" t="s">
        <v>114</v>
      </c>
      <c r="H1882" s="111">
        <v>636</v>
      </c>
      <c r="I1882" s="111">
        <v>629</v>
      </c>
      <c r="J1882" s="111">
        <v>615</v>
      </c>
      <c r="K1882" s="111">
        <f t="shared" si="264"/>
        <v>626.66666666666663</v>
      </c>
      <c r="L1882" s="111">
        <f>300000*0.7</f>
        <v>210000</v>
      </c>
      <c r="M1882" s="111">
        <f t="shared" si="265"/>
        <v>94500</v>
      </c>
      <c r="N1882" s="111">
        <f t="shared" si="266"/>
        <v>94500</v>
      </c>
      <c r="O1882" s="111">
        <f t="shared" si="267"/>
        <v>18900</v>
      </c>
      <c r="P1882" s="111">
        <f t="shared" si="268"/>
        <v>21000</v>
      </c>
      <c r="Q1882" s="111">
        <v>60000</v>
      </c>
      <c r="R1882" s="111">
        <v>6</v>
      </c>
      <c r="S1882" s="111">
        <f t="shared" si="269"/>
        <v>6000</v>
      </c>
      <c r="T1882" s="111">
        <f t="shared" si="270"/>
        <v>270000</v>
      </c>
      <c r="U1882" s="111">
        <f t="shared" si="271"/>
        <v>2700</v>
      </c>
      <c r="V1882" s="111">
        <f t="shared" si="272"/>
        <v>272700</v>
      </c>
      <c r="W1882" t="s">
        <v>4343</v>
      </c>
    </row>
    <row r="1883" spans="1:23" x14ac:dyDescent="0.3">
      <c r="A1883" s="110">
        <v>2309684</v>
      </c>
      <c r="B1883" s="110" t="s">
        <v>1997</v>
      </c>
      <c r="C1883" s="110" t="s">
        <v>2012</v>
      </c>
      <c r="D1883" s="110" t="s">
        <v>2080</v>
      </c>
      <c r="E1883" s="110" t="s">
        <v>588</v>
      </c>
      <c r="F1883" s="110" t="s">
        <v>113</v>
      </c>
      <c r="G1883" s="110" t="s">
        <v>114</v>
      </c>
      <c r="H1883" s="111">
        <v>54</v>
      </c>
      <c r="I1883" s="111">
        <v>53</v>
      </c>
      <c r="J1883" s="111">
        <v>50</v>
      </c>
      <c r="K1883" s="111">
        <f t="shared" si="264"/>
        <v>52.333333333333336</v>
      </c>
      <c r="L1883" s="111">
        <v>150000</v>
      </c>
      <c r="M1883" s="111">
        <f t="shared" si="265"/>
        <v>67500</v>
      </c>
      <c r="N1883" s="111">
        <f t="shared" si="266"/>
        <v>67500</v>
      </c>
      <c r="O1883" s="111">
        <f t="shared" si="267"/>
        <v>13500</v>
      </c>
      <c r="P1883" s="111">
        <f t="shared" si="268"/>
        <v>15000</v>
      </c>
      <c r="Q1883" s="111">
        <v>30000</v>
      </c>
      <c r="R1883" s="111">
        <v>3</v>
      </c>
      <c r="S1883" s="111">
        <f t="shared" si="269"/>
        <v>3000</v>
      </c>
      <c r="T1883" s="111">
        <f t="shared" si="270"/>
        <v>180000</v>
      </c>
      <c r="U1883" s="111">
        <f t="shared" si="271"/>
        <v>1800</v>
      </c>
      <c r="V1883" s="111">
        <f t="shared" si="272"/>
        <v>181800</v>
      </c>
      <c r="W1883" t="s">
        <v>4344</v>
      </c>
    </row>
    <row r="1884" spans="1:23" x14ac:dyDescent="0.3">
      <c r="A1884" s="110">
        <v>2309691</v>
      </c>
      <c r="B1884" s="110" t="s">
        <v>1997</v>
      </c>
      <c r="C1884" s="110" t="s">
        <v>2012</v>
      </c>
      <c r="D1884" s="110" t="s">
        <v>2081</v>
      </c>
      <c r="E1884" s="110" t="s">
        <v>184</v>
      </c>
      <c r="F1884" s="110" t="s">
        <v>113</v>
      </c>
      <c r="G1884" s="110" t="s">
        <v>114</v>
      </c>
      <c r="H1884" s="111">
        <v>68</v>
      </c>
      <c r="I1884" s="111">
        <v>68</v>
      </c>
      <c r="J1884" s="111">
        <v>77</v>
      </c>
      <c r="K1884" s="111">
        <f t="shared" si="264"/>
        <v>71</v>
      </c>
      <c r="L1884" s="111">
        <v>150000</v>
      </c>
      <c r="M1884" s="111">
        <f t="shared" si="265"/>
        <v>67500</v>
      </c>
      <c r="N1884" s="111">
        <f t="shared" si="266"/>
        <v>67500</v>
      </c>
      <c r="O1884" s="111">
        <f t="shared" si="267"/>
        <v>13500</v>
      </c>
      <c r="P1884" s="111">
        <f t="shared" si="268"/>
        <v>15000</v>
      </c>
      <c r="Q1884" s="111">
        <v>30000</v>
      </c>
      <c r="R1884" s="111">
        <v>3</v>
      </c>
      <c r="S1884" s="111">
        <f t="shared" si="269"/>
        <v>3000</v>
      </c>
      <c r="T1884" s="111">
        <f t="shared" si="270"/>
        <v>180000</v>
      </c>
      <c r="U1884" s="111">
        <f t="shared" si="271"/>
        <v>1800</v>
      </c>
      <c r="V1884" s="111">
        <f t="shared" si="272"/>
        <v>181800</v>
      </c>
      <c r="W1884" t="s">
        <v>4345</v>
      </c>
    </row>
    <row r="1885" spans="1:23" x14ac:dyDescent="0.3">
      <c r="A1885" s="110">
        <v>2309735</v>
      </c>
      <c r="B1885" s="110" t="s">
        <v>1997</v>
      </c>
      <c r="C1885" s="110" t="s">
        <v>1998</v>
      </c>
      <c r="D1885" s="110" t="s">
        <v>1998</v>
      </c>
      <c r="E1885" s="110" t="s">
        <v>2082</v>
      </c>
      <c r="F1885" s="110" t="s">
        <v>117</v>
      </c>
      <c r="G1885" s="110" t="s">
        <v>114</v>
      </c>
      <c r="H1885" s="111">
        <v>267</v>
      </c>
      <c r="I1885" s="111">
        <v>272</v>
      </c>
      <c r="J1885" s="111">
        <v>278</v>
      </c>
      <c r="K1885" s="111">
        <f t="shared" si="264"/>
        <v>272.33333333333331</v>
      </c>
      <c r="L1885" s="111">
        <v>200000</v>
      </c>
      <c r="M1885" s="111">
        <f t="shared" si="265"/>
        <v>90000</v>
      </c>
      <c r="N1885" s="111">
        <f t="shared" si="266"/>
        <v>90000</v>
      </c>
      <c r="O1885" s="111">
        <f t="shared" si="267"/>
        <v>18000</v>
      </c>
      <c r="P1885" s="111">
        <f t="shared" si="268"/>
        <v>20000</v>
      </c>
      <c r="Q1885" s="111">
        <v>50000</v>
      </c>
      <c r="R1885" s="111">
        <v>5</v>
      </c>
      <c r="S1885" s="111">
        <f t="shared" si="269"/>
        <v>5000</v>
      </c>
      <c r="T1885" s="111">
        <f t="shared" si="270"/>
        <v>250000</v>
      </c>
      <c r="U1885" s="111">
        <f t="shared" si="271"/>
        <v>2500</v>
      </c>
      <c r="V1885" s="111">
        <f t="shared" si="272"/>
        <v>252500</v>
      </c>
      <c r="W1885" t="s">
        <v>4346</v>
      </c>
    </row>
    <row r="1886" spans="1:23" x14ac:dyDescent="0.3">
      <c r="A1886" s="110">
        <v>2309766</v>
      </c>
      <c r="B1886" s="110" t="s">
        <v>1997</v>
      </c>
      <c r="C1886" s="110" t="s">
        <v>2005</v>
      </c>
      <c r="D1886" s="110" t="s">
        <v>1321</v>
      </c>
      <c r="E1886" s="110" t="s">
        <v>319</v>
      </c>
      <c r="F1886" s="110" t="s">
        <v>113</v>
      </c>
      <c r="G1886" s="110" t="s">
        <v>114</v>
      </c>
      <c r="H1886" s="111">
        <v>93</v>
      </c>
      <c r="I1886" s="111">
        <v>93</v>
      </c>
      <c r="J1886" s="111">
        <v>85</v>
      </c>
      <c r="K1886" s="111">
        <f t="shared" si="264"/>
        <v>90.333333333333329</v>
      </c>
      <c r="L1886" s="111">
        <v>150000</v>
      </c>
      <c r="M1886" s="111">
        <f t="shared" si="265"/>
        <v>67500</v>
      </c>
      <c r="N1886" s="111">
        <f t="shared" si="266"/>
        <v>67500</v>
      </c>
      <c r="O1886" s="111">
        <f t="shared" si="267"/>
        <v>13500</v>
      </c>
      <c r="P1886" s="111">
        <f t="shared" si="268"/>
        <v>15000</v>
      </c>
      <c r="Q1886" s="111">
        <v>30000</v>
      </c>
      <c r="R1886" s="111">
        <v>3</v>
      </c>
      <c r="S1886" s="111">
        <f t="shared" si="269"/>
        <v>3000</v>
      </c>
      <c r="T1886" s="111">
        <f t="shared" si="270"/>
        <v>180000</v>
      </c>
      <c r="U1886" s="111">
        <f t="shared" si="271"/>
        <v>1800</v>
      </c>
      <c r="V1886" s="111">
        <f t="shared" si="272"/>
        <v>181800</v>
      </c>
      <c r="W1886" t="s">
        <v>4347</v>
      </c>
    </row>
    <row r="1887" spans="1:23" x14ac:dyDescent="0.3">
      <c r="A1887" s="110">
        <v>2309862</v>
      </c>
      <c r="B1887" s="110" t="s">
        <v>1997</v>
      </c>
      <c r="C1887" s="110" t="s">
        <v>2039</v>
      </c>
      <c r="D1887" s="110" t="s">
        <v>2039</v>
      </c>
      <c r="E1887" s="110" t="s">
        <v>319</v>
      </c>
      <c r="F1887" s="110" t="s">
        <v>113</v>
      </c>
      <c r="G1887" s="110" t="s">
        <v>114</v>
      </c>
      <c r="H1887" s="111">
        <v>339</v>
      </c>
      <c r="I1887" s="111">
        <v>323</v>
      </c>
      <c r="J1887" s="111">
        <v>312</v>
      </c>
      <c r="K1887" s="111">
        <f t="shared" si="264"/>
        <v>324.66666666666669</v>
      </c>
      <c r="L1887" s="111">
        <v>200000</v>
      </c>
      <c r="M1887" s="111">
        <f t="shared" si="265"/>
        <v>90000</v>
      </c>
      <c r="N1887" s="111">
        <f t="shared" si="266"/>
        <v>90000</v>
      </c>
      <c r="O1887" s="111">
        <f t="shared" si="267"/>
        <v>18000</v>
      </c>
      <c r="P1887" s="111">
        <f t="shared" si="268"/>
        <v>20000</v>
      </c>
      <c r="Q1887" s="111">
        <v>50000</v>
      </c>
      <c r="R1887" s="111">
        <v>5</v>
      </c>
      <c r="S1887" s="111">
        <f t="shared" si="269"/>
        <v>5000</v>
      </c>
      <c r="T1887" s="111">
        <f t="shared" si="270"/>
        <v>250000</v>
      </c>
      <c r="U1887" s="111">
        <f t="shared" si="271"/>
        <v>2500</v>
      </c>
      <c r="V1887" s="111">
        <f t="shared" si="272"/>
        <v>252500</v>
      </c>
      <c r="W1887" t="s">
        <v>4348</v>
      </c>
    </row>
    <row r="1888" spans="1:23" x14ac:dyDescent="0.3">
      <c r="A1888" s="110">
        <v>2309875</v>
      </c>
      <c r="B1888" s="110" t="s">
        <v>1997</v>
      </c>
      <c r="C1888" s="110" t="s">
        <v>2039</v>
      </c>
      <c r="D1888" s="110" t="s">
        <v>2083</v>
      </c>
      <c r="E1888" s="110" t="s">
        <v>184</v>
      </c>
      <c r="F1888" s="110" t="s">
        <v>113</v>
      </c>
      <c r="G1888" s="110" t="s">
        <v>114</v>
      </c>
      <c r="H1888" s="111">
        <v>28</v>
      </c>
      <c r="I1888" s="111">
        <v>30</v>
      </c>
      <c r="J1888" s="111">
        <v>22</v>
      </c>
      <c r="K1888" s="111">
        <f t="shared" si="264"/>
        <v>26.666666666666668</v>
      </c>
      <c r="L1888" s="111">
        <v>50000</v>
      </c>
      <c r="M1888" s="111">
        <f t="shared" si="265"/>
        <v>22500</v>
      </c>
      <c r="N1888" s="111">
        <f t="shared" si="266"/>
        <v>22500</v>
      </c>
      <c r="O1888" s="111">
        <f t="shared" si="267"/>
        <v>4500</v>
      </c>
      <c r="P1888" s="111">
        <f t="shared" si="268"/>
        <v>5000</v>
      </c>
      <c r="Q1888" s="111">
        <v>10000</v>
      </c>
      <c r="R1888" s="111">
        <v>1</v>
      </c>
      <c r="S1888" s="111">
        <f t="shared" si="269"/>
        <v>1000</v>
      </c>
      <c r="T1888" s="111">
        <f t="shared" si="270"/>
        <v>60000</v>
      </c>
      <c r="U1888" s="111">
        <f t="shared" si="271"/>
        <v>600</v>
      </c>
      <c r="V1888" s="111">
        <f t="shared" si="272"/>
        <v>60600</v>
      </c>
      <c r="W1888" t="s">
        <v>4349</v>
      </c>
    </row>
    <row r="1889" spans="1:23" x14ac:dyDescent="0.3">
      <c r="A1889" s="110">
        <v>2309912</v>
      </c>
      <c r="B1889" s="110" t="s">
        <v>1997</v>
      </c>
      <c r="C1889" s="110" t="s">
        <v>2000</v>
      </c>
      <c r="D1889" s="110" t="s">
        <v>2084</v>
      </c>
      <c r="E1889" s="110" t="s">
        <v>399</v>
      </c>
      <c r="F1889" s="110" t="s">
        <v>113</v>
      </c>
      <c r="G1889" s="110" t="s">
        <v>114</v>
      </c>
      <c r="H1889" s="111">
        <v>73</v>
      </c>
      <c r="I1889" s="111">
        <v>87</v>
      </c>
      <c r="J1889" s="111">
        <v>85</v>
      </c>
      <c r="K1889" s="111">
        <f t="shared" si="264"/>
        <v>81.666666666666671</v>
      </c>
      <c r="L1889" s="111">
        <v>150000</v>
      </c>
      <c r="M1889" s="111">
        <f t="shared" si="265"/>
        <v>67500</v>
      </c>
      <c r="N1889" s="111">
        <f t="shared" si="266"/>
        <v>67500</v>
      </c>
      <c r="O1889" s="111">
        <f t="shared" si="267"/>
        <v>13500</v>
      </c>
      <c r="P1889" s="111">
        <f t="shared" si="268"/>
        <v>15000</v>
      </c>
      <c r="Q1889" s="111">
        <v>30000</v>
      </c>
      <c r="R1889" s="111">
        <v>3</v>
      </c>
      <c r="S1889" s="111">
        <f t="shared" si="269"/>
        <v>3000</v>
      </c>
      <c r="T1889" s="111">
        <f t="shared" si="270"/>
        <v>180000</v>
      </c>
      <c r="U1889" s="111">
        <f t="shared" si="271"/>
        <v>1800</v>
      </c>
      <c r="V1889" s="111">
        <f t="shared" si="272"/>
        <v>181800</v>
      </c>
      <c r="W1889" t="s">
        <v>4350</v>
      </c>
    </row>
    <row r="1890" spans="1:23" x14ac:dyDescent="0.3">
      <c r="A1890" s="110">
        <v>2309928</v>
      </c>
      <c r="B1890" s="110" t="s">
        <v>1997</v>
      </c>
      <c r="C1890" s="110" t="s">
        <v>2000</v>
      </c>
      <c r="D1890" s="110" t="s">
        <v>2085</v>
      </c>
      <c r="E1890" s="110" t="s">
        <v>315</v>
      </c>
      <c r="F1890" s="110" t="s">
        <v>113</v>
      </c>
      <c r="G1890" s="110" t="s">
        <v>114</v>
      </c>
      <c r="H1890" s="111">
        <v>32</v>
      </c>
      <c r="I1890" s="111">
        <v>31</v>
      </c>
      <c r="J1890" s="111">
        <v>28</v>
      </c>
      <c r="K1890" s="111">
        <f t="shared" si="264"/>
        <v>30.333333333333332</v>
      </c>
      <c r="L1890" s="111">
        <v>50000</v>
      </c>
      <c r="M1890" s="111">
        <f t="shared" si="265"/>
        <v>22500</v>
      </c>
      <c r="N1890" s="111">
        <f t="shared" si="266"/>
        <v>22500</v>
      </c>
      <c r="O1890" s="111">
        <f t="shared" si="267"/>
        <v>4500</v>
      </c>
      <c r="P1890" s="111">
        <f t="shared" si="268"/>
        <v>5000</v>
      </c>
      <c r="Q1890" s="111">
        <v>10000</v>
      </c>
      <c r="R1890" s="111">
        <v>1</v>
      </c>
      <c r="S1890" s="111">
        <f t="shared" si="269"/>
        <v>1000</v>
      </c>
      <c r="T1890" s="111">
        <f t="shared" si="270"/>
        <v>60000</v>
      </c>
      <c r="U1890" s="111">
        <f t="shared" si="271"/>
        <v>600</v>
      </c>
      <c r="V1890" s="111">
        <f t="shared" si="272"/>
        <v>60600</v>
      </c>
      <c r="W1890" t="s">
        <v>4351</v>
      </c>
    </row>
    <row r="1891" spans="1:23" x14ac:dyDescent="0.3">
      <c r="A1891" s="110">
        <v>2309990</v>
      </c>
      <c r="B1891" s="110" t="s">
        <v>1997</v>
      </c>
      <c r="C1891" s="110" t="s">
        <v>2000</v>
      </c>
      <c r="D1891" s="110" t="s">
        <v>2086</v>
      </c>
      <c r="E1891" s="110" t="s">
        <v>241</v>
      </c>
      <c r="F1891" s="110" t="s">
        <v>113</v>
      </c>
      <c r="G1891" s="110" t="s">
        <v>114</v>
      </c>
      <c r="H1891" s="111">
        <v>24</v>
      </c>
      <c r="I1891" s="111">
        <v>24</v>
      </c>
      <c r="J1891" s="111">
        <v>26</v>
      </c>
      <c r="K1891" s="111">
        <f t="shared" si="264"/>
        <v>24.666666666666668</v>
      </c>
      <c r="L1891" s="111">
        <v>50000</v>
      </c>
      <c r="M1891" s="111">
        <f t="shared" si="265"/>
        <v>22500</v>
      </c>
      <c r="N1891" s="111">
        <f t="shared" si="266"/>
        <v>22500</v>
      </c>
      <c r="O1891" s="111">
        <f t="shared" si="267"/>
        <v>4500</v>
      </c>
      <c r="P1891" s="111">
        <f t="shared" si="268"/>
        <v>5000</v>
      </c>
      <c r="Q1891" s="111">
        <v>10000</v>
      </c>
      <c r="R1891" s="111">
        <v>1</v>
      </c>
      <c r="S1891" s="111">
        <f t="shared" si="269"/>
        <v>1000</v>
      </c>
      <c r="T1891" s="111">
        <f t="shared" si="270"/>
        <v>60000</v>
      </c>
      <c r="U1891" s="111">
        <f t="shared" si="271"/>
        <v>600</v>
      </c>
      <c r="V1891" s="111">
        <f t="shared" si="272"/>
        <v>60600</v>
      </c>
      <c r="W1891" t="s">
        <v>4352</v>
      </c>
    </row>
    <row r="1892" spans="1:23" x14ac:dyDescent="0.3">
      <c r="A1892" s="110">
        <v>2309991</v>
      </c>
      <c r="B1892" s="110" t="s">
        <v>1997</v>
      </c>
      <c r="C1892" s="110" t="s">
        <v>2039</v>
      </c>
      <c r="D1892" s="110" t="s">
        <v>2039</v>
      </c>
      <c r="E1892" s="110" t="s">
        <v>2087</v>
      </c>
      <c r="F1892" s="110" t="s">
        <v>117</v>
      </c>
      <c r="G1892" s="110" t="s">
        <v>125</v>
      </c>
      <c r="H1892" s="111">
        <v>685</v>
      </c>
      <c r="I1892" s="111">
        <v>690</v>
      </c>
      <c r="J1892" s="111">
        <v>698</v>
      </c>
      <c r="K1892" s="111">
        <f t="shared" si="264"/>
        <v>691</v>
      </c>
      <c r="L1892" s="111">
        <f>300000*0.7</f>
        <v>210000</v>
      </c>
      <c r="M1892" s="111">
        <f t="shared" si="265"/>
        <v>94500</v>
      </c>
      <c r="N1892" s="111">
        <f t="shared" si="266"/>
        <v>94500</v>
      </c>
      <c r="O1892" s="111">
        <f t="shared" si="267"/>
        <v>18900</v>
      </c>
      <c r="P1892" s="111">
        <f t="shared" si="268"/>
        <v>21000</v>
      </c>
      <c r="Q1892" s="111">
        <v>60000</v>
      </c>
      <c r="R1892" s="111">
        <v>6</v>
      </c>
      <c r="S1892" s="111">
        <f t="shared" si="269"/>
        <v>6000</v>
      </c>
      <c r="T1892" s="111">
        <f t="shared" si="270"/>
        <v>270000</v>
      </c>
      <c r="U1892" s="111">
        <f t="shared" si="271"/>
        <v>2700</v>
      </c>
      <c r="V1892" s="111">
        <f t="shared" si="272"/>
        <v>272700</v>
      </c>
      <c r="W1892" t="s">
        <v>4353</v>
      </c>
    </row>
    <row r="1893" spans="1:23" x14ac:dyDescent="0.3">
      <c r="A1893" s="110">
        <v>2400014</v>
      </c>
      <c r="B1893" s="110" t="s">
        <v>2088</v>
      </c>
      <c r="C1893" s="110" t="s">
        <v>2088</v>
      </c>
      <c r="D1893" s="110" t="s">
        <v>2088</v>
      </c>
      <c r="E1893" s="110" t="s">
        <v>2089</v>
      </c>
      <c r="F1893" s="110" t="s">
        <v>119</v>
      </c>
      <c r="G1893" s="110" t="s">
        <v>114</v>
      </c>
      <c r="H1893" s="111">
        <v>691</v>
      </c>
      <c r="I1893" s="111">
        <v>686</v>
      </c>
      <c r="J1893" s="111">
        <v>667</v>
      </c>
      <c r="K1893" s="111">
        <f t="shared" si="264"/>
        <v>681.33333333333337</v>
      </c>
      <c r="L1893" s="111">
        <f>300000</f>
        <v>300000</v>
      </c>
      <c r="M1893" s="111">
        <f t="shared" si="265"/>
        <v>135000</v>
      </c>
      <c r="N1893" s="111">
        <f t="shared" si="266"/>
        <v>135000</v>
      </c>
      <c r="O1893" s="111">
        <f t="shared" si="267"/>
        <v>27000</v>
      </c>
      <c r="P1893" s="111">
        <f t="shared" si="268"/>
        <v>30000</v>
      </c>
      <c r="Q1893" s="111">
        <v>60000</v>
      </c>
      <c r="R1893" s="111">
        <v>6</v>
      </c>
      <c r="S1893" s="111">
        <f t="shared" si="269"/>
        <v>6000</v>
      </c>
      <c r="T1893" s="111">
        <f t="shared" si="270"/>
        <v>360000</v>
      </c>
      <c r="U1893" s="111">
        <f t="shared" si="271"/>
        <v>3600</v>
      </c>
      <c r="V1893" s="111">
        <f t="shared" si="272"/>
        <v>363600</v>
      </c>
      <c r="W1893" t="s">
        <v>4354</v>
      </c>
    </row>
    <row r="1894" spans="1:23" x14ac:dyDescent="0.3">
      <c r="A1894" s="110">
        <v>2400020</v>
      </c>
      <c r="B1894" s="110" t="s">
        <v>2088</v>
      </c>
      <c r="C1894" s="110" t="s">
        <v>2088</v>
      </c>
      <c r="D1894" s="110" t="s">
        <v>2088</v>
      </c>
      <c r="E1894" s="110" t="s">
        <v>2090</v>
      </c>
      <c r="F1894" s="110" t="s">
        <v>117</v>
      </c>
      <c r="G1894" s="110" t="s">
        <v>114</v>
      </c>
      <c r="H1894" s="111">
        <v>52</v>
      </c>
      <c r="I1894" s="111">
        <v>105</v>
      </c>
      <c r="J1894" s="111">
        <v>182</v>
      </c>
      <c r="K1894" s="111">
        <f t="shared" si="264"/>
        <v>113</v>
      </c>
      <c r="L1894" s="111">
        <v>150000</v>
      </c>
      <c r="M1894" s="111">
        <f t="shared" si="265"/>
        <v>67500</v>
      </c>
      <c r="N1894" s="111">
        <f t="shared" si="266"/>
        <v>67500</v>
      </c>
      <c r="O1894" s="111">
        <f t="shared" si="267"/>
        <v>13500</v>
      </c>
      <c r="P1894" s="111">
        <f t="shared" si="268"/>
        <v>15000</v>
      </c>
      <c r="Q1894" s="111">
        <v>30000</v>
      </c>
      <c r="R1894" s="111">
        <v>3</v>
      </c>
      <c r="S1894" s="111">
        <f t="shared" si="269"/>
        <v>3000</v>
      </c>
      <c r="T1894" s="111">
        <f t="shared" si="270"/>
        <v>180000</v>
      </c>
      <c r="U1894" s="111">
        <f t="shared" si="271"/>
        <v>1800</v>
      </c>
      <c r="V1894" s="111">
        <f t="shared" si="272"/>
        <v>181800</v>
      </c>
      <c r="W1894" t="s">
        <v>4355</v>
      </c>
    </row>
    <row r="1895" spans="1:23" x14ac:dyDescent="0.3">
      <c r="A1895" s="110">
        <v>2400102</v>
      </c>
      <c r="B1895" s="110" t="s">
        <v>2088</v>
      </c>
      <c r="C1895" s="110" t="s">
        <v>2088</v>
      </c>
      <c r="D1895" s="110" t="s">
        <v>2088</v>
      </c>
      <c r="E1895" s="110" t="s">
        <v>2091</v>
      </c>
      <c r="F1895" s="110" t="s">
        <v>122</v>
      </c>
      <c r="G1895" s="110" t="s">
        <v>114</v>
      </c>
      <c r="H1895" s="111">
        <v>803</v>
      </c>
      <c r="I1895" s="111">
        <v>801</v>
      </c>
      <c r="J1895" s="111">
        <v>814</v>
      </c>
      <c r="K1895" s="111">
        <f t="shared" si="264"/>
        <v>806</v>
      </c>
      <c r="L1895" s="111">
        <f>300000</f>
        <v>300000</v>
      </c>
      <c r="M1895" s="111">
        <f t="shared" si="265"/>
        <v>135000</v>
      </c>
      <c r="N1895" s="111">
        <f t="shared" si="266"/>
        <v>135000</v>
      </c>
      <c r="O1895" s="111">
        <f t="shared" si="267"/>
        <v>27000</v>
      </c>
      <c r="P1895" s="111">
        <f t="shared" si="268"/>
        <v>30000</v>
      </c>
      <c r="Q1895" s="111">
        <v>60000</v>
      </c>
      <c r="R1895" s="111">
        <v>6</v>
      </c>
      <c r="S1895" s="111">
        <f t="shared" si="269"/>
        <v>6000</v>
      </c>
      <c r="T1895" s="111">
        <f t="shared" si="270"/>
        <v>360000</v>
      </c>
      <c r="U1895" s="111">
        <f t="shared" si="271"/>
        <v>3600</v>
      </c>
      <c r="V1895" s="111">
        <f t="shared" si="272"/>
        <v>363600</v>
      </c>
      <c r="W1895" t="s">
        <v>4356</v>
      </c>
    </row>
    <row r="1896" spans="1:23" x14ac:dyDescent="0.3">
      <c r="A1896" s="110">
        <v>2400104</v>
      </c>
      <c r="B1896" s="110" t="s">
        <v>2088</v>
      </c>
      <c r="C1896" s="110" t="s">
        <v>2088</v>
      </c>
      <c r="D1896" s="110" t="s">
        <v>2088</v>
      </c>
      <c r="E1896" s="110" t="s">
        <v>2092</v>
      </c>
      <c r="F1896" s="110" t="s">
        <v>119</v>
      </c>
      <c r="G1896" s="110" t="s">
        <v>114</v>
      </c>
      <c r="H1896" s="111">
        <v>686</v>
      </c>
      <c r="I1896" s="111">
        <v>604</v>
      </c>
      <c r="J1896" s="111">
        <v>562</v>
      </c>
      <c r="K1896" s="111">
        <f t="shared" si="264"/>
        <v>617.33333333333337</v>
      </c>
      <c r="L1896" s="111">
        <f>300000</f>
        <v>300000</v>
      </c>
      <c r="M1896" s="111">
        <f t="shared" si="265"/>
        <v>135000</v>
      </c>
      <c r="N1896" s="111">
        <f t="shared" si="266"/>
        <v>135000</v>
      </c>
      <c r="O1896" s="111">
        <f t="shared" si="267"/>
        <v>27000</v>
      </c>
      <c r="P1896" s="111">
        <f t="shared" si="268"/>
        <v>30000</v>
      </c>
      <c r="Q1896" s="111">
        <v>60000</v>
      </c>
      <c r="R1896" s="111">
        <v>6</v>
      </c>
      <c r="S1896" s="111">
        <f t="shared" si="269"/>
        <v>6000</v>
      </c>
      <c r="T1896" s="111">
        <f t="shared" si="270"/>
        <v>360000</v>
      </c>
      <c r="U1896" s="111">
        <f t="shared" si="271"/>
        <v>3600</v>
      </c>
      <c r="V1896" s="111">
        <f t="shared" si="272"/>
        <v>363600</v>
      </c>
      <c r="W1896" t="s">
        <v>4357</v>
      </c>
    </row>
    <row r="1897" spans="1:23" x14ac:dyDescent="0.3">
      <c r="A1897" s="110">
        <v>2400105</v>
      </c>
      <c r="B1897" s="110" t="s">
        <v>2088</v>
      </c>
      <c r="C1897" s="110" t="s">
        <v>2088</v>
      </c>
      <c r="D1897" s="110" t="s">
        <v>2088</v>
      </c>
      <c r="E1897" s="110" t="s">
        <v>286</v>
      </c>
      <c r="F1897" s="110" t="s">
        <v>119</v>
      </c>
      <c r="G1897" s="110" t="s">
        <v>114</v>
      </c>
      <c r="H1897" s="111">
        <v>352</v>
      </c>
      <c r="I1897" s="111">
        <v>326</v>
      </c>
      <c r="J1897" s="111">
        <v>315</v>
      </c>
      <c r="K1897" s="111">
        <f t="shared" si="264"/>
        <v>331</v>
      </c>
      <c r="L1897" s="111">
        <v>200000</v>
      </c>
      <c r="M1897" s="111">
        <f t="shared" si="265"/>
        <v>90000</v>
      </c>
      <c r="N1897" s="111">
        <f t="shared" si="266"/>
        <v>90000</v>
      </c>
      <c r="O1897" s="111">
        <f t="shared" si="267"/>
        <v>18000</v>
      </c>
      <c r="P1897" s="111">
        <f t="shared" si="268"/>
        <v>20000</v>
      </c>
      <c r="Q1897" s="111">
        <v>50000</v>
      </c>
      <c r="R1897" s="111">
        <v>5</v>
      </c>
      <c r="S1897" s="111">
        <f t="shared" si="269"/>
        <v>5000</v>
      </c>
      <c r="T1897" s="111">
        <f t="shared" si="270"/>
        <v>250000</v>
      </c>
      <c r="U1897" s="111">
        <f t="shared" si="271"/>
        <v>2500</v>
      </c>
      <c r="V1897" s="111">
        <f t="shared" si="272"/>
        <v>252500</v>
      </c>
      <c r="W1897" t="s">
        <v>4358</v>
      </c>
    </row>
    <row r="1898" spans="1:23" x14ac:dyDescent="0.3">
      <c r="A1898" s="110">
        <v>2400106</v>
      </c>
      <c r="B1898" s="110" t="s">
        <v>2088</v>
      </c>
      <c r="C1898" s="110" t="s">
        <v>2088</v>
      </c>
      <c r="D1898" s="110" t="s">
        <v>2088</v>
      </c>
      <c r="E1898" s="110" t="s">
        <v>2093</v>
      </c>
      <c r="F1898" s="110" t="s">
        <v>119</v>
      </c>
      <c r="G1898" s="110" t="s">
        <v>114</v>
      </c>
      <c r="H1898" s="111">
        <v>861</v>
      </c>
      <c r="I1898" s="111">
        <v>872</v>
      </c>
      <c r="J1898" s="111">
        <v>881</v>
      </c>
      <c r="K1898" s="111">
        <f t="shared" si="264"/>
        <v>871.33333333333337</v>
      </c>
      <c r="L1898" s="111">
        <f>300000</f>
        <v>300000</v>
      </c>
      <c r="M1898" s="111">
        <f t="shared" si="265"/>
        <v>135000</v>
      </c>
      <c r="N1898" s="111">
        <f t="shared" si="266"/>
        <v>135000</v>
      </c>
      <c r="O1898" s="111">
        <f t="shared" si="267"/>
        <v>27000</v>
      </c>
      <c r="P1898" s="111">
        <f t="shared" si="268"/>
        <v>30000</v>
      </c>
      <c r="Q1898" s="111">
        <v>60000</v>
      </c>
      <c r="R1898" s="111">
        <v>6</v>
      </c>
      <c r="S1898" s="111">
        <f t="shared" si="269"/>
        <v>6000</v>
      </c>
      <c r="T1898" s="111">
        <f t="shared" si="270"/>
        <v>360000</v>
      </c>
      <c r="U1898" s="111">
        <f t="shared" si="271"/>
        <v>3600</v>
      </c>
      <c r="V1898" s="111">
        <f t="shared" si="272"/>
        <v>363600</v>
      </c>
      <c r="W1898" t="s">
        <v>4359</v>
      </c>
    </row>
    <row r="1899" spans="1:23" x14ac:dyDescent="0.3">
      <c r="A1899" s="110">
        <v>2400107</v>
      </c>
      <c r="B1899" s="110" t="s">
        <v>2088</v>
      </c>
      <c r="C1899" s="110" t="s">
        <v>2088</v>
      </c>
      <c r="D1899" s="110" t="s">
        <v>2088</v>
      </c>
      <c r="E1899" s="110" t="s">
        <v>137</v>
      </c>
      <c r="F1899" s="110" t="s">
        <v>119</v>
      </c>
      <c r="G1899" s="110" t="s">
        <v>114</v>
      </c>
      <c r="H1899" s="111">
        <v>876</v>
      </c>
      <c r="I1899" s="111">
        <v>952</v>
      </c>
      <c r="J1899" s="111">
        <v>996</v>
      </c>
      <c r="K1899" s="111">
        <f t="shared" si="264"/>
        <v>941.33333333333337</v>
      </c>
      <c r="L1899" s="111">
        <f>300000</f>
        <v>300000</v>
      </c>
      <c r="M1899" s="111">
        <f t="shared" si="265"/>
        <v>135000</v>
      </c>
      <c r="N1899" s="111">
        <f t="shared" si="266"/>
        <v>135000</v>
      </c>
      <c r="O1899" s="111">
        <f t="shared" si="267"/>
        <v>27000</v>
      </c>
      <c r="P1899" s="111">
        <f t="shared" si="268"/>
        <v>30000</v>
      </c>
      <c r="Q1899" s="111">
        <v>60000</v>
      </c>
      <c r="R1899" s="111">
        <v>6</v>
      </c>
      <c r="S1899" s="111">
        <f t="shared" si="269"/>
        <v>6000</v>
      </c>
      <c r="T1899" s="111">
        <f t="shared" si="270"/>
        <v>360000</v>
      </c>
      <c r="U1899" s="111">
        <f t="shared" si="271"/>
        <v>3600</v>
      </c>
      <c r="V1899" s="111">
        <f t="shared" si="272"/>
        <v>363600</v>
      </c>
      <c r="W1899" t="s">
        <v>4360</v>
      </c>
    </row>
    <row r="1900" spans="1:23" x14ac:dyDescent="0.3">
      <c r="A1900" s="110">
        <v>2400108</v>
      </c>
      <c r="B1900" s="110" t="s">
        <v>2088</v>
      </c>
      <c r="C1900" s="110" t="s">
        <v>2088</v>
      </c>
      <c r="D1900" s="110" t="s">
        <v>2088</v>
      </c>
      <c r="E1900" s="110" t="s">
        <v>2094</v>
      </c>
      <c r="F1900" s="110" t="s">
        <v>296</v>
      </c>
      <c r="G1900" s="110" t="s">
        <v>114</v>
      </c>
      <c r="H1900" s="111">
        <v>251</v>
      </c>
      <c r="I1900" s="111">
        <v>255</v>
      </c>
      <c r="J1900" s="111">
        <v>270</v>
      </c>
      <c r="K1900" s="111">
        <f t="shared" si="264"/>
        <v>258.66666666666669</v>
      </c>
      <c r="L1900" s="111">
        <v>200000</v>
      </c>
      <c r="M1900" s="111">
        <f t="shared" si="265"/>
        <v>90000</v>
      </c>
      <c r="N1900" s="111">
        <f t="shared" si="266"/>
        <v>90000</v>
      </c>
      <c r="O1900" s="111">
        <f t="shared" si="267"/>
        <v>18000</v>
      </c>
      <c r="P1900" s="111">
        <f t="shared" si="268"/>
        <v>20000</v>
      </c>
      <c r="Q1900" s="111">
        <v>50000</v>
      </c>
      <c r="R1900" s="111">
        <v>5</v>
      </c>
      <c r="S1900" s="111">
        <f t="shared" si="269"/>
        <v>5000</v>
      </c>
      <c r="T1900" s="111">
        <f t="shared" si="270"/>
        <v>250000</v>
      </c>
      <c r="U1900" s="111">
        <f t="shared" si="271"/>
        <v>2500</v>
      </c>
      <c r="V1900" s="111">
        <f t="shared" si="272"/>
        <v>252500</v>
      </c>
      <c r="W1900" t="s">
        <v>4361</v>
      </c>
    </row>
    <row r="1901" spans="1:23" x14ac:dyDescent="0.3">
      <c r="A1901" s="110">
        <v>2400109</v>
      </c>
      <c r="B1901" s="110" t="s">
        <v>2088</v>
      </c>
      <c r="C1901" s="110" t="s">
        <v>2088</v>
      </c>
      <c r="D1901" s="110" t="s">
        <v>2088</v>
      </c>
      <c r="E1901" s="110" t="s">
        <v>2095</v>
      </c>
      <c r="F1901" s="110" t="s">
        <v>113</v>
      </c>
      <c r="G1901" s="110" t="s">
        <v>114</v>
      </c>
      <c r="H1901" s="111">
        <v>249</v>
      </c>
      <c r="I1901" s="111">
        <v>235</v>
      </c>
      <c r="J1901" s="111">
        <v>243</v>
      </c>
      <c r="K1901" s="111">
        <f t="shared" si="264"/>
        <v>242.33333333333334</v>
      </c>
      <c r="L1901" s="111">
        <v>200000</v>
      </c>
      <c r="M1901" s="111">
        <f t="shared" si="265"/>
        <v>90000</v>
      </c>
      <c r="N1901" s="111">
        <f t="shared" si="266"/>
        <v>90000</v>
      </c>
      <c r="O1901" s="111">
        <f t="shared" si="267"/>
        <v>18000</v>
      </c>
      <c r="P1901" s="111">
        <f t="shared" si="268"/>
        <v>20000</v>
      </c>
      <c r="Q1901" s="111">
        <v>50000</v>
      </c>
      <c r="R1901" s="111">
        <v>5</v>
      </c>
      <c r="S1901" s="111">
        <f t="shared" si="269"/>
        <v>5000</v>
      </c>
      <c r="T1901" s="111">
        <f t="shared" si="270"/>
        <v>250000</v>
      </c>
      <c r="U1901" s="111">
        <f t="shared" si="271"/>
        <v>2500</v>
      </c>
      <c r="V1901" s="111">
        <f t="shared" si="272"/>
        <v>252500</v>
      </c>
      <c r="W1901" t="s">
        <v>4362</v>
      </c>
    </row>
    <row r="1902" spans="1:23" x14ac:dyDescent="0.3">
      <c r="A1902" s="110">
        <v>2400110</v>
      </c>
      <c r="B1902" s="110" t="s">
        <v>2088</v>
      </c>
      <c r="C1902" s="110" t="s">
        <v>2088</v>
      </c>
      <c r="D1902" s="110" t="s">
        <v>2088</v>
      </c>
      <c r="E1902" s="110" t="s">
        <v>2096</v>
      </c>
      <c r="F1902" s="110" t="s">
        <v>119</v>
      </c>
      <c r="G1902" s="110" t="s">
        <v>114</v>
      </c>
      <c r="H1902" s="111">
        <v>136</v>
      </c>
      <c r="I1902" s="111">
        <v>124</v>
      </c>
      <c r="J1902" s="111">
        <v>153</v>
      </c>
      <c r="K1902" s="111">
        <f t="shared" si="264"/>
        <v>137.66666666666666</v>
      </c>
      <c r="L1902" s="111">
        <f>150000*0.7</f>
        <v>105000</v>
      </c>
      <c r="M1902" s="111">
        <f t="shared" si="265"/>
        <v>47250</v>
      </c>
      <c r="N1902" s="111">
        <f t="shared" si="266"/>
        <v>47250</v>
      </c>
      <c r="O1902" s="111">
        <f t="shared" si="267"/>
        <v>9450</v>
      </c>
      <c r="P1902" s="111">
        <f t="shared" si="268"/>
        <v>10500</v>
      </c>
      <c r="Q1902" s="111">
        <v>30000</v>
      </c>
      <c r="R1902" s="111">
        <v>3</v>
      </c>
      <c r="S1902" s="111">
        <f t="shared" si="269"/>
        <v>3000</v>
      </c>
      <c r="T1902" s="111">
        <f t="shared" si="270"/>
        <v>135000</v>
      </c>
      <c r="U1902" s="111">
        <f t="shared" si="271"/>
        <v>1350</v>
      </c>
      <c r="V1902" s="111">
        <f t="shared" si="272"/>
        <v>136350</v>
      </c>
      <c r="W1902" t="s">
        <v>4363</v>
      </c>
    </row>
    <row r="1903" spans="1:23" x14ac:dyDescent="0.3">
      <c r="A1903" s="110">
        <v>2400111</v>
      </c>
      <c r="B1903" s="110" t="s">
        <v>2088</v>
      </c>
      <c r="C1903" s="110" t="s">
        <v>2088</v>
      </c>
      <c r="D1903" s="110" t="s">
        <v>2088</v>
      </c>
      <c r="E1903" s="110" t="s">
        <v>2097</v>
      </c>
      <c r="F1903" s="110" t="s">
        <v>117</v>
      </c>
      <c r="G1903" s="110" t="s">
        <v>125</v>
      </c>
      <c r="H1903" s="111">
        <v>226</v>
      </c>
      <c r="I1903" s="111">
        <v>178</v>
      </c>
      <c r="J1903" s="111">
        <v>174</v>
      </c>
      <c r="K1903" s="111">
        <f t="shared" si="264"/>
        <v>192.66666666666666</v>
      </c>
      <c r="L1903" s="111">
        <v>150000</v>
      </c>
      <c r="M1903" s="111">
        <f t="shared" si="265"/>
        <v>67500</v>
      </c>
      <c r="N1903" s="111">
        <f t="shared" si="266"/>
        <v>67500</v>
      </c>
      <c r="O1903" s="111">
        <f t="shared" si="267"/>
        <v>13500</v>
      </c>
      <c r="P1903" s="111">
        <f t="shared" si="268"/>
        <v>15000</v>
      </c>
      <c r="Q1903" s="111">
        <v>30000</v>
      </c>
      <c r="R1903" s="111">
        <v>3</v>
      </c>
      <c r="S1903" s="111">
        <f t="shared" si="269"/>
        <v>3000</v>
      </c>
      <c r="T1903" s="111">
        <f t="shared" si="270"/>
        <v>180000</v>
      </c>
      <c r="U1903" s="111">
        <f t="shared" si="271"/>
        <v>1800</v>
      </c>
      <c r="V1903" s="111">
        <f t="shared" si="272"/>
        <v>181800</v>
      </c>
      <c r="W1903" t="s">
        <v>4364</v>
      </c>
    </row>
    <row r="1904" spans="1:23" x14ac:dyDescent="0.3">
      <c r="A1904" s="110">
        <v>2400112</v>
      </c>
      <c r="B1904" s="110" t="s">
        <v>2088</v>
      </c>
      <c r="C1904" s="110" t="s">
        <v>2088</v>
      </c>
      <c r="D1904" s="110" t="s">
        <v>2088</v>
      </c>
      <c r="E1904" s="110" t="s">
        <v>2098</v>
      </c>
      <c r="F1904" s="110" t="s">
        <v>117</v>
      </c>
      <c r="G1904" s="110" t="s">
        <v>125</v>
      </c>
      <c r="H1904" s="111">
        <v>281</v>
      </c>
      <c r="I1904" s="111">
        <v>286</v>
      </c>
      <c r="J1904" s="111">
        <v>312</v>
      </c>
      <c r="K1904" s="111">
        <f t="shared" si="264"/>
        <v>293</v>
      </c>
      <c r="L1904" s="111">
        <v>200000</v>
      </c>
      <c r="M1904" s="111">
        <f t="shared" si="265"/>
        <v>90000</v>
      </c>
      <c r="N1904" s="111">
        <f t="shared" si="266"/>
        <v>90000</v>
      </c>
      <c r="O1904" s="111">
        <f t="shared" si="267"/>
        <v>18000</v>
      </c>
      <c r="P1904" s="111">
        <f t="shared" si="268"/>
        <v>20000</v>
      </c>
      <c r="Q1904" s="111">
        <v>50000</v>
      </c>
      <c r="R1904" s="111">
        <v>5</v>
      </c>
      <c r="S1904" s="111">
        <f t="shared" si="269"/>
        <v>5000</v>
      </c>
      <c r="T1904" s="111">
        <f t="shared" si="270"/>
        <v>250000</v>
      </c>
      <c r="U1904" s="111">
        <f t="shared" si="271"/>
        <v>2500</v>
      </c>
      <c r="V1904" s="111">
        <f t="shared" si="272"/>
        <v>252500</v>
      </c>
      <c r="W1904" t="s">
        <v>4365</v>
      </c>
    </row>
    <row r="1905" spans="1:23" x14ac:dyDescent="0.3">
      <c r="A1905" s="110">
        <v>2400116</v>
      </c>
      <c r="B1905" s="110" t="s">
        <v>2088</v>
      </c>
      <c r="C1905" s="110" t="s">
        <v>2088</v>
      </c>
      <c r="D1905" s="110" t="s">
        <v>2088</v>
      </c>
      <c r="E1905" s="110" t="s">
        <v>2099</v>
      </c>
      <c r="F1905" s="110" t="s">
        <v>117</v>
      </c>
      <c r="G1905" s="110" t="s">
        <v>125</v>
      </c>
      <c r="H1905" s="111">
        <v>541</v>
      </c>
      <c r="I1905" s="111">
        <v>507</v>
      </c>
      <c r="J1905" s="111">
        <v>517</v>
      </c>
      <c r="K1905" s="111">
        <f t="shared" si="264"/>
        <v>521.66666666666663</v>
      </c>
      <c r="L1905" s="111">
        <f>300000</f>
        <v>300000</v>
      </c>
      <c r="M1905" s="111">
        <f t="shared" si="265"/>
        <v>135000</v>
      </c>
      <c r="N1905" s="111">
        <f t="shared" si="266"/>
        <v>135000</v>
      </c>
      <c r="O1905" s="111">
        <f t="shared" si="267"/>
        <v>27000</v>
      </c>
      <c r="P1905" s="111">
        <f t="shared" si="268"/>
        <v>30000</v>
      </c>
      <c r="Q1905" s="111">
        <v>60000</v>
      </c>
      <c r="R1905" s="111">
        <v>6</v>
      </c>
      <c r="S1905" s="111">
        <f t="shared" si="269"/>
        <v>6000</v>
      </c>
      <c r="T1905" s="111">
        <f t="shared" si="270"/>
        <v>360000</v>
      </c>
      <c r="U1905" s="111">
        <f t="shared" si="271"/>
        <v>3600</v>
      </c>
      <c r="V1905" s="111">
        <f t="shared" si="272"/>
        <v>363600</v>
      </c>
      <c r="W1905" t="s">
        <v>4366</v>
      </c>
    </row>
    <row r="1906" spans="1:23" x14ac:dyDescent="0.3">
      <c r="A1906" s="110">
        <v>2400117</v>
      </c>
      <c r="B1906" s="110" t="s">
        <v>2088</v>
      </c>
      <c r="C1906" s="110" t="s">
        <v>2088</v>
      </c>
      <c r="D1906" s="110" t="s">
        <v>2088</v>
      </c>
      <c r="E1906" s="110" t="s">
        <v>2100</v>
      </c>
      <c r="F1906" s="110" t="s">
        <v>117</v>
      </c>
      <c r="G1906" s="110" t="s">
        <v>125</v>
      </c>
      <c r="H1906" s="111">
        <v>426</v>
      </c>
      <c r="I1906" s="111">
        <v>453</v>
      </c>
      <c r="J1906" s="111">
        <v>476</v>
      </c>
      <c r="K1906" s="111">
        <f t="shared" si="264"/>
        <v>451.66666666666669</v>
      </c>
      <c r="L1906" s="111">
        <f>300000</f>
        <v>300000</v>
      </c>
      <c r="M1906" s="111">
        <f t="shared" si="265"/>
        <v>135000</v>
      </c>
      <c r="N1906" s="111">
        <f t="shared" si="266"/>
        <v>135000</v>
      </c>
      <c r="O1906" s="111">
        <f t="shared" si="267"/>
        <v>27000</v>
      </c>
      <c r="P1906" s="111">
        <f t="shared" si="268"/>
        <v>30000</v>
      </c>
      <c r="Q1906" s="111">
        <v>60000</v>
      </c>
      <c r="R1906" s="111">
        <v>6</v>
      </c>
      <c r="S1906" s="111">
        <f t="shared" si="269"/>
        <v>6000</v>
      </c>
      <c r="T1906" s="111">
        <f t="shared" si="270"/>
        <v>360000</v>
      </c>
      <c r="U1906" s="111">
        <f t="shared" si="271"/>
        <v>3600</v>
      </c>
      <c r="V1906" s="111">
        <f t="shared" si="272"/>
        <v>363600</v>
      </c>
      <c r="W1906" t="s">
        <v>4367</v>
      </c>
    </row>
    <row r="1907" spans="1:23" x14ac:dyDescent="0.3">
      <c r="A1907" s="110">
        <v>2400119</v>
      </c>
      <c r="B1907" s="110" t="s">
        <v>2088</v>
      </c>
      <c r="C1907" s="110" t="s">
        <v>2088</v>
      </c>
      <c r="D1907" s="110" t="s">
        <v>2088</v>
      </c>
      <c r="E1907" s="110" t="s">
        <v>2101</v>
      </c>
      <c r="F1907" s="110" t="s">
        <v>117</v>
      </c>
      <c r="G1907" s="110" t="s">
        <v>125</v>
      </c>
      <c r="H1907" s="111">
        <v>300</v>
      </c>
      <c r="I1907" s="111">
        <v>338</v>
      </c>
      <c r="J1907" s="111">
        <v>376</v>
      </c>
      <c r="K1907" s="111">
        <f t="shared" si="264"/>
        <v>338</v>
      </c>
      <c r="L1907" s="111">
        <v>200000</v>
      </c>
      <c r="M1907" s="111">
        <f t="shared" si="265"/>
        <v>90000</v>
      </c>
      <c r="N1907" s="111">
        <f t="shared" si="266"/>
        <v>90000</v>
      </c>
      <c r="O1907" s="111">
        <f t="shared" si="267"/>
        <v>18000</v>
      </c>
      <c r="P1907" s="111">
        <f t="shared" si="268"/>
        <v>20000</v>
      </c>
      <c r="Q1907" s="111">
        <v>50000</v>
      </c>
      <c r="R1907" s="111">
        <v>5</v>
      </c>
      <c r="S1907" s="111">
        <f t="shared" si="269"/>
        <v>5000</v>
      </c>
      <c r="T1907" s="111">
        <f t="shared" si="270"/>
        <v>250000</v>
      </c>
      <c r="U1907" s="111">
        <f t="shared" si="271"/>
        <v>2500</v>
      </c>
      <c r="V1907" s="111">
        <f t="shared" si="272"/>
        <v>252500</v>
      </c>
      <c r="W1907" t="s">
        <v>4368</v>
      </c>
    </row>
    <row r="1908" spans="1:23" x14ac:dyDescent="0.3">
      <c r="A1908" s="110">
        <v>2400123</v>
      </c>
      <c r="B1908" s="110" t="s">
        <v>2088</v>
      </c>
      <c r="C1908" s="110" t="s">
        <v>2088</v>
      </c>
      <c r="D1908" s="110" t="s">
        <v>2088</v>
      </c>
      <c r="E1908" s="110" t="s">
        <v>2102</v>
      </c>
      <c r="F1908" s="110" t="s">
        <v>113</v>
      </c>
      <c r="G1908" s="110" t="s">
        <v>114</v>
      </c>
      <c r="H1908" s="111">
        <v>850</v>
      </c>
      <c r="I1908" s="111">
        <v>854</v>
      </c>
      <c r="J1908" s="111">
        <v>833</v>
      </c>
      <c r="K1908" s="111">
        <f t="shared" si="264"/>
        <v>845.66666666666663</v>
      </c>
      <c r="L1908" s="111">
        <f>300000</f>
        <v>300000</v>
      </c>
      <c r="M1908" s="111">
        <f t="shared" si="265"/>
        <v>135000</v>
      </c>
      <c r="N1908" s="111">
        <f t="shared" si="266"/>
        <v>135000</v>
      </c>
      <c r="O1908" s="111">
        <f t="shared" si="267"/>
        <v>27000</v>
      </c>
      <c r="P1908" s="111">
        <f t="shared" si="268"/>
        <v>30000</v>
      </c>
      <c r="Q1908" s="111">
        <v>60000</v>
      </c>
      <c r="R1908" s="111">
        <v>6</v>
      </c>
      <c r="S1908" s="111">
        <f t="shared" si="269"/>
        <v>6000</v>
      </c>
      <c r="T1908" s="111">
        <f t="shared" si="270"/>
        <v>360000</v>
      </c>
      <c r="U1908" s="111">
        <f t="shared" si="271"/>
        <v>3600</v>
      </c>
      <c r="V1908" s="111">
        <f t="shared" si="272"/>
        <v>363600</v>
      </c>
      <c r="W1908" t="s">
        <v>4369</v>
      </c>
    </row>
    <row r="1909" spans="1:23" x14ac:dyDescent="0.3">
      <c r="A1909" s="110">
        <v>2400124</v>
      </c>
      <c r="B1909" s="110" t="s">
        <v>2088</v>
      </c>
      <c r="C1909" s="110" t="s">
        <v>2088</v>
      </c>
      <c r="D1909" s="110" t="s">
        <v>2088</v>
      </c>
      <c r="E1909" s="110" t="s">
        <v>2103</v>
      </c>
      <c r="F1909" s="110" t="s">
        <v>113</v>
      </c>
      <c r="G1909" s="110" t="s">
        <v>114</v>
      </c>
      <c r="H1909" s="111">
        <v>98</v>
      </c>
      <c r="I1909" s="111">
        <v>130</v>
      </c>
      <c r="J1909" s="111">
        <v>156</v>
      </c>
      <c r="K1909" s="111">
        <f t="shared" si="264"/>
        <v>128</v>
      </c>
      <c r="L1909" s="111">
        <v>150000</v>
      </c>
      <c r="M1909" s="111">
        <f t="shared" si="265"/>
        <v>67500</v>
      </c>
      <c r="N1909" s="111">
        <f t="shared" si="266"/>
        <v>67500</v>
      </c>
      <c r="O1909" s="111">
        <f t="shared" si="267"/>
        <v>13500</v>
      </c>
      <c r="P1909" s="111">
        <f t="shared" si="268"/>
        <v>15000</v>
      </c>
      <c r="Q1909" s="111">
        <v>30000</v>
      </c>
      <c r="R1909" s="111">
        <v>3</v>
      </c>
      <c r="S1909" s="111">
        <f t="shared" si="269"/>
        <v>3000</v>
      </c>
      <c r="T1909" s="111">
        <f t="shared" si="270"/>
        <v>180000</v>
      </c>
      <c r="U1909" s="111">
        <f t="shared" si="271"/>
        <v>1800</v>
      </c>
      <c r="V1909" s="111">
        <f t="shared" si="272"/>
        <v>181800</v>
      </c>
      <c r="W1909" t="s">
        <v>4370</v>
      </c>
    </row>
    <row r="1910" spans="1:23" x14ac:dyDescent="0.3">
      <c r="A1910" s="110">
        <v>2400125</v>
      </c>
      <c r="B1910" s="110" t="s">
        <v>2088</v>
      </c>
      <c r="C1910" s="110" t="s">
        <v>2088</v>
      </c>
      <c r="D1910" s="110" t="s">
        <v>2088</v>
      </c>
      <c r="E1910" s="110" t="s">
        <v>2104</v>
      </c>
      <c r="F1910" s="110" t="s">
        <v>113</v>
      </c>
      <c r="G1910" s="110" t="s">
        <v>114</v>
      </c>
      <c r="H1910" s="111">
        <v>916</v>
      </c>
      <c r="I1910" s="111">
        <v>918</v>
      </c>
      <c r="J1910" s="111">
        <v>914</v>
      </c>
      <c r="K1910" s="111">
        <f t="shared" si="264"/>
        <v>916</v>
      </c>
      <c r="L1910" s="111">
        <f>300000</f>
        <v>300000</v>
      </c>
      <c r="M1910" s="111">
        <f t="shared" si="265"/>
        <v>135000</v>
      </c>
      <c r="N1910" s="111">
        <f t="shared" si="266"/>
        <v>135000</v>
      </c>
      <c r="O1910" s="111">
        <f t="shared" si="267"/>
        <v>27000</v>
      </c>
      <c r="P1910" s="111">
        <f t="shared" si="268"/>
        <v>30000</v>
      </c>
      <c r="Q1910" s="111">
        <v>60000</v>
      </c>
      <c r="R1910" s="111">
        <v>6</v>
      </c>
      <c r="S1910" s="111">
        <f t="shared" si="269"/>
        <v>6000</v>
      </c>
      <c r="T1910" s="111">
        <f t="shared" si="270"/>
        <v>360000</v>
      </c>
      <c r="U1910" s="111">
        <f t="shared" si="271"/>
        <v>3600</v>
      </c>
      <c r="V1910" s="111">
        <f t="shared" si="272"/>
        <v>363600</v>
      </c>
      <c r="W1910" t="s">
        <v>4371</v>
      </c>
    </row>
    <row r="1911" spans="1:23" x14ac:dyDescent="0.3">
      <c r="A1911" s="110">
        <v>2400126</v>
      </c>
      <c r="B1911" s="110" t="s">
        <v>2088</v>
      </c>
      <c r="C1911" s="110" t="s">
        <v>2088</v>
      </c>
      <c r="D1911" s="110" t="s">
        <v>2088</v>
      </c>
      <c r="E1911" s="110" t="s">
        <v>2105</v>
      </c>
      <c r="F1911" s="110" t="s">
        <v>113</v>
      </c>
      <c r="G1911" s="110" t="s">
        <v>114</v>
      </c>
      <c r="H1911" s="111">
        <v>1068</v>
      </c>
      <c r="I1911" s="111">
        <v>1027</v>
      </c>
      <c r="J1911" s="111">
        <v>979</v>
      </c>
      <c r="K1911" s="111">
        <f t="shared" si="264"/>
        <v>1024.6666666666667</v>
      </c>
      <c r="L1911" s="111">
        <f>600000</f>
        <v>600000</v>
      </c>
      <c r="M1911" s="111">
        <f t="shared" si="265"/>
        <v>270000</v>
      </c>
      <c r="N1911" s="111">
        <f t="shared" si="266"/>
        <v>270000</v>
      </c>
      <c r="O1911" s="111">
        <f t="shared" si="267"/>
        <v>54000</v>
      </c>
      <c r="P1911" s="111">
        <f t="shared" si="268"/>
        <v>60000</v>
      </c>
      <c r="Q1911" s="111">
        <v>80000</v>
      </c>
      <c r="R1911" s="111">
        <v>8</v>
      </c>
      <c r="S1911" s="111">
        <f t="shared" si="269"/>
        <v>8000</v>
      </c>
      <c r="T1911" s="111">
        <f t="shared" si="270"/>
        <v>680000</v>
      </c>
      <c r="U1911" s="111">
        <f t="shared" si="271"/>
        <v>6800</v>
      </c>
      <c r="V1911" s="111">
        <f t="shared" si="272"/>
        <v>686800</v>
      </c>
      <c r="W1911" t="s">
        <v>4372</v>
      </c>
    </row>
    <row r="1912" spans="1:23" x14ac:dyDescent="0.3">
      <c r="A1912" s="110">
        <v>2400129</v>
      </c>
      <c r="B1912" s="110" t="s">
        <v>2088</v>
      </c>
      <c r="C1912" s="110" t="s">
        <v>2088</v>
      </c>
      <c r="D1912" s="110" t="s">
        <v>2088</v>
      </c>
      <c r="E1912" s="110" t="s">
        <v>2106</v>
      </c>
      <c r="F1912" s="110" t="s">
        <v>113</v>
      </c>
      <c r="G1912" s="110" t="s">
        <v>114</v>
      </c>
      <c r="H1912" s="111">
        <v>111</v>
      </c>
      <c r="I1912" s="111">
        <v>119</v>
      </c>
      <c r="J1912" s="111">
        <v>111</v>
      </c>
      <c r="K1912" s="111">
        <f t="shared" si="264"/>
        <v>113.66666666666667</v>
      </c>
      <c r="L1912" s="111">
        <v>150000</v>
      </c>
      <c r="M1912" s="111">
        <f t="shared" si="265"/>
        <v>67500</v>
      </c>
      <c r="N1912" s="111">
        <f t="shared" si="266"/>
        <v>67500</v>
      </c>
      <c r="O1912" s="111">
        <f t="shared" si="267"/>
        <v>13500</v>
      </c>
      <c r="P1912" s="111">
        <f t="shared" si="268"/>
        <v>15000</v>
      </c>
      <c r="Q1912" s="111">
        <v>30000</v>
      </c>
      <c r="R1912" s="111">
        <v>3</v>
      </c>
      <c r="S1912" s="111">
        <f t="shared" si="269"/>
        <v>3000</v>
      </c>
      <c r="T1912" s="111">
        <f t="shared" si="270"/>
        <v>180000</v>
      </c>
      <c r="U1912" s="111">
        <f t="shared" si="271"/>
        <v>1800</v>
      </c>
      <c r="V1912" s="111">
        <f t="shared" si="272"/>
        <v>181800</v>
      </c>
      <c r="W1912" t="s">
        <v>4373</v>
      </c>
    </row>
    <row r="1913" spans="1:23" x14ac:dyDescent="0.3">
      <c r="A1913" s="110">
        <v>2400130</v>
      </c>
      <c r="B1913" s="110" t="s">
        <v>2088</v>
      </c>
      <c r="C1913" s="110" t="s">
        <v>2088</v>
      </c>
      <c r="D1913" s="110" t="s">
        <v>2088</v>
      </c>
      <c r="E1913" s="110" t="s">
        <v>2107</v>
      </c>
      <c r="F1913" s="110" t="s">
        <v>113</v>
      </c>
      <c r="G1913" s="110" t="s">
        <v>114</v>
      </c>
      <c r="H1913" s="111">
        <v>503</v>
      </c>
      <c r="I1913" s="111">
        <v>516</v>
      </c>
      <c r="J1913" s="111">
        <v>525</v>
      </c>
      <c r="K1913" s="111">
        <f t="shared" si="264"/>
        <v>514.66666666666663</v>
      </c>
      <c r="L1913" s="111">
        <f>300000</f>
        <v>300000</v>
      </c>
      <c r="M1913" s="111">
        <f t="shared" si="265"/>
        <v>135000</v>
      </c>
      <c r="N1913" s="111">
        <f t="shared" si="266"/>
        <v>135000</v>
      </c>
      <c r="O1913" s="111">
        <f t="shared" si="267"/>
        <v>27000</v>
      </c>
      <c r="P1913" s="111">
        <f t="shared" si="268"/>
        <v>30000</v>
      </c>
      <c r="Q1913" s="111">
        <v>60000</v>
      </c>
      <c r="R1913" s="111">
        <v>6</v>
      </c>
      <c r="S1913" s="111">
        <f t="shared" si="269"/>
        <v>6000</v>
      </c>
      <c r="T1913" s="111">
        <f t="shared" si="270"/>
        <v>360000</v>
      </c>
      <c r="U1913" s="111">
        <f t="shared" si="271"/>
        <v>3600</v>
      </c>
      <c r="V1913" s="111">
        <f t="shared" si="272"/>
        <v>363600</v>
      </c>
      <c r="W1913" t="s">
        <v>4374</v>
      </c>
    </row>
    <row r="1914" spans="1:23" x14ac:dyDescent="0.3">
      <c r="A1914" s="110">
        <v>2400132</v>
      </c>
      <c r="B1914" s="110" t="s">
        <v>2088</v>
      </c>
      <c r="C1914" s="110" t="s">
        <v>2088</v>
      </c>
      <c r="D1914" s="110" t="s">
        <v>2088</v>
      </c>
      <c r="E1914" s="110" t="s">
        <v>2108</v>
      </c>
      <c r="F1914" s="110" t="s">
        <v>113</v>
      </c>
      <c r="G1914" s="110" t="s">
        <v>114</v>
      </c>
      <c r="H1914" s="111">
        <v>296</v>
      </c>
      <c r="I1914" s="111">
        <v>330</v>
      </c>
      <c r="J1914" s="111">
        <v>343</v>
      </c>
      <c r="K1914" s="111">
        <f t="shared" si="264"/>
        <v>323</v>
      </c>
      <c r="L1914" s="111">
        <v>200000</v>
      </c>
      <c r="M1914" s="111">
        <f t="shared" si="265"/>
        <v>90000</v>
      </c>
      <c r="N1914" s="111">
        <f t="shared" si="266"/>
        <v>90000</v>
      </c>
      <c r="O1914" s="111">
        <f t="shared" si="267"/>
        <v>18000</v>
      </c>
      <c r="P1914" s="111">
        <f t="shared" si="268"/>
        <v>20000</v>
      </c>
      <c r="Q1914" s="111">
        <v>50000</v>
      </c>
      <c r="R1914" s="111">
        <v>5</v>
      </c>
      <c r="S1914" s="111">
        <f t="shared" si="269"/>
        <v>5000</v>
      </c>
      <c r="T1914" s="111">
        <f t="shared" si="270"/>
        <v>250000</v>
      </c>
      <c r="U1914" s="111">
        <f t="shared" si="271"/>
        <v>2500</v>
      </c>
      <c r="V1914" s="111">
        <f t="shared" si="272"/>
        <v>252500</v>
      </c>
      <c r="W1914" t="s">
        <v>4375</v>
      </c>
    </row>
    <row r="1915" spans="1:23" x14ac:dyDescent="0.3">
      <c r="A1915" s="110">
        <v>2400133</v>
      </c>
      <c r="B1915" s="110" t="s">
        <v>2088</v>
      </c>
      <c r="C1915" s="110" t="s">
        <v>2088</v>
      </c>
      <c r="D1915" s="110" t="s">
        <v>2088</v>
      </c>
      <c r="E1915" s="110" t="s">
        <v>2109</v>
      </c>
      <c r="F1915" s="110" t="s">
        <v>113</v>
      </c>
      <c r="G1915" s="110" t="s">
        <v>114</v>
      </c>
      <c r="H1915" s="111">
        <v>256</v>
      </c>
      <c r="I1915" s="111">
        <v>234</v>
      </c>
      <c r="J1915" s="111">
        <v>240</v>
      </c>
      <c r="K1915" s="111">
        <f t="shared" si="264"/>
        <v>243.33333333333334</v>
      </c>
      <c r="L1915" s="111">
        <v>200000</v>
      </c>
      <c r="M1915" s="111">
        <f t="shared" si="265"/>
        <v>90000</v>
      </c>
      <c r="N1915" s="111">
        <f t="shared" si="266"/>
        <v>90000</v>
      </c>
      <c r="O1915" s="111">
        <f t="shared" si="267"/>
        <v>18000</v>
      </c>
      <c r="P1915" s="111">
        <f t="shared" si="268"/>
        <v>20000</v>
      </c>
      <c r="Q1915" s="111">
        <v>50000</v>
      </c>
      <c r="R1915" s="111">
        <v>5</v>
      </c>
      <c r="S1915" s="111">
        <f t="shared" si="269"/>
        <v>5000</v>
      </c>
      <c r="T1915" s="111">
        <f t="shared" si="270"/>
        <v>250000</v>
      </c>
      <c r="U1915" s="111">
        <f t="shared" si="271"/>
        <v>2500</v>
      </c>
      <c r="V1915" s="111">
        <f t="shared" si="272"/>
        <v>252500</v>
      </c>
      <c r="W1915" t="s">
        <v>4376</v>
      </c>
    </row>
    <row r="1916" spans="1:23" x14ac:dyDescent="0.3">
      <c r="A1916" s="110">
        <v>2400134</v>
      </c>
      <c r="B1916" s="110" t="s">
        <v>2088</v>
      </c>
      <c r="C1916" s="110" t="s">
        <v>2088</v>
      </c>
      <c r="D1916" s="110" t="s">
        <v>2088</v>
      </c>
      <c r="E1916" s="110" t="s">
        <v>2110</v>
      </c>
      <c r="F1916" s="110" t="s">
        <v>113</v>
      </c>
      <c r="G1916" s="110" t="s">
        <v>114</v>
      </c>
      <c r="H1916" s="111">
        <v>294</v>
      </c>
      <c r="I1916" s="111">
        <v>327</v>
      </c>
      <c r="J1916" s="111">
        <v>358</v>
      </c>
      <c r="K1916" s="111">
        <f t="shared" si="264"/>
        <v>326.33333333333331</v>
      </c>
      <c r="L1916" s="111">
        <f>200000*0.7</f>
        <v>140000</v>
      </c>
      <c r="M1916" s="111">
        <f t="shared" si="265"/>
        <v>63000</v>
      </c>
      <c r="N1916" s="111">
        <f t="shared" si="266"/>
        <v>63000</v>
      </c>
      <c r="O1916" s="111">
        <f t="shared" si="267"/>
        <v>12600</v>
      </c>
      <c r="P1916" s="111">
        <f t="shared" si="268"/>
        <v>14000</v>
      </c>
      <c r="Q1916" s="111">
        <v>50000</v>
      </c>
      <c r="R1916" s="111">
        <v>5</v>
      </c>
      <c r="S1916" s="111">
        <f t="shared" si="269"/>
        <v>5000</v>
      </c>
      <c r="T1916" s="111">
        <f t="shared" si="270"/>
        <v>190000</v>
      </c>
      <c r="U1916" s="111">
        <f t="shared" si="271"/>
        <v>1900</v>
      </c>
      <c r="V1916" s="111">
        <f t="shared" si="272"/>
        <v>191900</v>
      </c>
      <c r="W1916" t="s">
        <v>4377</v>
      </c>
    </row>
    <row r="1917" spans="1:23" x14ac:dyDescent="0.3">
      <c r="A1917" s="110">
        <v>2400138</v>
      </c>
      <c r="B1917" s="110" t="s">
        <v>2088</v>
      </c>
      <c r="C1917" s="110" t="s">
        <v>2088</v>
      </c>
      <c r="D1917" s="110" t="s">
        <v>2111</v>
      </c>
      <c r="E1917" s="110" t="s">
        <v>184</v>
      </c>
      <c r="F1917" s="110" t="s">
        <v>113</v>
      </c>
      <c r="G1917" s="110" t="s">
        <v>114</v>
      </c>
      <c r="H1917" s="111">
        <v>135</v>
      </c>
      <c r="I1917" s="111">
        <v>136</v>
      </c>
      <c r="J1917" s="111">
        <v>128</v>
      </c>
      <c r="K1917" s="111">
        <f t="shared" si="264"/>
        <v>133</v>
      </c>
      <c r="L1917" s="111">
        <v>150000</v>
      </c>
      <c r="M1917" s="111">
        <f t="shared" si="265"/>
        <v>67500</v>
      </c>
      <c r="N1917" s="111">
        <f t="shared" si="266"/>
        <v>67500</v>
      </c>
      <c r="O1917" s="111">
        <f t="shared" si="267"/>
        <v>13500</v>
      </c>
      <c r="P1917" s="111">
        <f t="shared" si="268"/>
        <v>15000</v>
      </c>
      <c r="Q1917" s="111">
        <v>30000</v>
      </c>
      <c r="R1917" s="111">
        <v>3</v>
      </c>
      <c r="S1917" s="111">
        <f t="shared" si="269"/>
        <v>3000</v>
      </c>
      <c r="T1917" s="111">
        <f t="shared" si="270"/>
        <v>180000</v>
      </c>
      <c r="U1917" s="111">
        <f t="shared" si="271"/>
        <v>1800</v>
      </c>
      <c r="V1917" s="111">
        <f t="shared" si="272"/>
        <v>181800</v>
      </c>
      <c r="W1917" t="s">
        <v>4378</v>
      </c>
    </row>
    <row r="1918" spans="1:23" x14ac:dyDescent="0.3">
      <c r="A1918" s="110">
        <v>2400139</v>
      </c>
      <c r="B1918" s="110" t="s">
        <v>2088</v>
      </c>
      <c r="C1918" s="110" t="s">
        <v>2088</v>
      </c>
      <c r="D1918" s="110" t="s">
        <v>2112</v>
      </c>
      <c r="E1918" s="110" t="s">
        <v>2113</v>
      </c>
      <c r="F1918" s="110" t="s">
        <v>113</v>
      </c>
      <c r="G1918" s="110" t="s">
        <v>114</v>
      </c>
      <c r="H1918" s="111">
        <v>51</v>
      </c>
      <c r="I1918" s="111">
        <v>52</v>
      </c>
      <c r="J1918" s="111">
        <v>51</v>
      </c>
      <c r="K1918" s="111">
        <f t="shared" si="264"/>
        <v>51.333333333333336</v>
      </c>
      <c r="L1918" s="111">
        <v>150000</v>
      </c>
      <c r="M1918" s="111">
        <f t="shared" si="265"/>
        <v>67500</v>
      </c>
      <c r="N1918" s="111">
        <f t="shared" si="266"/>
        <v>67500</v>
      </c>
      <c r="O1918" s="111">
        <f t="shared" si="267"/>
        <v>13500</v>
      </c>
      <c r="P1918" s="111">
        <f t="shared" si="268"/>
        <v>15000</v>
      </c>
      <c r="Q1918" s="111">
        <v>30000</v>
      </c>
      <c r="R1918" s="111">
        <v>3</v>
      </c>
      <c r="S1918" s="111">
        <f t="shared" si="269"/>
        <v>3000</v>
      </c>
      <c r="T1918" s="111">
        <f t="shared" si="270"/>
        <v>180000</v>
      </c>
      <c r="U1918" s="111">
        <f t="shared" si="271"/>
        <v>1800</v>
      </c>
      <c r="V1918" s="111">
        <f t="shared" si="272"/>
        <v>181800</v>
      </c>
      <c r="W1918" t="s">
        <v>4379</v>
      </c>
    </row>
    <row r="1919" spans="1:23" x14ac:dyDescent="0.3">
      <c r="A1919" s="110">
        <v>2400140</v>
      </c>
      <c r="B1919" s="110" t="s">
        <v>2088</v>
      </c>
      <c r="C1919" s="110" t="s">
        <v>2088</v>
      </c>
      <c r="D1919" s="110" t="s">
        <v>2114</v>
      </c>
      <c r="E1919" s="110" t="s">
        <v>2115</v>
      </c>
      <c r="F1919" s="110" t="s">
        <v>113</v>
      </c>
      <c r="G1919" s="110" t="s">
        <v>114</v>
      </c>
      <c r="H1919" s="111">
        <v>91</v>
      </c>
      <c r="I1919" s="111">
        <v>70</v>
      </c>
      <c r="J1919" s="111">
        <v>115</v>
      </c>
      <c r="K1919" s="111">
        <f t="shared" si="264"/>
        <v>92</v>
      </c>
      <c r="L1919" s="111">
        <v>150000</v>
      </c>
      <c r="M1919" s="111">
        <f t="shared" si="265"/>
        <v>67500</v>
      </c>
      <c r="N1919" s="111">
        <f t="shared" si="266"/>
        <v>67500</v>
      </c>
      <c r="O1919" s="111">
        <f t="shared" si="267"/>
        <v>13500</v>
      </c>
      <c r="P1919" s="111">
        <f t="shared" si="268"/>
        <v>15000</v>
      </c>
      <c r="Q1919" s="111">
        <v>30000</v>
      </c>
      <c r="R1919" s="111">
        <v>3</v>
      </c>
      <c r="S1919" s="111">
        <f t="shared" si="269"/>
        <v>3000</v>
      </c>
      <c r="T1919" s="111">
        <f t="shared" si="270"/>
        <v>180000</v>
      </c>
      <c r="U1919" s="111">
        <f t="shared" si="271"/>
        <v>1800</v>
      </c>
      <c r="V1919" s="111">
        <f t="shared" si="272"/>
        <v>181800</v>
      </c>
      <c r="W1919" t="s">
        <v>4380</v>
      </c>
    </row>
    <row r="1920" spans="1:23" x14ac:dyDescent="0.3">
      <c r="A1920" s="110">
        <v>2400141</v>
      </c>
      <c r="B1920" s="110" t="s">
        <v>2088</v>
      </c>
      <c r="C1920" s="110" t="s">
        <v>2088</v>
      </c>
      <c r="D1920" s="110" t="s">
        <v>2116</v>
      </c>
      <c r="E1920" s="110" t="s">
        <v>184</v>
      </c>
      <c r="F1920" s="110" t="s">
        <v>113</v>
      </c>
      <c r="G1920" s="110" t="s">
        <v>114</v>
      </c>
      <c r="H1920" s="111">
        <v>75</v>
      </c>
      <c r="I1920" s="111">
        <v>74</v>
      </c>
      <c r="J1920" s="111">
        <v>91</v>
      </c>
      <c r="K1920" s="111">
        <f t="shared" si="264"/>
        <v>80</v>
      </c>
      <c r="L1920" s="111">
        <v>150000</v>
      </c>
      <c r="M1920" s="111">
        <f t="shared" si="265"/>
        <v>67500</v>
      </c>
      <c r="N1920" s="111">
        <f t="shared" si="266"/>
        <v>67500</v>
      </c>
      <c r="O1920" s="111">
        <f t="shared" si="267"/>
        <v>13500</v>
      </c>
      <c r="P1920" s="111">
        <f t="shared" si="268"/>
        <v>15000</v>
      </c>
      <c r="Q1920" s="111">
        <v>30000</v>
      </c>
      <c r="R1920" s="111">
        <v>3</v>
      </c>
      <c r="S1920" s="111">
        <f t="shared" si="269"/>
        <v>3000</v>
      </c>
      <c r="T1920" s="111">
        <f t="shared" si="270"/>
        <v>180000</v>
      </c>
      <c r="U1920" s="111">
        <f t="shared" si="271"/>
        <v>1800</v>
      </c>
      <c r="V1920" s="111">
        <f t="shared" si="272"/>
        <v>181800</v>
      </c>
      <c r="W1920" t="s">
        <v>4381</v>
      </c>
    </row>
    <row r="1921" spans="1:23" x14ac:dyDescent="0.3">
      <c r="A1921" s="110">
        <v>2400142</v>
      </c>
      <c r="B1921" s="110" t="s">
        <v>2088</v>
      </c>
      <c r="C1921" s="110" t="s">
        <v>2088</v>
      </c>
      <c r="D1921" s="110" t="s">
        <v>2117</v>
      </c>
      <c r="E1921" s="110" t="s">
        <v>390</v>
      </c>
      <c r="F1921" s="110" t="s">
        <v>113</v>
      </c>
      <c r="G1921" s="110" t="s">
        <v>114</v>
      </c>
      <c r="H1921" s="111">
        <v>112</v>
      </c>
      <c r="I1921" s="111">
        <v>110</v>
      </c>
      <c r="J1921" s="111">
        <v>85</v>
      </c>
      <c r="K1921" s="111">
        <f t="shared" si="264"/>
        <v>102.33333333333333</v>
      </c>
      <c r="L1921" s="111">
        <v>150000</v>
      </c>
      <c r="M1921" s="111">
        <f t="shared" si="265"/>
        <v>67500</v>
      </c>
      <c r="N1921" s="111">
        <f t="shared" si="266"/>
        <v>67500</v>
      </c>
      <c r="O1921" s="111">
        <f t="shared" si="267"/>
        <v>13500</v>
      </c>
      <c r="P1921" s="111">
        <f t="shared" si="268"/>
        <v>15000</v>
      </c>
      <c r="Q1921" s="111">
        <v>30000</v>
      </c>
      <c r="R1921" s="111">
        <v>3</v>
      </c>
      <c r="S1921" s="111">
        <f t="shared" si="269"/>
        <v>3000</v>
      </c>
      <c r="T1921" s="111">
        <f t="shared" si="270"/>
        <v>180000</v>
      </c>
      <c r="U1921" s="111">
        <f t="shared" si="271"/>
        <v>1800</v>
      </c>
      <c r="V1921" s="111">
        <f t="shared" si="272"/>
        <v>181800</v>
      </c>
      <c r="W1921" t="s">
        <v>4382</v>
      </c>
    </row>
    <row r="1922" spans="1:23" x14ac:dyDescent="0.3">
      <c r="A1922" s="110">
        <v>2400143</v>
      </c>
      <c r="B1922" s="110" t="s">
        <v>2088</v>
      </c>
      <c r="C1922" s="110" t="s">
        <v>2088</v>
      </c>
      <c r="D1922" s="110" t="s">
        <v>2118</v>
      </c>
      <c r="E1922" s="110" t="s">
        <v>2119</v>
      </c>
      <c r="F1922" s="110" t="s">
        <v>113</v>
      </c>
      <c r="G1922" s="110" t="s">
        <v>114</v>
      </c>
      <c r="H1922" s="111">
        <v>87</v>
      </c>
      <c r="I1922" s="111">
        <v>83</v>
      </c>
      <c r="J1922" s="111">
        <v>77</v>
      </c>
      <c r="K1922" s="111">
        <f t="shared" ref="K1922:K1985" si="273">+(H1922+I1922+J1922)/3</f>
        <v>82.333333333333329</v>
      </c>
      <c r="L1922" s="111">
        <v>150000</v>
      </c>
      <c r="M1922" s="111">
        <f t="shared" ref="M1922:M1985" si="274">+L1922*0.45</f>
        <v>67500</v>
      </c>
      <c r="N1922" s="111">
        <f t="shared" ref="N1922:N1985" si="275">+L1922*0.45</f>
        <v>67500</v>
      </c>
      <c r="O1922" s="111">
        <f t="shared" ref="O1922:O1985" si="276">+N1922*0.2</f>
        <v>13500</v>
      </c>
      <c r="P1922" s="111">
        <f t="shared" ref="P1922:P1985" si="277">++L1922*0.1</f>
        <v>15000</v>
      </c>
      <c r="Q1922" s="111">
        <v>30000</v>
      </c>
      <c r="R1922" s="111">
        <v>3</v>
      </c>
      <c r="S1922" s="111">
        <f t="shared" ref="S1922:S1985" si="278">+Q1922*0.1</f>
        <v>3000</v>
      </c>
      <c r="T1922" s="111">
        <f t="shared" ref="T1922:T1985" si="279">+L1922+Q1922</f>
        <v>180000</v>
      </c>
      <c r="U1922" s="111">
        <f t="shared" ref="U1922:U1985" si="280">+T1922*0.01</f>
        <v>1800</v>
      </c>
      <c r="V1922" s="111">
        <f t="shared" ref="V1922:V1985" si="281">+T1922+U1922</f>
        <v>181800</v>
      </c>
      <c r="W1922" t="s">
        <v>4383</v>
      </c>
    </row>
    <row r="1923" spans="1:23" x14ac:dyDescent="0.3">
      <c r="A1923" s="110">
        <v>2400144</v>
      </c>
      <c r="B1923" s="110" t="s">
        <v>2088</v>
      </c>
      <c r="C1923" s="110" t="s">
        <v>2088</v>
      </c>
      <c r="D1923" s="110" t="s">
        <v>2120</v>
      </c>
      <c r="E1923" s="110" t="s">
        <v>143</v>
      </c>
      <c r="F1923" s="110" t="s">
        <v>113</v>
      </c>
      <c r="G1923" s="110" t="s">
        <v>114</v>
      </c>
      <c r="H1923" s="111">
        <v>142</v>
      </c>
      <c r="I1923" s="111">
        <v>152</v>
      </c>
      <c r="J1923" s="111">
        <v>139</v>
      </c>
      <c r="K1923" s="111">
        <f t="shared" si="273"/>
        <v>144.33333333333334</v>
      </c>
      <c r="L1923" s="111">
        <v>150000</v>
      </c>
      <c r="M1923" s="111">
        <f t="shared" si="274"/>
        <v>67500</v>
      </c>
      <c r="N1923" s="111">
        <f t="shared" si="275"/>
        <v>67500</v>
      </c>
      <c r="O1923" s="111">
        <f t="shared" si="276"/>
        <v>13500</v>
      </c>
      <c r="P1923" s="111">
        <f t="shared" si="277"/>
        <v>15000</v>
      </c>
      <c r="Q1923" s="111">
        <v>30000</v>
      </c>
      <c r="R1923" s="111">
        <v>3</v>
      </c>
      <c r="S1923" s="111">
        <f t="shared" si="278"/>
        <v>3000</v>
      </c>
      <c r="T1923" s="111">
        <f t="shared" si="279"/>
        <v>180000</v>
      </c>
      <c r="U1923" s="111">
        <f t="shared" si="280"/>
        <v>1800</v>
      </c>
      <c r="V1923" s="111">
        <f t="shared" si="281"/>
        <v>181800</v>
      </c>
      <c r="W1923" t="s">
        <v>4384</v>
      </c>
    </row>
    <row r="1924" spans="1:23" x14ac:dyDescent="0.3">
      <c r="A1924" s="110">
        <v>2400145</v>
      </c>
      <c r="B1924" s="110" t="s">
        <v>2088</v>
      </c>
      <c r="C1924" s="110" t="s">
        <v>2088</v>
      </c>
      <c r="D1924" s="110" t="s">
        <v>2121</v>
      </c>
      <c r="E1924" s="110" t="s">
        <v>184</v>
      </c>
      <c r="F1924" s="110" t="s">
        <v>113</v>
      </c>
      <c r="G1924" s="110" t="s">
        <v>114</v>
      </c>
      <c r="H1924" s="111">
        <v>66</v>
      </c>
      <c r="I1924" s="111">
        <v>80</v>
      </c>
      <c r="J1924" s="111">
        <v>79</v>
      </c>
      <c r="K1924" s="111">
        <f t="shared" si="273"/>
        <v>75</v>
      </c>
      <c r="L1924" s="111">
        <v>150000</v>
      </c>
      <c r="M1924" s="111">
        <f t="shared" si="274"/>
        <v>67500</v>
      </c>
      <c r="N1924" s="111">
        <f t="shared" si="275"/>
        <v>67500</v>
      </c>
      <c r="O1924" s="111">
        <f t="shared" si="276"/>
        <v>13500</v>
      </c>
      <c r="P1924" s="111">
        <f t="shared" si="277"/>
        <v>15000</v>
      </c>
      <c r="Q1924" s="111">
        <v>30000</v>
      </c>
      <c r="R1924" s="111">
        <v>3</v>
      </c>
      <c r="S1924" s="111">
        <f t="shared" si="278"/>
        <v>3000</v>
      </c>
      <c r="T1924" s="111">
        <f t="shared" si="279"/>
        <v>180000</v>
      </c>
      <c r="U1924" s="111">
        <f t="shared" si="280"/>
        <v>1800</v>
      </c>
      <c r="V1924" s="111">
        <f t="shared" si="281"/>
        <v>181800</v>
      </c>
      <c r="W1924" t="s">
        <v>4385</v>
      </c>
    </row>
    <row r="1925" spans="1:23" x14ac:dyDescent="0.3">
      <c r="A1925" s="110">
        <v>2400146</v>
      </c>
      <c r="B1925" s="110" t="s">
        <v>2088</v>
      </c>
      <c r="C1925" s="110" t="s">
        <v>2088</v>
      </c>
      <c r="D1925" s="110" t="s">
        <v>2088</v>
      </c>
      <c r="E1925" s="110" t="s">
        <v>2122</v>
      </c>
      <c r="F1925" s="110" t="s">
        <v>209</v>
      </c>
      <c r="G1925" s="110" t="s">
        <v>114</v>
      </c>
      <c r="H1925" s="111">
        <v>225</v>
      </c>
      <c r="I1925" s="111">
        <v>228</v>
      </c>
      <c r="J1925" s="111">
        <v>225</v>
      </c>
      <c r="K1925" s="111">
        <f t="shared" si="273"/>
        <v>226</v>
      </c>
      <c r="L1925" s="111">
        <v>200000</v>
      </c>
      <c r="M1925" s="111">
        <f t="shared" si="274"/>
        <v>90000</v>
      </c>
      <c r="N1925" s="111">
        <f t="shared" si="275"/>
        <v>90000</v>
      </c>
      <c r="O1925" s="111">
        <f t="shared" si="276"/>
        <v>18000</v>
      </c>
      <c r="P1925" s="111">
        <f t="shared" si="277"/>
        <v>20000</v>
      </c>
      <c r="Q1925" s="111">
        <v>50000</v>
      </c>
      <c r="R1925" s="111">
        <v>5</v>
      </c>
      <c r="S1925" s="111">
        <f t="shared" si="278"/>
        <v>5000</v>
      </c>
      <c r="T1925" s="111">
        <f t="shared" si="279"/>
        <v>250000</v>
      </c>
      <c r="U1925" s="111">
        <f t="shared" si="280"/>
        <v>2500</v>
      </c>
      <c r="V1925" s="111">
        <f t="shared" si="281"/>
        <v>252500</v>
      </c>
      <c r="W1925" t="s">
        <v>4386</v>
      </c>
    </row>
    <row r="1926" spans="1:23" x14ac:dyDescent="0.3">
      <c r="A1926" s="110">
        <v>2400147</v>
      </c>
      <c r="B1926" s="110" t="s">
        <v>2088</v>
      </c>
      <c r="C1926" s="110" t="s">
        <v>2088</v>
      </c>
      <c r="D1926" s="110" t="s">
        <v>2088</v>
      </c>
      <c r="E1926" s="110" t="s">
        <v>2123</v>
      </c>
      <c r="F1926" s="110" t="s">
        <v>209</v>
      </c>
      <c r="G1926" s="110" t="s">
        <v>114</v>
      </c>
      <c r="H1926" s="111">
        <v>63</v>
      </c>
      <c r="I1926" s="111">
        <v>80</v>
      </c>
      <c r="J1926" s="111">
        <v>86</v>
      </c>
      <c r="K1926" s="111">
        <f t="shared" si="273"/>
        <v>76.333333333333329</v>
      </c>
      <c r="L1926" s="111">
        <v>150000</v>
      </c>
      <c r="M1926" s="111">
        <f t="shared" si="274"/>
        <v>67500</v>
      </c>
      <c r="N1926" s="111">
        <f t="shared" si="275"/>
        <v>67500</v>
      </c>
      <c r="O1926" s="111">
        <f t="shared" si="276"/>
        <v>13500</v>
      </c>
      <c r="P1926" s="111">
        <f t="shared" si="277"/>
        <v>15000</v>
      </c>
      <c r="Q1926" s="111">
        <v>30000</v>
      </c>
      <c r="R1926" s="111">
        <v>3</v>
      </c>
      <c r="S1926" s="111">
        <f t="shared" si="278"/>
        <v>3000</v>
      </c>
      <c r="T1926" s="111">
        <f t="shared" si="279"/>
        <v>180000</v>
      </c>
      <c r="U1926" s="111">
        <f t="shared" si="280"/>
        <v>1800</v>
      </c>
      <c r="V1926" s="111">
        <f t="shared" si="281"/>
        <v>181800</v>
      </c>
      <c r="W1926" t="s">
        <v>4387</v>
      </c>
    </row>
    <row r="1927" spans="1:23" x14ac:dyDescent="0.3">
      <c r="A1927" s="110">
        <v>2400165</v>
      </c>
      <c r="B1927" s="110" t="s">
        <v>2088</v>
      </c>
      <c r="C1927" s="110" t="s">
        <v>2088</v>
      </c>
      <c r="D1927" s="110" t="s">
        <v>2088</v>
      </c>
      <c r="E1927" s="110" t="s">
        <v>2124</v>
      </c>
      <c r="F1927" s="110" t="s">
        <v>117</v>
      </c>
      <c r="G1927" s="110" t="s">
        <v>125</v>
      </c>
      <c r="H1927" s="111">
        <v>470</v>
      </c>
      <c r="I1927" s="111">
        <v>474</v>
      </c>
      <c r="J1927" s="111">
        <v>511</v>
      </c>
      <c r="K1927" s="111">
        <f t="shared" si="273"/>
        <v>485</v>
      </c>
      <c r="L1927" s="111">
        <f>300000</f>
        <v>300000</v>
      </c>
      <c r="M1927" s="111">
        <f t="shared" si="274"/>
        <v>135000</v>
      </c>
      <c r="N1927" s="111">
        <f t="shared" si="275"/>
        <v>135000</v>
      </c>
      <c r="O1927" s="111">
        <f t="shared" si="276"/>
        <v>27000</v>
      </c>
      <c r="P1927" s="111">
        <f t="shared" si="277"/>
        <v>30000</v>
      </c>
      <c r="Q1927" s="111">
        <v>60000</v>
      </c>
      <c r="R1927" s="111">
        <v>6</v>
      </c>
      <c r="S1927" s="111">
        <f t="shared" si="278"/>
        <v>6000</v>
      </c>
      <c r="T1927" s="111">
        <f t="shared" si="279"/>
        <v>360000</v>
      </c>
      <c r="U1927" s="111">
        <f t="shared" si="280"/>
        <v>3600</v>
      </c>
      <c r="V1927" s="111">
        <f t="shared" si="281"/>
        <v>363600</v>
      </c>
      <c r="W1927" t="s">
        <v>4388</v>
      </c>
    </row>
    <row r="1928" spans="1:23" x14ac:dyDescent="0.3">
      <c r="A1928" s="110">
        <v>2400174</v>
      </c>
      <c r="B1928" s="110" t="s">
        <v>2088</v>
      </c>
      <c r="C1928" s="110" t="s">
        <v>2088</v>
      </c>
      <c r="D1928" s="110" t="s">
        <v>2088</v>
      </c>
      <c r="E1928" s="110" t="s">
        <v>272</v>
      </c>
      <c r="F1928" s="110" t="s">
        <v>119</v>
      </c>
      <c r="G1928" s="110" t="s">
        <v>114</v>
      </c>
      <c r="H1928" s="111">
        <v>220</v>
      </c>
      <c r="I1928" s="111">
        <v>287</v>
      </c>
      <c r="J1928" s="111">
        <v>254</v>
      </c>
      <c r="K1928" s="111">
        <f t="shared" si="273"/>
        <v>253.66666666666666</v>
      </c>
      <c r="L1928" s="111">
        <v>200000</v>
      </c>
      <c r="M1928" s="111">
        <f t="shared" si="274"/>
        <v>90000</v>
      </c>
      <c r="N1928" s="111">
        <f t="shared" si="275"/>
        <v>90000</v>
      </c>
      <c r="O1928" s="111">
        <f t="shared" si="276"/>
        <v>18000</v>
      </c>
      <c r="P1928" s="111">
        <f t="shared" si="277"/>
        <v>20000</v>
      </c>
      <c r="Q1928" s="111">
        <v>50000</v>
      </c>
      <c r="R1928" s="111">
        <v>5</v>
      </c>
      <c r="S1928" s="111">
        <f t="shared" si="278"/>
        <v>5000</v>
      </c>
      <c r="T1928" s="111">
        <f t="shared" si="279"/>
        <v>250000</v>
      </c>
      <c r="U1928" s="111">
        <f t="shared" si="280"/>
        <v>2500</v>
      </c>
      <c r="V1928" s="111">
        <f t="shared" si="281"/>
        <v>252500</v>
      </c>
      <c r="W1928" t="s">
        <v>4389</v>
      </c>
    </row>
    <row r="1929" spans="1:23" x14ac:dyDescent="0.3">
      <c r="A1929" s="110">
        <v>2400261</v>
      </c>
      <c r="B1929" s="110" t="s">
        <v>2088</v>
      </c>
      <c r="C1929" s="110" t="s">
        <v>2125</v>
      </c>
      <c r="D1929" s="110" t="s">
        <v>2125</v>
      </c>
      <c r="E1929" s="110" t="s">
        <v>2126</v>
      </c>
      <c r="F1929" s="110" t="s">
        <v>122</v>
      </c>
      <c r="G1929" s="110" t="s">
        <v>114</v>
      </c>
      <c r="H1929" s="111">
        <v>312</v>
      </c>
      <c r="I1929" s="111">
        <v>321</v>
      </c>
      <c r="J1929" s="111">
        <v>345</v>
      </c>
      <c r="K1929" s="111">
        <f t="shared" si="273"/>
        <v>326</v>
      </c>
      <c r="L1929" s="111">
        <v>200000</v>
      </c>
      <c r="M1929" s="111">
        <f t="shared" si="274"/>
        <v>90000</v>
      </c>
      <c r="N1929" s="111">
        <f t="shared" si="275"/>
        <v>90000</v>
      </c>
      <c r="O1929" s="111">
        <f t="shared" si="276"/>
        <v>18000</v>
      </c>
      <c r="P1929" s="111">
        <f t="shared" si="277"/>
        <v>20000</v>
      </c>
      <c r="Q1929" s="111">
        <v>50000</v>
      </c>
      <c r="R1929" s="111">
        <v>5</v>
      </c>
      <c r="S1929" s="111">
        <f t="shared" si="278"/>
        <v>5000</v>
      </c>
      <c r="T1929" s="111">
        <f t="shared" si="279"/>
        <v>250000</v>
      </c>
      <c r="U1929" s="111">
        <f t="shared" si="280"/>
        <v>2500</v>
      </c>
      <c r="V1929" s="111">
        <f t="shared" si="281"/>
        <v>252500</v>
      </c>
      <c r="W1929" t="s">
        <v>4390</v>
      </c>
    </row>
    <row r="1930" spans="1:23" x14ac:dyDescent="0.3">
      <c r="A1930" s="110">
        <v>2400262</v>
      </c>
      <c r="B1930" s="110" t="s">
        <v>2088</v>
      </c>
      <c r="C1930" s="110" t="s">
        <v>2125</v>
      </c>
      <c r="D1930" s="110" t="s">
        <v>2125</v>
      </c>
      <c r="E1930" s="110" t="s">
        <v>2127</v>
      </c>
      <c r="F1930" s="110" t="s">
        <v>122</v>
      </c>
      <c r="G1930" s="110" t="s">
        <v>114</v>
      </c>
      <c r="H1930" s="111">
        <v>671</v>
      </c>
      <c r="I1930" s="111">
        <v>674</v>
      </c>
      <c r="J1930" s="111">
        <v>689</v>
      </c>
      <c r="K1930" s="111">
        <f t="shared" si="273"/>
        <v>678</v>
      </c>
      <c r="L1930" s="111">
        <f>300000*0.7</f>
        <v>210000</v>
      </c>
      <c r="M1930" s="111">
        <f t="shared" si="274"/>
        <v>94500</v>
      </c>
      <c r="N1930" s="111">
        <f t="shared" si="275"/>
        <v>94500</v>
      </c>
      <c r="O1930" s="111">
        <f t="shared" si="276"/>
        <v>18900</v>
      </c>
      <c r="P1930" s="111">
        <f t="shared" si="277"/>
        <v>21000</v>
      </c>
      <c r="Q1930" s="111">
        <v>60000</v>
      </c>
      <c r="R1930" s="111">
        <v>6</v>
      </c>
      <c r="S1930" s="111">
        <f t="shared" si="278"/>
        <v>6000</v>
      </c>
      <c r="T1930" s="111">
        <f t="shared" si="279"/>
        <v>270000</v>
      </c>
      <c r="U1930" s="111">
        <f t="shared" si="280"/>
        <v>2700</v>
      </c>
      <c r="V1930" s="111">
        <f t="shared" si="281"/>
        <v>272700</v>
      </c>
      <c r="W1930" t="s">
        <v>4391</v>
      </c>
    </row>
    <row r="1931" spans="1:23" x14ac:dyDescent="0.3">
      <c r="A1931" s="110">
        <v>2400263</v>
      </c>
      <c r="B1931" s="110" t="s">
        <v>2088</v>
      </c>
      <c r="C1931" s="110" t="s">
        <v>2125</v>
      </c>
      <c r="D1931" s="110" t="s">
        <v>2125</v>
      </c>
      <c r="E1931" s="110" t="s">
        <v>2128</v>
      </c>
      <c r="F1931" s="110" t="s">
        <v>122</v>
      </c>
      <c r="G1931" s="110" t="s">
        <v>114</v>
      </c>
      <c r="H1931" s="111">
        <v>326</v>
      </c>
      <c r="I1931" s="111">
        <v>322</v>
      </c>
      <c r="J1931" s="111">
        <v>335</v>
      </c>
      <c r="K1931" s="111">
        <f t="shared" si="273"/>
        <v>327.66666666666669</v>
      </c>
      <c r="L1931" s="111">
        <v>200000</v>
      </c>
      <c r="M1931" s="111">
        <f t="shared" si="274"/>
        <v>90000</v>
      </c>
      <c r="N1931" s="111">
        <f t="shared" si="275"/>
        <v>90000</v>
      </c>
      <c r="O1931" s="111">
        <f t="shared" si="276"/>
        <v>18000</v>
      </c>
      <c r="P1931" s="111">
        <f t="shared" si="277"/>
        <v>20000</v>
      </c>
      <c r="Q1931" s="111">
        <v>50000</v>
      </c>
      <c r="R1931" s="111">
        <v>5</v>
      </c>
      <c r="S1931" s="111">
        <f t="shared" si="278"/>
        <v>5000</v>
      </c>
      <c r="T1931" s="111">
        <f t="shared" si="279"/>
        <v>250000</v>
      </c>
      <c r="U1931" s="111">
        <f t="shared" si="280"/>
        <v>2500</v>
      </c>
      <c r="V1931" s="111">
        <f t="shared" si="281"/>
        <v>252500</v>
      </c>
      <c r="W1931" t="s">
        <v>4392</v>
      </c>
    </row>
    <row r="1932" spans="1:23" x14ac:dyDescent="0.3">
      <c r="A1932" s="110">
        <v>2400264</v>
      </c>
      <c r="B1932" s="110" t="s">
        <v>2088</v>
      </c>
      <c r="C1932" s="110" t="s">
        <v>2125</v>
      </c>
      <c r="D1932" s="110" t="s">
        <v>2125</v>
      </c>
      <c r="E1932" s="110" t="s">
        <v>2129</v>
      </c>
      <c r="F1932" s="110" t="s">
        <v>119</v>
      </c>
      <c r="G1932" s="110" t="s">
        <v>114</v>
      </c>
      <c r="H1932" s="111">
        <v>967</v>
      </c>
      <c r="I1932" s="111">
        <v>957</v>
      </c>
      <c r="J1932" s="111">
        <v>901</v>
      </c>
      <c r="K1932" s="111">
        <f t="shared" si="273"/>
        <v>941.66666666666663</v>
      </c>
      <c r="L1932" s="111">
        <f>300000*0.7</f>
        <v>210000</v>
      </c>
      <c r="M1932" s="111">
        <f t="shared" si="274"/>
        <v>94500</v>
      </c>
      <c r="N1932" s="111">
        <f t="shared" si="275"/>
        <v>94500</v>
      </c>
      <c r="O1932" s="111">
        <f t="shared" si="276"/>
        <v>18900</v>
      </c>
      <c r="P1932" s="111">
        <f t="shared" si="277"/>
        <v>21000</v>
      </c>
      <c r="Q1932" s="111">
        <v>60000</v>
      </c>
      <c r="R1932" s="111">
        <v>6</v>
      </c>
      <c r="S1932" s="111">
        <f t="shared" si="278"/>
        <v>6000</v>
      </c>
      <c r="T1932" s="111">
        <f t="shared" si="279"/>
        <v>270000</v>
      </c>
      <c r="U1932" s="111">
        <f t="shared" si="280"/>
        <v>2700</v>
      </c>
      <c r="V1932" s="111">
        <f t="shared" si="281"/>
        <v>272700</v>
      </c>
      <c r="W1932" t="s">
        <v>4393</v>
      </c>
    </row>
    <row r="1933" spans="1:23" x14ac:dyDescent="0.3">
      <c r="A1933" s="110">
        <v>2400265</v>
      </c>
      <c r="B1933" s="110" t="s">
        <v>2088</v>
      </c>
      <c r="C1933" s="110" t="s">
        <v>2125</v>
      </c>
      <c r="D1933" s="110" t="s">
        <v>2125</v>
      </c>
      <c r="E1933" s="110" t="s">
        <v>2130</v>
      </c>
      <c r="F1933" s="110" t="s">
        <v>117</v>
      </c>
      <c r="G1933" s="110" t="s">
        <v>125</v>
      </c>
      <c r="H1933" s="111">
        <v>446</v>
      </c>
      <c r="I1933" s="111">
        <v>468</v>
      </c>
      <c r="J1933" s="111">
        <v>479</v>
      </c>
      <c r="K1933" s="111">
        <f t="shared" si="273"/>
        <v>464.33333333333331</v>
      </c>
      <c r="L1933" s="111">
        <f>300000</f>
        <v>300000</v>
      </c>
      <c r="M1933" s="111">
        <f t="shared" si="274"/>
        <v>135000</v>
      </c>
      <c r="N1933" s="111">
        <f t="shared" si="275"/>
        <v>135000</v>
      </c>
      <c r="O1933" s="111">
        <f t="shared" si="276"/>
        <v>27000</v>
      </c>
      <c r="P1933" s="111">
        <f t="shared" si="277"/>
        <v>30000</v>
      </c>
      <c r="Q1933" s="111">
        <v>60000</v>
      </c>
      <c r="R1933" s="111">
        <v>6</v>
      </c>
      <c r="S1933" s="111">
        <f t="shared" si="278"/>
        <v>6000</v>
      </c>
      <c r="T1933" s="111">
        <f t="shared" si="279"/>
        <v>360000</v>
      </c>
      <c r="U1933" s="111">
        <f t="shared" si="280"/>
        <v>3600</v>
      </c>
      <c r="V1933" s="111">
        <f t="shared" si="281"/>
        <v>363600</v>
      </c>
      <c r="W1933" t="s">
        <v>4394</v>
      </c>
    </row>
    <row r="1934" spans="1:23" x14ac:dyDescent="0.3">
      <c r="A1934" s="110">
        <v>2400266</v>
      </c>
      <c r="B1934" s="110" t="s">
        <v>2088</v>
      </c>
      <c r="C1934" s="110" t="s">
        <v>2125</v>
      </c>
      <c r="D1934" s="110" t="s">
        <v>2125</v>
      </c>
      <c r="E1934" s="110" t="s">
        <v>2131</v>
      </c>
      <c r="F1934" s="110" t="s">
        <v>117</v>
      </c>
      <c r="G1934" s="110" t="s">
        <v>125</v>
      </c>
      <c r="H1934" s="111">
        <v>420</v>
      </c>
      <c r="I1934" s="111">
        <v>410</v>
      </c>
      <c r="J1934" s="111">
        <v>391</v>
      </c>
      <c r="K1934" s="111">
        <f t="shared" si="273"/>
        <v>407</v>
      </c>
      <c r="L1934" s="111">
        <f>300000</f>
        <v>300000</v>
      </c>
      <c r="M1934" s="111">
        <f t="shared" si="274"/>
        <v>135000</v>
      </c>
      <c r="N1934" s="111">
        <f t="shared" si="275"/>
        <v>135000</v>
      </c>
      <c r="O1934" s="111">
        <f t="shared" si="276"/>
        <v>27000</v>
      </c>
      <c r="P1934" s="111">
        <f t="shared" si="277"/>
        <v>30000</v>
      </c>
      <c r="Q1934" s="111">
        <v>60000</v>
      </c>
      <c r="R1934" s="111">
        <v>6</v>
      </c>
      <c r="S1934" s="111">
        <f t="shared" si="278"/>
        <v>6000</v>
      </c>
      <c r="T1934" s="111">
        <f t="shared" si="279"/>
        <v>360000</v>
      </c>
      <c r="U1934" s="111">
        <f t="shared" si="280"/>
        <v>3600</v>
      </c>
      <c r="V1934" s="111">
        <f t="shared" si="281"/>
        <v>363600</v>
      </c>
      <c r="W1934" t="s">
        <v>4395</v>
      </c>
    </row>
    <row r="1935" spans="1:23" x14ac:dyDescent="0.3">
      <c r="A1935" s="110">
        <v>2400268</v>
      </c>
      <c r="B1935" s="110" t="s">
        <v>2088</v>
      </c>
      <c r="C1935" s="110" t="s">
        <v>2125</v>
      </c>
      <c r="D1935" s="110" t="s">
        <v>2125</v>
      </c>
      <c r="E1935" s="110" t="s">
        <v>2132</v>
      </c>
      <c r="F1935" s="110" t="s">
        <v>117</v>
      </c>
      <c r="G1935" s="110" t="s">
        <v>125</v>
      </c>
      <c r="H1935" s="111">
        <v>353</v>
      </c>
      <c r="I1935" s="111">
        <v>370</v>
      </c>
      <c r="J1935" s="111">
        <v>357</v>
      </c>
      <c r="K1935" s="111">
        <f t="shared" si="273"/>
        <v>360</v>
      </c>
      <c r="L1935" s="111">
        <v>200000</v>
      </c>
      <c r="M1935" s="111">
        <f t="shared" si="274"/>
        <v>90000</v>
      </c>
      <c r="N1935" s="111">
        <f t="shared" si="275"/>
        <v>90000</v>
      </c>
      <c r="O1935" s="111">
        <f t="shared" si="276"/>
        <v>18000</v>
      </c>
      <c r="P1935" s="111">
        <f t="shared" si="277"/>
        <v>20000</v>
      </c>
      <c r="Q1935" s="111">
        <v>50000</v>
      </c>
      <c r="R1935" s="111">
        <v>5</v>
      </c>
      <c r="S1935" s="111">
        <f t="shared" si="278"/>
        <v>5000</v>
      </c>
      <c r="T1935" s="111">
        <f t="shared" si="279"/>
        <v>250000</v>
      </c>
      <c r="U1935" s="111">
        <f t="shared" si="280"/>
        <v>2500</v>
      </c>
      <c r="V1935" s="111">
        <f t="shared" si="281"/>
        <v>252500</v>
      </c>
      <c r="W1935" t="s">
        <v>4396</v>
      </c>
    </row>
    <row r="1936" spans="1:23" x14ac:dyDescent="0.3">
      <c r="A1936" s="110">
        <v>2400271</v>
      </c>
      <c r="B1936" s="110" t="s">
        <v>2088</v>
      </c>
      <c r="C1936" s="110" t="s">
        <v>2125</v>
      </c>
      <c r="D1936" s="110" t="s">
        <v>2125</v>
      </c>
      <c r="E1936" s="110" t="s">
        <v>2133</v>
      </c>
      <c r="F1936" s="110" t="s">
        <v>113</v>
      </c>
      <c r="G1936" s="110" t="s">
        <v>114</v>
      </c>
      <c r="H1936" s="111">
        <v>368</v>
      </c>
      <c r="I1936" s="111">
        <v>355</v>
      </c>
      <c r="J1936" s="111">
        <v>364</v>
      </c>
      <c r="K1936" s="111">
        <f t="shared" si="273"/>
        <v>362.33333333333331</v>
      </c>
      <c r="L1936" s="111">
        <v>200000</v>
      </c>
      <c r="M1936" s="111">
        <f t="shared" si="274"/>
        <v>90000</v>
      </c>
      <c r="N1936" s="111">
        <f t="shared" si="275"/>
        <v>90000</v>
      </c>
      <c r="O1936" s="111">
        <f t="shared" si="276"/>
        <v>18000</v>
      </c>
      <c r="P1936" s="111">
        <f t="shared" si="277"/>
        <v>20000</v>
      </c>
      <c r="Q1936" s="111">
        <v>50000</v>
      </c>
      <c r="R1936" s="111">
        <v>5</v>
      </c>
      <c r="S1936" s="111">
        <f t="shared" si="278"/>
        <v>5000</v>
      </c>
      <c r="T1936" s="111">
        <f t="shared" si="279"/>
        <v>250000</v>
      </c>
      <c r="U1936" s="111">
        <f t="shared" si="280"/>
        <v>2500</v>
      </c>
      <c r="V1936" s="111">
        <f t="shared" si="281"/>
        <v>252500</v>
      </c>
      <c r="W1936" t="s">
        <v>4397</v>
      </c>
    </row>
    <row r="1937" spans="1:23" x14ac:dyDescent="0.3">
      <c r="A1937" s="110">
        <v>2400272</v>
      </c>
      <c r="B1937" s="110" t="s">
        <v>2088</v>
      </c>
      <c r="C1937" s="110" t="s">
        <v>2125</v>
      </c>
      <c r="D1937" s="110" t="s">
        <v>2125</v>
      </c>
      <c r="E1937" s="110" t="s">
        <v>2134</v>
      </c>
      <c r="F1937" s="110" t="s">
        <v>113</v>
      </c>
      <c r="G1937" s="110" t="s">
        <v>114</v>
      </c>
      <c r="H1937" s="111">
        <v>432</v>
      </c>
      <c r="I1937" s="111">
        <v>435</v>
      </c>
      <c r="J1937" s="111">
        <v>442</v>
      </c>
      <c r="K1937" s="111">
        <f t="shared" si="273"/>
        <v>436.33333333333331</v>
      </c>
      <c r="L1937" s="111">
        <f>300000</f>
        <v>300000</v>
      </c>
      <c r="M1937" s="111">
        <f t="shared" si="274"/>
        <v>135000</v>
      </c>
      <c r="N1937" s="111">
        <f t="shared" si="275"/>
        <v>135000</v>
      </c>
      <c r="O1937" s="111">
        <f t="shared" si="276"/>
        <v>27000</v>
      </c>
      <c r="P1937" s="111">
        <f t="shared" si="277"/>
        <v>30000</v>
      </c>
      <c r="Q1937" s="111">
        <v>60000</v>
      </c>
      <c r="R1937" s="111">
        <v>6</v>
      </c>
      <c r="S1937" s="111">
        <f t="shared" si="278"/>
        <v>6000</v>
      </c>
      <c r="T1937" s="111">
        <f t="shared" si="279"/>
        <v>360000</v>
      </c>
      <c r="U1937" s="111">
        <f t="shared" si="280"/>
        <v>3600</v>
      </c>
      <c r="V1937" s="111">
        <f t="shared" si="281"/>
        <v>363600</v>
      </c>
      <c r="W1937" t="s">
        <v>4398</v>
      </c>
    </row>
    <row r="1938" spans="1:23" x14ac:dyDescent="0.3">
      <c r="A1938" s="110">
        <v>2400273</v>
      </c>
      <c r="B1938" s="110" t="s">
        <v>2088</v>
      </c>
      <c r="C1938" s="110" t="s">
        <v>2125</v>
      </c>
      <c r="D1938" s="110" t="s">
        <v>2125</v>
      </c>
      <c r="E1938" s="110" t="s">
        <v>190</v>
      </c>
      <c r="F1938" s="110" t="s">
        <v>113</v>
      </c>
      <c r="G1938" s="110" t="s">
        <v>114</v>
      </c>
      <c r="H1938" s="111">
        <v>351</v>
      </c>
      <c r="I1938" s="111">
        <v>361</v>
      </c>
      <c r="J1938" s="111">
        <v>375</v>
      </c>
      <c r="K1938" s="111">
        <f t="shared" si="273"/>
        <v>362.33333333333331</v>
      </c>
      <c r="L1938" s="111">
        <v>200000</v>
      </c>
      <c r="M1938" s="111">
        <f t="shared" si="274"/>
        <v>90000</v>
      </c>
      <c r="N1938" s="111">
        <f t="shared" si="275"/>
        <v>90000</v>
      </c>
      <c r="O1938" s="111">
        <f t="shared" si="276"/>
        <v>18000</v>
      </c>
      <c r="P1938" s="111">
        <f t="shared" si="277"/>
        <v>20000</v>
      </c>
      <c r="Q1938" s="111">
        <v>50000</v>
      </c>
      <c r="R1938" s="111">
        <v>5</v>
      </c>
      <c r="S1938" s="111">
        <f t="shared" si="278"/>
        <v>5000</v>
      </c>
      <c r="T1938" s="111">
        <f t="shared" si="279"/>
        <v>250000</v>
      </c>
      <c r="U1938" s="111">
        <f t="shared" si="280"/>
        <v>2500</v>
      </c>
      <c r="V1938" s="111">
        <f t="shared" si="281"/>
        <v>252500</v>
      </c>
      <c r="W1938" t="s">
        <v>4399</v>
      </c>
    </row>
    <row r="1939" spans="1:23" x14ac:dyDescent="0.3">
      <c r="A1939" s="110">
        <v>2400274</v>
      </c>
      <c r="B1939" s="110" t="s">
        <v>2088</v>
      </c>
      <c r="C1939" s="110" t="s">
        <v>2125</v>
      </c>
      <c r="D1939" s="110" t="s">
        <v>2125</v>
      </c>
      <c r="E1939" s="110" t="s">
        <v>2135</v>
      </c>
      <c r="F1939" s="110" t="s">
        <v>113</v>
      </c>
      <c r="G1939" s="110" t="s">
        <v>114</v>
      </c>
      <c r="H1939" s="111">
        <v>587</v>
      </c>
      <c r="I1939" s="111">
        <v>562</v>
      </c>
      <c r="J1939" s="111">
        <v>549</v>
      </c>
      <c r="K1939" s="111">
        <f t="shared" si="273"/>
        <v>566</v>
      </c>
      <c r="L1939" s="111">
        <f>300000</f>
        <v>300000</v>
      </c>
      <c r="M1939" s="111">
        <f t="shared" si="274"/>
        <v>135000</v>
      </c>
      <c r="N1939" s="111">
        <f t="shared" si="275"/>
        <v>135000</v>
      </c>
      <c r="O1939" s="111">
        <f t="shared" si="276"/>
        <v>27000</v>
      </c>
      <c r="P1939" s="111">
        <f t="shared" si="277"/>
        <v>30000</v>
      </c>
      <c r="Q1939" s="111">
        <v>60000</v>
      </c>
      <c r="R1939" s="111">
        <v>6</v>
      </c>
      <c r="S1939" s="111">
        <f t="shared" si="278"/>
        <v>6000</v>
      </c>
      <c r="T1939" s="111">
        <f t="shared" si="279"/>
        <v>360000</v>
      </c>
      <c r="U1939" s="111">
        <f t="shared" si="280"/>
        <v>3600</v>
      </c>
      <c r="V1939" s="111">
        <f t="shared" si="281"/>
        <v>363600</v>
      </c>
      <c r="W1939" t="s">
        <v>4400</v>
      </c>
    </row>
    <row r="1940" spans="1:23" x14ac:dyDescent="0.3">
      <c r="A1940" s="110">
        <v>2400275</v>
      </c>
      <c r="B1940" s="110" t="s">
        <v>2088</v>
      </c>
      <c r="C1940" s="110" t="s">
        <v>2125</v>
      </c>
      <c r="D1940" s="110" t="s">
        <v>2125</v>
      </c>
      <c r="E1940" s="110" t="s">
        <v>2136</v>
      </c>
      <c r="F1940" s="110" t="s">
        <v>113</v>
      </c>
      <c r="G1940" s="110" t="s">
        <v>114</v>
      </c>
      <c r="H1940" s="111">
        <v>374</v>
      </c>
      <c r="I1940" s="111">
        <v>357</v>
      </c>
      <c r="J1940" s="111">
        <v>325</v>
      </c>
      <c r="K1940" s="111">
        <f t="shared" si="273"/>
        <v>352</v>
      </c>
      <c r="L1940" s="111">
        <v>200000</v>
      </c>
      <c r="M1940" s="111">
        <f t="shared" si="274"/>
        <v>90000</v>
      </c>
      <c r="N1940" s="111">
        <f t="shared" si="275"/>
        <v>90000</v>
      </c>
      <c r="O1940" s="111">
        <f t="shared" si="276"/>
        <v>18000</v>
      </c>
      <c r="P1940" s="111">
        <f t="shared" si="277"/>
        <v>20000</v>
      </c>
      <c r="Q1940" s="111">
        <v>50000</v>
      </c>
      <c r="R1940" s="111">
        <v>5</v>
      </c>
      <c r="S1940" s="111">
        <f t="shared" si="278"/>
        <v>5000</v>
      </c>
      <c r="T1940" s="111">
        <f t="shared" si="279"/>
        <v>250000</v>
      </c>
      <c r="U1940" s="111">
        <f t="shared" si="280"/>
        <v>2500</v>
      </c>
      <c r="V1940" s="111">
        <f t="shared" si="281"/>
        <v>252500</v>
      </c>
      <c r="W1940" t="s">
        <v>4401</v>
      </c>
    </row>
    <row r="1941" spans="1:23" x14ac:dyDescent="0.3">
      <c r="A1941" s="110">
        <v>2400276</v>
      </c>
      <c r="B1941" s="110" t="s">
        <v>2088</v>
      </c>
      <c r="C1941" s="110" t="s">
        <v>2125</v>
      </c>
      <c r="D1941" s="110" t="s">
        <v>2125</v>
      </c>
      <c r="E1941" s="110" t="s">
        <v>406</v>
      </c>
      <c r="F1941" s="110" t="s">
        <v>113</v>
      </c>
      <c r="G1941" s="110" t="s">
        <v>114</v>
      </c>
      <c r="H1941" s="111">
        <v>582</v>
      </c>
      <c r="I1941" s="111">
        <v>585</v>
      </c>
      <c r="J1941" s="111">
        <v>583</v>
      </c>
      <c r="K1941" s="111">
        <f t="shared" si="273"/>
        <v>583.33333333333337</v>
      </c>
      <c r="L1941" s="111">
        <f>300000</f>
        <v>300000</v>
      </c>
      <c r="M1941" s="111">
        <f t="shared" si="274"/>
        <v>135000</v>
      </c>
      <c r="N1941" s="111">
        <f t="shared" si="275"/>
        <v>135000</v>
      </c>
      <c r="O1941" s="111">
        <f t="shared" si="276"/>
        <v>27000</v>
      </c>
      <c r="P1941" s="111">
        <f t="shared" si="277"/>
        <v>30000</v>
      </c>
      <c r="Q1941" s="111">
        <v>60000</v>
      </c>
      <c r="R1941" s="111">
        <v>6</v>
      </c>
      <c r="S1941" s="111">
        <f t="shared" si="278"/>
        <v>6000</v>
      </c>
      <c r="T1941" s="111">
        <f t="shared" si="279"/>
        <v>360000</v>
      </c>
      <c r="U1941" s="111">
        <f t="shared" si="280"/>
        <v>3600</v>
      </c>
      <c r="V1941" s="111">
        <f t="shared" si="281"/>
        <v>363600</v>
      </c>
      <c r="W1941" t="s">
        <v>4402</v>
      </c>
    </row>
    <row r="1942" spans="1:23" x14ac:dyDescent="0.3">
      <c r="A1942" s="110">
        <v>2400277</v>
      </c>
      <c r="B1942" s="110" t="s">
        <v>2088</v>
      </c>
      <c r="C1942" s="110" t="s">
        <v>2125</v>
      </c>
      <c r="D1942" s="110" t="s">
        <v>2125</v>
      </c>
      <c r="E1942" s="110" t="s">
        <v>312</v>
      </c>
      <c r="F1942" s="110" t="s">
        <v>113</v>
      </c>
      <c r="G1942" s="110" t="s">
        <v>114</v>
      </c>
      <c r="H1942" s="111">
        <v>350</v>
      </c>
      <c r="I1942" s="111">
        <v>333</v>
      </c>
      <c r="J1942" s="111">
        <v>316</v>
      </c>
      <c r="K1942" s="111">
        <f t="shared" si="273"/>
        <v>333</v>
      </c>
      <c r="L1942" s="111">
        <v>200000</v>
      </c>
      <c r="M1942" s="111">
        <f t="shared" si="274"/>
        <v>90000</v>
      </c>
      <c r="N1942" s="111">
        <f t="shared" si="275"/>
        <v>90000</v>
      </c>
      <c r="O1942" s="111">
        <f t="shared" si="276"/>
        <v>18000</v>
      </c>
      <c r="P1942" s="111">
        <f t="shared" si="277"/>
        <v>20000</v>
      </c>
      <c r="Q1942" s="111">
        <v>50000</v>
      </c>
      <c r="R1942" s="111">
        <v>5</v>
      </c>
      <c r="S1942" s="111">
        <f t="shared" si="278"/>
        <v>5000</v>
      </c>
      <c r="T1942" s="111">
        <f t="shared" si="279"/>
        <v>250000</v>
      </c>
      <c r="U1942" s="111">
        <f t="shared" si="280"/>
        <v>2500</v>
      </c>
      <c r="V1942" s="111">
        <f t="shared" si="281"/>
        <v>252500</v>
      </c>
      <c r="W1942" t="s">
        <v>4403</v>
      </c>
    </row>
    <row r="1943" spans="1:23" x14ac:dyDescent="0.3">
      <c r="A1943" s="110">
        <v>2400278</v>
      </c>
      <c r="B1943" s="110" t="s">
        <v>2088</v>
      </c>
      <c r="C1943" s="110" t="s">
        <v>2125</v>
      </c>
      <c r="D1943" s="110" t="s">
        <v>2137</v>
      </c>
      <c r="E1943" s="110" t="s">
        <v>2138</v>
      </c>
      <c r="F1943" s="110" t="s">
        <v>113</v>
      </c>
      <c r="G1943" s="110" t="s">
        <v>114</v>
      </c>
      <c r="H1943" s="111">
        <v>39</v>
      </c>
      <c r="I1943" s="111">
        <v>38</v>
      </c>
      <c r="J1943" s="111">
        <v>35</v>
      </c>
      <c r="K1943" s="111">
        <f t="shared" si="273"/>
        <v>37.333333333333336</v>
      </c>
      <c r="L1943" s="111">
        <v>50000</v>
      </c>
      <c r="M1943" s="111">
        <f t="shared" si="274"/>
        <v>22500</v>
      </c>
      <c r="N1943" s="111">
        <f t="shared" si="275"/>
        <v>22500</v>
      </c>
      <c r="O1943" s="111">
        <f t="shared" si="276"/>
        <v>4500</v>
      </c>
      <c r="P1943" s="111">
        <f t="shared" si="277"/>
        <v>5000</v>
      </c>
      <c r="Q1943" s="111">
        <v>10000</v>
      </c>
      <c r="R1943" s="111">
        <v>1</v>
      </c>
      <c r="S1943" s="111">
        <f t="shared" si="278"/>
        <v>1000</v>
      </c>
      <c r="T1943" s="111">
        <f t="shared" si="279"/>
        <v>60000</v>
      </c>
      <c r="U1943" s="111">
        <f t="shared" si="280"/>
        <v>600</v>
      </c>
      <c r="V1943" s="111">
        <f t="shared" si="281"/>
        <v>60600</v>
      </c>
      <c r="W1943" t="s">
        <v>4404</v>
      </c>
    </row>
    <row r="1944" spans="1:23" x14ac:dyDescent="0.3">
      <c r="A1944" s="110">
        <v>2400279</v>
      </c>
      <c r="B1944" s="110" t="s">
        <v>2088</v>
      </c>
      <c r="C1944" s="110" t="s">
        <v>2125</v>
      </c>
      <c r="D1944" s="110" t="s">
        <v>2139</v>
      </c>
      <c r="E1944" s="110" t="s">
        <v>2140</v>
      </c>
      <c r="F1944" s="110" t="s">
        <v>113</v>
      </c>
      <c r="G1944" s="110" t="s">
        <v>114</v>
      </c>
      <c r="H1944" s="111">
        <v>79</v>
      </c>
      <c r="I1944" s="111">
        <v>72</v>
      </c>
      <c r="J1944" s="111">
        <v>82</v>
      </c>
      <c r="K1944" s="111">
        <f t="shared" si="273"/>
        <v>77.666666666666671</v>
      </c>
      <c r="L1944" s="111">
        <v>150000</v>
      </c>
      <c r="M1944" s="111">
        <f t="shared" si="274"/>
        <v>67500</v>
      </c>
      <c r="N1944" s="111">
        <f t="shared" si="275"/>
        <v>67500</v>
      </c>
      <c r="O1944" s="111">
        <f t="shared" si="276"/>
        <v>13500</v>
      </c>
      <c r="P1944" s="111">
        <f t="shared" si="277"/>
        <v>15000</v>
      </c>
      <c r="Q1944" s="111">
        <v>30000</v>
      </c>
      <c r="R1944" s="111">
        <v>3</v>
      </c>
      <c r="S1944" s="111">
        <f t="shared" si="278"/>
        <v>3000</v>
      </c>
      <c r="T1944" s="111">
        <f t="shared" si="279"/>
        <v>180000</v>
      </c>
      <c r="U1944" s="111">
        <f t="shared" si="280"/>
        <v>1800</v>
      </c>
      <c r="V1944" s="111">
        <f t="shared" si="281"/>
        <v>181800</v>
      </c>
      <c r="W1944" t="s">
        <v>4405</v>
      </c>
    </row>
    <row r="1945" spans="1:23" x14ac:dyDescent="0.3">
      <c r="A1945" s="110">
        <v>2400280</v>
      </c>
      <c r="B1945" s="110" t="s">
        <v>2088</v>
      </c>
      <c r="C1945" s="110" t="s">
        <v>2125</v>
      </c>
      <c r="D1945" s="110" t="s">
        <v>2141</v>
      </c>
      <c r="E1945" s="110" t="s">
        <v>394</v>
      </c>
      <c r="F1945" s="110" t="s">
        <v>113</v>
      </c>
      <c r="G1945" s="110" t="s">
        <v>114</v>
      </c>
      <c r="H1945" s="111">
        <v>101</v>
      </c>
      <c r="I1945" s="111">
        <v>90</v>
      </c>
      <c r="J1945" s="111">
        <v>94</v>
      </c>
      <c r="K1945" s="111">
        <f t="shared" si="273"/>
        <v>95</v>
      </c>
      <c r="L1945" s="111">
        <v>150000</v>
      </c>
      <c r="M1945" s="111">
        <f t="shared" si="274"/>
        <v>67500</v>
      </c>
      <c r="N1945" s="111">
        <f t="shared" si="275"/>
        <v>67500</v>
      </c>
      <c r="O1945" s="111">
        <f t="shared" si="276"/>
        <v>13500</v>
      </c>
      <c r="P1945" s="111">
        <f t="shared" si="277"/>
        <v>15000</v>
      </c>
      <c r="Q1945" s="111">
        <v>30000</v>
      </c>
      <c r="R1945" s="111">
        <v>3</v>
      </c>
      <c r="S1945" s="111">
        <f t="shared" si="278"/>
        <v>3000</v>
      </c>
      <c r="T1945" s="111">
        <f t="shared" si="279"/>
        <v>180000</v>
      </c>
      <c r="U1945" s="111">
        <f t="shared" si="280"/>
        <v>1800</v>
      </c>
      <c r="V1945" s="111">
        <f t="shared" si="281"/>
        <v>181800</v>
      </c>
      <c r="W1945" t="s">
        <v>4406</v>
      </c>
    </row>
    <row r="1946" spans="1:23" x14ac:dyDescent="0.3">
      <c r="A1946" s="110">
        <v>2400281</v>
      </c>
      <c r="B1946" s="110" t="s">
        <v>2088</v>
      </c>
      <c r="C1946" s="110" t="s">
        <v>2125</v>
      </c>
      <c r="D1946" s="110" t="s">
        <v>2142</v>
      </c>
      <c r="E1946" s="110" t="s">
        <v>1073</v>
      </c>
      <c r="F1946" s="110" t="s">
        <v>113</v>
      </c>
      <c r="G1946" s="110" t="s">
        <v>114</v>
      </c>
      <c r="H1946" s="111">
        <v>65</v>
      </c>
      <c r="I1946" s="111">
        <v>66</v>
      </c>
      <c r="J1946" s="111">
        <v>59</v>
      </c>
      <c r="K1946" s="111">
        <f t="shared" si="273"/>
        <v>63.333333333333336</v>
      </c>
      <c r="L1946" s="111">
        <v>150000</v>
      </c>
      <c r="M1946" s="111">
        <f t="shared" si="274"/>
        <v>67500</v>
      </c>
      <c r="N1946" s="111">
        <f t="shared" si="275"/>
        <v>67500</v>
      </c>
      <c r="O1946" s="111">
        <f t="shared" si="276"/>
        <v>13500</v>
      </c>
      <c r="P1946" s="111">
        <f t="shared" si="277"/>
        <v>15000</v>
      </c>
      <c r="Q1946" s="111">
        <v>30000</v>
      </c>
      <c r="R1946" s="111">
        <v>3</v>
      </c>
      <c r="S1946" s="111">
        <f t="shared" si="278"/>
        <v>3000</v>
      </c>
      <c r="T1946" s="111">
        <f t="shared" si="279"/>
        <v>180000</v>
      </c>
      <c r="U1946" s="111">
        <f t="shared" si="280"/>
        <v>1800</v>
      </c>
      <c r="V1946" s="111">
        <f t="shared" si="281"/>
        <v>181800</v>
      </c>
      <c r="W1946" t="s">
        <v>4407</v>
      </c>
    </row>
    <row r="1947" spans="1:23" x14ac:dyDescent="0.3">
      <c r="A1947" s="110">
        <v>2400282</v>
      </c>
      <c r="B1947" s="110" t="s">
        <v>2088</v>
      </c>
      <c r="C1947" s="110" t="s">
        <v>2125</v>
      </c>
      <c r="D1947" s="110" t="s">
        <v>2143</v>
      </c>
      <c r="E1947" s="110" t="s">
        <v>247</v>
      </c>
      <c r="F1947" s="110" t="s">
        <v>113</v>
      </c>
      <c r="G1947" s="110" t="s">
        <v>114</v>
      </c>
      <c r="H1947" s="111">
        <v>77</v>
      </c>
      <c r="I1947" s="111">
        <v>80</v>
      </c>
      <c r="J1947" s="111">
        <v>69</v>
      </c>
      <c r="K1947" s="111">
        <f t="shared" si="273"/>
        <v>75.333333333333329</v>
      </c>
      <c r="L1947" s="111">
        <v>150000</v>
      </c>
      <c r="M1947" s="111">
        <f t="shared" si="274"/>
        <v>67500</v>
      </c>
      <c r="N1947" s="111">
        <f t="shared" si="275"/>
        <v>67500</v>
      </c>
      <c r="O1947" s="111">
        <f t="shared" si="276"/>
        <v>13500</v>
      </c>
      <c r="P1947" s="111">
        <f t="shared" si="277"/>
        <v>15000</v>
      </c>
      <c r="Q1947" s="111">
        <v>30000</v>
      </c>
      <c r="R1947" s="111">
        <v>3</v>
      </c>
      <c r="S1947" s="111">
        <f t="shared" si="278"/>
        <v>3000</v>
      </c>
      <c r="T1947" s="111">
        <f t="shared" si="279"/>
        <v>180000</v>
      </c>
      <c r="U1947" s="111">
        <f t="shared" si="280"/>
        <v>1800</v>
      </c>
      <c r="V1947" s="111">
        <f t="shared" si="281"/>
        <v>181800</v>
      </c>
      <c r="W1947" t="s">
        <v>4408</v>
      </c>
    </row>
    <row r="1948" spans="1:23" x14ac:dyDescent="0.3">
      <c r="A1948" s="110">
        <v>2400283</v>
      </c>
      <c r="B1948" s="110" t="s">
        <v>2088</v>
      </c>
      <c r="C1948" s="110" t="s">
        <v>2125</v>
      </c>
      <c r="D1948" s="110" t="s">
        <v>2144</v>
      </c>
      <c r="E1948" s="110" t="s">
        <v>2145</v>
      </c>
      <c r="F1948" s="110" t="s">
        <v>113</v>
      </c>
      <c r="G1948" s="110" t="s">
        <v>114</v>
      </c>
      <c r="H1948" s="111">
        <v>69</v>
      </c>
      <c r="I1948" s="111">
        <v>54</v>
      </c>
      <c r="J1948" s="111">
        <v>49</v>
      </c>
      <c r="K1948" s="111">
        <f t="shared" si="273"/>
        <v>57.333333333333336</v>
      </c>
      <c r="L1948" s="111">
        <v>150000</v>
      </c>
      <c r="M1948" s="111">
        <f t="shared" si="274"/>
        <v>67500</v>
      </c>
      <c r="N1948" s="111">
        <f t="shared" si="275"/>
        <v>67500</v>
      </c>
      <c r="O1948" s="111">
        <f t="shared" si="276"/>
        <v>13500</v>
      </c>
      <c r="P1948" s="111">
        <f t="shared" si="277"/>
        <v>15000</v>
      </c>
      <c r="Q1948" s="111">
        <v>30000</v>
      </c>
      <c r="R1948" s="111">
        <v>3</v>
      </c>
      <c r="S1948" s="111">
        <f t="shared" si="278"/>
        <v>3000</v>
      </c>
      <c r="T1948" s="111">
        <f t="shared" si="279"/>
        <v>180000</v>
      </c>
      <c r="U1948" s="111">
        <f t="shared" si="280"/>
        <v>1800</v>
      </c>
      <c r="V1948" s="111">
        <f t="shared" si="281"/>
        <v>181800</v>
      </c>
      <c r="W1948" t="s">
        <v>4409</v>
      </c>
    </row>
    <row r="1949" spans="1:23" x14ac:dyDescent="0.3">
      <c r="A1949" s="110">
        <v>2400284</v>
      </c>
      <c r="B1949" s="110" t="s">
        <v>2088</v>
      </c>
      <c r="C1949" s="110" t="s">
        <v>2125</v>
      </c>
      <c r="D1949" s="110" t="s">
        <v>2146</v>
      </c>
      <c r="E1949" s="110" t="s">
        <v>399</v>
      </c>
      <c r="F1949" s="110" t="s">
        <v>113</v>
      </c>
      <c r="G1949" s="110" t="s">
        <v>114</v>
      </c>
      <c r="H1949" s="111">
        <v>65</v>
      </c>
      <c r="I1949" s="111">
        <v>62</v>
      </c>
      <c r="J1949" s="111">
        <v>66</v>
      </c>
      <c r="K1949" s="111">
        <f t="shared" si="273"/>
        <v>64.333333333333329</v>
      </c>
      <c r="L1949" s="111">
        <v>150000</v>
      </c>
      <c r="M1949" s="111">
        <f t="shared" si="274"/>
        <v>67500</v>
      </c>
      <c r="N1949" s="111">
        <f t="shared" si="275"/>
        <v>67500</v>
      </c>
      <c r="O1949" s="111">
        <f t="shared" si="276"/>
        <v>13500</v>
      </c>
      <c r="P1949" s="111">
        <f t="shared" si="277"/>
        <v>15000</v>
      </c>
      <c r="Q1949" s="111">
        <v>30000</v>
      </c>
      <c r="R1949" s="111">
        <v>3</v>
      </c>
      <c r="S1949" s="111">
        <f t="shared" si="278"/>
        <v>3000</v>
      </c>
      <c r="T1949" s="111">
        <f t="shared" si="279"/>
        <v>180000</v>
      </c>
      <c r="U1949" s="111">
        <f t="shared" si="280"/>
        <v>1800</v>
      </c>
      <c r="V1949" s="111">
        <f t="shared" si="281"/>
        <v>181800</v>
      </c>
      <c r="W1949" t="s">
        <v>4410</v>
      </c>
    </row>
    <row r="1950" spans="1:23" x14ac:dyDescent="0.3">
      <c r="A1950" s="110">
        <v>2400286</v>
      </c>
      <c r="B1950" s="110" t="s">
        <v>2088</v>
      </c>
      <c r="C1950" s="110" t="s">
        <v>2125</v>
      </c>
      <c r="D1950" s="110" t="s">
        <v>2147</v>
      </c>
      <c r="E1950" s="110" t="s">
        <v>1253</v>
      </c>
      <c r="F1950" s="110" t="s">
        <v>168</v>
      </c>
      <c r="G1950" s="110" t="s">
        <v>114</v>
      </c>
      <c r="H1950" s="111">
        <v>198</v>
      </c>
      <c r="I1950" s="111">
        <v>225</v>
      </c>
      <c r="J1950" s="111">
        <v>281</v>
      </c>
      <c r="K1950" s="111">
        <f t="shared" si="273"/>
        <v>234.66666666666666</v>
      </c>
      <c r="L1950" s="111">
        <v>200000</v>
      </c>
      <c r="M1950" s="111">
        <f t="shared" si="274"/>
        <v>90000</v>
      </c>
      <c r="N1950" s="111">
        <f t="shared" si="275"/>
        <v>90000</v>
      </c>
      <c r="O1950" s="111">
        <f t="shared" si="276"/>
        <v>18000</v>
      </c>
      <c r="P1950" s="111">
        <f t="shared" si="277"/>
        <v>20000</v>
      </c>
      <c r="Q1950" s="111">
        <v>50000</v>
      </c>
      <c r="R1950" s="111">
        <v>5</v>
      </c>
      <c r="S1950" s="111">
        <f t="shared" si="278"/>
        <v>5000</v>
      </c>
      <c r="T1950" s="111">
        <f t="shared" si="279"/>
        <v>250000</v>
      </c>
      <c r="U1950" s="111">
        <f t="shared" si="280"/>
        <v>2500</v>
      </c>
      <c r="V1950" s="111">
        <f t="shared" si="281"/>
        <v>252500</v>
      </c>
      <c r="W1950" t="s">
        <v>4411</v>
      </c>
    </row>
    <row r="1951" spans="1:23" x14ac:dyDescent="0.3">
      <c r="A1951" s="110">
        <v>2400287</v>
      </c>
      <c r="B1951" s="110" t="s">
        <v>2088</v>
      </c>
      <c r="C1951" s="110" t="s">
        <v>2125</v>
      </c>
      <c r="D1951" s="110" t="s">
        <v>2148</v>
      </c>
      <c r="E1951" s="110" t="s">
        <v>2149</v>
      </c>
      <c r="F1951" s="110" t="s">
        <v>113</v>
      </c>
      <c r="G1951" s="110" t="s">
        <v>114</v>
      </c>
      <c r="H1951" s="111">
        <v>92</v>
      </c>
      <c r="I1951" s="111">
        <v>95</v>
      </c>
      <c r="J1951" s="111">
        <v>105</v>
      </c>
      <c r="K1951" s="111">
        <f t="shared" si="273"/>
        <v>97.333333333333329</v>
      </c>
      <c r="L1951" s="111">
        <v>150000</v>
      </c>
      <c r="M1951" s="111">
        <f t="shared" si="274"/>
        <v>67500</v>
      </c>
      <c r="N1951" s="111">
        <f t="shared" si="275"/>
        <v>67500</v>
      </c>
      <c r="O1951" s="111">
        <f t="shared" si="276"/>
        <v>13500</v>
      </c>
      <c r="P1951" s="111">
        <f t="shared" si="277"/>
        <v>15000</v>
      </c>
      <c r="Q1951" s="111">
        <v>30000</v>
      </c>
      <c r="R1951" s="111">
        <v>3</v>
      </c>
      <c r="S1951" s="111">
        <f t="shared" si="278"/>
        <v>3000</v>
      </c>
      <c r="T1951" s="111">
        <f t="shared" si="279"/>
        <v>180000</v>
      </c>
      <c r="U1951" s="111">
        <f t="shared" si="280"/>
        <v>1800</v>
      </c>
      <c r="V1951" s="111">
        <f t="shared" si="281"/>
        <v>181800</v>
      </c>
      <c r="W1951" t="s">
        <v>4412</v>
      </c>
    </row>
    <row r="1952" spans="1:23" x14ac:dyDescent="0.3">
      <c r="A1952" s="110">
        <v>2400288</v>
      </c>
      <c r="B1952" s="110" t="s">
        <v>2088</v>
      </c>
      <c r="C1952" s="110" t="s">
        <v>2125</v>
      </c>
      <c r="D1952" s="110" t="s">
        <v>2150</v>
      </c>
      <c r="E1952" s="110" t="s">
        <v>2151</v>
      </c>
      <c r="F1952" s="110" t="s">
        <v>113</v>
      </c>
      <c r="G1952" s="110" t="s">
        <v>114</v>
      </c>
      <c r="H1952" s="111">
        <v>41</v>
      </c>
      <c r="I1952" s="111">
        <v>43</v>
      </c>
      <c r="J1952" s="111">
        <v>40</v>
      </c>
      <c r="K1952" s="111">
        <f t="shared" si="273"/>
        <v>41.333333333333336</v>
      </c>
      <c r="L1952" s="111">
        <v>50000</v>
      </c>
      <c r="M1952" s="111">
        <f t="shared" si="274"/>
        <v>22500</v>
      </c>
      <c r="N1952" s="111">
        <f t="shared" si="275"/>
        <v>22500</v>
      </c>
      <c r="O1952" s="111">
        <f t="shared" si="276"/>
        <v>4500</v>
      </c>
      <c r="P1952" s="111">
        <f t="shared" si="277"/>
        <v>5000</v>
      </c>
      <c r="Q1952" s="111">
        <v>10000</v>
      </c>
      <c r="R1952" s="111">
        <v>1</v>
      </c>
      <c r="S1952" s="111">
        <f t="shared" si="278"/>
        <v>1000</v>
      </c>
      <c r="T1952" s="111">
        <f t="shared" si="279"/>
        <v>60000</v>
      </c>
      <c r="U1952" s="111">
        <f t="shared" si="280"/>
        <v>600</v>
      </c>
      <c r="V1952" s="111">
        <f t="shared" si="281"/>
        <v>60600</v>
      </c>
      <c r="W1952" t="s">
        <v>4413</v>
      </c>
    </row>
    <row r="1953" spans="1:23" x14ac:dyDescent="0.3">
      <c r="A1953" s="110">
        <v>2400289</v>
      </c>
      <c r="B1953" s="110" t="s">
        <v>2088</v>
      </c>
      <c r="C1953" s="110" t="s">
        <v>2125</v>
      </c>
      <c r="D1953" s="110" t="s">
        <v>2152</v>
      </c>
      <c r="E1953" s="110" t="s">
        <v>143</v>
      </c>
      <c r="F1953" s="110" t="s">
        <v>113</v>
      </c>
      <c r="G1953" s="110" t="s">
        <v>114</v>
      </c>
      <c r="H1953" s="111">
        <v>58</v>
      </c>
      <c r="I1953" s="111">
        <v>61</v>
      </c>
      <c r="J1953" s="111">
        <v>54</v>
      </c>
      <c r="K1953" s="111">
        <f t="shared" si="273"/>
        <v>57.666666666666664</v>
      </c>
      <c r="L1953" s="111">
        <v>150000</v>
      </c>
      <c r="M1953" s="111">
        <f t="shared" si="274"/>
        <v>67500</v>
      </c>
      <c r="N1953" s="111">
        <f t="shared" si="275"/>
        <v>67500</v>
      </c>
      <c r="O1953" s="111">
        <f t="shared" si="276"/>
        <v>13500</v>
      </c>
      <c r="P1953" s="111">
        <f t="shared" si="277"/>
        <v>15000</v>
      </c>
      <c r="Q1953" s="111">
        <v>30000</v>
      </c>
      <c r="R1953" s="111">
        <v>3</v>
      </c>
      <c r="S1953" s="111">
        <f t="shared" si="278"/>
        <v>3000</v>
      </c>
      <c r="T1953" s="111">
        <f t="shared" si="279"/>
        <v>180000</v>
      </c>
      <c r="U1953" s="111">
        <f t="shared" si="280"/>
        <v>1800</v>
      </c>
      <c r="V1953" s="111">
        <f t="shared" si="281"/>
        <v>181800</v>
      </c>
      <c r="W1953" t="s">
        <v>4414</v>
      </c>
    </row>
    <row r="1954" spans="1:23" x14ac:dyDescent="0.3">
      <c r="A1954" s="110">
        <v>2400837</v>
      </c>
      <c r="B1954" s="110" t="s">
        <v>2088</v>
      </c>
      <c r="C1954" s="110" t="s">
        <v>2153</v>
      </c>
      <c r="D1954" s="110" t="s">
        <v>2153</v>
      </c>
      <c r="E1954" s="110" t="s">
        <v>272</v>
      </c>
      <c r="F1954" s="110" t="s">
        <v>119</v>
      </c>
      <c r="G1954" s="110" t="s">
        <v>114</v>
      </c>
      <c r="H1954" s="111">
        <v>178</v>
      </c>
      <c r="I1954" s="111">
        <v>215</v>
      </c>
      <c r="J1954" s="111">
        <v>138</v>
      </c>
      <c r="K1954" s="111">
        <f t="shared" si="273"/>
        <v>177</v>
      </c>
      <c r="L1954" s="111">
        <v>150000</v>
      </c>
      <c r="M1954" s="111">
        <f t="shared" si="274"/>
        <v>67500</v>
      </c>
      <c r="N1954" s="111">
        <f t="shared" si="275"/>
        <v>67500</v>
      </c>
      <c r="O1954" s="111">
        <f t="shared" si="276"/>
        <v>13500</v>
      </c>
      <c r="P1954" s="111">
        <f t="shared" si="277"/>
        <v>15000</v>
      </c>
      <c r="Q1954" s="111">
        <v>30000</v>
      </c>
      <c r="R1954" s="111">
        <v>3</v>
      </c>
      <c r="S1954" s="111">
        <f t="shared" si="278"/>
        <v>3000</v>
      </c>
      <c r="T1954" s="111">
        <f t="shared" si="279"/>
        <v>180000</v>
      </c>
      <c r="U1954" s="111">
        <f t="shared" si="280"/>
        <v>1800</v>
      </c>
      <c r="V1954" s="111">
        <f t="shared" si="281"/>
        <v>181800</v>
      </c>
      <c r="W1954" t="s">
        <v>4415</v>
      </c>
    </row>
    <row r="1955" spans="1:23" x14ac:dyDescent="0.3">
      <c r="A1955" s="110">
        <v>2401052</v>
      </c>
      <c r="B1955" s="110" t="s">
        <v>2088</v>
      </c>
      <c r="C1955" s="110" t="s">
        <v>2154</v>
      </c>
      <c r="D1955" s="110" t="s">
        <v>2154</v>
      </c>
      <c r="E1955" s="110" t="s">
        <v>569</v>
      </c>
      <c r="F1955" s="110" t="s">
        <v>119</v>
      </c>
      <c r="G1955" s="110" t="s">
        <v>114</v>
      </c>
      <c r="H1955" s="111">
        <v>673</v>
      </c>
      <c r="I1955" s="111">
        <v>681</v>
      </c>
      <c r="J1955" s="111">
        <v>654</v>
      </c>
      <c r="K1955" s="111">
        <f t="shared" si="273"/>
        <v>669.33333333333337</v>
      </c>
      <c r="L1955" s="111">
        <f>300000</f>
        <v>300000</v>
      </c>
      <c r="M1955" s="111">
        <f t="shared" si="274"/>
        <v>135000</v>
      </c>
      <c r="N1955" s="111">
        <f t="shared" si="275"/>
        <v>135000</v>
      </c>
      <c r="O1955" s="111">
        <f t="shared" si="276"/>
        <v>27000</v>
      </c>
      <c r="P1955" s="111">
        <f t="shared" si="277"/>
        <v>30000</v>
      </c>
      <c r="Q1955" s="111">
        <v>60000</v>
      </c>
      <c r="R1955" s="111">
        <v>6</v>
      </c>
      <c r="S1955" s="111">
        <f t="shared" si="278"/>
        <v>6000</v>
      </c>
      <c r="T1955" s="111">
        <f t="shared" si="279"/>
        <v>360000</v>
      </c>
      <c r="U1955" s="111">
        <f t="shared" si="280"/>
        <v>3600</v>
      </c>
      <c r="V1955" s="111">
        <f t="shared" si="281"/>
        <v>363600</v>
      </c>
      <c r="W1955" t="s">
        <v>4416</v>
      </c>
    </row>
    <row r="1956" spans="1:23" x14ac:dyDescent="0.3">
      <c r="A1956" s="110">
        <v>2401053</v>
      </c>
      <c r="B1956" s="110" t="s">
        <v>2088</v>
      </c>
      <c r="C1956" s="110" t="s">
        <v>2154</v>
      </c>
      <c r="D1956" s="110" t="s">
        <v>2154</v>
      </c>
      <c r="E1956" s="110" t="s">
        <v>2155</v>
      </c>
      <c r="F1956" s="110" t="s">
        <v>117</v>
      </c>
      <c r="G1956" s="110" t="s">
        <v>125</v>
      </c>
      <c r="H1956" s="111">
        <v>236</v>
      </c>
      <c r="I1956" s="111">
        <v>185</v>
      </c>
      <c r="J1956" s="111">
        <v>170</v>
      </c>
      <c r="K1956" s="111">
        <f t="shared" si="273"/>
        <v>197</v>
      </c>
      <c r="L1956" s="111">
        <v>150000</v>
      </c>
      <c r="M1956" s="111">
        <f t="shared" si="274"/>
        <v>67500</v>
      </c>
      <c r="N1956" s="111">
        <f t="shared" si="275"/>
        <v>67500</v>
      </c>
      <c r="O1956" s="111">
        <f t="shared" si="276"/>
        <v>13500</v>
      </c>
      <c r="P1956" s="111">
        <f t="shared" si="277"/>
        <v>15000</v>
      </c>
      <c r="Q1956" s="111">
        <v>30000</v>
      </c>
      <c r="R1956" s="111">
        <v>3</v>
      </c>
      <c r="S1956" s="111">
        <f t="shared" si="278"/>
        <v>3000</v>
      </c>
      <c r="T1956" s="111">
        <f t="shared" si="279"/>
        <v>180000</v>
      </c>
      <c r="U1956" s="111">
        <f t="shared" si="280"/>
        <v>1800</v>
      </c>
      <c r="V1956" s="111">
        <f t="shared" si="281"/>
        <v>181800</v>
      </c>
      <c r="W1956" t="s">
        <v>4417</v>
      </c>
    </row>
    <row r="1957" spans="1:23" x14ac:dyDescent="0.3">
      <c r="A1957" s="110">
        <v>2401054</v>
      </c>
      <c r="B1957" s="110" t="s">
        <v>2088</v>
      </c>
      <c r="C1957" s="110" t="s">
        <v>2154</v>
      </c>
      <c r="D1957" s="110" t="s">
        <v>2154</v>
      </c>
      <c r="E1957" s="110" t="s">
        <v>228</v>
      </c>
      <c r="F1957" s="110" t="s">
        <v>113</v>
      </c>
      <c r="G1957" s="110" t="s">
        <v>114</v>
      </c>
      <c r="H1957" s="111">
        <v>103</v>
      </c>
      <c r="I1957" s="111">
        <v>89</v>
      </c>
      <c r="J1957" s="111">
        <v>95</v>
      </c>
      <c r="K1957" s="111">
        <f t="shared" si="273"/>
        <v>95.666666666666671</v>
      </c>
      <c r="L1957" s="111">
        <v>150000</v>
      </c>
      <c r="M1957" s="111">
        <f t="shared" si="274"/>
        <v>67500</v>
      </c>
      <c r="N1957" s="111">
        <f t="shared" si="275"/>
        <v>67500</v>
      </c>
      <c r="O1957" s="111">
        <f t="shared" si="276"/>
        <v>13500</v>
      </c>
      <c r="P1957" s="111">
        <f t="shared" si="277"/>
        <v>15000</v>
      </c>
      <c r="Q1957" s="111">
        <v>30000</v>
      </c>
      <c r="R1957" s="111">
        <v>3</v>
      </c>
      <c r="S1957" s="111">
        <f t="shared" si="278"/>
        <v>3000</v>
      </c>
      <c r="T1957" s="111">
        <f t="shared" si="279"/>
        <v>180000</v>
      </c>
      <c r="U1957" s="111">
        <f t="shared" si="280"/>
        <v>1800</v>
      </c>
      <c r="V1957" s="111">
        <f t="shared" si="281"/>
        <v>181800</v>
      </c>
      <c r="W1957" t="s">
        <v>4418</v>
      </c>
    </row>
    <row r="1958" spans="1:23" x14ac:dyDescent="0.3">
      <c r="A1958" s="110">
        <v>2401055</v>
      </c>
      <c r="B1958" s="110" t="s">
        <v>2088</v>
      </c>
      <c r="C1958" s="110" t="s">
        <v>2154</v>
      </c>
      <c r="D1958" s="110" t="s">
        <v>2154</v>
      </c>
      <c r="E1958" s="110" t="s">
        <v>2156</v>
      </c>
      <c r="F1958" s="110" t="s">
        <v>113</v>
      </c>
      <c r="G1958" s="110" t="s">
        <v>114</v>
      </c>
      <c r="H1958" s="111">
        <v>342</v>
      </c>
      <c r="I1958" s="111">
        <v>342</v>
      </c>
      <c r="J1958" s="111">
        <v>352</v>
      </c>
      <c r="K1958" s="111">
        <f t="shared" si="273"/>
        <v>345.33333333333331</v>
      </c>
      <c r="L1958" s="111">
        <v>200000</v>
      </c>
      <c r="M1958" s="111">
        <f t="shared" si="274"/>
        <v>90000</v>
      </c>
      <c r="N1958" s="111">
        <f t="shared" si="275"/>
        <v>90000</v>
      </c>
      <c r="O1958" s="111">
        <f t="shared" si="276"/>
        <v>18000</v>
      </c>
      <c r="P1958" s="111">
        <f t="shared" si="277"/>
        <v>20000</v>
      </c>
      <c r="Q1958" s="111">
        <v>50000</v>
      </c>
      <c r="R1958" s="111">
        <v>5</v>
      </c>
      <c r="S1958" s="111">
        <f t="shared" si="278"/>
        <v>5000</v>
      </c>
      <c r="T1958" s="111">
        <f t="shared" si="279"/>
        <v>250000</v>
      </c>
      <c r="U1958" s="111">
        <f t="shared" si="280"/>
        <v>2500</v>
      </c>
      <c r="V1958" s="111">
        <f t="shared" si="281"/>
        <v>252500</v>
      </c>
      <c r="W1958" t="s">
        <v>4419</v>
      </c>
    </row>
    <row r="1959" spans="1:23" x14ac:dyDescent="0.3">
      <c r="A1959" s="110">
        <v>2401058</v>
      </c>
      <c r="B1959" s="110" t="s">
        <v>2088</v>
      </c>
      <c r="C1959" s="110" t="s">
        <v>2154</v>
      </c>
      <c r="D1959" s="110" t="s">
        <v>213</v>
      </c>
      <c r="E1959" s="110" t="s">
        <v>2157</v>
      </c>
      <c r="F1959" s="110" t="s">
        <v>113</v>
      </c>
      <c r="G1959" s="110" t="s">
        <v>114</v>
      </c>
      <c r="H1959" s="111">
        <v>97</v>
      </c>
      <c r="I1959" s="111">
        <v>98</v>
      </c>
      <c r="J1959" s="111">
        <v>90</v>
      </c>
      <c r="K1959" s="111">
        <f t="shared" si="273"/>
        <v>95</v>
      </c>
      <c r="L1959" s="111">
        <v>150000</v>
      </c>
      <c r="M1959" s="111">
        <f t="shared" si="274"/>
        <v>67500</v>
      </c>
      <c r="N1959" s="111">
        <f t="shared" si="275"/>
        <v>67500</v>
      </c>
      <c r="O1959" s="111">
        <f t="shared" si="276"/>
        <v>13500</v>
      </c>
      <c r="P1959" s="111">
        <f t="shared" si="277"/>
        <v>15000</v>
      </c>
      <c r="Q1959" s="111">
        <v>30000</v>
      </c>
      <c r="R1959" s="111">
        <v>3</v>
      </c>
      <c r="S1959" s="111">
        <f t="shared" si="278"/>
        <v>3000</v>
      </c>
      <c r="T1959" s="111">
        <f t="shared" si="279"/>
        <v>180000</v>
      </c>
      <c r="U1959" s="111">
        <f t="shared" si="280"/>
        <v>1800</v>
      </c>
      <c r="V1959" s="111">
        <f t="shared" si="281"/>
        <v>181800</v>
      </c>
      <c r="W1959" t="s">
        <v>4420</v>
      </c>
    </row>
    <row r="1960" spans="1:23" x14ac:dyDescent="0.3">
      <c r="A1960" s="110">
        <v>2401060</v>
      </c>
      <c r="B1960" s="110" t="s">
        <v>2088</v>
      </c>
      <c r="C1960" s="110" t="s">
        <v>2154</v>
      </c>
      <c r="D1960" s="110" t="s">
        <v>2158</v>
      </c>
      <c r="E1960" s="110" t="s">
        <v>143</v>
      </c>
      <c r="F1960" s="110" t="s">
        <v>113</v>
      </c>
      <c r="G1960" s="110" t="s">
        <v>114</v>
      </c>
      <c r="H1960" s="111">
        <v>132</v>
      </c>
      <c r="I1960" s="111">
        <v>121</v>
      </c>
      <c r="J1960" s="111">
        <v>114</v>
      </c>
      <c r="K1960" s="111">
        <f t="shared" si="273"/>
        <v>122.33333333333333</v>
      </c>
      <c r="L1960" s="111">
        <v>150000</v>
      </c>
      <c r="M1960" s="111">
        <f t="shared" si="274"/>
        <v>67500</v>
      </c>
      <c r="N1960" s="111">
        <f t="shared" si="275"/>
        <v>67500</v>
      </c>
      <c r="O1960" s="111">
        <f t="shared" si="276"/>
        <v>13500</v>
      </c>
      <c r="P1960" s="111">
        <f t="shared" si="277"/>
        <v>15000</v>
      </c>
      <c r="Q1960" s="111">
        <v>30000</v>
      </c>
      <c r="R1960" s="111">
        <v>3</v>
      </c>
      <c r="S1960" s="111">
        <f t="shared" si="278"/>
        <v>3000</v>
      </c>
      <c r="T1960" s="111">
        <f t="shared" si="279"/>
        <v>180000</v>
      </c>
      <c r="U1960" s="111">
        <f t="shared" si="280"/>
        <v>1800</v>
      </c>
      <c r="V1960" s="111">
        <f t="shared" si="281"/>
        <v>181800</v>
      </c>
      <c r="W1960" t="s">
        <v>4421</v>
      </c>
    </row>
    <row r="1961" spans="1:23" x14ac:dyDescent="0.3">
      <c r="A1961" s="110">
        <v>2401178</v>
      </c>
      <c r="B1961" s="110" t="s">
        <v>2088</v>
      </c>
      <c r="C1961" s="110" t="s">
        <v>2159</v>
      </c>
      <c r="D1961" s="110" t="s">
        <v>2159</v>
      </c>
      <c r="E1961" s="110" t="s">
        <v>570</v>
      </c>
      <c r="F1961" s="110" t="s">
        <v>119</v>
      </c>
      <c r="G1961" s="110" t="s">
        <v>114</v>
      </c>
      <c r="H1961" s="111">
        <v>844</v>
      </c>
      <c r="I1961" s="111">
        <v>842</v>
      </c>
      <c r="J1961" s="111">
        <v>836</v>
      </c>
      <c r="K1961" s="111">
        <f t="shared" si="273"/>
        <v>840.66666666666663</v>
      </c>
      <c r="L1961" s="111">
        <f>300000</f>
        <v>300000</v>
      </c>
      <c r="M1961" s="111">
        <f t="shared" si="274"/>
        <v>135000</v>
      </c>
      <c r="N1961" s="111">
        <f t="shared" si="275"/>
        <v>135000</v>
      </c>
      <c r="O1961" s="111">
        <f t="shared" si="276"/>
        <v>27000</v>
      </c>
      <c r="P1961" s="111">
        <f t="shared" si="277"/>
        <v>30000</v>
      </c>
      <c r="Q1961" s="111">
        <v>60000</v>
      </c>
      <c r="R1961" s="111">
        <v>6</v>
      </c>
      <c r="S1961" s="111">
        <f t="shared" si="278"/>
        <v>6000</v>
      </c>
      <c r="T1961" s="111">
        <f t="shared" si="279"/>
        <v>360000</v>
      </c>
      <c r="U1961" s="111">
        <f t="shared" si="280"/>
        <v>3600</v>
      </c>
      <c r="V1961" s="111">
        <f t="shared" si="281"/>
        <v>363600</v>
      </c>
      <c r="W1961" t="s">
        <v>4422</v>
      </c>
    </row>
    <row r="1962" spans="1:23" x14ac:dyDescent="0.3">
      <c r="A1962" s="110">
        <v>2401179</v>
      </c>
      <c r="B1962" s="110" t="s">
        <v>2088</v>
      </c>
      <c r="C1962" s="110" t="s">
        <v>2159</v>
      </c>
      <c r="D1962" s="110" t="s">
        <v>2159</v>
      </c>
      <c r="E1962" s="110" t="s">
        <v>357</v>
      </c>
      <c r="F1962" s="110" t="s">
        <v>117</v>
      </c>
      <c r="G1962" s="110" t="s">
        <v>114</v>
      </c>
      <c r="H1962" s="111">
        <v>360</v>
      </c>
      <c r="I1962" s="111">
        <v>375</v>
      </c>
      <c r="J1962" s="111">
        <v>377</v>
      </c>
      <c r="K1962" s="111">
        <f t="shared" si="273"/>
        <v>370.66666666666669</v>
      </c>
      <c r="L1962" s="111">
        <v>200000</v>
      </c>
      <c r="M1962" s="111">
        <f t="shared" si="274"/>
        <v>90000</v>
      </c>
      <c r="N1962" s="111">
        <f t="shared" si="275"/>
        <v>90000</v>
      </c>
      <c r="O1962" s="111">
        <f t="shared" si="276"/>
        <v>18000</v>
      </c>
      <c r="P1962" s="111">
        <f t="shared" si="277"/>
        <v>20000</v>
      </c>
      <c r="Q1962" s="111">
        <v>50000</v>
      </c>
      <c r="R1962" s="111">
        <v>5</v>
      </c>
      <c r="S1962" s="111">
        <f t="shared" si="278"/>
        <v>5000</v>
      </c>
      <c r="T1962" s="111">
        <f t="shared" si="279"/>
        <v>250000</v>
      </c>
      <c r="U1962" s="111">
        <f t="shared" si="280"/>
        <v>2500</v>
      </c>
      <c r="V1962" s="111">
        <f t="shared" si="281"/>
        <v>252500</v>
      </c>
      <c r="W1962" t="s">
        <v>4423</v>
      </c>
    </row>
    <row r="1963" spans="1:23" x14ac:dyDescent="0.3">
      <c r="A1963" s="110">
        <v>2401181</v>
      </c>
      <c r="B1963" s="110" t="s">
        <v>2088</v>
      </c>
      <c r="C1963" s="110" t="s">
        <v>2159</v>
      </c>
      <c r="D1963" s="110" t="s">
        <v>2159</v>
      </c>
      <c r="E1963" s="110" t="s">
        <v>319</v>
      </c>
      <c r="F1963" s="110" t="s">
        <v>113</v>
      </c>
      <c r="G1963" s="110" t="s">
        <v>114</v>
      </c>
      <c r="H1963" s="111">
        <v>235</v>
      </c>
      <c r="I1963" s="111">
        <v>228</v>
      </c>
      <c r="J1963" s="111">
        <v>198</v>
      </c>
      <c r="K1963" s="111">
        <f t="shared" si="273"/>
        <v>220.33333333333334</v>
      </c>
      <c r="L1963" s="111">
        <v>200000</v>
      </c>
      <c r="M1963" s="111">
        <f t="shared" si="274"/>
        <v>90000</v>
      </c>
      <c r="N1963" s="111">
        <f t="shared" si="275"/>
        <v>90000</v>
      </c>
      <c r="O1963" s="111">
        <f t="shared" si="276"/>
        <v>18000</v>
      </c>
      <c r="P1963" s="111">
        <f t="shared" si="277"/>
        <v>20000</v>
      </c>
      <c r="Q1963" s="111">
        <v>50000</v>
      </c>
      <c r="R1963" s="111">
        <v>5</v>
      </c>
      <c r="S1963" s="111">
        <f t="shared" si="278"/>
        <v>5000</v>
      </c>
      <c r="T1963" s="111">
        <f t="shared" si="279"/>
        <v>250000</v>
      </c>
      <c r="U1963" s="111">
        <f t="shared" si="280"/>
        <v>2500</v>
      </c>
      <c r="V1963" s="111">
        <f t="shared" si="281"/>
        <v>252500</v>
      </c>
      <c r="W1963" t="s">
        <v>4424</v>
      </c>
    </row>
    <row r="1964" spans="1:23" x14ac:dyDescent="0.3">
      <c r="A1964" s="110">
        <v>2401182</v>
      </c>
      <c r="B1964" s="110" t="s">
        <v>2088</v>
      </c>
      <c r="C1964" s="110" t="s">
        <v>2159</v>
      </c>
      <c r="D1964" s="110" t="s">
        <v>2159</v>
      </c>
      <c r="E1964" s="110" t="s">
        <v>143</v>
      </c>
      <c r="F1964" s="110" t="s">
        <v>113</v>
      </c>
      <c r="G1964" s="110" t="s">
        <v>114</v>
      </c>
      <c r="H1964" s="111">
        <v>360</v>
      </c>
      <c r="I1964" s="111">
        <v>339</v>
      </c>
      <c r="J1964" s="111">
        <v>346</v>
      </c>
      <c r="K1964" s="111">
        <f t="shared" si="273"/>
        <v>348.33333333333331</v>
      </c>
      <c r="L1964" s="111">
        <v>200000</v>
      </c>
      <c r="M1964" s="111">
        <f t="shared" si="274"/>
        <v>90000</v>
      </c>
      <c r="N1964" s="111">
        <f t="shared" si="275"/>
        <v>90000</v>
      </c>
      <c r="O1964" s="111">
        <f t="shared" si="276"/>
        <v>18000</v>
      </c>
      <c r="P1964" s="111">
        <f t="shared" si="277"/>
        <v>20000</v>
      </c>
      <c r="Q1964" s="111">
        <v>50000</v>
      </c>
      <c r="R1964" s="111">
        <v>5</v>
      </c>
      <c r="S1964" s="111">
        <f t="shared" si="278"/>
        <v>5000</v>
      </c>
      <c r="T1964" s="111">
        <f t="shared" si="279"/>
        <v>250000</v>
      </c>
      <c r="U1964" s="111">
        <f t="shared" si="280"/>
        <v>2500</v>
      </c>
      <c r="V1964" s="111">
        <f t="shared" si="281"/>
        <v>252500</v>
      </c>
      <c r="W1964" t="s">
        <v>4425</v>
      </c>
    </row>
    <row r="1965" spans="1:23" x14ac:dyDescent="0.3">
      <c r="A1965" s="110">
        <v>2401184</v>
      </c>
      <c r="B1965" s="110" t="s">
        <v>2088</v>
      </c>
      <c r="C1965" s="110" t="s">
        <v>2159</v>
      </c>
      <c r="D1965" s="110" t="s">
        <v>2160</v>
      </c>
      <c r="E1965" s="110" t="s">
        <v>2079</v>
      </c>
      <c r="F1965" s="110" t="s">
        <v>113</v>
      </c>
      <c r="G1965" s="110" t="s">
        <v>114</v>
      </c>
      <c r="H1965" s="111">
        <v>51</v>
      </c>
      <c r="I1965" s="111">
        <v>46</v>
      </c>
      <c r="J1965" s="111">
        <v>54</v>
      </c>
      <c r="K1965" s="111">
        <f t="shared" si="273"/>
        <v>50.333333333333336</v>
      </c>
      <c r="L1965" s="111">
        <v>50000</v>
      </c>
      <c r="M1965" s="111">
        <f t="shared" si="274"/>
        <v>22500</v>
      </c>
      <c r="N1965" s="111">
        <f t="shared" si="275"/>
        <v>22500</v>
      </c>
      <c r="O1965" s="111">
        <f t="shared" si="276"/>
        <v>4500</v>
      </c>
      <c r="P1965" s="111">
        <f t="shared" si="277"/>
        <v>5000</v>
      </c>
      <c r="Q1965" s="111">
        <v>10000</v>
      </c>
      <c r="R1965" s="111">
        <v>1</v>
      </c>
      <c r="S1965" s="111">
        <f t="shared" si="278"/>
        <v>1000</v>
      </c>
      <c r="T1965" s="111">
        <f t="shared" si="279"/>
        <v>60000</v>
      </c>
      <c r="U1965" s="111">
        <f t="shared" si="280"/>
        <v>600</v>
      </c>
      <c r="V1965" s="111">
        <f t="shared" si="281"/>
        <v>60600</v>
      </c>
      <c r="W1965" t="s">
        <v>4426</v>
      </c>
    </row>
    <row r="1966" spans="1:23" x14ac:dyDescent="0.3">
      <c r="A1966" s="110">
        <v>2401185</v>
      </c>
      <c r="B1966" s="110" t="s">
        <v>2088</v>
      </c>
      <c r="C1966" s="110" t="s">
        <v>2159</v>
      </c>
      <c r="D1966" s="110" t="s">
        <v>2161</v>
      </c>
      <c r="E1966" s="110" t="s">
        <v>1168</v>
      </c>
      <c r="F1966" s="110" t="s">
        <v>113</v>
      </c>
      <c r="G1966" s="110" t="s">
        <v>114</v>
      </c>
      <c r="H1966" s="111">
        <v>88</v>
      </c>
      <c r="I1966" s="111">
        <v>79</v>
      </c>
      <c r="J1966" s="111">
        <v>76</v>
      </c>
      <c r="K1966" s="111">
        <f t="shared" si="273"/>
        <v>81</v>
      </c>
      <c r="L1966" s="111">
        <v>150000</v>
      </c>
      <c r="M1966" s="111">
        <f t="shared" si="274"/>
        <v>67500</v>
      </c>
      <c r="N1966" s="111">
        <f t="shared" si="275"/>
        <v>67500</v>
      </c>
      <c r="O1966" s="111">
        <f t="shared" si="276"/>
        <v>13500</v>
      </c>
      <c r="P1966" s="111">
        <f t="shared" si="277"/>
        <v>15000</v>
      </c>
      <c r="Q1966" s="111">
        <v>30000</v>
      </c>
      <c r="R1966" s="111">
        <v>3</v>
      </c>
      <c r="S1966" s="111">
        <f t="shared" si="278"/>
        <v>3000</v>
      </c>
      <c r="T1966" s="111">
        <f t="shared" si="279"/>
        <v>180000</v>
      </c>
      <c r="U1966" s="111">
        <f t="shared" si="280"/>
        <v>1800</v>
      </c>
      <c r="V1966" s="111">
        <f t="shared" si="281"/>
        <v>181800</v>
      </c>
      <c r="W1966" t="s">
        <v>4427</v>
      </c>
    </row>
    <row r="1967" spans="1:23" x14ac:dyDescent="0.3">
      <c r="A1967" s="110">
        <v>2401186</v>
      </c>
      <c r="B1967" s="110" t="s">
        <v>2088</v>
      </c>
      <c r="C1967" s="110" t="s">
        <v>2159</v>
      </c>
      <c r="D1967" s="110" t="s">
        <v>2162</v>
      </c>
      <c r="E1967" s="110" t="s">
        <v>1073</v>
      </c>
      <c r="F1967" s="110" t="s">
        <v>113</v>
      </c>
      <c r="G1967" s="110" t="s">
        <v>114</v>
      </c>
      <c r="H1967" s="111">
        <v>133</v>
      </c>
      <c r="I1967" s="111">
        <v>135</v>
      </c>
      <c r="J1967" s="111">
        <v>117</v>
      </c>
      <c r="K1967" s="111">
        <f t="shared" si="273"/>
        <v>128.33333333333334</v>
      </c>
      <c r="L1967" s="111">
        <v>150000</v>
      </c>
      <c r="M1967" s="111">
        <f t="shared" si="274"/>
        <v>67500</v>
      </c>
      <c r="N1967" s="111">
        <f t="shared" si="275"/>
        <v>67500</v>
      </c>
      <c r="O1967" s="111">
        <f t="shared" si="276"/>
        <v>13500</v>
      </c>
      <c r="P1967" s="111">
        <f t="shared" si="277"/>
        <v>15000</v>
      </c>
      <c r="Q1967" s="111">
        <v>30000</v>
      </c>
      <c r="R1967" s="111">
        <v>3</v>
      </c>
      <c r="S1967" s="111">
        <f t="shared" si="278"/>
        <v>3000</v>
      </c>
      <c r="T1967" s="111">
        <f t="shared" si="279"/>
        <v>180000</v>
      </c>
      <c r="U1967" s="111">
        <f t="shared" si="280"/>
        <v>1800</v>
      </c>
      <c r="V1967" s="111">
        <f t="shared" si="281"/>
        <v>181800</v>
      </c>
      <c r="W1967" t="s">
        <v>4428</v>
      </c>
    </row>
    <row r="1968" spans="1:23" x14ac:dyDescent="0.3">
      <c r="A1968" s="110">
        <v>2401189</v>
      </c>
      <c r="B1968" s="110" t="s">
        <v>2088</v>
      </c>
      <c r="C1968" s="110" t="s">
        <v>2159</v>
      </c>
      <c r="D1968" s="110" t="s">
        <v>2159</v>
      </c>
      <c r="E1968" s="110" t="s">
        <v>945</v>
      </c>
      <c r="F1968" s="110" t="s">
        <v>209</v>
      </c>
      <c r="G1968" s="110" t="s">
        <v>114</v>
      </c>
      <c r="H1968" s="111">
        <v>78</v>
      </c>
      <c r="I1968" s="111">
        <v>76</v>
      </c>
      <c r="J1968" s="111">
        <v>70</v>
      </c>
      <c r="K1968" s="111">
        <f t="shared" si="273"/>
        <v>74.666666666666671</v>
      </c>
      <c r="L1968" s="111">
        <f>150000*0.7</f>
        <v>105000</v>
      </c>
      <c r="M1968" s="111">
        <f t="shared" si="274"/>
        <v>47250</v>
      </c>
      <c r="N1968" s="111">
        <f t="shared" si="275"/>
        <v>47250</v>
      </c>
      <c r="O1968" s="111">
        <f t="shared" si="276"/>
        <v>9450</v>
      </c>
      <c r="P1968" s="111">
        <f t="shared" si="277"/>
        <v>10500</v>
      </c>
      <c r="Q1968" s="111">
        <v>30000</v>
      </c>
      <c r="R1968" s="111">
        <v>3</v>
      </c>
      <c r="S1968" s="111">
        <f t="shared" si="278"/>
        <v>3000</v>
      </c>
      <c r="T1968" s="111">
        <f t="shared" si="279"/>
        <v>135000</v>
      </c>
      <c r="U1968" s="111">
        <f t="shared" si="280"/>
        <v>1350</v>
      </c>
      <c r="V1968" s="111">
        <f t="shared" si="281"/>
        <v>136350</v>
      </c>
      <c r="W1968" t="s">
        <v>4429</v>
      </c>
    </row>
    <row r="1969" spans="1:23" x14ac:dyDescent="0.3">
      <c r="A1969" s="110">
        <v>2402016</v>
      </c>
      <c r="B1969" s="110" t="s">
        <v>2088</v>
      </c>
      <c r="C1969" s="110" t="s">
        <v>2088</v>
      </c>
      <c r="D1969" s="110" t="s">
        <v>2088</v>
      </c>
      <c r="E1969" s="110" t="s">
        <v>2163</v>
      </c>
      <c r="F1969" s="110" t="s">
        <v>117</v>
      </c>
      <c r="G1969" s="110" t="s">
        <v>114</v>
      </c>
      <c r="H1969" s="111">
        <v>593</v>
      </c>
      <c r="I1969" s="111">
        <v>567</v>
      </c>
      <c r="J1969" s="111">
        <v>550</v>
      </c>
      <c r="K1969" s="111">
        <f t="shared" si="273"/>
        <v>570</v>
      </c>
      <c r="L1969" s="111">
        <f>300000</f>
        <v>300000</v>
      </c>
      <c r="M1969" s="111">
        <f t="shared" si="274"/>
        <v>135000</v>
      </c>
      <c r="N1969" s="111">
        <f t="shared" si="275"/>
        <v>135000</v>
      </c>
      <c r="O1969" s="111">
        <f t="shared" si="276"/>
        <v>27000</v>
      </c>
      <c r="P1969" s="111">
        <f t="shared" si="277"/>
        <v>30000</v>
      </c>
      <c r="Q1969" s="111">
        <v>60000</v>
      </c>
      <c r="R1969" s="111">
        <v>6</v>
      </c>
      <c r="S1969" s="111">
        <f t="shared" si="278"/>
        <v>6000</v>
      </c>
      <c r="T1969" s="111">
        <f t="shared" si="279"/>
        <v>360000</v>
      </c>
      <c r="U1969" s="111">
        <f t="shared" si="280"/>
        <v>3600</v>
      </c>
      <c r="V1969" s="111">
        <f t="shared" si="281"/>
        <v>363600</v>
      </c>
      <c r="W1969" t="s">
        <v>4430</v>
      </c>
    </row>
    <row r="1970" spans="1:23" x14ac:dyDescent="0.3">
      <c r="A1970" s="110">
        <v>2402131</v>
      </c>
      <c r="B1970" s="110" t="s">
        <v>2088</v>
      </c>
      <c r="C1970" s="110" t="s">
        <v>2088</v>
      </c>
      <c r="D1970" s="110" t="s">
        <v>2088</v>
      </c>
      <c r="E1970" s="110" t="s">
        <v>2164</v>
      </c>
      <c r="F1970" s="110" t="s">
        <v>117</v>
      </c>
      <c r="G1970" s="110" t="s">
        <v>125</v>
      </c>
      <c r="H1970" s="111">
        <v>673</v>
      </c>
      <c r="I1970" s="111">
        <v>659</v>
      </c>
      <c r="J1970" s="111">
        <v>640</v>
      </c>
      <c r="K1970" s="111">
        <f t="shared" si="273"/>
        <v>657.33333333333337</v>
      </c>
      <c r="L1970" s="111">
        <f>300000*0.7</f>
        <v>210000</v>
      </c>
      <c r="M1970" s="111">
        <f t="shared" si="274"/>
        <v>94500</v>
      </c>
      <c r="N1970" s="111">
        <f t="shared" si="275"/>
        <v>94500</v>
      </c>
      <c r="O1970" s="111">
        <f t="shared" si="276"/>
        <v>18900</v>
      </c>
      <c r="P1970" s="111">
        <f t="shared" si="277"/>
        <v>21000</v>
      </c>
      <c r="Q1970" s="111">
        <v>60000</v>
      </c>
      <c r="R1970" s="111">
        <v>6</v>
      </c>
      <c r="S1970" s="111">
        <f t="shared" si="278"/>
        <v>6000</v>
      </c>
      <c r="T1970" s="111">
        <f t="shared" si="279"/>
        <v>270000</v>
      </c>
      <c r="U1970" s="111">
        <f t="shared" si="280"/>
        <v>2700</v>
      </c>
      <c r="V1970" s="111">
        <f t="shared" si="281"/>
        <v>272700</v>
      </c>
      <c r="W1970" t="s">
        <v>4431</v>
      </c>
    </row>
    <row r="1971" spans="1:23" x14ac:dyDescent="0.3">
      <c r="A1971" s="110">
        <v>2403098</v>
      </c>
      <c r="B1971" s="110" t="s">
        <v>2088</v>
      </c>
      <c r="C1971" s="110" t="s">
        <v>2165</v>
      </c>
      <c r="D1971" s="110" t="s">
        <v>2165</v>
      </c>
      <c r="E1971" s="110" t="s">
        <v>2166</v>
      </c>
      <c r="F1971" s="110" t="s">
        <v>119</v>
      </c>
      <c r="G1971" s="110" t="s">
        <v>114</v>
      </c>
      <c r="H1971" s="111">
        <v>88</v>
      </c>
      <c r="I1971" s="111">
        <v>103</v>
      </c>
      <c r="J1971" s="111">
        <v>124</v>
      </c>
      <c r="K1971" s="111">
        <f t="shared" si="273"/>
        <v>105</v>
      </c>
      <c r="L1971" s="111">
        <v>150000</v>
      </c>
      <c r="M1971" s="111">
        <f t="shared" si="274"/>
        <v>67500</v>
      </c>
      <c r="N1971" s="111">
        <f t="shared" si="275"/>
        <v>67500</v>
      </c>
      <c r="O1971" s="111">
        <f t="shared" si="276"/>
        <v>13500</v>
      </c>
      <c r="P1971" s="111">
        <f t="shared" si="277"/>
        <v>15000</v>
      </c>
      <c r="Q1971" s="111">
        <v>30000</v>
      </c>
      <c r="R1971" s="111">
        <v>3</v>
      </c>
      <c r="S1971" s="111">
        <f t="shared" si="278"/>
        <v>3000</v>
      </c>
      <c r="T1971" s="111">
        <f t="shared" si="279"/>
        <v>180000</v>
      </c>
      <c r="U1971" s="111">
        <f t="shared" si="280"/>
        <v>1800</v>
      </c>
      <c r="V1971" s="111">
        <f t="shared" si="281"/>
        <v>181800</v>
      </c>
      <c r="W1971" t="s">
        <v>4432</v>
      </c>
    </row>
    <row r="1972" spans="1:23" x14ac:dyDescent="0.3">
      <c r="A1972" s="110">
        <v>2403099</v>
      </c>
      <c r="B1972" s="110" t="s">
        <v>2088</v>
      </c>
      <c r="C1972" s="110" t="s">
        <v>2165</v>
      </c>
      <c r="D1972" s="110" t="s">
        <v>2167</v>
      </c>
      <c r="E1972" s="110" t="s">
        <v>165</v>
      </c>
      <c r="F1972" s="110" t="s">
        <v>113</v>
      </c>
      <c r="G1972" s="110" t="s">
        <v>114</v>
      </c>
      <c r="H1972" s="111">
        <v>50</v>
      </c>
      <c r="I1972" s="111">
        <v>41</v>
      </c>
      <c r="J1972" s="111">
        <v>39</v>
      </c>
      <c r="K1972" s="111">
        <f t="shared" si="273"/>
        <v>43.333333333333336</v>
      </c>
      <c r="L1972" s="111">
        <v>50000</v>
      </c>
      <c r="M1972" s="111">
        <f t="shared" si="274"/>
        <v>22500</v>
      </c>
      <c r="N1972" s="111">
        <f t="shared" si="275"/>
        <v>22500</v>
      </c>
      <c r="O1972" s="111">
        <f t="shared" si="276"/>
        <v>4500</v>
      </c>
      <c r="P1972" s="111">
        <f t="shared" si="277"/>
        <v>5000</v>
      </c>
      <c r="Q1972" s="111">
        <v>10000</v>
      </c>
      <c r="R1972" s="111">
        <v>1</v>
      </c>
      <c r="S1972" s="111">
        <f t="shared" si="278"/>
        <v>1000</v>
      </c>
      <c r="T1972" s="111">
        <f t="shared" si="279"/>
        <v>60000</v>
      </c>
      <c r="U1972" s="111">
        <f t="shared" si="280"/>
        <v>600</v>
      </c>
      <c r="V1972" s="111">
        <f t="shared" si="281"/>
        <v>60600</v>
      </c>
      <c r="W1972" t="s">
        <v>4433</v>
      </c>
    </row>
    <row r="1973" spans="1:23" x14ac:dyDescent="0.3">
      <c r="A1973" s="110">
        <v>2403100</v>
      </c>
      <c r="B1973" s="110" t="s">
        <v>2088</v>
      </c>
      <c r="C1973" s="110" t="s">
        <v>2165</v>
      </c>
      <c r="D1973" s="110" t="s">
        <v>2168</v>
      </c>
      <c r="E1973" s="110" t="s">
        <v>399</v>
      </c>
      <c r="F1973" s="110" t="s">
        <v>113</v>
      </c>
      <c r="G1973" s="110" t="s">
        <v>114</v>
      </c>
      <c r="H1973" s="111">
        <v>43</v>
      </c>
      <c r="I1973" s="111">
        <v>35</v>
      </c>
      <c r="J1973" s="111">
        <v>33</v>
      </c>
      <c r="K1973" s="111">
        <f t="shared" si="273"/>
        <v>37</v>
      </c>
      <c r="L1973" s="111">
        <v>50000</v>
      </c>
      <c r="M1973" s="111">
        <f t="shared" si="274"/>
        <v>22500</v>
      </c>
      <c r="N1973" s="111">
        <f t="shared" si="275"/>
        <v>22500</v>
      </c>
      <c r="O1973" s="111">
        <f t="shared" si="276"/>
        <v>4500</v>
      </c>
      <c r="P1973" s="111">
        <f t="shared" si="277"/>
        <v>5000</v>
      </c>
      <c r="Q1973" s="111">
        <v>10000</v>
      </c>
      <c r="R1973" s="111">
        <v>1</v>
      </c>
      <c r="S1973" s="111">
        <f t="shared" si="278"/>
        <v>1000</v>
      </c>
      <c r="T1973" s="111">
        <f t="shared" si="279"/>
        <v>60000</v>
      </c>
      <c r="U1973" s="111">
        <f t="shared" si="280"/>
        <v>600</v>
      </c>
      <c r="V1973" s="111">
        <f t="shared" si="281"/>
        <v>60600</v>
      </c>
      <c r="W1973" t="s">
        <v>4434</v>
      </c>
    </row>
    <row r="1974" spans="1:23" x14ac:dyDescent="0.3">
      <c r="A1974" s="110">
        <v>2403102</v>
      </c>
      <c r="B1974" s="110" t="s">
        <v>2088</v>
      </c>
      <c r="C1974" s="110" t="s">
        <v>2165</v>
      </c>
      <c r="D1974" s="110" t="s">
        <v>2169</v>
      </c>
      <c r="E1974" s="110" t="s">
        <v>184</v>
      </c>
      <c r="F1974" s="110" t="s">
        <v>113</v>
      </c>
      <c r="G1974" s="110" t="s">
        <v>114</v>
      </c>
      <c r="H1974" s="111">
        <v>119</v>
      </c>
      <c r="I1974" s="111">
        <v>109</v>
      </c>
      <c r="J1974" s="111">
        <v>110</v>
      </c>
      <c r="K1974" s="111">
        <f t="shared" si="273"/>
        <v>112.66666666666667</v>
      </c>
      <c r="L1974" s="111">
        <v>150000</v>
      </c>
      <c r="M1974" s="111">
        <f t="shared" si="274"/>
        <v>67500</v>
      </c>
      <c r="N1974" s="111">
        <f t="shared" si="275"/>
        <v>67500</v>
      </c>
      <c r="O1974" s="111">
        <f t="shared" si="276"/>
        <v>13500</v>
      </c>
      <c r="P1974" s="111">
        <f t="shared" si="277"/>
        <v>15000</v>
      </c>
      <c r="Q1974" s="111">
        <v>30000</v>
      </c>
      <c r="R1974" s="111">
        <v>3</v>
      </c>
      <c r="S1974" s="111">
        <f t="shared" si="278"/>
        <v>3000</v>
      </c>
      <c r="T1974" s="111">
        <f t="shared" si="279"/>
        <v>180000</v>
      </c>
      <c r="U1974" s="111">
        <f t="shared" si="280"/>
        <v>1800</v>
      </c>
      <c r="V1974" s="111">
        <f t="shared" si="281"/>
        <v>181800</v>
      </c>
      <c r="W1974" t="s">
        <v>4435</v>
      </c>
    </row>
    <row r="1975" spans="1:23" x14ac:dyDescent="0.3">
      <c r="A1975" s="110">
        <v>2403103</v>
      </c>
      <c r="B1975" s="110" t="s">
        <v>2088</v>
      </c>
      <c r="C1975" s="110" t="s">
        <v>2165</v>
      </c>
      <c r="D1975" s="110" t="s">
        <v>2170</v>
      </c>
      <c r="E1975" s="110" t="s">
        <v>549</v>
      </c>
      <c r="F1975" s="110" t="s">
        <v>113</v>
      </c>
      <c r="G1975" s="110" t="s">
        <v>114</v>
      </c>
      <c r="H1975" s="111">
        <v>44</v>
      </c>
      <c r="I1975" s="111">
        <v>39</v>
      </c>
      <c r="J1975" s="111">
        <v>41</v>
      </c>
      <c r="K1975" s="111">
        <f t="shared" si="273"/>
        <v>41.333333333333336</v>
      </c>
      <c r="L1975" s="111">
        <v>50000</v>
      </c>
      <c r="M1975" s="111">
        <f t="shared" si="274"/>
        <v>22500</v>
      </c>
      <c r="N1975" s="111">
        <f t="shared" si="275"/>
        <v>22500</v>
      </c>
      <c r="O1975" s="111">
        <f t="shared" si="276"/>
        <v>4500</v>
      </c>
      <c r="P1975" s="111">
        <f t="shared" si="277"/>
        <v>5000</v>
      </c>
      <c r="Q1975" s="111">
        <v>10000</v>
      </c>
      <c r="R1975" s="111">
        <v>1</v>
      </c>
      <c r="S1975" s="111">
        <f t="shared" si="278"/>
        <v>1000</v>
      </c>
      <c r="T1975" s="111">
        <f t="shared" si="279"/>
        <v>60000</v>
      </c>
      <c r="U1975" s="111">
        <f t="shared" si="280"/>
        <v>600</v>
      </c>
      <c r="V1975" s="111">
        <f t="shared" si="281"/>
        <v>60600</v>
      </c>
      <c r="W1975" t="s">
        <v>4436</v>
      </c>
    </row>
    <row r="1976" spans="1:23" x14ac:dyDescent="0.3">
      <c r="A1976" s="110">
        <v>2403105</v>
      </c>
      <c r="B1976" s="110" t="s">
        <v>2088</v>
      </c>
      <c r="C1976" s="110" t="s">
        <v>2165</v>
      </c>
      <c r="D1976" s="110" t="s">
        <v>2171</v>
      </c>
      <c r="E1976" s="110" t="s">
        <v>2172</v>
      </c>
      <c r="F1976" s="110" t="s">
        <v>113</v>
      </c>
      <c r="G1976" s="110" t="s">
        <v>114</v>
      </c>
      <c r="H1976" s="111">
        <v>160</v>
      </c>
      <c r="I1976" s="111">
        <v>157</v>
      </c>
      <c r="J1976" s="111">
        <v>165</v>
      </c>
      <c r="K1976" s="111">
        <f t="shared" si="273"/>
        <v>160.66666666666666</v>
      </c>
      <c r="L1976" s="111">
        <v>150000</v>
      </c>
      <c r="M1976" s="111">
        <f t="shared" si="274"/>
        <v>67500</v>
      </c>
      <c r="N1976" s="111">
        <f t="shared" si="275"/>
        <v>67500</v>
      </c>
      <c r="O1976" s="111">
        <f t="shared" si="276"/>
        <v>13500</v>
      </c>
      <c r="P1976" s="111">
        <f t="shared" si="277"/>
        <v>15000</v>
      </c>
      <c r="Q1976" s="111">
        <v>30000</v>
      </c>
      <c r="R1976" s="111">
        <v>3</v>
      </c>
      <c r="S1976" s="111">
        <f t="shared" si="278"/>
        <v>3000</v>
      </c>
      <c r="T1976" s="111">
        <f t="shared" si="279"/>
        <v>180000</v>
      </c>
      <c r="U1976" s="111">
        <f t="shared" si="280"/>
        <v>1800</v>
      </c>
      <c r="V1976" s="111">
        <f t="shared" si="281"/>
        <v>181800</v>
      </c>
      <c r="W1976" t="s">
        <v>4437</v>
      </c>
    </row>
    <row r="1977" spans="1:23" x14ac:dyDescent="0.3">
      <c r="A1977" s="110">
        <v>2403219</v>
      </c>
      <c r="B1977" s="110" t="s">
        <v>2088</v>
      </c>
      <c r="C1977" s="110" t="s">
        <v>2088</v>
      </c>
      <c r="D1977" s="110" t="s">
        <v>2088</v>
      </c>
      <c r="E1977" s="110" t="s">
        <v>2173</v>
      </c>
      <c r="F1977" s="110" t="s">
        <v>113</v>
      </c>
      <c r="G1977" s="110" t="s">
        <v>114</v>
      </c>
      <c r="H1977" s="111">
        <v>924</v>
      </c>
      <c r="I1977" s="111">
        <v>911</v>
      </c>
      <c r="J1977" s="111">
        <v>908</v>
      </c>
      <c r="K1977" s="111">
        <f t="shared" si="273"/>
        <v>914.33333333333337</v>
      </c>
      <c r="L1977" s="111">
        <f>300000</f>
        <v>300000</v>
      </c>
      <c r="M1977" s="111">
        <f t="shared" si="274"/>
        <v>135000</v>
      </c>
      <c r="N1977" s="111">
        <f t="shared" si="275"/>
        <v>135000</v>
      </c>
      <c r="O1977" s="111">
        <f t="shared" si="276"/>
        <v>27000</v>
      </c>
      <c r="P1977" s="111">
        <f t="shared" si="277"/>
        <v>30000</v>
      </c>
      <c r="Q1977" s="111">
        <v>60000</v>
      </c>
      <c r="R1977" s="111">
        <v>6</v>
      </c>
      <c r="S1977" s="111">
        <f t="shared" si="278"/>
        <v>6000</v>
      </c>
      <c r="T1977" s="111">
        <f t="shared" si="279"/>
        <v>360000</v>
      </c>
      <c r="U1977" s="111">
        <f t="shared" si="280"/>
        <v>3600</v>
      </c>
      <c r="V1977" s="111">
        <f t="shared" si="281"/>
        <v>363600</v>
      </c>
      <c r="W1977" t="s">
        <v>4438</v>
      </c>
    </row>
    <row r="1978" spans="1:23" x14ac:dyDescent="0.3">
      <c r="A1978" s="110">
        <v>2403264</v>
      </c>
      <c r="B1978" s="110" t="s">
        <v>2088</v>
      </c>
      <c r="C1978" s="110" t="s">
        <v>2088</v>
      </c>
      <c r="D1978" s="110" t="s">
        <v>2088</v>
      </c>
      <c r="E1978" s="110" t="s">
        <v>2174</v>
      </c>
      <c r="F1978" s="110" t="s">
        <v>122</v>
      </c>
      <c r="G1978" s="110" t="s">
        <v>114</v>
      </c>
      <c r="H1978" s="111">
        <v>1083</v>
      </c>
      <c r="I1978" s="111">
        <v>1064</v>
      </c>
      <c r="J1978" s="111">
        <v>1062</v>
      </c>
      <c r="K1978" s="111">
        <f t="shared" si="273"/>
        <v>1069.6666666666667</v>
      </c>
      <c r="L1978" s="111">
        <f>600000</f>
        <v>600000</v>
      </c>
      <c r="M1978" s="111">
        <f t="shared" si="274"/>
        <v>270000</v>
      </c>
      <c r="N1978" s="111">
        <f t="shared" si="275"/>
        <v>270000</v>
      </c>
      <c r="O1978" s="111">
        <f t="shared" si="276"/>
        <v>54000</v>
      </c>
      <c r="P1978" s="111">
        <f t="shared" si="277"/>
        <v>60000</v>
      </c>
      <c r="Q1978" s="111">
        <v>80000</v>
      </c>
      <c r="R1978" s="111">
        <v>8</v>
      </c>
      <c r="S1978" s="111">
        <f t="shared" si="278"/>
        <v>8000</v>
      </c>
      <c r="T1978" s="111">
        <f t="shared" si="279"/>
        <v>680000</v>
      </c>
      <c r="U1978" s="111">
        <f t="shared" si="280"/>
        <v>6800</v>
      </c>
      <c r="V1978" s="111">
        <f t="shared" si="281"/>
        <v>686800</v>
      </c>
      <c r="W1978" t="s">
        <v>4439</v>
      </c>
    </row>
    <row r="1979" spans="1:23" x14ac:dyDescent="0.3">
      <c r="A1979" s="110">
        <v>2404107</v>
      </c>
      <c r="B1979" s="110" t="s">
        <v>2088</v>
      </c>
      <c r="C1979" s="110" t="s">
        <v>2175</v>
      </c>
      <c r="D1979" s="110" t="s">
        <v>2175</v>
      </c>
      <c r="E1979" s="110" t="s">
        <v>2176</v>
      </c>
      <c r="F1979" s="110" t="s">
        <v>119</v>
      </c>
      <c r="G1979" s="110" t="s">
        <v>114</v>
      </c>
      <c r="H1979" s="111">
        <v>390</v>
      </c>
      <c r="I1979" s="111">
        <v>397</v>
      </c>
      <c r="J1979" s="111">
        <v>390</v>
      </c>
      <c r="K1979" s="111">
        <f t="shared" si="273"/>
        <v>392.33333333333331</v>
      </c>
      <c r="L1979" s="111">
        <f>200000*0.7</f>
        <v>140000</v>
      </c>
      <c r="M1979" s="111">
        <f t="shared" si="274"/>
        <v>63000</v>
      </c>
      <c r="N1979" s="111">
        <f t="shared" si="275"/>
        <v>63000</v>
      </c>
      <c r="O1979" s="111">
        <f t="shared" si="276"/>
        <v>12600</v>
      </c>
      <c r="P1979" s="111">
        <f t="shared" si="277"/>
        <v>14000</v>
      </c>
      <c r="Q1979" s="111">
        <v>50000</v>
      </c>
      <c r="R1979" s="111">
        <v>5</v>
      </c>
      <c r="S1979" s="111">
        <f t="shared" si="278"/>
        <v>5000</v>
      </c>
      <c r="T1979" s="111">
        <f t="shared" si="279"/>
        <v>190000</v>
      </c>
      <c r="U1979" s="111">
        <f t="shared" si="280"/>
        <v>1900</v>
      </c>
      <c r="V1979" s="111">
        <f t="shared" si="281"/>
        <v>191900</v>
      </c>
      <c r="W1979" t="s">
        <v>4440</v>
      </c>
    </row>
    <row r="1980" spans="1:23" x14ac:dyDescent="0.3">
      <c r="A1980" s="110">
        <v>2404108</v>
      </c>
      <c r="B1980" s="110" t="s">
        <v>2088</v>
      </c>
      <c r="C1980" s="110" t="s">
        <v>2175</v>
      </c>
      <c r="D1980" s="110" t="s">
        <v>2175</v>
      </c>
      <c r="E1980" s="110" t="s">
        <v>2177</v>
      </c>
      <c r="F1980" s="110" t="s">
        <v>117</v>
      </c>
      <c r="G1980" s="110" t="s">
        <v>114</v>
      </c>
      <c r="H1980" s="111">
        <v>287</v>
      </c>
      <c r="I1980" s="111">
        <v>276</v>
      </c>
      <c r="J1980" s="111">
        <v>302</v>
      </c>
      <c r="K1980" s="111">
        <f t="shared" si="273"/>
        <v>288.33333333333331</v>
      </c>
      <c r="L1980" s="111">
        <v>200000</v>
      </c>
      <c r="M1980" s="111">
        <f t="shared" si="274"/>
        <v>90000</v>
      </c>
      <c r="N1980" s="111">
        <f t="shared" si="275"/>
        <v>90000</v>
      </c>
      <c r="O1980" s="111">
        <f t="shared" si="276"/>
        <v>18000</v>
      </c>
      <c r="P1980" s="111">
        <f t="shared" si="277"/>
        <v>20000</v>
      </c>
      <c r="Q1980" s="111">
        <v>50000</v>
      </c>
      <c r="R1980" s="111">
        <v>5</v>
      </c>
      <c r="S1980" s="111">
        <f t="shared" si="278"/>
        <v>5000</v>
      </c>
      <c r="T1980" s="111">
        <f t="shared" si="279"/>
        <v>250000</v>
      </c>
      <c r="U1980" s="111">
        <f t="shared" si="280"/>
        <v>2500</v>
      </c>
      <c r="V1980" s="111">
        <f t="shared" si="281"/>
        <v>252500</v>
      </c>
      <c r="W1980" t="s">
        <v>4441</v>
      </c>
    </row>
    <row r="1981" spans="1:23" x14ac:dyDescent="0.3">
      <c r="A1981" s="110">
        <v>2404109</v>
      </c>
      <c r="B1981" s="110" t="s">
        <v>2088</v>
      </c>
      <c r="C1981" s="110" t="s">
        <v>2175</v>
      </c>
      <c r="D1981" s="110" t="s">
        <v>2175</v>
      </c>
      <c r="E1981" s="110" t="s">
        <v>2178</v>
      </c>
      <c r="F1981" s="110" t="s">
        <v>113</v>
      </c>
      <c r="G1981" s="110" t="s">
        <v>114</v>
      </c>
      <c r="H1981" s="111">
        <v>140</v>
      </c>
      <c r="I1981" s="111">
        <v>155</v>
      </c>
      <c r="J1981" s="111">
        <v>141</v>
      </c>
      <c r="K1981" s="111">
        <f t="shared" si="273"/>
        <v>145.33333333333334</v>
      </c>
      <c r="L1981" s="111">
        <v>150000</v>
      </c>
      <c r="M1981" s="111">
        <f t="shared" si="274"/>
        <v>67500</v>
      </c>
      <c r="N1981" s="111">
        <f t="shared" si="275"/>
        <v>67500</v>
      </c>
      <c r="O1981" s="111">
        <f t="shared" si="276"/>
        <v>13500</v>
      </c>
      <c r="P1981" s="111">
        <f t="shared" si="277"/>
        <v>15000</v>
      </c>
      <c r="Q1981" s="111">
        <v>30000</v>
      </c>
      <c r="R1981" s="111">
        <v>3</v>
      </c>
      <c r="S1981" s="111">
        <f t="shared" si="278"/>
        <v>3000</v>
      </c>
      <c r="T1981" s="111">
        <f t="shared" si="279"/>
        <v>180000</v>
      </c>
      <c r="U1981" s="111">
        <f t="shared" si="280"/>
        <v>1800</v>
      </c>
      <c r="V1981" s="111">
        <f t="shared" si="281"/>
        <v>181800</v>
      </c>
      <c r="W1981" t="s">
        <v>4442</v>
      </c>
    </row>
    <row r="1982" spans="1:23" x14ac:dyDescent="0.3">
      <c r="A1982" s="110">
        <v>2404110</v>
      </c>
      <c r="B1982" s="110" t="s">
        <v>2088</v>
      </c>
      <c r="C1982" s="110" t="s">
        <v>2175</v>
      </c>
      <c r="D1982" s="110" t="s">
        <v>2175</v>
      </c>
      <c r="E1982" s="110" t="s">
        <v>2179</v>
      </c>
      <c r="F1982" s="110" t="s">
        <v>113</v>
      </c>
      <c r="G1982" s="110" t="s">
        <v>114</v>
      </c>
      <c r="H1982" s="111">
        <v>264</v>
      </c>
      <c r="I1982" s="111">
        <v>254</v>
      </c>
      <c r="J1982" s="111">
        <v>236</v>
      </c>
      <c r="K1982" s="111">
        <f t="shared" si="273"/>
        <v>251.33333333333334</v>
      </c>
      <c r="L1982" s="111">
        <v>200000</v>
      </c>
      <c r="M1982" s="111">
        <f t="shared" si="274"/>
        <v>90000</v>
      </c>
      <c r="N1982" s="111">
        <f t="shared" si="275"/>
        <v>90000</v>
      </c>
      <c r="O1982" s="111">
        <f t="shared" si="276"/>
        <v>18000</v>
      </c>
      <c r="P1982" s="111">
        <f t="shared" si="277"/>
        <v>20000</v>
      </c>
      <c r="Q1982" s="111">
        <v>50000</v>
      </c>
      <c r="R1982" s="111">
        <v>5</v>
      </c>
      <c r="S1982" s="111">
        <f t="shared" si="278"/>
        <v>5000</v>
      </c>
      <c r="T1982" s="111">
        <f t="shared" si="279"/>
        <v>250000</v>
      </c>
      <c r="U1982" s="111">
        <f t="shared" si="280"/>
        <v>2500</v>
      </c>
      <c r="V1982" s="111">
        <f t="shared" si="281"/>
        <v>252500</v>
      </c>
      <c r="W1982" t="s">
        <v>4443</v>
      </c>
    </row>
    <row r="1983" spans="1:23" x14ac:dyDescent="0.3">
      <c r="A1983" s="110">
        <v>2404113</v>
      </c>
      <c r="B1983" s="110" t="s">
        <v>2088</v>
      </c>
      <c r="C1983" s="110" t="s">
        <v>2175</v>
      </c>
      <c r="D1983" s="110" t="s">
        <v>2180</v>
      </c>
      <c r="E1983" s="110" t="s">
        <v>588</v>
      </c>
      <c r="F1983" s="110" t="s">
        <v>113</v>
      </c>
      <c r="G1983" s="110" t="s">
        <v>114</v>
      </c>
      <c r="H1983" s="111">
        <v>38</v>
      </c>
      <c r="I1983" s="111">
        <v>40</v>
      </c>
      <c r="J1983" s="111">
        <v>47</v>
      </c>
      <c r="K1983" s="111">
        <f t="shared" si="273"/>
        <v>41.666666666666664</v>
      </c>
      <c r="L1983" s="111">
        <v>50000</v>
      </c>
      <c r="M1983" s="111">
        <f t="shared" si="274"/>
        <v>22500</v>
      </c>
      <c r="N1983" s="111">
        <f t="shared" si="275"/>
        <v>22500</v>
      </c>
      <c r="O1983" s="111">
        <f t="shared" si="276"/>
        <v>4500</v>
      </c>
      <c r="P1983" s="111">
        <f t="shared" si="277"/>
        <v>5000</v>
      </c>
      <c r="Q1983" s="111">
        <v>10000</v>
      </c>
      <c r="R1983" s="111">
        <v>1</v>
      </c>
      <c r="S1983" s="111">
        <f t="shared" si="278"/>
        <v>1000</v>
      </c>
      <c r="T1983" s="111">
        <f t="shared" si="279"/>
        <v>60000</v>
      </c>
      <c r="U1983" s="111">
        <f t="shared" si="280"/>
        <v>600</v>
      </c>
      <c r="V1983" s="111">
        <f t="shared" si="281"/>
        <v>60600</v>
      </c>
      <c r="W1983" t="s">
        <v>4444</v>
      </c>
    </row>
    <row r="1984" spans="1:23" x14ac:dyDescent="0.3">
      <c r="A1984" s="110">
        <v>2405116</v>
      </c>
      <c r="B1984" s="110" t="s">
        <v>2088</v>
      </c>
      <c r="C1984" s="110" t="s">
        <v>2181</v>
      </c>
      <c r="D1984" s="110" t="s">
        <v>2181</v>
      </c>
      <c r="E1984" s="110" t="s">
        <v>1131</v>
      </c>
      <c r="F1984" s="110" t="s">
        <v>113</v>
      </c>
      <c r="G1984" s="110" t="s">
        <v>114</v>
      </c>
      <c r="H1984" s="111">
        <v>242</v>
      </c>
      <c r="I1984" s="111">
        <v>226</v>
      </c>
      <c r="J1984" s="111">
        <v>224</v>
      </c>
      <c r="K1984" s="111">
        <f t="shared" si="273"/>
        <v>230.66666666666666</v>
      </c>
      <c r="L1984" s="111">
        <v>200000</v>
      </c>
      <c r="M1984" s="111">
        <f t="shared" si="274"/>
        <v>90000</v>
      </c>
      <c r="N1984" s="111">
        <f t="shared" si="275"/>
        <v>90000</v>
      </c>
      <c r="O1984" s="111">
        <f t="shared" si="276"/>
        <v>18000</v>
      </c>
      <c r="P1984" s="111">
        <f t="shared" si="277"/>
        <v>20000</v>
      </c>
      <c r="Q1984" s="111">
        <v>50000</v>
      </c>
      <c r="R1984" s="111">
        <v>5</v>
      </c>
      <c r="S1984" s="111">
        <f t="shared" si="278"/>
        <v>5000</v>
      </c>
      <c r="T1984" s="111">
        <f t="shared" si="279"/>
        <v>250000</v>
      </c>
      <c r="U1984" s="111">
        <f t="shared" si="280"/>
        <v>2500</v>
      </c>
      <c r="V1984" s="111">
        <f t="shared" si="281"/>
        <v>252500</v>
      </c>
      <c r="W1984" t="s">
        <v>4445</v>
      </c>
    </row>
    <row r="1985" spans="1:23" x14ac:dyDescent="0.3">
      <c r="A1985" s="110">
        <v>2405117</v>
      </c>
      <c r="B1985" s="110" t="s">
        <v>2088</v>
      </c>
      <c r="C1985" s="110" t="s">
        <v>2181</v>
      </c>
      <c r="D1985" s="110" t="s">
        <v>2181</v>
      </c>
      <c r="E1985" s="110" t="s">
        <v>2182</v>
      </c>
      <c r="F1985" s="110" t="s">
        <v>117</v>
      </c>
      <c r="G1985" s="110" t="s">
        <v>114</v>
      </c>
      <c r="H1985" s="111">
        <v>299</v>
      </c>
      <c r="I1985" s="111">
        <v>295</v>
      </c>
      <c r="J1985" s="111">
        <v>268</v>
      </c>
      <c r="K1985" s="111">
        <f t="shared" si="273"/>
        <v>287.33333333333331</v>
      </c>
      <c r="L1985" s="111">
        <v>200000</v>
      </c>
      <c r="M1985" s="111">
        <f t="shared" si="274"/>
        <v>90000</v>
      </c>
      <c r="N1985" s="111">
        <f t="shared" si="275"/>
        <v>90000</v>
      </c>
      <c r="O1985" s="111">
        <f t="shared" si="276"/>
        <v>18000</v>
      </c>
      <c r="P1985" s="111">
        <f t="shared" si="277"/>
        <v>20000</v>
      </c>
      <c r="Q1985" s="111">
        <v>50000</v>
      </c>
      <c r="R1985" s="111">
        <v>5</v>
      </c>
      <c r="S1985" s="111">
        <f t="shared" si="278"/>
        <v>5000</v>
      </c>
      <c r="T1985" s="111">
        <f t="shared" si="279"/>
        <v>250000</v>
      </c>
      <c r="U1985" s="111">
        <f t="shared" si="280"/>
        <v>2500</v>
      </c>
      <c r="V1985" s="111">
        <f t="shared" si="281"/>
        <v>252500</v>
      </c>
      <c r="W1985" t="s">
        <v>4446</v>
      </c>
    </row>
    <row r="1986" spans="1:23" x14ac:dyDescent="0.3">
      <c r="A1986" s="110">
        <v>2405118</v>
      </c>
      <c r="B1986" s="110" t="s">
        <v>2088</v>
      </c>
      <c r="C1986" s="110" t="s">
        <v>2181</v>
      </c>
      <c r="D1986" s="110" t="s">
        <v>1122</v>
      </c>
      <c r="E1986" s="110" t="s">
        <v>2183</v>
      </c>
      <c r="F1986" s="110" t="s">
        <v>113</v>
      </c>
      <c r="G1986" s="110" t="s">
        <v>114</v>
      </c>
      <c r="H1986" s="111">
        <v>148</v>
      </c>
      <c r="I1986" s="111">
        <v>143</v>
      </c>
      <c r="J1986" s="111">
        <v>131</v>
      </c>
      <c r="K1986" s="111">
        <f t="shared" ref="K1986:K2049" si="282">+(H1986+I1986+J1986)/3</f>
        <v>140.66666666666666</v>
      </c>
      <c r="L1986" s="111">
        <v>150000</v>
      </c>
      <c r="M1986" s="111">
        <f t="shared" ref="M1986:M2049" si="283">+L1986*0.45</f>
        <v>67500</v>
      </c>
      <c r="N1986" s="111">
        <f t="shared" ref="N1986:N2049" si="284">+L1986*0.45</f>
        <v>67500</v>
      </c>
      <c r="O1986" s="111">
        <f t="shared" ref="O1986:O2049" si="285">+N1986*0.2</f>
        <v>13500</v>
      </c>
      <c r="P1986" s="111">
        <f t="shared" ref="P1986:P2049" si="286">++L1986*0.1</f>
        <v>15000</v>
      </c>
      <c r="Q1986" s="111">
        <v>30000</v>
      </c>
      <c r="R1986" s="111">
        <v>3</v>
      </c>
      <c r="S1986" s="111">
        <f t="shared" ref="S1986:S2049" si="287">+Q1986*0.1</f>
        <v>3000</v>
      </c>
      <c r="T1986" s="111">
        <f t="shared" ref="T1986:T2049" si="288">+L1986+Q1986</f>
        <v>180000</v>
      </c>
      <c r="U1986" s="111">
        <f t="shared" ref="U1986:U2049" si="289">+T1986*0.01</f>
        <v>1800</v>
      </c>
      <c r="V1986" s="111">
        <f t="shared" ref="V1986:V2049" si="290">+T1986+U1986</f>
        <v>181800</v>
      </c>
      <c r="W1986" t="s">
        <v>4447</v>
      </c>
    </row>
    <row r="1987" spans="1:23" x14ac:dyDescent="0.3">
      <c r="A1987" s="110">
        <v>2405119</v>
      </c>
      <c r="B1987" s="110" t="s">
        <v>2088</v>
      </c>
      <c r="C1987" s="110" t="s">
        <v>2181</v>
      </c>
      <c r="D1987" s="110" t="s">
        <v>2184</v>
      </c>
      <c r="E1987" s="110" t="s">
        <v>241</v>
      </c>
      <c r="F1987" s="110" t="s">
        <v>113</v>
      </c>
      <c r="G1987" s="110" t="s">
        <v>114</v>
      </c>
      <c r="H1987" s="111">
        <v>106</v>
      </c>
      <c r="I1987" s="111">
        <v>107</v>
      </c>
      <c r="J1987" s="111">
        <v>105</v>
      </c>
      <c r="K1987" s="111">
        <f t="shared" si="282"/>
        <v>106</v>
      </c>
      <c r="L1987" s="111">
        <v>150000</v>
      </c>
      <c r="M1987" s="111">
        <f t="shared" si="283"/>
        <v>67500</v>
      </c>
      <c r="N1987" s="111">
        <f t="shared" si="284"/>
        <v>67500</v>
      </c>
      <c r="O1987" s="111">
        <f t="shared" si="285"/>
        <v>13500</v>
      </c>
      <c r="P1987" s="111">
        <f t="shared" si="286"/>
        <v>15000</v>
      </c>
      <c r="Q1987" s="111">
        <v>30000</v>
      </c>
      <c r="R1987" s="111">
        <v>3</v>
      </c>
      <c r="S1987" s="111">
        <f t="shared" si="287"/>
        <v>3000</v>
      </c>
      <c r="T1987" s="111">
        <f t="shared" si="288"/>
        <v>180000</v>
      </c>
      <c r="U1987" s="111">
        <f t="shared" si="289"/>
        <v>1800</v>
      </c>
      <c r="V1987" s="111">
        <f t="shared" si="290"/>
        <v>181800</v>
      </c>
      <c r="W1987" t="s">
        <v>4448</v>
      </c>
    </row>
    <row r="1988" spans="1:23" x14ac:dyDescent="0.3">
      <c r="A1988" s="110">
        <v>2405120</v>
      </c>
      <c r="B1988" s="110" t="s">
        <v>2088</v>
      </c>
      <c r="C1988" s="110" t="s">
        <v>2181</v>
      </c>
      <c r="D1988" s="110" t="s">
        <v>2185</v>
      </c>
      <c r="E1988" s="110" t="s">
        <v>353</v>
      </c>
      <c r="F1988" s="110" t="s">
        <v>113</v>
      </c>
      <c r="G1988" s="110" t="s">
        <v>114</v>
      </c>
      <c r="H1988" s="111">
        <v>88</v>
      </c>
      <c r="I1988" s="111">
        <v>87</v>
      </c>
      <c r="J1988" s="111">
        <v>93</v>
      </c>
      <c r="K1988" s="111">
        <f t="shared" si="282"/>
        <v>89.333333333333329</v>
      </c>
      <c r="L1988" s="111">
        <v>150000</v>
      </c>
      <c r="M1988" s="111">
        <f t="shared" si="283"/>
        <v>67500</v>
      </c>
      <c r="N1988" s="111">
        <f t="shared" si="284"/>
        <v>67500</v>
      </c>
      <c r="O1988" s="111">
        <f t="shared" si="285"/>
        <v>13500</v>
      </c>
      <c r="P1988" s="111">
        <f t="shared" si="286"/>
        <v>15000</v>
      </c>
      <c r="Q1988" s="111">
        <v>30000</v>
      </c>
      <c r="R1988" s="111">
        <v>3</v>
      </c>
      <c r="S1988" s="111">
        <f t="shared" si="287"/>
        <v>3000</v>
      </c>
      <c r="T1988" s="111">
        <f t="shared" si="288"/>
        <v>180000</v>
      </c>
      <c r="U1988" s="111">
        <f t="shared" si="289"/>
        <v>1800</v>
      </c>
      <c r="V1988" s="111">
        <f t="shared" si="290"/>
        <v>181800</v>
      </c>
      <c r="W1988" t="s">
        <v>4449</v>
      </c>
    </row>
    <row r="1989" spans="1:23" x14ac:dyDescent="0.3">
      <c r="A1989" s="110">
        <v>2405122</v>
      </c>
      <c r="B1989" s="110" t="s">
        <v>2088</v>
      </c>
      <c r="C1989" s="110" t="s">
        <v>2181</v>
      </c>
      <c r="D1989" s="110" t="s">
        <v>2186</v>
      </c>
      <c r="E1989" s="110" t="s">
        <v>184</v>
      </c>
      <c r="F1989" s="110" t="s">
        <v>113</v>
      </c>
      <c r="G1989" s="110" t="s">
        <v>114</v>
      </c>
      <c r="H1989" s="111">
        <v>97</v>
      </c>
      <c r="I1989" s="111">
        <v>100</v>
      </c>
      <c r="J1989" s="111">
        <v>99</v>
      </c>
      <c r="K1989" s="111">
        <f t="shared" si="282"/>
        <v>98.666666666666671</v>
      </c>
      <c r="L1989" s="111">
        <v>150000</v>
      </c>
      <c r="M1989" s="111">
        <f t="shared" si="283"/>
        <v>67500</v>
      </c>
      <c r="N1989" s="111">
        <f t="shared" si="284"/>
        <v>67500</v>
      </c>
      <c r="O1989" s="111">
        <f t="shared" si="285"/>
        <v>13500</v>
      </c>
      <c r="P1989" s="111">
        <f t="shared" si="286"/>
        <v>15000</v>
      </c>
      <c r="Q1989" s="111">
        <v>30000</v>
      </c>
      <c r="R1989" s="111">
        <v>3</v>
      </c>
      <c r="S1989" s="111">
        <f t="shared" si="287"/>
        <v>3000</v>
      </c>
      <c r="T1989" s="111">
        <f t="shared" si="288"/>
        <v>180000</v>
      </c>
      <c r="U1989" s="111">
        <f t="shared" si="289"/>
        <v>1800</v>
      </c>
      <c r="V1989" s="111">
        <f t="shared" si="290"/>
        <v>181800</v>
      </c>
      <c r="W1989" t="s">
        <v>4450</v>
      </c>
    </row>
    <row r="1990" spans="1:23" x14ac:dyDescent="0.3">
      <c r="A1990" s="110">
        <v>2405123</v>
      </c>
      <c r="B1990" s="110" t="s">
        <v>2088</v>
      </c>
      <c r="C1990" s="110" t="s">
        <v>2181</v>
      </c>
      <c r="D1990" s="110" t="s">
        <v>2187</v>
      </c>
      <c r="E1990" s="110" t="s">
        <v>2188</v>
      </c>
      <c r="F1990" s="110" t="s">
        <v>209</v>
      </c>
      <c r="G1990" s="110" t="s">
        <v>114</v>
      </c>
      <c r="H1990" s="111">
        <v>75</v>
      </c>
      <c r="I1990" s="111">
        <v>66</v>
      </c>
      <c r="J1990" s="111">
        <v>62</v>
      </c>
      <c r="K1990" s="111">
        <f t="shared" si="282"/>
        <v>67.666666666666671</v>
      </c>
      <c r="L1990" s="111">
        <v>150000</v>
      </c>
      <c r="M1990" s="111">
        <f t="shared" si="283"/>
        <v>67500</v>
      </c>
      <c r="N1990" s="111">
        <f t="shared" si="284"/>
        <v>67500</v>
      </c>
      <c r="O1990" s="111">
        <f t="shared" si="285"/>
        <v>13500</v>
      </c>
      <c r="P1990" s="111">
        <f t="shared" si="286"/>
        <v>15000</v>
      </c>
      <c r="Q1990" s="111">
        <v>30000</v>
      </c>
      <c r="R1990" s="111">
        <v>3</v>
      </c>
      <c r="S1990" s="111">
        <f t="shared" si="287"/>
        <v>3000</v>
      </c>
      <c r="T1990" s="111">
        <f t="shared" si="288"/>
        <v>180000</v>
      </c>
      <c r="U1990" s="111">
        <f t="shared" si="289"/>
        <v>1800</v>
      </c>
      <c r="V1990" s="111">
        <f t="shared" si="290"/>
        <v>181800</v>
      </c>
      <c r="W1990" t="s">
        <v>4451</v>
      </c>
    </row>
    <row r="1991" spans="1:23" x14ac:dyDescent="0.3">
      <c r="A1991" s="110">
        <v>2405125</v>
      </c>
      <c r="B1991" s="110" t="s">
        <v>2088</v>
      </c>
      <c r="C1991" s="110" t="s">
        <v>2181</v>
      </c>
      <c r="D1991" s="110" t="s">
        <v>2181</v>
      </c>
      <c r="E1991" s="110" t="s">
        <v>467</v>
      </c>
      <c r="F1991" s="110" t="s">
        <v>135</v>
      </c>
      <c r="G1991" s="110" t="s">
        <v>125</v>
      </c>
      <c r="H1991" s="111">
        <v>23</v>
      </c>
      <c r="I1991" s="111">
        <v>23</v>
      </c>
      <c r="J1991" s="111">
        <v>21</v>
      </c>
      <c r="K1991" s="111">
        <f t="shared" si="282"/>
        <v>22.333333333333332</v>
      </c>
      <c r="L1991" s="111">
        <v>50000</v>
      </c>
      <c r="M1991" s="111">
        <f t="shared" si="283"/>
        <v>22500</v>
      </c>
      <c r="N1991" s="111">
        <f t="shared" si="284"/>
        <v>22500</v>
      </c>
      <c r="O1991" s="111">
        <f t="shared" si="285"/>
        <v>4500</v>
      </c>
      <c r="P1991" s="111">
        <f t="shared" si="286"/>
        <v>5000</v>
      </c>
      <c r="Q1991" s="111">
        <v>10000</v>
      </c>
      <c r="R1991" s="111">
        <v>1</v>
      </c>
      <c r="S1991" s="111">
        <f t="shared" si="287"/>
        <v>1000</v>
      </c>
      <c r="T1991" s="111">
        <f t="shared" si="288"/>
        <v>60000</v>
      </c>
      <c r="U1991" s="111">
        <f t="shared" si="289"/>
        <v>600</v>
      </c>
      <c r="V1991" s="111">
        <f t="shared" si="290"/>
        <v>60600</v>
      </c>
      <c r="W1991" t="s">
        <v>4452</v>
      </c>
    </row>
    <row r="1992" spans="1:23" x14ac:dyDescent="0.3">
      <c r="A1992" s="110">
        <v>2406129</v>
      </c>
      <c r="B1992" s="110" t="s">
        <v>2088</v>
      </c>
      <c r="C1992" s="110" t="s">
        <v>2189</v>
      </c>
      <c r="D1992" s="110" t="s">
        <v>2189</v>
      </c>
      <c r="E1992" s="110" t="s">
        <v>286</v>
      </c>
      <c r="F1992" s="110" t="s">
        <v>119</v>
      </c>
      <c r="G1992" s="110" t="s">
        <v>114</v>
      </c>
      <c r="H1992" s="111">
        <v>433</v>
      </c>
      <c r="I1992" s="111">
        <v>405</v>
      </c>
      <c r="J1992" s="111">
        <v>378</v>
      </c>
      <c r="K1992" s="111">
        <f t="shared" si="282"/>
        <v>405.33333333333331</v>
      </c>
      <c r="L1992" s="111">
        <f>300000</f>
        <v>300000</v>
      </c>
      <c r="M1992" s="111">
        <f t="shared" si="283"/>
        <v>135000</v>
      </c>
      <c r="N1992" s="111">
        <f t="shared" si="284"/>
        <v>135000</v>
      </c>
      <c r="O1992" s="111">
        <f t="shared" si="285"/>
        <v>27000</v>
      </c>
      <c r="P1992" s="111">
        <f t="shared" si="286"/>
        <v>30000</v>
      </c>
      <c r="Q1992" s="111">
        <v>60000</v>
      </c>
      <c r="R1992" s="111">
        <v>6</v>
      </c>
      <c r="S1992" s="111">
        <f t="shared" si="287"/>
        <v>6000</v>
      </c>
      <c r="T1992" s="111">
        <f t="shared" si="288"/>
        <v>360000</v>
      </c>
      <c r="U1992" s="111">
        <f t="shared" si="289"/>
        <v>3600</v>
      </c>
      <c r="V1992" s="111">
        <f t="shared" si="290"/>
        <v>363600</v>
      </c>
      <c r="W1992" t="s">
        <v>4453</v>
      </c>
    </row>
    <row r="1993" spans="1:23" x14ac:dyDescent="0.3">
      <c r="A1993" s="110">
        <v>2406130</v>
      </c>
      <c r="B1993" s="110" t="s">
        <v>2088</v>
      </c>
      <c r="C1993" s="110" t="s">
        <v>2189</v>
      </c>
      <c r="D1993" s="110" t="s">
        <v>2190</v>
      </c>
      <c r="E1993" s="110" t="s">
        <v>222</v>
      </c>
      <c r="F1993" s="110" t="s">
        <v>113</v>
      </c>
      <c r="G1993" s="110" t="s">
        <v>114</v>
      </c>
      <c r="H1993" s="111">
        <v>126</v>
      </c>
      <c r="I1993" s="111">
        <v>123</v>
      </c>
      <c r="J1993" s="111">
        <v>102</v>
      </c>
      <c r="K1993" s="111">
        <f t="shared" si="282"/>
        <v>117</v>
      </c>
      <c r="L1993" s="111">
        <v>150000</v>
      </c>
      <c r="M1993" s="111">
        <f t="shared" si="283"/>
        <v>67500</v>
      </c>
      <c r="N1993" s="111">
        <f t="shared" si="284"/>
        <v>67500</v>
      </c>
      <c r="O1993" s="111">
        <f t="shared" si="285"/>
        <v>13500</v>
      </c>
      <c r="P1993" s="111">
        <f t="shared" si="286"/>
        <v>15000</v>
      </c>
      <c r="Q1993" s="111">
        <v>30000</v>
      </c>
      <c r="R1993" s="111">
        <v>3</v>
      </c>
      <c r="S1993" s="111">
        <f t="shared" si="287"/>
        <v>3000</v>
      </c>
      <c r="T1993" s="111">
        <f t="shared" si="288"/>
        <v>180000</v>
      </c>
      <c r="U1993" s="111">
        <f t="shared" si="289"/>
        <v>1800</v>
      </c>
      <c r="V1993" s="111">
        <f t="shared" si="290"/>
        <v>181800</v>
      </c>
      <c r="W1993" t="s">
        <v>4454</v>
      </c>
    </row>
    <row r="1994" spans="1:23" x14ac:dyDescent="0.3">
      <c r="A1994" s="110">
        <v>2407132</v>
      </c>
      <c r="B1994" s="110" t="s">
        <v>2088</v>
      </c>
      <c r="C1994" s="110" t="s">
        <v>1248</v>
      </c>
      <c r="D1994" s="110" t="s">
        <v>1248</v>
      </c>
      <c r="E1994" s="110" t="s">
        <v>2191</v>
      </c>
      <c r="F1994" s="110" t="s">
        <v>117</v>
      </c>
      <c r="G1994" s="110" t="s">
        <v>114</v>
      </c>
      <c r="H1994" s="111">
        <v>230</v>
      </c>
      <c r="I1994" s="111">
        <v>196</v>
      </c>
      <c r="J1994" s="111">
        <v>180</v>
      </c>
      <c r="K1994" s="111">
        <f t="shared" si="282"/>
        <v>202</v>
      </c>
      <c r="L1994" s="111">
        <v>200000</v>
      </c>
      <c r="M1994" s="111">
        <f t="shared" si="283"/>
        <v>90000</v>
      </c>
      <c r="N1994" s="111">
        <f t="shared" si="284"/>
        <v>90000</v>
      </c>
      <c r="O1994" s="111">
        <f t="shared" si="285"/>
        <v>18000</v>
      </c>
      <c r="P1994" s="111">
        <f t="shared" si="286"/>
        <v>20000</v>
      </c>
      <c r="Q1994" s="111">
        <v>50000</v>
      </c>
      <c r="R1994" s="111">
        <v>5</v>
      </c>
      <c r="S1994" s="111">
        <f t="shared" si="287"/>
        <v>5000</v>
      </c>
      <c r="T1994" s="111">
        <f t="shared" si="288"/>
        <v>250000</v>
      </c>
      <c r="U1994" s="111">
        <f t="shared" si="289"/>
        <v>2500</v>
      </c>
      <c r="V1994" s="111">
        <f t="shared" si="290"/>
        <v>252500</v>
      </c>
      <c r="W1994" t="s">
        <v>4455</v>
      </c>
    </row>
    <row r="1995" spans="1:23" x14ac:dyDescent="0.3">
      <c r="A1995" s="110">
        <v>2407133</v>
      </c>
      <c r="B1995" s="110" t="s">
        <v>2088</v>
      </c>
      <c r="C1995" s="110" t="s">
        <v>1248</v>
      </c>
      <c r="D1995" s="110" t="s">
        <v>1248</v>
      </c>
      <c r="E1995" s="110" t="s">
        <v>143</v>
      </c>
      <c r="F1995" s="110" t="s">
        <v>113</v>
      </c>
      <c r="G1995" s="110" t="s">
        <v>114</v>
      </c>
      <c r="H1995" s="111">
        <v>377</v>
      </c>
      <c r="I1995" s="111">
        <v>364</v>
      </c>
      <c r="J1995" s="111">
        <v>362</v>
      </c>
      <c r="K1995" s="111">
        <f t="shared" si="282"/>
        <v>367.66666666666669</v>
      </c>
      <c r="L1995" s="111">
        <v>200000</v>
      </c>
      <c r="M1995" s="111">
        <f t="shared" si="283"/>
        <v>90000</v>
      </c>
      <c r="N1995" s="111">
        <f t="shared" si="284"/>
        <v>90000</v>
      </c>
      <c r="O1995" s="111">
        <f t="shared" si="285"/>
        <v>18000</v>
      </c>
      <c r="P1995" s="111">
        <f t="shared" si="286"/>
        <v>20000</v>
      </c>
      <c r="Q1995" s="111">
        <v>50000</v>
      </c>
      <c r="R1995" s="111">
        <v>5</v>
      </c>
      <c r="S1995" s="111">
        <f t="shared" si="287"/>
        <v>5000</v>
      </c>
      <c r="T1995" s="111">
        <f t="shared" si="288"/>
        <v>250000</v>
      </c>
      <c r="U1995" s="111">
        <f t="shared" si="289"/>
        <v>2500</v>
      </c>
      <c r="V1995" s="111">
        <f t="shared" si="290"/>
        <v>252500</v>
      </c>
      <c r="W1995" t="s">
        <v>4456</v>
      </c>
    </row>
    <row r="1996" spans="1:23" x14ac:dyDescent="0.3">
      <c r="A1996" s="110">
        <v>2407134</v>
      </c>
      <c r="B1996" s="110" t="s">
        <v>2088</v>
      </c>
      <c r="C1996" s="110" t="s">
        <v>1248</v>
      </c>
      <c r="D1996" s="110" t="s">
        <v>2192</v>
      </c>
      <c r="E1996" s="110" t="s">
        <v>282</v>
      </c>
      <c r="F1996" s="110" t="s">
        <v>209</v>
      </c>
      <c r="G1996" s="110" t="s">
        <v>114</v>
      </c>
      <c r="H1996" s="111">
        <v>35</v>
      </c>
      <c r="I1996" s="111">
        <v>30</v>
      </c>
      <c r="J1996" s="111">
        <v>31</v>
      </c>
      <c r="K1996" s="111">
        <f t="shared" si="282"/>
        <v>32</v>
      </c>
      <c r="L1996" s="111">
        <v>50000</v>
      </c>
      <c r="M1996" s="111">
        <f t="shared" si="283"/>
        <v>22500</v>
      </c>
      <c r="N1996" s="111">
        <f t="shared" si="284"/>
        <v>22500</v>
      </c>
      <c r="O1996" s="111">
        <f t="shared" si="285"/>
        <v>4500</v>
      </c>
      <c r="P1996" s="111">
        <f t="shared" si="286"/>
        <v>5000</v>
      </c>
      <c r="Q1996" s="111">
        <v>10000</v>
      </c>
      <c r="R1996" s="111">
        <v>1</v>
      </c>
      <c r="S1996" s="111">
        <f t="shared" si="287"/>
        <v>1000</v>
      </c>
      <c r="T1996" s="111">
        <f t="shared" si="288"/>
        <v>60000</v>
      </c>
      <c r="U1996" s="111">
        <f t="shared" si="289"/>
        <v>600</v>
      </c>
      <c r="V1996" s="111">
        <f t="shared" si="290"/>
        <v>60600</v>
      </c>
      <c r="W1996" t="s">
        <v>4457</v>
      </c>
    </row>
    <row r="1997" spans="1:23" x14ac:dyDescent="0.3">
      <c r="A1997" s="110">
        <v>2407135</v>
      </c>
      <c r="B1997" s="110" t="s">
        <v>2088</v>
      </c>
      <c r="C1997" s="110" t="s">
        <v>1248</v>
      </c>
      <c r="D1997" s="110" t="s">
        <v>2193</v>
      </c>
      <c r="E1997" s="110" t="s">
        <v>2194</v>
      </c>
      <c r="F1997" s="110" t="s">
        <v>209</v>
      </c>
      <c r="G1997" s="110" t="s">
        <v>114</v>
      </c>
      <c r="H1997" s="111">
        <v>18</v>
      </c>
      <c r="I1997" s="111">
        <v>15</v>
      </c>
      <c r="J1997" s="111">
        <v>15</v>
      </c>
      <c r="K1997" s="111">
        <f t="shared" si="282"/>
        <v>16</v>
      </c>
      <c r="L1997" s="111">
        <v>50000</v>
      </c>
      <c r="M1997" s="111">
        <f t="shared" si="283"/>
        <v>22500</v>
      </c>
      <c r="N1997" s="111">
        <f t="shared" si="284"/>
        <v>22500</v>
      </c>
      <c r="O1997" s="111">
        <f t="shared" si="285"/>
        <v>4500</v>
      </c>
      <c r="P1997" s="111">
        <f t="shared" si="286"/>
        <v>5000</v>
      </c>
      <c r="Q1997" s="111">
        <v>10000</v>
      </c>
      <c r="R1997" s="111">
        <v>1</v>
      </c>
      <c r="S1997" s="111">
        <f t="shared" si="287"/>
        <v>1000</v>
      </c>
      <c r="T1997" s="111">
        <f t="shared" si="288"/>
        <v>60000</v>
      </c>
      <c r="U1997" s="111">
        <f t="shared" si="289"/>
        <v>600</v>
      </c>
      <c r="V1997" s="111">
        <f t="shared" si="290"/>
        <v>60600</v>
      </c>
      <c r="W1997" t="s">
        <v>4458</v>
      </c>
    </row>
    <row r="1998" spans="1:23" x14ac:dyDescent="0.3">
      <c r="A1998" s="110">
        <v>2407136</v>
      </c>
      <c r="B1998" s="110" t="s">
        <v>2088</v>
      </c>
      <c r="C1998" s="110" t="s">
        <v>1248</v>
      </c>
      <c r="D1998" s="110" t="s">
        <v>1081</v>
      </c>
      <c r="E1998" s="110" t="s">
        <v>2195</v>
      </c>
      <c r="F1998" s="110" t="s">
        <v>209</v>
      </c>
      <c r="G1998" s="110" t="s">
        <v>114</v>
      </c>
      <c r="H1998" s="111">
        <v>34</v>
      </c>
      <c r="I1998" s="111">
        <v>29</v>
      </c>
      <c r="J1998" s="111">
        <v>28</v>
      </c>
      <c r="K1998" s="111">
        <f t="shared" si="282"/>
        <v>30.333333333333332</v>
      </c>
      <c r="L1998" s="111">
        <v>50000</v>
      </c>
      <c r="M1998" s="111">
        <f t="shared" si="283"/>
        <v>22500</v>
      </c>
      <c r="N1998" s="111">
        <f t="shared" si="284"/>
        <v>22500</v>
      </c>
      <c r="O1998" s="111">
        <f t="shared" si="285"/>
        <v>4500</v>
      </c>
      <c r="P1998" s="111">
        <f t="shared" si="286"/>
        <v>5000</v>
      </c>
      <c r="Q1998" s="111">
        <v>10000</v>
      </c>
      <c r="R1998" s="111">
        <v>1</v>
      </c>
      <c r="S1998" s="111">
        <f t="shared" si="287"/>
        <v>1000</v>
      </c>
      <c r="T1998" s="111">
        <f t="shared" si="288"/>
        <v>60000</v>
      </c>
      <c r="U1998" s="111">
        <f t="shared" si="289"/>
        <v>600</v>
      </c>
      <c r="V1998" s="111">
        <f t="shared" si="290"/>
        <v>60600</v>
      </c>
      <c r="W1998" t="s">
        <v>4459</v>
      </c>
    </row>
    <row r="1999" spans="1:23" x14ac:dyDescent="0.3">
      <c r="A1999" s="110">
        <v>2408151</v>
      </c>
      <c r="B1999" s="110" t="s">
        <v>2088</v>
      </c>
      <c r="C1999" s="110" t="s">
        <v>2088</v>
      </c>
      <c r="D1999" s="110" t="s">
        <v>2088</v>
      </c>
      <c r="E1999" s="110" t="s">
        <v>2196</v>
      </c>
      <c r="F1999" s="110" t="s">
        <v>135</v>
      </c>
      <c r="G1999" s="110" t="s">
        <v>125</v>
      </c>
      <c r="H1999" s="111">
        <v>100</v>
      </c>
      <c r="I1999" s="111">
        <v>106</v>
      </c>
      <c r="J1999" s="111">
        <v>86</v>
      </c>
      <c r="K1999" s="111">
        <f t="shared" si="282"/>
        <v>97.333333333333329</v>
      </c>
      <c r="L1999" s="111">
        <v>150000</v>
      </c>
      <c r="M1999" s="111">
        <f t="shared" si="283"/>
        <v>67500</v>
      </c>
      <c r="N1999" s="111">
        <f t="shared" si="284"/>
        <v>67500</v>
      </c>
      <c r="O1999" s="111">
        <f t="shared" si="285"/>
        <v>13500</v>
      </c>
      <c r="P1999" s="111">
        <f t="shared" si="286"/>
        <v>15000</v>
      </c>
      <c r="Q1999" s="111">
        <v>30000</v>
      </c>
      <c r="R1999" s="111">
        <v>3</v>
      </c>
      <c r="S1999" s="111">
        <f t="shared" si="287"/>
        <v>3000</v>
      </c>
      <c r="T1999" s="111">
        <f t="shared" si="288"/>
        <v>180000</v>
      </c>
      <c r="U1999" s="111">
        <f t="shared" si="289"/>
        <v>1800</v>
      </c>
      <c r="V1999" s="111">
        <f t="shared" si="290"/>
        <v>181800</v>
      </c>
      <c r="W1999" t="s">
        <v>4460</v>
      </c>
    </row>
    <row r="2000" spans="1:23" x14ac:dyDescent="0.3">
      <c r="A2000" s="110">
        <v>2409139</v>
      </c>
      <c r="B2000" s="110" t="s">
        <v>2088</v>
      </c>
      <c r="C2000" s="110" t="s">
        <v>2197</v>
      </c>
      <c r="D2000" s="110" t="s">
        <v>2197</v>
      </c>
      <c r="E2000" s="110" t="s">
        <v>272</v>
      </c>
      <c r="F2000" s="110" t="s">
        <v>119</v>
      </c>
      <c r="G2000" s="110" t="s">
        <v>114</v>
      </c>
      <c r="H2000" s="111">
        <v>375</v>
      </c>
      <c r="I2000" s="111">
        <v>378</v>
      </c>
      <c r="J2000" s="111">
        <v>346</v>
      </c>
      <c r="K2000" s="111">
        <f t="shared" si="282"/>
        <v>366.33333333333331</v>
      </c>
      <c r="L2000" s="111">
        <v>200000</v>
      </c>
      <c r="M2000" s="111">
        <f t="shared" si="283"/>
        <v>90000</v>
      </c>
      <c r="N2000" s="111">
        <f t="shared" si="284"/>
        <v>90000</v>
      </c>
      <c r="O2000" s="111">
        <f t="shared" si="285"/>
        <v>18000</v>
      </c>
      <c r="P2000" s="111">
        <f t="shared" si="286"/>
        <v>20000</v>
      </c>
      <c r="Q2000" s="111">
        <v>50000</v>
      </c>
      <c r="R2000" s="111">
        <v>5</v>
      </c>
      <c r="S2000" s="111">
        <f t="shared" si="287"/>
        <v>5000</v>
      </c>
      <c r="T2000" s="111">
        <f t="shared" si="288"/>
        <v>250000</v>
      </c>
      <c r="U2000" s="111">
        <f t="shared" si="289"/>
        <v>2500</v>
      </c>
      <c r="V2000" s="111">
        <f t="shared" si="290"/>
        <v>252500</v>
      </c>
      <c r="W2000" t="s">
        <v>4461</v>
      </c>
    </row>
    <row r="2001" spans="1:23" x14ac:dyDescent="0.3">
      <c r="A2001" s="110">
        <v>2409140</v>
      </c>
      <c r="B2001" s="110" t="s">
        <v>2088</v>
      </c>
      <c r="C2001" s="110" t="s">
        <v>2197</v>
      </c>
      <c r="D2001" s="110" t="s">
        <v>2197</v>
      </c>
      <c r="E2001" s="110" t="s">
        <v>2198</v>
      </c>
      <c r="F2001" s="110" t="s">
        <v>117</v>
      </c>
      <c r="G2001" s="110" t="s">
        <v>114</v>
      </c>
      <c r="H2001" s="111">
        <v>258</v>
      </c>
      <c r="I2001" s="111">
        <v>257</v>
      </c>
      <c r="J2001" s="111">
        <v>239</v>
      </c>
      <c r="K2001" s="111">
        <f t="shared" si="282"/>
        <v>251.33333333333334</v>
      </c>
      <c r="L2001" s="111">
        <v>200000</v>
      </c>
      <c r="M2001" s="111">
        <f t="shared" si="283"/>
        <v>90000</v>
      </c>
      <c r="N2001" s="111">
        <f t="shared" si="284"/>
        <v>90000</v>
      </c>
      <c r="O2001" s="111">
        <f t="shared" si="285"/>
        <v>18000</v>
      </c>
      <c r="P2001" s="111">
        <f t="shared" si="286"/>
        <v>20000</v>
      </c>
      <c r="Q2001" s="111">
        <v>50000</v>
      </c>
      <c r="R2001" s="111">
        <v>5</v>
      </c>
      <c r="S2001" s="111">
        <f t="shared" si="287"/>
        <v>5000</v>
      </c>
      <c r="T2001" s="111">
        <f t="shared" si="288"/>
        <v>250000</v>
      </c>
      <c r="U2001" s="111">
        <f t="shared" si="289"/>
        <v>2500</v>
      </c>
      <c r="V2001" s="111">
        <f t="shared" si="290"/>
        <v>252500</v>
      </c>
      <c r="W2001" t="s">
        <v>4462</v>
      </c>
    </row>
    <row r="2002" spans="1:23" x14ac:dyDescent="0.3">
      <c r="A2002" s="110">
        <v>2409141</v>
      </c>
      <c r="B2002" s="110" t="s">
        <v>2088</v>
      </c>
      <c r="C2002" s="110" t="s">
        <v>2197</v>
      </c>
      <c r="D2002" s="110" t="s">
        <v>970</v>
      </c>
      <c r="E2002" s="110" t="s">
        <v>184</v>
      </c>
      <c r="F2002" s="110" t="s">
        <v>113</v>
      </c>
      <c r="G2002" s="110" t="s">
        <v>114</v>
      </c>
      <c r="H2002" s="111">
        <v>116</v>
      </c>
      <c r="I2002" s="111">
        <v>112</v>
      </c>
      <c r="J2002" s="111">
        <v>106</v>
      </c>
      <c r="K2002" s="111">
        <f t="shared" si="282"/>
        <v>111.33333333333333</v>
      </c>
      <c r="L2002" s="111">
        <v>150000</v>
      </c>
      <c r="M2002" s="111">
        <f t="shared" si="283"/>
        <v>67500</v>
      </c>
      <c r="N2002" s="111">
        <f t="shared" si="284"/>
        <v>67500</v>
      </c>
      <c r="O2002" s="111">
        <f t="shared" si="285"/>
        <v>13500</v>
      </c>
      <c r="P2002" s="111">
        <f t="shared" si="286"/>
        <v>15000</v>
      </c>
      <c r="Q2002" s="111">
        <v>30000</v>
      </c>
      <c r="R2002" s="111">
        <v>3</v>
      </c>
      <c r="S2002" s="111">
        <f t="shared" si="287"/>
        <v>3000</v>
      </c>
      <c r="T2002" s="111">
        <f t="shared" si="288"/>
        <v>180000</v>
      </c>
      <c r="U2002" s="111">
        <f t="shared" si="289"/>
        <v>1800</v>
      </c>
      <c r="V2002" s="111">
        <f t="shared" si="290"/>
        <v>181800</v>
      </c>
      <c r="W2002" t="s">
        <v>4463</v>
      </c>
    </row>
    <row r="2003" spans="1:23" x14ac:dyDescent="0.3">
      <c r="A2003" s="110">
        <v>2409142</v>
      </c>
      <c r="B2003" s="110" t="s">
        <v>2088</v>
      </c>
      <c r="C2003" s="110" t="s">
        <v>2197</v>
      </c>
      <c r="D2003" s="110" t="s">
        <v>2199</v>
      </c>
      <c r="E2003" s="110" t="s">
        <v>406</v>
      </c>
      <c r="F2003" s="110" t="s">
        <v>113</v>
      </c>
      <c r="G2003" s="110" t="s">
        <v>114</v>
      </c>
      <c r="H2003" s="111">
        <v>82</v>
      </c>
      <c r="I2003" s="111">
        <v>88</v>
      </c>
      <c r="J2003" s="111">
        <v>80</v>
      </c>
      <c r="K2003" s="111">
        <f t="shared" si="282"/>
        <v>83.333333333333329</v>
      </c>
      <c r="L2003" s="111">
        <v>150000</v>
      </c>
      <c r="M2003" s="111">
        <f t="shared" si="283"/>
        <v>67500</v>
      </c>
      <c r="N2003" s="111">
        <f t="shared" si="284"/>
        <v>67500</v>
      </c>
      <c r="O2003" s="111">
        <f t="shared" si="285"/>
        <v>13500</v>
      </c>
      <c r="P2003" s="111">
        <f t="shared" si="286"/>
        <v>15000</v>
      </c>
      <c r="Q2003" s="111">
        <v>30000</v>
      </c>
      <c r="R2003" s="111">
        <v>3</v>
      </c>
      <c r="S2003" s="111">
        <f t="shared" si="287"/>
        <v>3000</v>
      </c>
      <c r="T2003" s="111">
        <f t="shared" si="288"/>
        <v>180000</v>
      </c>
      <c r="U2003" s="111">
        <f t="shared" si="289"/>
        <v>1800</v>
      </c>
      <c r="V2003" s="111">
        <f t="shared" si="290"/>
        <v>181800</v>
      </c>
      <c r="W2003" t="s">
        <v>4464</v>
      </c>
    </row>
    <row r="2004" spans="1:23" x14ac:dyDescent="0.3">
      <c r="A2004" s="110">
        <v>2409143</v>
      </c>
      <c r="B2004" s="110" t="s">
        <v>2088</v>
      </c>
      <c r="C2004" s="110" t="s">
        <v>2197</v>
      </c>
      <c r="D2004" s="110" t="s">
        <v>2200</v>
      </c>
      <c r="E2004" s="110" t="s">
        <v>319</v>
      </c>
      <c r="F2004" s="110" t="s">
        <v>113</v>
      </c>
      <c r="G2004" s="110" t="s">
        <v>114</v>
      </c>
      <c r="H2004" s="111">
        <v>73</v>
      </c>
      <c r="I2004" s="111">
        <v>77</v>
      </c>
      <c r="J2004" s="111">
        <v>75</v>
      </c>
      <c r="K2004" s="111">
        <f t="shared" si="282"/>
        <v>75</v>
      </c>
      <c r="L2004" s="111">
        <v>150000</v>
      </c>
      <c r="M2004" s="111">
        <f t="shared" si="283"/>
        <v>67500</v>
      </c>
      <c r="N2004" s="111">
        <f t="shared" si="284"/>
        <v>67500</v>
      </c>
      <c r="O2004" s="111">
        <f t="shared" si="285"/>
        <v>13500</v>
      </c>
      <c r="P2004" s="111">
        <f t="shared" si="286"/>
        <v>15000</v>
      </c>
      <c r="Q2004" s="111">
        <v>30000</v>
      </c>
      <c r="R2004" s="111">
        <v>3</v>
      </c>
      <c r="S2004" s="111">
        <f t="shared" si="287"/>
        <v>3000</v>
      </c>
      <c r="T2004" s="111">
        <f t="shared" si="288"/>
        <v>180000</v>
      </c>
      <c r="U2004" s="111">
        <f t="shared" si="289"/>
        <v>1800</v>
      </c>
      <c r="V2004" s="111">
        <f t="shared" si="290"/>
        <v>181800</v>
      </c>
      <c r="W2004" t="s">
        <v>4465</v>
      </c>
    </row>
    <row r="2005" spans="1:23" x14ac:dyDescent="0.3">
      <c r="A2005" s="110">
        <v>2409145</v>
      </c>
      <c r="B2005" s="110" t="s">
        <v>2088</v>
      </c>
      <c r="C2005" s="110" t="s">
        <v>2197</v>
      </c>
      <c r="D2005" s="110" t="s">
        <v>2201</v>
      </c>
      <c r="E2005" s="110" t="s">
        <v>313</v>
      </c>
      <c r="F2005" s="110" t="s">
        <v>113</v>
      </c>
      <c r="G2005" s="110" t="s">
        <v>114</v>
      </c>
      <c r="H2005" s="111">
        <v>68</v>
      </c>
      <c r="I2005" s="111">
        <v>75</v>
      </c>
      <c r="J2005" s="111">
        <v>76</v>
      </c>
      <c r="K2005" s="111">
        <f t="shared" si="282"/>
        <v>73</v>
      </c>
      <c r="L2005" s="111">
        <v>150000</v>
      </c>
      <c r="M2005" s="111">
        <f t="shared" si="283"/>
        <v>67500</v>
      </c>
      <c r="N2005" s="111">
        <f t="shared" si="284"/>
        <v>67500</v>
      </c>
      <c r="O2005" s="111">
        <f t="shared" si="285"/>
        <v>13500</v>
      </c>
      <c r="P2005" s="111">
        <f t="shared" si="286"/>
        <v>15000</v>
      </c>
      <c r="Q2005" s="111">
        <v>30000</v>
      </c>
      <c r="R2005" s="111">
        <v>3</v>
      </c>
      <c r="S2005" s="111">
        <f t="shared" si="287"/>
        <v>3000</v>
      </c>
      <c r="T2005" s="111">
        <f t="shared" si="288"/>
        <v>180000</v>
      </c>
      <c r="U2005" s="111">
        <f t="shared" si="289"/>
        <v>1800</v>
      </c>
      <c r="V2005" s="111">
        <f t="shared" si="290"/>
        <v>181800</v>
      </c>
      <c r="W2005" t="s">
        <v>4466</v>
      </c>
    </row>
    <row r="2006" spans="1:23" x14ac:dyDescent="0.3">
      <c r="A2006" s="110">
        <v>2409146</v>
      </c>
      <c r="B2006" s="110" t="s">
        <v>2088</v>
      </c>
      <c r="C2006" s="110" t="s">
        <v>2197</v>
      </c>
      <c r="D2006" s="110" t="s">
        <v>2202</v>
      </c>
      <c r="E2006" s="110" t="s">
        <v>184</v>
      </c>
      <c r="F2006" s="110" t="s">
        <v>113</v>
      </c>
      <c r="G2006" s="110" t="s">
        <v>114</v>
      </c>
      <c r="H2006" s="111">
        <v>62</v>
      </c>
      <c r="I2006" s="111">
        <v>54</v>
      </c>
      <c r="J2006" s="111">
        <v>60</v>
      </c>
      <c r="K2006" s="111">
        <f t="shared" si="282"/>
        <v>58.666666666666664</v>
      </c>
      <c r="L2006" s="111">
        <v>150000</v>
      </c>
      <c r="M2006" s="111">
        <f t="shared" si="283"/>
        <v>67500</v>
      </c>
      <c r="N2006" s="111">
        <f t="shared" si="284"/>
        <v>67500</v>
      </c>
      <c r="O2006" s="111">
        <f t="shared" si="285"/>
        <v>13500</v>
      </c>
      <c r="P2006" s="111">
        <f t="shared" si="286"/>
        <v>15000</v>
      </c>
      <c r="Q2006" s="111">
        <v>30000</v>
      </c>
      <c r="R2006" s="111">
        <v>3</v>
      </c>
      <c r="S2006" s="111">
        <f t="shared" si="287"/>
        <v>3000</v>
      </c>
      <c r="T2006" s="111">
        <f t="shared" si="288"/>
        <v>180000</v>
      </c>
      <c r="U2006" s="111">
        <f t="shared" si="289"/>
        <v>1800</v>
      </c>
      <c r="V2006" s="111">
        <f t="shared" si="290"/>
        <v>181800</v>
      </c>
      <c r="W2006" t="s">
        <v>4467</v>
      </c>
    </row>
    <row r="2007" spans="1:23" x14ac:dyDescent="0.3">
      <c r="A2007" s="110">
        <v>2409147</v>
      </c>
      <c r="B2007" s="110" t="s">
        <v>2088</v>
      </c>
      <c r="C2007" s="110" t="s">
        <v>2197</v>
      </c>
      <c r="D2007" s="110" t="s">
        <v>2203</v>
      </c>
      <c r="E2007" s="110" t="s">
        <v>2204</v>
      </c>
      <c r="F2007" s="110" t="s">
        <v>113</v>
      </c>
      <c r="G2007" s="110" t="s">
        <v>114</v>
      </c>
      <c r="H2007" s="111">
        <v>83</v>
      </c>
      <c r="I2007" s="111">
        <v>84</v>
      </c>
      <c r="J2007" s="111">
        <v>76</v>
      </c>
      <c r="K2007" s="111">
        <f t="shared" si="282"/>
        <v>81</v>
      </c>
      <c r="L2007" s="111">
        <v>150000</v>
      </c>
      <c r="M2007" s="111">
        <f t="shared" si="283"/>
        <v>67500</v>
      </c>
      <c r="N2007" s="111">
        <f t="shared" si="284"/>
        <v>67500</v>
      </c>
      <c r="O2007" s="111">
        <f t="shared" si="285"/>
        <v>13500</v>
      </c>
      <c r="P2007" s="111">
        <f t="shared" si="286"/>
        <v>15000</v>
      </c>
      <c r="Q2007" s="111">
        <v>30000</v>
      </c>
      <c r="R2007" s="111">
        <v>3</v>
      </c>
      <c r="S2007" s="111">
        <f t="shared" si="287"/>
        <v>3000</v>
      </c>
      <c r="T2007" s="111">
        <f t="shared" si="288"/>
        <v>180000</v>
      </c>
      <c r="U2007" s="111">
        <f t="shared" si="289"/>
        <v>1800</v>
      </c>
      <c r="V2007" s="111">
        <f t="shared" si="290"/>
        <v>181800</v>
      </c>
      <c r="W2007" t="s">
        <v>4468</v>
      </c>
    </row>
    <row r="2008" spans="1:23" x14ac:dyDescent="0.3">
      <c r="A2008" s="110">
        <v>2409148</v>
      </c>
      <c r="B2008" s="110" t="s">
        <v>2088</v>
      </c>
      <c r="C2008" s="110" t="s">
        <v>2197</v>
      </c>
      <c r="D2008" s="110" t="s">
        <v>2205</v>
      </c>
      <c r="E2008" s="110" t="s">
        <v>2206</v>
      </c>
      <c r="F2008" s="110" t="s">
        <v>113</v>
      </c>
      <c r="G2008" s="110" t="s">
        <v>114</v>
      </c>
      <c r="H2008" s="111">
        <v>79</v>
      </c>
      <c r="I2008" s="111">
        <v>76</v>
      </c>
      <c r="J2008" s="111">
        <v>56</v>
      </c>
      <c r="K2008" s="111">
        <f t="shared" si="282"/>
        <v>70.333333333333329</v>
      </c>
      <c r="L2008" s="111">
        <v>150000</v>
      </c>
      <c r="M2008" s="111">
        <f t="shared" si="283"/>
        <v>67500</v>
      </c>
      <c r="N2008" s="111">
        <f t="shared" si="284"/>
        <v>67500</v>
      </c>
      <c r="O2008" s="111">
        <f t="shared" si="285"/>
        <v>13500</v>
      </c>
      <c r="P2008" s="111">
        <f t="shared" si="286"/>
        <v>15000</v>
      </c>
      <c r="Q2008" s="111">
        <v>30000</v>
      </c>
      <c r="R2008" s="111">
        <v>3</v>
      </c>
      <c r="S2008" s="111">
        <f t="shared" si="287"/>
        <v>3000</v>
      </c>
      <c r="T2008" s="111">
        <f t="shared" si="288"/>
        <v>180000</v>
      </c>
      <c r="U2008" s="111">
        <f t="shared" si="289"/>
        <v>1800</v>
      </c>
      <c r="V2008" s="111">
        <f t="shared" si="290"/>
        <v>181800</v>
      </c>
      <c r="W2008" t="s">
        <v>4469</v>
      </c>
    </row>
    <row r="2009" spans="1:23" x14ac:dyDescent="0.3">
      <c r="A2009" s="110">
        <v>2409149</v>
      </c>
      <c r="B2009" s="110" t="s">
        <v>2088</v>
      </c>
      <c r="C2009" s="110" t="s">
        <v>2197</v>
      </c>
      <c r="D2009" s="110" t="s">
        <v>2207</v>
      </c>
      <c r="E2009" s="110" t="s">
        <v>2208</v>
      </c>
      <c r="F2009" s="110" t="s">
        <v>113</v>
      </c>
      <c r="G2009" s="110" t="s">
        <v>114</v>
      </c>
      <c r="H2009" s="111">
        <v>73</v>
      </c>
      <c r="I2009" s="111">
        <v>65</v>
      </c>
      <c r="J2009" s="111">
        <v>65</v>
      </c>
      <c r="K2009" s="111">
        <f t="shared" si="282"/>
        <v>67.666666666666671</v>
      </c>
      <c r="L2009" s="111">
        <v>150000</v>
      </c>
      <c r="M2009" s="111">
        <f t="shared" si="283"/>
        <v>67500</v>
      </c>
      <c r="N2009" s="111">
        <f t="shared" si="284"/>
        <v>67500</v>
      </c>
      <c r="O2009" s="111">
        <f t="shared" si="285"/>
        <v>13500</v>
      </c>
      <c r="P2009" s="111">
        <f t="shared" si="286"/>
        <v>15000</v>
      </c>
      <c r="Q2009" s="111">
        <v>30000</v>
      </c>
      <c r="R2009" s="111">
        <v>3</v>
      </c>
      <c r="S2009" s="111">
        <f t="shared" si="287"/>
        <v>3000</v>
      </c>
      <c r="T2009" s="111">
        <f t="shared" si="288"/>
        <v>180000</v>
      </c>
      <c r="U2009" s="111">
        <f t="shared" si="289"/>
        <v>1800</v>
      </c>
      <c r="V2009" s="111">
        <f t="shared" si="290"/>
        <v>181800</v>
      </c>
      <c r="W2009" t="s">
        <v>4470</v>
      </c>
    </row>
    <row r="2010" spans="1:23" x14ac:dyDescent="0.3">
      <c r="A2010" s="110">
        <v>2500101</v>
      </c>
      <c r="B2010" s="110" t="s">
        <v>2209</v>
      </c>
      <c r="C2010" s="110" t="s">
        <v>2209</v>
      </c>
      <c r="D2010" s="110" t="s">
        <v>2209</v>
      </c>
      <c r="E2010" s="110" t="s">
        <v>2210</v>
      </c>
      <c r="F2010" s="110" t="s">
        <v>113</v>
      </c>
      <c r="G2010" s="110" t="s">
        <v>114</v>
      </c>
      <c r="H2010" s="111">
        <v>659</v>
      </c>
      <c r="I2010" s="111">
        <v>658</v>
      </c>
      <c r="J2010" s="111">
        <v>671</v>
      </c>
      <c r="K2010" s="111">
        <f t="shared" si="282"/>
        <v>662.66666666666663</v>
      </c>
      <c r="L2010" s="111">
        <f>300000*0.7</f>
        <v>210000</v>
      </c>
      <c r="M2010" s="111">
        <f t="shared" si="283"/>
        <v>94500</v>
      </c>
      <c r="N2010" s="111">
        <f t="shared" si="284"/>
        <v>94500</v>
      </c>
      <c r="O2010" s="111">
        <f t="shared" si="285"/>
        <v>18900</v>
      </c>
      <c r="P2010" s="111">
        <f t="shared" si="286"/>
        <v>21000</v>
      </c>
      <c r="Q2010" s="111">
        <v>60000</v>
      </c>
      <c r="R2010" s="111">
        <v>6</v>
      </c>
      <c r="S2010" s="111">
        <f t="shared" si="287"/>
        <v>6000</v>
      </c>
      <c r="T2010" s="111">
        <f t="shared" si="288"/>
        <v>270000</v>
      </c>
      <c r="U2010" s="111">
        <f t="shared" si="289"/>
        <v>2700</v>
      </c>
      <c r="V2010" s="111">
        <f t="shared" si="290"/>
        <v>272700</v>
      </c>
      <c r="W2010" t="s">
        <v>4471</v>
      </c>
    </row>
    <row r="2011" spans="1:23" x14ac:dyDescent="0.3">
      <c r="A2011" s="110">
        <v>2500102</v>
      </c>
      <c r="B2011" s="110" t="s">
        <v>2209</v>
      </c>
      <c r="C2011" s="110" t="s">
        <v>2209</v>
      </c>
      <c r="D2011" s="110" t="s">
        <v>2209</v>
      </c>
      <c r="E2011" s="110" t="s">
        <v>662</v>
      </c>
      <c r="F2011" s="110" t="s">
        <v>113</v>
      </c>
      <c r="G2011" s="110" t="s">
        <v>114</v>
      </c>
      <c r="H2011" s="111">
        <v>77</v>
      </c>
      <c r="I2011" s="111">
        <v>64</v>
      </c>
      <c r="J2011" s="111">
        <v>57</v>
      </c>
      <c r="K2011" s="111">
        <f t="shared" si="282"/>
        <v>66</v>
      </c>
      <c r="L2011" s="111">
        <v>150000</v>
      </c>
      <c r="M2011" s="111">
        <f t="shared" si="283"/>
        <v>67500</v>
      </c>
      <c r="N2011" s="111">
        <f t="shared" si="284"/>
        <v>67500</v>
      </c>
      <c r="O2011" s="111">
        <f t="shared" si="285"/>
        <v>13500</v>
      </c>
      <c r="P2011" s="111">
        <f t="shared" si="286"/>
        <v>15000</v>
      </c>
      <c r="Q2011" s="111">
        <v>30000</v>
      </c>
      <c r="R2011" s="111">
        <v>3</v>
      </c>
      <c r="S2011" s="111">
        <f t="shared" si="287"/>
        <v>3000</v>
      </c>
      <c r="T2011" s="111">
        <f t="shared" si="288"/>
        <v>180000</v>
      </c>
      <c r="U2011" s="111">
        <f t="shared" si="289"/>
        <v>1800</v>
      </c>
      <c r="V2011" s="111">
        <f t="shared" si="290"/>
        <v>181800</v>
      </c>
      <c r="W2011" t="s">
        <v>4472</v>
      </c>
    </row>
    <row r="2012" spans="1:23" x14ac:dyDescent="0.3">
      <c r="A2012" s="110">
        <v>2500103</v>
      </c>
      <c r="B2012" s="110" t="s">
        <v>2209</v>
      </c>
      <c r="C2012" s="110" t="s">
        <v>2209</v>
      </c>
      <c r="D2012" s="110" t="s">
        <v>2209</v>
      </c>
      <c r="E2012" s="110" t="s">
        <v>2211</v>
      </c>
      <c r="F2012" s="110" t="s">
        <v>113</v>
      </c>
      <c r="G2012" s="110" t="s">
        <v>114</v>
      </c>
      <c r="H2012" s="111">
        <v>260</v>
      </c>
      <c r="I2012" s="111">
        <v>259</v>
      </c>
      <c r="J2012" s="111">
        <v>280</v>
      </c>
      <c r="K2012" s="111">
        <f t="shared" si="282"/>
        <v>266.33333333333331</v>
      </c>
      <c r="L2012" s="111">
        <v>200000</v>
      </c>
      <c r="M2012" s="111">
        <f t="shared" si="283"/>
        <v>90000</v>
      </c>
      <c r="N2012" s="111">
        <f t="shared" si="284"/>
        <v>90000</v>
      </c>
      <c r="O2012" s="111">
        <f t="shared" si="285"/>
        <v>18000</v>
      </c>
      <c r="P2012" s="111">
        <f t="shared" si="286"/>
        <v>20000</v>
      </c>
      <c r="Q2012" s="111">
        <v>50000</v>
      </c>
      <c r="R2012" s="111">
        <v>5</v>
      </c>
      <c r="S2012" s="111">
        <f t="shared" si="287"/>
        <v>5000</v>
      </c>
      <c r="T2012" s="111">
        <f t="shared" si="288"/>
        <v>250000</v>
      </c>
      <c r="U2012" s="111">
        <f t="shared" si="289"/>
        <v>2500</v>
      </c>
      <c r="V2012" s="111">
        <f t="shared" si="290"/>
        <v>252500</v>
      </c>
      <c r="W2012" t="s">
        <v>4473</v>
      </c>
    </row>
    <row r="2013" spans="1:23" x14ac:dyDescent="0.3">
      <c r="A2013" s="110">
        <v>2500104</v>
      </c>
      <c r="B2013" s="110" t="s">
        <v>2209</v>
      </c>
      <c r="C2013" s="110" t="s">
        <v>2209</v>
      </c>
      <c r="D2013" s="110" t="s">
        <v>2209</v>
      </c>
      <c r="E2013" s="110" t="s">
        <v>1019</v>
      </c>
      <c r="F2013" s="110" t="s">
        <v>113</v>
      </c>
      <c r="G2013" s="110" t="s">
        <v>114</v>
      </c>
      <c r="H2013" s="111">
        <v>252</v>
      </c>
      <c r="I2013" s="111">
        <v>253</v>
      </c>
      <c r="J2013" s="111">
        <v>273</v>
      </c>
      <c r="K2013" s="111">
        <f t="shared" si="282"/>
        <v>259.33333333333331</v>
      </c>
      <c r="L2013" s="111">
        <v>200000</v>
      </c>
      <c r="M2013" s="111">
        <f t="shared" si="283"/>
        <v>90000</v>
      </c>
      <c r="N2013" s="111">
        <f t="shared" si="284"/>
        <v>90000</v>
      </c>
      <c r="O2013" s="111">
        <f t="shared" si="285"/>
        <v>18000</v>
      </c>
      <c r="P2013" s="111">
        <f t="shared" si="286"/>
        <v>20000</v>
      </c>
      <c r="Q2013" s="111">
        <v>50000</v>
      </c>
      <c r="R2013" s="111">
        <v>5</v>
      </c>
      <c r="S2013" s="111">
        <f t="shared" si="287"/>
        <v>5000</v>
      </c>
      <c r="T2013" s="111">
        <f t="shared" si="288"/>
        <v>250000</v>
      </c>
      <c r="U2013" s="111">
        <f t="shared" si="289"/>
        <v>2500</v>
      </c>
      <c r="V2013" s="111">
        <f t="shared" si="290"/>
        <v>252500</v>
      </c>
      <c r="W2013" t="s">
        <v>4474</v>
      </c>
    </row>
    <row r="2014" spans="1:23" x14ac:dyDescent="0.3">
      <c r="A2014" s="110">
        <v>2500109</v>
      </c>
      <c r="B2014" s="110" t="s">
        <v>2209</v>
      </c>
      <c r="C2014" s="110" t="s">
        <v>2209</v>
      </c>
      <c r="D2014" s="110" t="s">
        <v>2212</v>
      </c>
      <c r="E2014" s="110" t="s">
        <v>184</v>
      </c>
      <c r="F2014" s="110" t="s">
        <v>113</v>
      </c>
      <c r="G2014" s="110" t="s">
        <v>114</v>
      </c>
      <c r="H2014" s="111">
        <v>82</v>
      </c>
      <c r="I2014" s="111">
        <v>82</v>
      </c>
      <c r="J2014" s="111">
        <v>72</v>
      </c>
      <c r="K2014" s="111">
        <f t="shared" si="282"/>
        <v>78.666666666666671</v>
      </c>
      <c r="L2014" s="111">
        <v>150000</v>
      </c>
      <c r="M2014" s="111">
        <f t="shared" si="283"/>
        <v>67500</v>
      </c>
      <c r="N2014" s="111">
        <f t="shared" si="284"/>
        <v>67500</v>
      </c>
      <c r="O2014" s="111">
        <f t="shared" si="285"/>
        <v>13500</v>
      </c>
      <c r="P2014" s="111">
        <f t="shared" si="286"/>
        <v>15000</v>
      </c>
      <c r="Q2014" s="111">
        <v>30000</v>
      </c>
      <c r="R2014" s="111">
        <v>3</v>
      </c>
      <c r="S2014" s="111">
        <f t="shared" si="287"/>
        <v>3000</v>
      </c>
      <c r="T2014" s="111">
        <f t="shared" si="288"/>
        <v>180000</v>
      </c>
      <c r="U2014" s="111">
        <f t="shared" si="289"/>
        <v>1800</v>
      </c>
      <c r="V2014" s="111">
        <f t="shared" si="290"/>
        <v>181800</v>
      </c>
      <c r="W2014" t="s">
        <v>4475</v>
      </c>
    </row>
    <row r="2015" spans="1:23" x14ac:dyDescent="0.3">
      <c r="A2015" s="110">
        <v>2500110</v>
      </c>
      <c r="B2015" s="110" t="s">
        <v>2209</v>
      </c>
      <c r="C2015" s="110" t="s">
        <v>2209</v>
      </c>
      <c r="D2015" s="110" t="s">
        <v>2213</v>
      </c>
      <c r="E2015" s="110" t="s">
        <v>368</v>
      </c>
      <c r="F2015" s="110" t="s">
        <v>113</v>
      </c>
      <c r="G2015" s="110" t="s">
        <v>114</v>
      </c>
      <c r="H2015" s="111">
        <v>87</v>
      </c>
      <c r="I2015" s="111">
        <v>84</v>
      </c>
      <c r="J2015" s="111">
        <v>76</v>
      </c>
      <c r="K2015" s="111">
        <f t="shared" si="282"/>
        <v>82.333333333333329</v>
      </c>
      <c r="L2015" s="111">
        <v>150000</v>
      </c>
      <c r="M2015" s="111">
        <f t="shared" si="283"/>
        <v>67500</v>
      </c>
      <c r="N2015" s="111">
        <f t="shared" si="284"/>
        <v>67500</v>
      </c>
      <c r="O2015" s="111">
        <f t="shared" si="285"/>
        <v>13500</v>
      </c>
      <c r="P2015" s="111">
        <f t="shared" si="286"/>
        <v>15000</v>
      </c>
      <c r="Q2015" s="111">
        <v>30000</v>
      </c>
      <c r="R2015" s="111">
        <v>3</v>
      </c>
      <c r="S2015" s="111">
        <f t="shared" si="287"/>
        <v>3000</v>
      </c>
      <c r="T2015" s="111">
        <f t="shared" si="288"/>
        <v>180000</v>
      </c>
      <c r="U2015" s="111">
        <f t="shared" si="289"/>
        <v>1800</v>
      </c>
      <c r="V2015" s="111">
        <f t="shared" si="290"/>
        <v>181800</v>
      </c>
      <c r="W2015" t="s">
        <v>4476</v>
      </c>
    </row>
    <row r="2016" spans="1:23" x14ac:dyDescent="0.3">
      <c r="A2016" s="110">
        <v>2500111</v>
      </c>
      <c r="B2016" s="110" t="s">
        <v>2209</v>
      </c>
      <c r="C2016" s="110" t="s">
        <v>2209</v>
      </c>
      <c r="D2016" s="110" t="s">
        <v>2214</v>
      </c>
      <c r="E2016" s="110" t="s">
        <v>222</v>
      </c>
      <c r="F2016" s="110" t="s">
        <v>113</v>
      </c>
      <c r="G2016" s="110" t="s">
        <v>114</v>
      </c>
      <c r="H2016" s="111">
        <v>32</v>
      </c>
      <c r="I2016" s="111">
        <v>28</v>
      </c>
      <c r="J2016" s="111">
        <v>23</v>
      </c>
      <c r="K2016" s="111">
        <f t="shared" si="282"/>
        <v>27.666666666666668</v>
      </c>
      <c r="L2016" s="111">
        <v>50000</v>
      </c>
      <c r="M2016" s="111">
        <f t="shared" si="283"/>
        <v>22500</v>
      </c>
      <c r="N2016" s="111">
        <f t="shared" si="284"/>
        <v>22500</v>
      </c>
      <c r="O2016" s="111">
        <f t="shared" si="285"/>
        <v>4500</v>
      </c>
      <c r="P2016" s="111">
        <f t="shared" si="286"/>
        <v>5000</v>
      </c>
      <c r="Q2016" s="111">
        <v>10000</v>
      </c>
      <c r="R2016" s="111">
        <v>1</v>
      </c>
      <c r="S2016" s="111">
        <f t="shared" si="287"/>
        <v>1000</v>
      </c>
      <c r="T2016" s="111">
        <f t="shared" si="288"/>
        <v>60000</v>
      </c>
      <c r="U2016" s="111">
        <f t="shared" si="289"/>
        <v>600</v>
      </c>
      <c r="V2016" s="111">
        <f t="shared" si="290"/>
        <v>60600</v>
      </c>
      <c r="W2016" t="s">
        <v>4477</v>
      </c>
    </row>
    <row r="2017" spans="1:23" x14ac:dyDescent="0.3">
      <c r="A2017" s="110">
        <v>2500112</v>
      </c>
      <c r="B2017" s="110" t="s">
        <v>2209</v>
      </c>
      <c r="C2017" s="110" t="s">
        <v>2209</v>
      </c>
      <c r="D2017" s="110" t="s">
        <v>2215</v>
      </c>
      <c r="E2017" s="110" t="s">
        <v>143</v>
      </c>
      <c r="F2017" s="110" t="s">
        <v>113</v>
      </c>
      <c r="G2017" s="110" t="s">
        <v>114</v>
      </c>
      <c r="H2017" s="111">
        <v>78</v>
      </c>
      <c r="I2017" s="111">
        <v>73</v>
      </c>
      <c r="J2017" s="111">
        <v>76</v>
      </c>
      <c r="K2017" s="111">
        <f t="shared" si="282"/>
        <v>75.666666666666671</v>
      </c>
      <c r="L2017" s="111">
        <v>150000</v>
      </c>
      <c r="M2017" s="111">
        <f t="shared" si="283"/>
        <v>67500</v>
      </c>
      <c r="N2017" s="111">
        <f t="shared" si="284"/>
        <v>67500</v>
      </c>
      <c r="O2017" s="111">
        <f t="shared" si="285"/>
        <v>13500</v>
      </c>
      <c r="P2017" s="111">
        <f t="shared" si="286"/>
        <v>15000</v>
      </c>
      <c r="Q2017" s="111">
        <v>30000</v>
      </c>
      <c r="R2017" s="111">
        <v>3</v>
      </c>
      <c r="S2017" s="111">
        <f t="shared" si="287"/>
        <v>3000</v>
      </c>
      <c r="T2017" s="111">
        <f t="shared" si="288"/>
        <v>180000</v>
      </c>
      <c r="U2017" s="111">
        <f t="shared" si="289"/>
        <v>1800</v>
      </c>
      <c r="V2017" s="111">
        <f t="shared" si="290"/>
        <v>181800</v>
      </c>
      <c r="W2017" t="s">
        <v>4478</v>
      </c>
    </row>
    <row r="2018" spans="1:23" x14ac:dyDescent="0.3">
      <c r="A2018" s="110">
        <v>2500114</v>
      </c>
      <c r="B2018" s="110" t="s">
        <v>2209</v>
      </c>
      <c r="C2018" s="110" t="s">
        <v>2209</v>
      </c>
      <c r="D2018" s="110" t="s">
        <v>2216</v>
      </c>
      <c r="E2018" s="110" t="s">
        <v>184</v>
      </c>
      <c r="F2018" s="110" t="s">
        <v>113</v>
      </c>
      <c r="G2018" s="110" t="s">
        <v>114</v>
      </c>
      <c r="H2018" s="111">
        <v>70</v>
      </c>
      <c r="I2018" s="111">
        <v>67</v>
      </c>
      <c r="J2018" s="111">
        <v>64</v>
      </c>
      <c r="K2018" s="111">
        <f t="shared" si="282"/>
        <v>67</v>
      </c>
      <c r="L2018" s="111">
        <v>150000</v>
      </c>
      <c r="M2018" s="111">
        <f t="shared" si="283"/>
        <v>67500</v>
      </c>
      <c r="N2018" s="111">
        <f t="shared" si="284"/>
        <v>67500</v>
      </c>
      <c r="O2018" s="111">
        <f t="shared" si="285"/>
        <v>13500</v>
      </c>
      <c r="P2018" s="111">
        <f t="shared" si="286"/>
        <v>15000</v>
      </c>
      <c r="Q2018" s="111">
        <v>30000</v>
      </c>
      <c r="R2018" s="111">
        <v>3</v>
      </c>
      <c r="S2018" s="111">
        <f t="shared" si="287"/>
        <v>3000</v>
      </c>
      <c r="T2018" s="111">
        <f t="shared" si="288"/>
        <v>180000</v>
      </c>
      <c r="U2018" s="111">
        <f t="shared" si="289"/>
        <v>1800</v>
      </c>
      <c r="V2018" s="111">
        <f t="shared" si="290"/>
        <v>181800</v>
      </c>
      <c r="W2018" t="s">
        <v>4479</v>
      </c>
    </row>
    <row r="2019" spans="1:23" x14ac:dyDescent="0.3">
      <c r="A2019" s="110">
        <v>2500115</v>
      </c>
      <c r="B2019" s="110" t="s">
        <v>2209</v>
      </c>
      <c r="C2019" s="110" t="s">
        <v>2209</v>
      </c>
      <c r="D2019" s="110" t="s">
        <v>2217</v>
      </c>
      <c r="E2019" s="110" t="s">
        <v>172</v>
      </c>
      <c r="F2019" s="110" t="s">
        <v>168</v>
      </c>
      <c r="G2019" s="110" t="s">
        <v>114</v>
      </c>
      <c r="H2019" s="111">
        <v>106</v>
      </c>
      <c r="I2019" s="111">
        <v>106</v>
      </c>
      <c r="J2019" s="111">
        <v>100</v>
      </c>
      <c r="K2019" s="111">
        <f t="shared" si="282"/>
        <v>104</v>
      </c>
      <c r="L2019" s="111">
        <v>150000</v>
      </c>
      <c r="M2019" s="111">
        <f t="shared" si="283"/>
        <v>67500</v>
      </c>
      <c r="N2019" s="111">
        <f t="shared" si="284"/>
        <v>67500</v>
      </c>
      <c r="O2019" s="111">
        <f t="shared" si="285"/>
        <v>13500</v>
      </c>
      <c r="P2019" s="111">
        <f t="shared" si="286"/>
        <v>15000</v>
      </c>
      <c r="Q2019" s="111">
        <v>30000</v>
      </c>
      <c r="R2019" s="111">
        <v>3</v>
      </c>
      <c r="S2019" s="111">
        <f t="shared" si="287"/>
        <v>3000</v>
      </c>
      <c r="T2019" s="111">
        <f t="shared" si="288"/>
        <v>180000</v>
      </c>
      <c r="U2019" s="111">
        <f t="shared" si="289"/>
        <v>1800</v>
      </c>
      <c r="V2019" s="111">
        <f t="shared" si="290"/>
        <v>181800</v>
      </c>
      <c r="W2019" t="s">
        <v>4480</v>
      </c>
    </row>
    <row r="2020" spans="1:23" x14ac:dyDescent="0.3">
      <c r="A2020" s="110">
        <v>2500116</v>
      </c>
      <c r="B2020" s="110" t="s">
        <v>2209</v>
      </c>
      <c r="C2020" s="110" t="s">
        <v>2209</v>
      </c>
      <c r="D2020" s="110" t="s">
        <v>2218</v>
      </c>
      <c r="E2020" s="110" t="s">
        <v>622</v>
      </c>
      <c r="F2020" s="110" t="s">
        <v>113</v>
      </c>
      <c r="G2020" s="110" t="s">
        <v>114</v>
      </c>
      <c r="H2020" s="111">
        <v>79</v>
      </c>
      <c r="I2020" s="111">
        <v>63</v>
      </c>
      <c r="J2020" s="111">
        <v>59</v>
      </c>
      <c r="K2020" s="111">
        <f t="shared" si="282"/>
        <v>67</v>
      </c>
      <c r="L2020" s="111">
        <v>150000</v>
      </c>
      <c r="M2020" s="111">
        <f t="shared" si="283"/>
        <v>67500</v>
      </c>
      <c r="N2020" s="111">
        <f t="shared" si="284"/>
        <v>67500</v>
      </c>
      <c r="O2020" s="111">
        <f t="shared" si="285"/>
        <v>13500</v>
      </c>
      <c r="P2020" s="111">
        <f t="shared" si="286"/>
        <v>15000</v>
      </c>
      <c r="Q2020" s="111">
        <v>30000</v>
      </c>
      <c r="R2020" s="111">
        <v>3</v>
      </c>
      <c r="S2020" s="111">
        <f t="shared" si="287"/>
        <v>3000</v>
      </c>
      <c r="T2020" s="111">
        <f t="shared" si="288"/>
        <v>180000</v>
      </c>
      <c r="U2020" s="111">
        <f t="shared" si="289"/>
        <v>1800</v>
      </c>
      <c r="V2020" s="111">
        <f t="shared" si="290"/>
        <v>181800</v>
      </c>
      <c r="W2020" t="s">
        <v>4481</v>
      </c>
    </row>
    <row r="2021" spans="1:23" x14ac:dyDescent="0.3">
      <c r="A2021" s="110">
        <v>2500118</v>
      </c>
      <c r="B2021" s="110" t="s">
        <v>2209</v>
      </c>
      <c r="C2021" s="110" t="s">
        <v>2209</v>
      </c>
      <c r="D2021" s="110" t="s">
        <v>2219</v>
      </c>
      <c r="E2021" s="110" t="s">
        <v>390</v>
      </c>
      <c r="F2021" s="110" t="s">
        <v>113</v>
      </c>
      <c r="G2021" s="110" t="s">
        <v>114</v>
      </c>
      <c r="H2021" s="111">
        <v>81</v>
      </c>
      <c r="I2021" s="111">
        <v>53</v>
      </c>
      <c r="J2021" s="111">
        <v>53</v>
      </c>
      <c r="K2021" s="111">
        <f t="shared" si="282"/>
        <v>62.333333333333336</v>
      </c>
      <c r="L2021" s="111">
        <v>150000</v>
      </c>
      <c r="M2021" s="111">
        <f t="shared" si="283"/>
        <v>67500</v>
      </c>
      <c r="N2021" s="111">
        <f t="shared" si="284"/>
        <v>67500</v>
      </c>
      <c r="O2021" s="111">
        <f t="shared" si="285"/>
        <v>13500</v>
      </c>
      <c r="P2021" s="111">
        <f t="shared" si="286"/>
        <v>15000</v>
      </c>
      <c r="Q2021" s="111">
        <v>30000</v>
      </c>
      <c r="R2021" s="111">
        <v>3</v>
      </c>
      <c r="S2021" s="111">
        <f t="shared" si="287"/>
        <v>3000</v>
      </c>
      <c r="T2021" s="111">
        <f t="shared" si="288"/>
        <v>180000</v>
      </c>
      <c r="U2021" s="111">
        <f t="shared" si="289"/>
        <v>1800</v>
      </c>
      <c r="V2021" s="111">
        <f t="shared" si="290"/>
        <v>181800</v>
      </c>
      <c r="W2021" t="s">
        <v>4482</v>
      </c>
    </row>
    <row r="2022" spans="1:23" x14ac:dyDescent="0.3">
      <c r="A2022" s="110">
        <v>2500201</v>
      </c>
      <c r="B2022" s="110" t="s">
        <v>2209</v>
      </c>
      <c r="C2022" s="110" t="s">
        <v>2220</v>
      </c>
      <c r="D2022" s="110" t="s">
        <v>2220</v>
      </c>
      <c r="E2022" s="110" t="s">
        <v>252</v>
      </c>
      <c r="F2022" s="110" t="s">
        <v>119</v>
      </c>
      <c r="G2022" s="110" t="s">
        <v>114</v>
      </c>
      <c r="H2022" s="111">
        <v>224</v>
      </c>
      <c r="I2022" s="111">
        <v>218</v>
      </c>
      <c r="J2022" s="111">
        <v>219</v>
      </c>
      <c r="K2022" s="111">
        <f t="shared" si="282"/>
        <v>220.33333333333334</v>
      </c>
      <c r="L2022" s="111">
        <v>200000</v>
      </c>
      <c r="M2022" s="111">
        <f t="shared" si="283"/>
        <v>90000</v>
      </c>
      <c r="N2022" s="111">
        <f t="shared" si="284"/>
        <v>90000</v>
      </c>
      <c r="O2022" s="111">
        <f t="shared" si="285"/>
        <v>18000</v>
      </c>
      <c r="P2022" s="111">
        <f t="shared" si="286"/>
        <v>20000</v>
      </c>
      <c r="Q2022" s="111">
        <v>50000</v>
      </c>
      <c r="R2022" s="111">
        <v>5</v>
      </c>
      <c r="S2022" s="111">
        <f t="shared" si="287"/>
        <v>5000</v>
      </c>
      <c r="T2022" s="111">
        <f t="shared" si="288"/>
        <v>250000</v>
      </c>
      <c r="U2022" s="111">
        <f t="shared" si="289"/>
        <v>2500</v>
      </c>
      <c r="V2022" s="111">
        <f t="shared" si="290"/>
        <v>252500</v>
      </c>
      <c r="W2022" t="s">
        <v>4483</v>
      </c>
    </row>
    <row r="2023" spans="1:23" x14ac:dyDescent="0.3">
      <c r="A2023" s="110">
        <v>2500203</v>
      </c>
      <c r="B2023" s="110" t="s">
        <v>2209</v>
      </c>
      <c r="C2023" s="110" t="s">
        <v>2209</v>
      </c>
      <c r="D2023" s="110" t="s">
        <v>2209</v>
      </c>
      <c r="E2023" s="110" t="s">
        <v>2221</v>
      </c>
      <c r="F2023" s="110" t="s">
        <v>296</v>
      </c>
      <c r="G2023" s="110" t="s">
        <v>114</v>
      </c>
      <c r="H2023" s="111">
        <v>116</v>
      </c>
      <c r="I2023" s="111">
        <v>125</v>
      </c>
      <c r="J2023" s="111">
        <v>125</v>
      </c>
      <c r="K2023" s="111">
        <f t="shared" si="282"/>
        <v>122</v>
      </c>
      <c r="L2023" s="111">
        <v>150000</v>
      </c>
      <c r="M2023" s="111">
        <f t="shared" si="283"/>
        <v>67500</v>
      </c>
      <c r="N2023" s="111">
        <f t="shared" si="284"/>
        <v>67500</v>
      </c>
      <c r="O2023" s="111">
        <f t="shared" si="285"/>
        <v>13500</v>
      </c>
      <c r="P2023" s="111">
        <f t="shared" si="286"/>
        <v>15000</v>
      </c>
      <c r="Q2023" s="111">
        <v>30000</v>
      </c>
      <c r="R2023" s="111">
        <v>3</v>
      </c>
      <c r="S2023" s="111">
        <f t="shared" si="287"/>
        <v>3000</v>
      </c>
      <c r="T2023" s="111">
        <f t="shared" si="288"/>
        <v>180000</v>
      </c>
      <c r="U2023" s="111">
        <f t="shared" si="289"/>
        <v>1800</v>
      </c>
      <c r="V2023" s="111">
        <f t="shared" si="290"/>
        <v>181800</v>
      </c>
      <c r="W2023" t="s">
        <v>4484</v>
      </c>
    </row>
    <row r="2024" spans="1:23" x14ac:dyDescent="0.3">
      <c r="A2024" s="110">
        <v>2500204</v>
      </c>
      <c r="B2024" s="110" t="s">
        <v>2209</v>
      </c>
      <c r="C2024" s="110" t="s">
        <v>2209</v>
      </c>
      <c r="D2024" s="110" t="s">
        <v>2209</v>
      </c>
      <c r="E2024" s="110" t="s">
        <v>2222</v>
      </c>
      <c r="F2024" s="110" t="s">
        <v>119</v>
      </c>
      <c r="G2024" s="110" t="s">
        <v>114</v>
      </c>
      <c r="H2024" s="111">
        <v>1168</v>
      </c>
      <c r="I2024" s="111">
        <v>1171</v>
      </c>
      <c r="J2024" s="111">
        <v>1182</v>
      </c>
      <c r="K2024" s="111">
        <f t="shared" si="282"/>
        <v>1173.6666666666667</v>
      </c>
      <c r="L2024" s="111">
        <f>600000</f>
        <v>600000</v>
      </c>
      <c r="M2024" s="111">
        <f t="shared" si="283"/>
        <v>270000</v>
      </c>
      <c r="N2024" s="111">
        <f t="shared" si="284"/>
        <v>270000</v>
      </c>
      <c r="O2024" s="111">
        <f t="shared" si="285"/>
        <v>54000</v>
      </c>
      <c r="P2024" s="111">
        <f t="shared" si="286"/>
        <v>60000</v>
      </c>
      <c r="Q2024" s="111">
        <v>80000</v>
      </c>
      <c r="R2024" s="111">
        <v>8</v>
      </c>
      <c r="S2024" s="111">
        <f t="shared" si="287"/>
        <v>8000</v>
      </c>
      <c r="T2024" s="111">
        <f t="shared" si="288"/>
        <v>680000</v>
      </c>
      <c r="U2024" s="111">
        <f t="shared" si="289"/>
        <v>6800</v>
      </c>
      <c r="V2024" s="111">
        <f t="shared" si="290"/>
        <v>686800</v>
      </c>
      <c r="W2024" t="s">
        <v>4485</v>
      </c>
    </row>
    <row r="2025" spans="1:23" x14ac:dyDescent="0.3">
      <c r="A2025" s="110">
        <v>2500601</v>
      </c>
      <c r="B2025" s="110" t="s">
        <v>2209</v>
      </c>
      <c r="C2025" s="110" t="s">
        <v>2209</v>
      </c>
      <c r="D2025" s="110" t="s">
        <v>2209</v>
      </c>
      <c r="E2025" s="110" t="s">
        <v>2223</v>
      </c>
      <c r="F2025" s="110" t="s">
        <v>117</v>
      </c>
      <c r="G2025" s="110" t="s">
        <v>125</v>
      </c>
      <c r="H2025" s="111">
        <v>414</v>
      </c>
      <c r="I2025" s="111">
        <v>416</v>
      </c>
      <c r="J2025" s="111">
        <v>414</v>
      </c>
      <c r="K2025" s="111">
        <f t="shared" si="282"/>
        <v>414.66666666666669</v>
      </c>
      <c r="L2025" s="111">
        <f>300000</f>
        <v>300000</v>
      </c>
      <c r="M2025" s="111">
        <f t="shared" si="283"/>
        <v>135000</v>
      </c>
      <c r="N2025" s="111">
        <f t="shared" si="284"/>
        <v>135000</v>
      </c>
      <c r="O2025" s="111">
        <f t="shared" si="285"/>
        <v>27000</v>
      </c>
      <c r="P2025" s="111">
        <f t="shared" si="286"/>
        <v>30000</v>
      </c>
      <c r="Q2025" s="111">
        <v>60000</v>
      </c>
      <c r="R2025" s="111">
        <v>6</v>
      </c>
      <c r="S2025" s="111">
        <f t="shared" si="287"/>
        <v>6000</v>
      </c>
      <c r="T2025" s="111">
        <f t="shared" si="288"/>
        <v>360000</v>
      </c>
      <c r="U2025" s="111">
        <f t="shared" si="289"/>
        <v>3600</v>
      </c>
      <c r="V2025" s="111">
        <f t="shared" si="290"/>
        <v>363600</v>
      </c>
      <c r="W2025" t="s">
        <v>4486</v>
      </c>
    </row>
    <row r="2026" spans="1:23" x14ac:dyDescent="0.3">
      <c r="A2026" s="110">
        <v>2500602</v>
      </c>
      <c r="B2026" s="110" t="s">
        <v>2209</v>
      </c>
      <c r="C2026" s="110" t="s">
        <v>2209</v>
      </c>
      <c r="D2026" s="110" t="s">
        <v>2209</v>
      </c>
      <c r="E2026" s="110" t="s">
        <v>2224</v>
      </c>
      <c r="F2026" s="110" t="s">
        <v>117</v>
      </c>
      <c r="G2026" s="110" t="s">
        <v>125</v>
      </c>
      <c r="H2026" s="111">
        <v>298</v>
      </c>
      <c r="I2026" s="111">
        <v>325</v>
      </c>
      <c r="J2026" s="111">
        <v>338</v>
      </c>
      <c r="K2026" s="111">
        <f t="shared" si="282"/>
        <v>320.33333333333331</v>
      </c>
      <c r="L2026" s="111">
        <v>200000</v>
      </c>
      <c r="M2026" s="111">
        <f t="shared" si="283"/>
        <v>90000</v>
      </c>
      <c r="N2026" s="111">
        <f t="shared" si="284"/>
        <v>90000</v>
      </c>
      <c r="O2026" s="111">
        <f t="shared" si="285"/>
        <v>18000</v>
      </c>
      <c r="P2026" s="111">
        <f t="shared" si="286"/>
        <v>20000</v>
      </c>
      <c r="Q2026" s="111">
        <v>50000</v>
      </c>
      <c r="R2026" s="111">
        <v>5</v>
      </c>
      <c r="S2026" s="111">
        <f t="shared" si="287"/>
        <v>5000</v>
      </c>
      <c r="T2026" s="111">
        <f t="shared" si="288"/>
        <v>250000</v>
      </c>
      <c r="U2026" s="111">
        <f t="shared" si="289"/>
        <v>2500</v>
      </c>
      <c r="V2026" s="111">
        <f t="shared" si="290"/>
        <v>252500</v>
      </c>
      <c r="W2026" t="s">
        <v>4487</v>
      </c>
    </row>
    <row r="2027" spans="1:23" x14ac:dyDescent="0.3">
      <c r="A2027" s="110">
        <v>2500603</v>
      </c>
      <c r="B2027" s="110" t="s">
        <v>2209</v>
      </c>
      <c r="C2027" s="110" t="s">
        <v>2209</v>
      </c>
      <c r="D2027" s="110" t="s">
        <v>2209</v>
      </c>
      <c r="E2027" s="110" t="s">
        <v>2225</v>
      </c>
      <c r="F2027" s="110" t="s">
        <v>117</v>
      </c>
      <c r="G2027" s="110" t="s">
        <v>125</v>
      </c>
      <c r="H2027" s="111">
        <v>126</v>
      </c>
      <c r="I2027" s="111">
        <v>111</v>
      </c>
      <c r="J2027" s="111">
        <v>116</v>
      </c>
      <c r="K2027" s="111">
        <f t="shared" si="282"/>
        <v>117.66666666666667</v>
      </c>
      <c r="L2027" s="111">
        <v>150000</v>
      </c>
      <c r="M2027" s="111">
        <f t="shared" si="283"/>
        <v>67500</v>
      </c>
      <c r="N2027" s="111">
        <f t="shared" si="284"/>
        <v>67500</v>
      </c>
      <c r="O2027" s="111">
        <f t="shared" si="285"/>
        <v>13500</v>
      </c>
      <c r="P2027" s="111">
        <f t="shared" si="286"/>
        <v>15000</v>
      </c>
      <c r="Q2027" s="111">
        <v>30000</v>
      </c>
      <c r="R2027" s="111">
        <v>3</v>
      </c>
      <c r="S2027" s="111">
        <f t="shared" si="287"/>
        <v>3000</v>
      </c>
      <c r="T2027" s="111">
        <f t="shared" si="288"/>
        <v>180000</v>
      </c>
      <c r="U2027" s="111">
        <f t="shared" si="289"/>
        <v>1800</v>
      </c>
      <c r="V2027" s="111">
        <f t="shared" si="290"/>
        <v>181800</v>
      </c>
      <c r="W2027" t="s">
        <v>4488</v>
      </c>
    </row>
    <row r="2028" spans="1:23" x14ac:dyDescent="0.3">
      <c r="A2028" s="110">
        <v>2500604</v>
      </c>
      <c r="B2028" s="110" t="s">
        <v>2209</v>
      </c>
      <c r="C2028" s="110" t="s">
        <v>2209</v>
      </c>
      <c r="D2028" s="110" t="s">
        <v>2209</v>
      </c>
      <c r="E2028" s="110" t="s">
        <v>2226</v>
      </c>
      <c r="F2028" s="110" t="s">
        <v>117</v>
      </c>
      <c r="G2028" s="110" t="s">
        <v>125</v>
      </c>
      <c r="H2028" s="111">
        <v>289</v>
      </c>
      <c r="I2028" s="111">
        <v>300</v>
      </c>
      <c r="J2028" s="111">
        <v>272</v>
      </c>
      <c r="K2028" s="111">
        <f t="shared" si="282"/>
        <v>287</v>
      </c>
      <c r="L2028" s="111">
        <v>200000</v>
      </c>
      <c r="M2028" s="111">
        <f t="shared" si="283"/>
        <v>90000</v>
      </c>
      <c r="N2028" s="111">
        <f t="shared" si="284"/>
        <v>90000</v>
      </c>
      <c r="O2028" s="111">
        <f t="shared" si="285"/>
        <v>18000</v>
      </c>
      <c r="P2028" s="111">
        <f t="shared" si="286"/>
        <v>20000</v>
      </c>
      <c r="Q2028" s="111">
        <v>50000</v>
      </c>
      <c r="R2028" s="111">
        <v>5</v>
      </c>
      <c r="S2028" s="111">
        <f t="shared" si="287"/>
        <v>5000</v>
      </c>
      <c r="T2028" s="111">
        <f t="shared" si="288"/>
        <v>250000</v>
      </c>
      <c r="U2028" s="111">
        <f t="shared" si="289"/>
        <v>2500</v>
      </c>
      <c r="V2028" s="111">
        <f t="shared" si="290"/>
        <v>252500</v>
      </c>
      <c r="W2028" t="s">
        <v>4489</v>
      </c>
    </row>
    <row r="2029" spans="1:23" x14ac:dyDescent="0.3">
      <c r="A2029" s="110">
        <v>2500605</v>
      </c>
      <c r="B2029" s="110" t="s">
        <v>2209</v>
      </c>
      <c r="C2029" s="110" t="s">
        <v>2209</v>
      </c>
      <c r="D2029" s="110" t="s">
        <v>2209</v>
      </c>
      <c r="E2029" s="110" t="s">
        <v>2227</v>
      </c>
      <c r="F2029" s="110" t="s">
        <v>117</v>
      </c>
      <c r="G2029" s="110" t="s">
        <v>114</v>
      </c>
      <c r="H2029" s="111">
        <v>239</v>
      </c>
      <c r="I2029" s="111">
        <v>248</v>
      </c>
      <c r="J2029" s="111">
        <v>226</v>
      </c>
      <c r="K2029" s="111">
        <f t="shared" si="282"/>
        <v>237.66666666666666</v>
      </c>
      <c r="L2029" s="111">
        <f>200000*0.7</f>
        <v>140000</v>
      </c>
      <c r="M2029" s="111">
        <f t="shared" si="283"/>
        <v>63000</v>
      </c>
      <c r="N2029" s="111">
        <f t="shared" si="284"/>
        <v>63000</v>
      </c>
      <c r="O2029" s="111">
        <f t="shared" si="285"/>
        <v>12600</v>
      </c>
      <c r="P2029" s="111">
        <f t="shared" si="286"/>
        <v>14000</v>
      </c>
      <c r="Q2029" s="111">
        <v>50000</v>
      </c>
      <c r="R2029" s="111">
        <v>5</v>
      </c>
      <c r="S2029" s="111">
        <f t="shared" si="287"/>
        <v>5000</v>
      </c>
      <c r="T2029" s="111">
        <f t="shared" si="288"/>
        <v>190000</v>
      </c>
      <c r="U2029" s="111">
        <f t="shared" si="289"/>
        <v>1900</v>
      </c>
      <c r="V2029" s="111">
        <f t="shared" si="290"/>
        <v>191900</v>
      </c>
      <c r="W2029" t="s">
        <v>4490</v>
      </c>
    </row>
    <row r="2030" spans="1:23" x14ac:dyDescent="0.3">
      <c r="A2030" s="110">
        <v>2500703</v>
      </c>
      <c r="B2030" s="110" t="s">
        <v>2209</v>
      </c>
      <c r="C2030" s="110" t="s">
        <v>2209</v>
      </c>
      <c r="D2030" s="110" t="s">
        <v>2209</v>
      </c>
      <c r="E2030" s="110" t="s">
        <v>2228</v>
      </c>
      <c r="F2030" s="110" t="s">
        <v>1474</v>
      </c>
      <c r="G2030" s="110" t="s">
        <v>125</v>
      </c>
      <c r="H2030" s="111">
        <v>45</v>
      </c>
      <c r="I2030" s="111">
        <v>46</v>
      </c>
      <c r="J2030" s="111">
        <v>41</v>
      </c>
      <c r="K2030" s="111">
        <f t="shared" si="282"/>
        <v>44</v>
      </c>
      <c r="L2030" s="111">
        <v>50000</v>
      </c>
      <c r="M2030" s="111">
        <f t="shared" si="283"/>
        <v>22500</v>
      </c>
      <c r="N2030" s="111">
        <f t="shared" si="284"/>
        <v>22500</v>
      </c>
      <c r="O2030" s="111">
        <f t="shared" si="285"/>
        <v>4500</v>
      </c>
      <c r="P2030" s="111">
        <f t="shared" si="286"/>
        <v>5000</v>
      </c>
      <c r="Q2030" s="111">
        <v>10000</v>
      </c>
      <c r="R2030" s="111">
        <v>1</v>
      </c>
      <c r="S2030" s="111">
        <f t="shared" si="287"/>
        <v>1000</v>
      </c>
      <c r="T2030" s="111">
        <f t="shared" si="288"/>
        <v>60000</v>
      </c>
      <c r="U2030" s="111">
        <f t="shared" si="289"/>
        <v>600</v>
      </c>
      <c r="V2030" s="111">
        <f t="shared" si="290"/>
        <v>60600</v>
      </c>
      <c r="W2030" t="s">
        <v>4491</v>
      </c>
    </row>
    <row r="2031" spans="1:23" x14ac:dyDescent="0.3">
      <c r="A2031" s="110">
        <v>2500704</v>
      </c>
      <c r="B2031" s="110" t="s">
        <v>2209</v>
      </c>
      <c r="C2031" s="110" t="s">
        <v>2209</v>
      </c>
      <c r="D2031" s="110" t="s">
        <v>2209</v>
      </c>
      <c r="E2031" s="110" t="s">
        <v>2229</v>
      </c>
      <c r="F2031" s="110" t="s">
        <v>135</v>
      </c>
      <c r="G2031" s="110" t="s">
        <v>125</v>
      </c>
      <c r="H2031" s="111">
        <v>90</v>
      </c>
      <c r="I2031" s="111">
        <v>84</v>
      </c>
      <c r="J2031" s="111">
        <v>92</v>
      </c>
      <c r="K2031" s="111">
        <f t="shared" si="282"/>
        <v>88.666666666666671</v>
      </c>
      <c r="L2031" s="111">
        <v>150000</v>
      </c>
      <c r="M2031" s="111">
        <f t="shared" si="283"/>
        <v>67500</v>
      </c>
      <c r="N2031" s="111">
        <f t="shared" si="284"/>
        <v>67500</v>
      </c>
      <c r="O2031" s="111">
        <f t="shared" si="285"/>
        <v>13500</v>
      </c>
      <c r="P2031" s="111">
        <f t="shared" si="286"/>
        <v>15000</v>
      </c>
      <c r="Q2031" s="111">
        <v>30000</v>
      </c>
      <c r="R2031" s="111">
        <v>3</v>
      </c>
      <c r="S2031" s="111">
        <f t="shared" si="287"/>
        <v>3000</v>
      </c>
      <c r="T2031" s="111">
        <f t="shared" si="288"/>
        <v>180000</v>
      </c>
      <c r="U2031" s="111">
        <f t="shared" si="289"/>
        <v>1800</v>
      </c>
      <c r="V2031" s="111">
        <f t="shared" si="290"/>
        <v>181800</v>
      </c>
      <c r="W2031" t="s">
        <v>4492</v>
      </c>
    </row>
    <row r="2032" spans="1:23" x14ac:dyDescent="0.3">
      <c r="A2032" s="110">
        <v>2501694</v>
      </c>
      <c r="B2032" s="110" t="s">
        <v>2209</v>
      </c>
      <c r="C2032" s="110" t="s">
        <v>2209</v>
      </c>
      <c r="D2032" s="110" t="s">
        <v>2209</v>
      </c>
      <c r="E2032" s="110" t="s">
        <v>2230</v>
      </c>
      <c r="F2032" s="110" t="s">
        <v>119</v>
      </c>
      <c r="G2032" s="110" t="s">
        <v>114</v>
      </c>
      <c r="H2032" s="111">
        <v>1189</v>
      </c>
      <c r="I2032" s="111">
        <v>1178</v>
      </c>
      <c r="J2032" s="111">
        <v>1153</v>
      </c>
      <c r="K2032" s="111">
        <f t="shared" si="282"/>
        <v>1173.3333333333333</v>
      </c>
      <c r="L2032" s="111">
        <f>600000</f>
        <v>600000</v>
      </c>
      <c r="M2032" s="111">
        <f t="shared" si="283"/>
        <v>270000</v>
      </c>
      <c r="N2032" s="111">
        <f t="shared" si="284"/>
        <v>270000</v>
      </c>
      <c r="O2032" s="111">
        <f t="shared" si="285"/>
        <v>54000</v>
      </c>
      <c r="P2032" s="111">
        <f t="shared" si="286"/>
        <v>60000</v>
      </c>
      <c r="Q2032" s="111">
        <v>80000</v>
      </c>
      <c r="R2032" s="111">
        <v>8</v>
      </c>
      <c r="S2032" s="111">
        <f t="shared" si="287"/>
        <v>8000</v>
      </c>
      <c r="T2032" s="111">
        <f t="shared" si="288"/>
        <v>680000</v>
      </c>
      <c r="U2032" s="111">
        <f t="shared" si="289"/>
        <v>6800</v>
      </c>
      <c r="V2032" s="111">
        <f t="shared" si="290"/>
        <v>686800</v>
      </c>
      <c r="W2032" t="s">
        <v>4493</v>
      </c>
    </row>
    <row r="2033" spans="1:23" x14ac:dyDescent="0.3">
      <c r="A2033" s="110">
        <v>2510001</v>
      </c>
      <c r="B2033" s="110" t="s">
        <v>2209</v>
      </c>
      <c r="C2033" s="110" t="s">
        <v>2220</v>
      </c>
      <c r="D2033" s="110" t="s">
        <v>2231</v>
      </c>
      <c r="E2033" s="110" t="s">
        <v>709</v>
      </c>
      <c r="F2033" s="110" t="s">
        <v>209</v>
      </c>
      <c r="G2033" s="110" t="s">
        <v>114</v>
      </c>
      <c r="H2033" s="111">
        <v>13</v>
      </c>
      <c r="I2033" s="111">
        <v>12</v>
      </c>
      <c r="J2033" s="111">
        <v>16</v>
      </c>
      <c r="K2033" s="111">
        <f t="shared" si="282"/>
        <v>13.666666666666666</v>
      </c>
      <c r="L2033" s="111">
        <v>50000</v>
      </c>
      <c r="M2033" s="111">
        <f t="shared" si="283"/>
        <v>22500</v>
      </c>
      <c r="N2033" s="111">
        <f t="shared" si="284"/>
        <v>22500</v>
      </c>
      <c r="O2033" s="111">
        <f t="shared" si="285"/>
        <v>4500</v>
      </c>
      <c r="P2033" s="111">
        <f t="shared" si="286"/>
        <v>5000</v>
      </c>
      <c r="Q2033" s="111">
        <v>10000</v>
      </c>
      <c r="R2033" s="111">
        <v>1</v>
      </c>
      <c r="S2033" s="111">
        <f t="shared" si="287"/>
        <v>1000</v>
      </c>
      <c r="T2033" s="111">
        <f t="shared" si="288"/>
        <v>60000</v>
      </c>
      <c r="U2033" s="111">
        <f t="shared" si="289"/>
        <v>600</v>
      </c>
      <c r="V2033" s="111">
        <f t="shared" si="290"/>
        <v>60600</v>
      </c>
      <c r="W2033" t="s">
        <v>4494</v>
      </c>
    </row>
    <row r="2034" spans="1:23" x14ac:dyDescent="0.3">
      <c r="A2034" s="110">
        <v>2510102</v>
      </c>
      <c r="B2034" s="110" t="s">
        <v>2209</v>
      </c>
      <c r="C2034" s="110" t="s">
        <v>2220</v>
      </c>
      <c r="D2034" s="110" t="s">
        <v>2232</v>
      </c>
      <c r="E2034" s="110" t="s">
        <v>2233</v>
      </c>
      <c r="F2034" s="110" t="s">
        <v>113</v>
      </c>
      <c r="G2034" s="110" t="s">
        <v>114</v>
      </c>
      <c r="H2034" s="111">
        <v>35</v>
      </c>
      <c r="I2034" s="111">
        <v>34</v>
      </c>
      <c r="J2034" s="111">
        <v>33</v>
      </c>
      <c r="K2034" s="111">
        <f t="shared" si="282"/>
        <v>34</v>
      </c>
      <c r="L2034" s="111">
        <v>50000</v>
      </c>
      <c r="M2034" s="111">
        <f t="shared" si="283"/>
        <v>22500</v>
      </c>
      <c r="N2034" s="111">
        <f t="shared" si="284"/>
        <v>22500</v>
      </c>
      <c r="O2034" s="111">
        <f t="shared" si="285"/>
        <v>4500</v>
      </c>
      <c r="P2034" s="111">
        <f t="shared" si="286"/>
        <v>5000</v>
      </c>
      <c r="Q2034" s="111">
        <v>10000</v>
      </c>
      <c r="R2034" s="111">
        <v>1</v>
      </c>
      <c r="S2034" s="111">
        <f t="shared" si="287"/>
        <v>1000</v>
      </c>
      <c r="T2034" s="111">
        <f t="shared" si="288"/>
        <v>60000</v>
      </c>
      <c r="U2034" s="111">
        <f t="shared" si="289"/>
        <v>600</v>
      </c>
      <c r="V2034" s="111">
        <f t="shared" si="290"/>
        <v>60600</v>
      </c>
      <c r="W2034" t="s">
        <v>4495</v>
      </c>
    </row>
    <row r="2035" spans="1:23" x14ac:dyDescent="0.3">
      <c r="A2035" s="110">
        <v>2510104</v>
      </c>
      <c r="B2035" s="110" t="s">
        <v>2209</v>
      </c>
      <c r="C2035" s="110" t="s">
        <v>2220</v>
      </c>
      <c r="D2035" s="110" t="s">
        <v>2234</v>
      </c>
      <c r="E2035" s="110" t="s">
        <v>406</v>
      </c>
      <c r="F2035" s="110" t="s">
        <v>113</v>
      </c>
      <c r="G2035" s="110" t="s">
        <v>114</v>
      </c>
      <c r="H2035" s="111">
        <v>21</v>
      </c>
      <c r="I2035" s="111">
        <v>16</v>
      </c>
      <c r="J2035" s="111">
        <v>22</v>
      </c>
      <c r="K2035" s="111">
        <f t="shared" si="282"/>
        <v>19.666666666666668</v>
      </c>
      <c r="L2035" s="111">
        <v>50000</v>
      </c>
      <c r="M2035" s="111">
        <f t="shared" si="283"/>
        <v>22500</v>
      </c>
      <c r="N2035" s="111">
        <f t="shared" si="284"/>
        <v>22500</v>
      </c>
      <c r="O2035" s="111">
        <f t="shared" si="285"/>
        <v>4500</v>
      </c>
      <c r="P2035" s="111">
        <f t="shared" si="286"/>
        <v>5000</v>
      </c>
      <c r="Q2035" s="111">
        <v>10000</v>
      </c>
      <c r="R2035" s="111">
        <v>1</v>
      </c>
      <c r="S2035" s="111">
        <f t="shared" si="287"/>
        <v>1000</v>
      </c>
      <c r="T2035" s="111">
        <f t="shared" si="288"/>
        <v>60000</v>
      </c>
      <c r="U2035" s="111">
        <f t="shared" si="289"/>
        <v>600</v>
      </c>
      <c r="V2035" s="111">
        <f t="shared" si="290"/>
        <v>60600</v>
      </c>
      <c r="W2035" t="s">
        <v>4496</v>
      </c>
    </row>
    <row r="2036" spans="1:23" x14ac:dyDescent="0.3">
      <c r="A2036" s="110">
        <v>2520001</v>
      </c>
      <c r="B2036" s="110" t="s">
        <v>2209</v>
      </c>
      <c r="C2036" s="110" t="s">
        <v>2235</v>
      </c>
      <c r="D2036" s="110" t="s">
        <v>2235</v>
      </c>
      <c r="E2036" s="110" t="s">
        <v>2236</v>
      </c>
      <c r="F2036" s="110" t="s">
        <v>209</v>
      </c>
      <c r="G2036" s="110" t="s">
        <v>114</v>
      </c>
      <c r="H2036" s="111">
        <v>221</v>
      </c>
      <c r="I2036" s="111">
        <v>207</v>
      </c>
      <c r="J2036" s="111">
        <v>202</v>
      </c>
      <c r="K2036" s="111">
        <f t="shared" si="282"/>
        <v>210</v>
      </c>
      <c r="L2036" s="111">
        <v>200000</v>
      </c>
      <c r="M2036" s="111">
        <f t="shared" si="283"/>
        <v>90000</v>
      </c>
      <c r="N2036" s="111">
        <f t="shared" si="284"/>
        <v>90000</v>
      </c>
      <c r="O2036" s="111">
        <f t="shared" si="285"/>
        <v>18000</v>
      </c>
      <c r="P2036" s="111">
        <f t="shared" si="286"/>
        <v>20000</v>
      </c>
      <c r="Q2036" s="111">
        <v>50000</v>
      </c>
      <c r="R2036" s="111">
        <v>5</v>
      </c>
      <c r="S2036" s="111">
        <f t="shared" si="287"/>
        <v>5000</v>
      </c>
      <c r="T2036" s="111">
        <f t="shared" si="288"/>
        <v>250000</v>
      </c>
      <c r="U2036" s="111">
        <f t="shared" si="289"/>
        <v>2500</v>
      </c>
      <c r="V2036" s="111">
        <f t="shared" si="290"/>
        <v>252500</v>
      </c>
      <c r="W2036" t="s">
        <v>4497</v>
      </c>
    </row>
    <row r="2037" spans="1:23" x14ac:dyDescent="0.3">
      <c r="A2037" s="110">
        <v>2520002</v>
      </c>
      <c r="B2037" s="110" t="s">
        <v>2209</v>
      </c>
      <c r="C2037" s="110" t="s">
        <v>2235</v>
      </c>
      <c r="D2037" s="110" t="s">
        <v>2235</v>
      </c>
      <c r="E2037" s="110" t="s">
        <v>2237</v>
      </c>
      <c r="F2037" s="110" t="s">
        <v>209</v>
      </c>
      <c r="G2037" s="110" t="s">
        <v>114</v>
      </c>
      <c r="H2037" s="111">
        <v>69</v>
      </c>
      <c r="I2037" s="111">
        <v>66</v>
      </c>
      <c r="J2037" s="111">
        <v>60</v>
      </c>
      <c r="K2037" s="111">
        <f t="shared" si="282"/>
        <v>65</v>
      </c>
      <c r="L2037" s="111">
        <v>150000</v>
      </c>
      <c r="M2037" s="111">
        <f t="shared" si="283"/>
        <v>67500</v>
      </c>
      <c r="N2037" s="111">
        <f t="shared" si="284"/>
        <v>67500</v>
      </c>
      <c r="O2037" s="111">
        <f t="shared" si="285"/>
        <v>13500</v>
      </c>
      <c r="P2037" s="111">
        <f t="shared" si="286"/>
        <v>15000</v>
      </c>
      <c r="Q2037" s="111">
        <v>30000</v>
      </c>
      <c r="R2037" s="111">
        <v>3</v>
      </c>
      <c r="S2037" s="111">
        <f t="shared" si="287"/>
        <v>3000</v>
      </c>
      <c r="T2037" s="111">
        <f t="shared" si="288"/>
        <v>180000</v>
      </c>
      <c r="U2037" s="111">
        <f t="shared" si="289"/>
        <v>1800</v>
      </c>
      <c r="V2037" s="111">
        <f t="shared" si="290"/>
        <v>181800</v>
      </c>
      <c r="W2037" t="s">
        <v>4498</v>
      </c>
    </row>
    <row r="2038" spans="1:23" x14ac:dyDescent="0.3">
      <c r="A2038" s="110">
        <v>2520101</v>
      </c>
      <c r="B2038" s="110" t="s">
        <v>2209</v>
      </c>
      <c r="C2038" s="110" t="s">
        <v>2235</v>
      </c>
      <c r="D2038" s="110" t="s">
        <v>2238</v>
      </c>
      <c r="E2038" s="110" t="s">
        <v>313</v>
      </c>
      <c r="F2038" s="110" t="s">
        <v>113</v>
      </c>
      <c r="G2038" s="110" t="s">
        <v>114</v>
      </c>
      <c r="H2038" s="111">
        <v>58</v>
      </c>
      <c r="I2038" s="111">
        <v>55</v>
      </c>
      <c r="J2038" s="111">
        <v>46</v>
      </c>
      <c r="K2038" s="111">
        <f t="shared" si="282"/>
        <v>53</v>
      </c>
      <c r="L2038" s="111">
        <v>150000</v>
      </c>
      <c r="M2038" s="111">
        <f t="shared" si="283"/>
        <v>67500</v>
      </c>
      <c r="N2038" s="111">
        <f t="shared" si="284"/>
        <v>67500</v>
      </c>
      <c r="O2038" s="111">
        <f t="shared" si="285"/>
        <v>13500</v>
      </c>
      <c r="P2038" s="111">
        <f t="shared" si="286"/>
        <v>15000</v>
      </c>
      <c r="Q2038" s="111">
        <v>30000</v>
      </c>
      <c r="R2038" s="111">
        <v>3</v>
      </c>
      <c r="S2038" s="111">
        <f t="shared" si="287"/>
        <v>3000</v>
      </c>
      <c r="T2038" s="111">
        <f t="shared" si="288"/>
        <v>180000</v>
      </c>
      <c r="U2038" s="111">
        <f t="shared" si="289"/>
        <v>1800</v>
      </c>
      <c r="V2038" s="111">
        <f t="shared" si="290"/>
        <v>181800</v>
      </c>
      <c r="W2038" t="s">
        <v>4499</v>
      </c>
    </row>
    <row r="2039" spans="1:23" x14ac:dyDescent="0.3">
      <c r="A2039" s="110">
        <v>2520102</v>
      </c>
      <c r="B2039" s="110" t="s">
        <v>2209</v>
      </c>
      <c r="C2039" s="110" t="s">
        <v>2235</v>
      </c>
      <c r="D2039" s="110" t="s">
        <v>2239</v>
      </c>
      <c r="E2039" s="110" t="s">
        <v>406</v>
      </c>
      <c r="F2039" s="110" t="s">
        <v>113</v>
      </c>
      <c r="G2039" s="110" t="s">
        <v>114</v>
      </c>
      <c r="H2039" s="111">
        <v>98</v>
      </c>
      <c r="I2039" s="111">
        <v>94</v>
      </c>
      <c r="J2039" s="111">
        <v>95</v>
      </c>
      <c r="K2039" s="111">
        <f t="shared" si="282"/>
        <v>95.666666666666671</v>
      </c>
      <c r="L2039" s="111">
        <v>150000</v>
      </c>
      <c r="M2039" s="111">
        <f t="shared" si="283"/>
        <v>67500</v>
      </c>
      <c r="N2039" s="111">
        <f t="shared" si="284"/>
        <v>67500</v>
      </c>
      <c r="O2039" s="111">
        <f t="shared" si="285"/>
        <v>13500</v>
      </c>
      <c r="P2039" s="111">
        <f t="shared" si="286"/>
        <v>15000</v>
      </c>
      <c r="Q2039" s="111">
        <v>30000</v>
      </c>
      <c r="R2039" s="111">
        <v>3</v>
      </c>
      <c r="S2039" s="111">
        <f t="shared" si="287"/>
        <v>3000</v>
      </c>
      <c r="T2039" s="111">
        <f t="shared" si="288"/>
        <v>180000</v>
      </c>
      <c r="U2039" s="111">
        <f t="shared" si="289"/>
        <v>1800</v>
      </c>
      <c r="V2039" s="111">
        <f t="shared" si="290"/>
        <v>181800</v>
      </c>
      <c r="W2039" t="s">
        <v>4500</v>
      </c>
    </row>
    <row r="2040" spans="1:23" x14ac:dyDescent="0.3">
      <c r="A2040" s="110">
        <v>2520104</v>
      </c>
      <c r="B2040" s="110" t="s">
        <v>2209</v>
      </c>
      <c r="C2040" s="110" t="s">
        <v>2235</v>
      </c>
      <c r="D2040" s="110" t="s">
        <v>2240</v>
      </c>
      <c r="E2040" s="110" t="s">
        <v>184</v>
      </c>
      <c r="F2040" s="110" t="s">
        <v>113</v>
      </c>
      <c r="G2040" s="110" t="s">
        <v>114</v>
      </c>
      <c r="H2040" s="111">
        <v>93</v>
      </c>
      <c r="I2040" s="111">
        <v>72</v>
      </c>
      <c r="J2040" s="111">
        <v>64</v>
      </c>
      <c r="K2040" s="111">
        <f t="shared" si="282"/>
        <v>76.333333333333329</v>
      </c>
      <c r="L2040" s="111">
        <f>150000*0.7</f>
        <v>105000</v>
      </c>
      <c r="M2040" s="111">
        <f t="shared" si="283"/>
        <v>47250</v>
      </c>
      <c r="N2040" s="111">
        <f t="shared" si="284"/>
        <v>47250</v>
      </c>
      <c r="O2040" s="111">
        <f t="shared" si="285"/>
        <v>9450</v>
      </c>
      <c r="P2040" s="111">
        <f t="shared" si="286"/>
        <v>10500</v>
      </c>
      <c r="Q2040" s="111">
        <v>30000</v>
      </c>
      <c r="R2040" s="111">
        <v>3</v>
      </c>
      <c r="S2040" s="111">
        <f t="shared" si="287"/>
        <v>3000</v>
      </c>
      <c r="T2040" s="111">
        <f t="shared" si="288"/>
        <v>135000</v>
      </c>
      <c r="U2040" s="111">
        <f t="shared" si="289"/>
        <v>1350</v>
      </c>
      <c r="V2040" s="111">
        <f t="shared" si="290"/>
        <v>136350</v>
      </c>
      <c r="W2040" t="s">
        <v>4501</v>
      </c>
    </row>
    <row r="2041" spans="1:23" x14ac:dyDescent="0.3">
      <c r="A2041" s="110">
        <v>2520105</v>
      </c>
      <c r="B2041" s="110" t="s">
        <v>2209</v>
      </c>
      <c r="C2041" s="110" t="s">
        <v>2235</v>
      </c>
      <c r="D2041" s="110" t="s">
        <v>2241</v>
      </c>
      <c r="E2041" s="110" t="s">
        <v>184</v>
      </c>
      <c r="F2041" s="110" t="s">
        <v>113</v>
      </c>
      <c r="G2041" s="110" t="s">
        <v>114</v>
      </c>
      <c r="H2041" s="111">
        <v>148</v>
      </c>
      <c r="I2041" s="111">
        <v>138</v>
      </c>
      <c r="J2041" s="111">
        <v>123</v>
      </c>
      <c r="K2041" s="111">
        <f t="shared" si="282"/>
        <v>136.33333333333334</v>
      </c>
      <c r="L2041" s="111">
        <v>150000</v>
      </c>
      <c r="M2041" s="111">
        <f t="shared" si="283"/>
        <v>67500</v>
      </c>
      <c r="N2041" s="111">
        <f t="shared" si="284"/>
        <v>67500</v>
      </c>
      <c r="O2041" s="111">
        <f t="shared" si="285"/>
        <v>13500</v>
      </c>
      <c r="P2041" s="111">
        <f t="shared" si="286"/>
        <v>15000</v>
      </c>
      <c r="Q2041" s="111">
        <v>30000</v>
      </c>
      <c r="R2041" s="111">
        <v>3</v>
      </c>
      <c r="S2041" s="111">
        <f t="shared" si="287"/>
        <v>3000</v>
      </c>
      <c r="T2041" s="111">
        <f t="shared" si="288"/>
        <v>180000</v>
      </c>
      <c r="U2041" s="111">
        <f t="shared" si="289"/>
        <v>1800</v>
      </c>
      <c r="V2041" s="111">
        <f t="shared" si="290"/>
        <v>181800</v>
      </c>
      <c r="W2041" t="s">
        <v>4502</v>
      </c>
    </row>
    <row r="2042" spans="1:23" x14ac:dyDescent="0.3">
      <c r="A2042" s="110">
        <v>2520107</v>
      </c>
      <c r="B2042" s="110" t="s">
        <v>2209</v>
      </c>
      <c r="C2042" s="110" t="s">
        <v>2235</v>
      </c>
      <c r="D2042" s="110" t="s">
        <v>2242</v>
      </c>
      <c r="E2042" s="110" t="s">
        <v>399</v>
      </c>
      <c r="F2042" s="110" t="s">
        <v>113</v>
      </c>
      <c r="G2042" s="110" t="s">
        <v>114</v>
      </c>
      <c r="H2042" s="111">
        <v>130</v>
      </c>
      <c r="I2042" s="111">
        <v>117</v>
      </c>
      <c r="J2042" s="111">
        <v>103</v>
      </c>
      <c r="K2042" s="111">
        <f t="shared" si="282"/>
        <v>116.66666666666667</v>
      </c>
      <c r="L2042" s="111">
        <v>150000</v>
      </c>
      <c r="M2042" s="111">
        <f t="shared" si="283"/>
        <v>67500</v>
      </c>
      <c r="N2042" s="111">
        <f t="shared" si="284"/>
        <v>67500</v>
      </c>
      <c r="O2042" s="111">
        <f t="shared" si="285"/>
        <v>13500</v>
      </c>
      <c r="P2042" s="111">
        <f t="shared" si="286"/>
        <v>15000</v>
      </c>
      <c r="Q2042" s="111">
        <v>30000</v>
      </c>
      <c r="R2042" s="111">
        <v>3</v>
      </c>
      <c r="S2042" s="111">
        <f t="shared" si="287"/>
        <v>3000</v>
      </c>
      <c r="T2042" s="111">
        <f t="shared" si="288"/>
        <v>180000</v>
      </c>
      <c r="U2042" s="111">
        <f t="shared" si="289"/>
        <v>1800</v>
      </c>
      <c r="V2042" s="111">
        <f t="shared" si="290"/>
        <v>181800</v>
      </c>
      <c r="W2042" t="s">
        <v>4503</v>
      </c>
    </row>
    <row r="2043" spans="1:23" x14ac:dyDescent="0.3">
      <c r="A2043" s="110">
        <v>2520401</v>
      </c>
      <c r="B2043" s="110" t="s">
        <v>2209</v>
      </c>
      <c r="C2043" s="110" t="s">
        <v>2235</v>
      </c>
      <c r="D2043" s="110" t="s">
        <v>2235</v>
      </c>
      <c r="E2043" s="110" t="s">
        <v>2243</v>
      </c>
      <c r="F2043" s="110" t="s">
        <v>122</v>
      </c>
      <c r="G2043" s="110" t="s">
        <v>114</v>
      </c>
      <c r="H2043" s="111">
        <v>293</v>
      </c>
      <c r="I2043" s="111">
        <v>315</v>
      </c>
      <c r="J2043" s="111">
        <v>312</v>
      </c>
      <c r="K2043" s="111">
        <f t="shared" si="282"/>
        <v>306.66666666666669</v>
      </c>
      <c r="L2043" s="111">
        <v>200000</v>
      </c>
      <c r="M2043" s="111">
        <f t="shared" si="283"/>
        <v>90000</v>
      </c>
      <c r="N2043" s="111">
        <f t="shared" si="284"/>
        <v>90000</v>
      </c>
      <c r="O2043" s="111">
        <f t="shared" si="285"/>
        <v>18000</v>
      </c>
      <c r="P2043" s="111">
        <f t="shared" si="286"/>
        <v>20000</v>
      </c>
      <c r="Q2043" s="111">
        <v>50000</v>
      </c>
      <c r="R2043" s="111">
        <v>5</v>
      </c>
      <c r="S2043" s="111">
        <f t="shared" si="287"/>
        <v>5000</v>
      </c>
      <c r="T2043" s="111">
        <f t="shared" si="288"/>
        <v>250000</v>
      </c>
      <c r="U2043" s="111">
        <f t="shared" si="289"/>
        <v>2500</v>
      </c>
      <c r="V2043" s="111">
        <f t="shared" si="290"/>
        <v>252500</v>
      </c>
      <c r="W2043" t="s">
        <v>4504</v>
      </c>
    </row>
    <row r="2044" spans="1:23" x14ac:dyDescent="0.3">
      <c r="A2044" s="110">
        <v>2520501</v>
      </c>
      <c r="B2044" s="110" t="s">
        <v>2209</v>
      </c>
      <c r="C2044" s="110" t="s">
        <v>2235</v>
      </c>
      <c r="D2044" s="110" t="s">
        <v>2235</v>
      </c>
      <c r="E2044" s="110" t="s">
        <v>2244</v>
      </c>
      <c r="F2044" s="110" t="s">
        <v>113</v>
      </c>
      <c r="G2044" s="110" t="s">
        <v>114</v>
      </c>
      <c r="H2044" s="111">
        <v>233</v>
      </c>
      <c r="I2044" s="111">
        <v>213</v>
      </c>
      <c r="J2044" s="111">
        <v>195</v>
      </c>
      <c r="K2044" s="111">
        <f t="shared" si="282"/>
        <v>213.66666666666666</v>
      </c>
      <c r="L2044" s="111">
        <v>200000</v>
      </c>
      <c r="M2044" s="111">
        <f t="shared" si="283"/>
        <v>90000</v>
      </c>
      <c r="N2044" s="111">
        <f t="shared" si="284"/>
        <v>90000</v>
      </c>
      <c r="O2044" s="111">
        <f t="shared" si="285"/>
        <v>18000</v>
      </c>
      <c r="P2044" s="111">
        <f t="shared" si="286"/>
        <v>20000</v>
      </c>
      <c r="Q2044" s="111">
        <v>50000</v>
      </c>
      <c r="R2044" s="111">
        <v>5</v>
      </c>
      <c r="S2044" s="111">
        <f t="shared" si="287"/>
        <v>5000</v>
      </c>
      <c r="T2044" s="111">
        <f t="shared" si="288"/>
        <v>250000</v>
      </c>
      <c r="U2044" s="111">
        <f t="shared" si="289"/>
        <v>2500</v>
      </c>
      <c r="V2044" s="111">
        <f t="shared" si="290"/>
        <v>252500</v>
      </c>
      <c r="W2044" t="s">
        <v>4505</v>
      </c>
    </row>
    <row r="2045" spans="1:23" x14ac:dyDescent="0.3">
      <c r="A2045" s="110">
        <v>2520601</v>
      </c>
      <c r="B2045" s="110" t="s">
        <v>2209</v>
      </c>
      <c r="C2045" s="110" t="s">
        <v>2235</v>
      </c>
      <c r="D2045" s="110" t="s">
        <v>2235</v>
      </c>
      <c r="E2045" s="110" t="s">
        <v>2245</v>
      </c>
      <c r="F2045" s="110" t="s">
        <v>117</v>
      </c>
      <c r="G2045" s="110" t="s">
        <v>125</v>
      </c>
      <c r="H2045" s="111">
        <v>326</v>
      </c>
      <c r="I2045" s="111">
        <v>309</v>
      </c>
      <c r="J2045" s="111">
        <v>272</v>
      </c>
      <c r="K2045" s="111">
        <f t="shared" si="282"/>
        <v>302.33333333333331</v>
      </c>
      <c r="L2045" s="111">
        <v>200000</v>
      </c>
      <c r="M2045" s="111">
        <f t="shared" si="283"/>
        <v>90000</v>
      </c>
      <c r="N2045" s="111">
        <f t="shared" si="284"/>
        <v>90000</v>
      </c>
      <c r="O2045" s="111">
        <f t="shared" si="285"/>
        <v>18000</v>
      </c>
      <c r="P2045" s="111">
        <f t="shared" si="286"/>
        <v>20000</v>
      </c>
      <c r="Q2045" s="111">
        <v>50000</v>
      </c>
      <c r="R2045" s="111">
        <v>5</v>
      </c>
      <c r="S2045" s="111">
        <f t="shared" si="287"/>
        <v>5000</v>
      </c>
      <c r="T2045" s="111">
        <f t="shared" si="288"/>
        <v>250000</v>
      </c>
      <c r="U2045" s="111">
        <f t="shared" si="289"/>
        <v>2500</v>
      </c>
      <c r="V2045" s="111">
        <f t="shared" si="290"/>
        <v>252500</v>
      </c>
      <c r="W2045" t="s">
        <v>4506</v>
      </c>
    </row>
    <row r="2046" spans="1:23" x14ac:dyDescent="0.3">
      <c r="A2046" s="110">
        <v>2530102</v>
      </c>
      <c r="B2046" s="110" t="s">
        <v>2209</v>
      </c>
      <c r="C2046" s="110" t="s">
        <v>2246</v>
      </c>
      <c r="D2046" s="110" t="s">
        <v>2247</v>
      </c>
      <c r="E2046" s="110" t="s">
        <v>1274</v>
      </c>
      <c r="F2046" s="110" t="s">
        <v>113</v>
      </c>
      <c r="G2046" s="110" t="s">
        <v>114</v>
      </c>
      <c r="H2046" s="111">
        <v>19</v>
      </c>
      <c r="I2046" s="111">
        <v>20</v>
      </c>
      <c r="J2046" s="111">
        <v>20</v>
      </c>
      <c r="K2046" s="111">
        <f t="shared" si="282"/>
        <v>19.666666666666668</v>
      </c>
      <c r="L2046" s="111">
        <v>50000</v>
      </c>
      <c r="M2046" s="111">
        <f t="shared" si="283"/>
        <v>22500</v>
      </c>
      <c r="N2046" s="111">
        <f t="shared" si="284"/>
        <v>22500</v>
      </c>
      <c r="O2046" s="111">
        <f t="shared" si="285"/>
        <v>4500</v>
      </c>
      <c r="P2046" s="111">
        <f t="shared" si="286"/>
        <v>5000</v>
      </c>
      <c r="Q2046" s="111">
        <v>10000</v>
      </c>
      <c r="R2046" s="111">
        <v>1</v>
      </c>
      <c r="S2046" s="111">
        <f t="shared" si="287"/>
        <v>1000</v>
      </c>
      <c r="T2046" s="111">
        <f t="shared" si="288"/>
        <v>60000</v>
      </c>
      <c r="U2046" s="111">
        <f t="shared" si="289"/>
        <v>600</v>
      </c>
      <c r="V2046" s="111">
        <f t="shared" si="290"/>
        <v>60600</v>
      </c>
      <c r="W2046" t="s">
        <v>4507</v>
      </c>
    </row>
    <row r="2047" spans="1:23" x14ac:dyDescent="0.3">
      <c r="A2047" s="110">
        <v>2530104</v>
      </c>
      <c r="B2047" s="110" t="s">
        <v>2209</v>
      </c>
      <c r="C2047" s="110" t="s">
        <v>2246</v>
      </c>
      <c r="D2047" s="110" t="s">
        <v>2248</v>
      </c>
      <c r="E2047" s="110" t="s">
        <v>319</v>
      </c>
      <c r="F2047" s="110" t="s">
        <v>113</v>
      </c>
      <c r="G2047" s="110" t="s">
        <v>114</v>
      </c>
      <c r="H2047" s="111">
        <v>101</v>
      </c>
      <c r="I2047" s="111">
        <v>95</v>
      </c>
      <c r="J2047" s="111">
        <v>92</v>
      </c>
      <c r="K2047" s="111">
        <f t="shared" si="282"/>
        <v>96</v>
      </c>
      <c r="L2047" s="111">
        <v>150000</v>
      </c>
      <c r="M2047" s="111">
        <f t="shared" si="283"/>
        <v>67500</v>
      </c>
      <c r="N2047" s="111">
        <f t="shared" si="284"/>
        <v>67500</v>
      </c>
      <c r="O2047" s="111">
        <f t="shared" si="285"/>
        <v>13500</v>
      </c>
      <c r="P2047" s="111">
        <f t="shared" si="286"/>
        <v>15000</v>
      </c>
      <c r="Q2047" s="111">
        <v>30000</v>
      </c>
      <c r="R2047" s="111">
        <v>3</v>
      </c>
      <c r="S2047" s="111">
        <f t="shared" si="287"/>
        <v>3000</v>
      </c>
      <c r="T2047" s="111">
        <f t="shared" si="288"/>
        <v>180000</v>
      </c>
      <c r="U2047" s="111">
        <f t="shared" si="289"/>
        <v>1800</v>
      </c>
      <c r="V2047" s="111">
        <f t="shared" si="290"/>
        <v>181800</v>
      </c>
      <c r="W2047" t="s">
        <v>4508</v>
      </c>
    </row>
    <row r="2048" spans="1:23" x14ac:dyDescent="0.3">
      <c r="A2048" s="110">
        <v>2530201</v>
      </c>
      <c r="B2048" s="110" t="s">
        <v>2209</v>
      </c>
      <c r="C2048" s="110" t="s">
        <v>2246</v>
      </c>
      <c r="D2048" s="110" t="s">
        <v>2246</v>
      </c>
      <c r="E2048" s="110" t="s">
        <v>214</v>
      </c>
      <c r="F2048" s="110" t="s">
        <v>119</v>
      </c>
      <c r="G2048" s="110" t="s">
        <v>114</v>
      </c>
      <c r="H2048" s="111">
        <v>223</v>
      </c>
      <c r="I2048" s="111">
        <v>197</v>
      </c>
      <c r="J2048" s="111">
        <v>182</v>
      </c>
      <c r="K2048" s="111">
        <f t="shared" si="282"/>
        <v>200.66666666666666</v>
      </c>
      <c r="L2048" s="111">
        <v>200000</v>
      </c>
      <c r="M2048" s="111">
        <f t="shared" si="283"/>
        <v>90000</v>
      </c>
      <c r="N2048" s="111">
        <f t="shared" si="284"/>
        <v>90000</v>
      </c>
      <c r="O2048" s="111">
        <f t="shared" si="285"/>
        <v>18000</v>
      </c>
      <c r="P2048" s="111">
        <f t="shared" si="286"/>
        <v>20000</v>
      </c>
      <c r="Q2048" s="111">
        <v>50000</v>
      </c>
      <c r="R2048" s="111">
        <v>5</v>
      </c>
      <c r="S2048" s="111">
        <f t="shared" si="287"/>
        <v>5000</v>
      </c>
      <c r="T2048" s="111">
        <f t="shared" si="288"/>
        <v>250000</v>
      </c>
      <c r="U2048" s="111">
        <f t="shared" si="289"/>
        <v>2500</v>
      </c>
      <c r="V2048" s="111">
        <f t="shared" si="290"/>
        <v>252500</v>
      </c>
      <c r="W2048" t="s">
        <v>4509</v>
      </c>
    </row>
    <row r="2049" spans="1:23" x14ac:dyDescent="0.3">
      <c r="A2049" s="110">
        <v>2540101</v>
      </c>
      <c r="B2049" s="110" t="s">
        <v>2209</v>
      </c>
      <c r="C2049" s="110" t="s">
        <v>2249</v>
      </c>
      <c r="D2049" s="110" t="s">
        <v>2249</v>
      </c>
      <c r="E2049" s="110" t="s">
        <v>406</v>
      </c>
      <c r="F2049" s="110" t="s">
        <v>113</v>
      </c>
      <c r="G2049" s="110" t="s">
        <v>114</v>
      </c>
      <c r="H2049" s="111">
        <v>290</v>
      </c>
      <c r="I2049" s="111">
        <v>275</v>
      </c>
      <c r="J2049" s="111">
        <v>261</v>
      </c>
      <c r="K2049" s="111">
        <f t="shared" si="282"/>
        <v>275.33333333333331</v>
      </c>
      <c r="L2049" s="111">
        <v>200000</v>
      </c>
      <c r="M2049" s="111">
        <f t="shared" si="283"/>
        <v>90000</v>
      </c>
      <c r="N2049" s="111">
        <f t="shared" si="284"/>
        <v>90000</v>
      </c>
      <c r="O2049" s="111">
        <f t="shared" si="285"/>
        <v>18000</v>
      </c>
      <c r="P2049" s="111">
        <f t="shared" si="286"/>
        <v>20000</v>
      </c>
      <c r="Q2049" s="111">
        <v>50000</v>
      </c>
      <c r="R2049" s="111">
        <v>5</v>
      </c>
      <c r="S2049" s="111">
        <f t="shared" si="287"/>
        <v>5000</v>
      </c>
      <c r="T2049" s="111">
        <f t="shared" si="288"/>
        <v>250000</v>
      </c>
      <c r="U2049" s="111">
        <f t="shared" si="289"/>
        <v>2500</v>
      </c>
      <c r="V2049" s="111">
        <f t="shared" si="290"/>
        <v>252500</v>
      </c>
      <c r="W2049" t="s">
        <v>4510</v>
      </c>
    </row>
    <row r="2050" spans="1:23" x14ac:dyDescent="0.3">
      <c r="A2050" s="110">
        <v>2540102</v>
      </c>
      <c r="B2050" s="110" t="s">
        <v>2209</v>
      </c>
      <c r="C2050" s="110" t="s">
        <v>2249</v>
      </c>
      <c r="D2050" s="110" t="s">
        <v>2249</v>
      </c>
      <c r="E2050" s="110" t="s">
        <v>247</v>
      </c>
      <c r="F2050" s="110" t="s">
        <v>113</v>
      </c>
      <c r="G2050" s="110" t="s">
        <v>114</v>
      </c>
      <c r="H2050" s="111">
        <v>305</v>
      </c>
      <c r="I2050" s="111">
        <v>332</v>
      </c>
      <c r="J2050" s="111">
        <v>338</v>
      </c>
      <c r="K2050" s="111">
        <f t="shared" ref="K2050:K2113" si="291">+(H2050+I2050+J2050)/3</f>
        <v>325</v>
      </c>
      <c r="L2050" s="111">
        <v>200000</v>
      </c>
      <c r="M2050" s="111">
        <f t="shared" ref="M2050:M2113" si="292">+L2050*0.45</f>
        <v>90000</v>
      </c>
      <c r="N2050" s="111">
        <f t="shared" ref="N2050:N2113" si="293">+L2050*0.45</f>
        <v>90000</v>
      </c>
      <c r="O2050" s="111">
        <f t="shared" ref="O2050:O2113" si="294">+N2050*0.2</f>
        <v>18000</v>
      </c>
      <c r="P2050" s="111">
        <f t="shared" ref="P2050:P2113" si="295">++L2050*0.1</f>
        <v>20000</v>
      </c>
      <c r="Q2050" s="111">
        <v>50000</v>
      </c>
      <c r="R2050" s="111">
        <v>5</v>
      </c>
      <c r="S2050" s="111">
        <f t="shared" ref="S2050:S2113" si="296">+Q2050*0.1</f>
        <v>5000</v>
      </c>
      <c r="T2050" s="111">
        <f t="shared" ref="T2050:T2113" si="297">+L2050+Q2050</f>
        <v>250000</v>
      </c>
      <c r="U2050" s="111">
        <f t="shared" ref="U2050:U2113" si="298">+T2050*0.01</f>
        <v>2500</v>
      </c>
      <c r="V2050" s="111">
        <f t="shared" ref="V2050:V2113" si="299">+T2050+U2050</f>
        <v>252500</v>
      </c>
      <c r="W2050" t="s">
        <v>4511</v>
      </c>
    </row>
    <row r="2051" spans="1:23" x14ac:dyDescent="0.3">
      <c r="A2051" s="110">
        <v>2540103</v>
      </c>
      <c r="B2051" s="110" t="s">
        <v>2209</v>
      </c>
      <c r="C2051" s="110" t="s">
        <v>2249</v>
      </c>
      <c r="D2051" s="110" t="s">
        <v>2249</v>
      </c>
      <c r="E2051" s="110" t="s">
        <v>310</v>
      </c>
      <c r="F2051" s="110" t="s">
        <v>113</v>
      </c>
      <c r="G2051" s="110" t="s">
        <v>114</v>
      </c>
      <c r="H2051" s="111">
        <v>378</v>
      </c>
      <c r="I2051" s="111">
        <v>388</v>
      </c>
      <c r="J2051" s="111">
        <v>380</v>
      </c>
      <c r="K2051" s="111">
        <f t="shared" si="291"/>
        <v>382</v>
      </c>
      <c r="L2051" s="111">
        <v>200000</v>
      </c>
      <c r="M2051" s="111">
        <f t="shared" si="292"/>
        <v>90000</v>
      </c>
      <c r="N2051" s="111">
        <f t="shared" si="293"/>
        <v>90000</v>
      </c>
      <c r="O2051" s="111">
        <f t="shared" si="294"/>
        <v>18000</v>
      </c>
      <c r="P2051" s="111">
        <f t="shared" si="295"/>
        <v>20000</v>
      </c>
      <c r="Q2051" s="111">
        <v>50000</v>
      </c>
      <c r="R2051" s="111">
        <v>5</v>
      </c>
      <c r="S2051" s="111">
        <f t="shared" si="296"/>
        <v>5000</v>
      </c>
      <c r="T2051" s="111">
        <f t="shared" si="297"/>
        <v>250000</v>
      </c>
      <c r="U2051" s="111">
        <f t="shared" si="298"/>
        <v>2500</v>
      </c>
      <c r="V2051" s="111">
        <f t="shared" si="299"/>
        <v>252500</v>
      </c>
      <c r="W2051" t="s">
        <v>4512</v>
      </c>
    </row>
    <row r="2052" spans="1:23" x14ac:dyDescent="0.3">
      <c r="A2052" s="110">
        <v>2540105</v>
      </c>
      <c r="B2052" s="110" t="s">
        <v>2209</v>
      </c>
      <c r="C2052" s="110" t="s">
        <v>2249</v>
      </c>
      <c r="D2052" s="110" t="s">
        <v>2250</v>
      </c>
      <c r="E2052" s="110" t="s">
        <v>390</v>
      </c>
      <c r="F2052" s="110" t="s">
        <v>113</v>
      </c>
      <c r="G2052" s="110" t="s">
        <v>114</v>
      </c>
      <c r="H2052" s="111">
        <v>54</v>
      </c>
      <c r="I2052" s="111">
        <v>49</v>
      </c>
      <c r="J2052" s="111">
        <v>48</v>
      </c>
      <c r="K2052" s="111">
        <f t="shared" si="291"/>
        <v>50.333333333333336</v>
      </c>
      <c r="L2052" s="111">
        <v>50000</v>
      </c>
      <c r="M2052" s="111">
        <f t="shared" si="292"/>
        <v>22500</v>
      </c>
      <c r="N2052" s="111">
        <f t="shared" si="293"/>
        <v>22500</v>
      </c>
      <c r="O2052" s="111">
        <f t="shared" si="294"/>
        <v>4500</v>
      </c>
      <c r="P2052" s="111">
        <f t="shared" si="295"/>
        <v>5000</v>
      </c>
      <c r="Q2052" s="111">
        <v>10000</v>
      </c>
      <c r="R2052" s="111">
        <v>1</v>
      </c>
      <c r="S2052" s="111">
        <f t="shared" si="296"/>
        <v>1000</v>
      </c>
      <c r="T2052" s="111">
        <f t="shared" si="297"/>
        <v>60000</v>
      </c>
      <c r="U2052" s="111">
        <f t="shared" si="298"/>
        <v>600</v>
      </c>
      <c r="V2052" s="111">
        <f t="shared" si="299"/>
        <v>60600</v>
      </c>
      <c r="W2052" t="s">
        <v>4513</v>
      </c>
    </row>
    <row r="2053" spans="1:23" x14ac:dyDescent="0.3">
      <c r="A2053" s="110">
        <v>2540107</v>
      </c>
      <c r="B2053" s="110" t="s">
        <v>2209</v>
      </c>
      <c r="C2053" s="110" t="s">
        <v>2249</v>
      </c>
      <c r="D2053" s="110" t="s">
        <v>2251</v>
      </c>
      <c r="E2053" s="110" t="s">
        <v>588</v>
      </c>
      <c r="F2053" s="110" t="s">
        <v>113</v>
      </c>
      <c r="G2053" s="110" t="s">
        <v>114</v>
      </c>
      <c r="H2053" s="111">
        <v>82</v>
      </c>
      <c r="I2053" s="111">
        <v>78</v>
      </c>
      <c r="J2053" s="111">
        <v>72</v>
      </c>
      <c r="K2053" s="111">
        <f t="shared" si="291"/>
        <v>77.333333333333329</v>
      </c>
      <c r="L2053" s="111">
        <v>150000</v>
      </c>
      <c r="M2053" s="111">
        <f t="shared" si="292"/>
        <v>67500</v>
      </c>
      <c r="N2053" s="111">
        <f t="shared" si="293"/>
        <v>67500</v>
      </c>
      <c r="O2053" s="111">
        <f t="shared" si="294"/>
        <v>13500</v>
      </c>
      <c r="P2053" s="111">
        <f t="shared" si="295"/>
        <v>15000</v>
      </c>
      <c r="Q2053" s="111">
        <v>30000</v>
      </c>
      <c r="R2053" s="111">
        <v>3</v>
      </c>
      <c r="S2053" s="111">
        <f t="shared" si="296"/>
        <v>3000</v>
      </c>
      <c r="T2053" s="111">
        <f t="shared" si="297"/>
        <v>180000</v>
      </c>
      <c r="U2053" s="111">
        <f t="shared" si="298"/>
        <v>1800</v>
      </c>
      <c r="V2053" s="111">
        <f t="shared" si="299"/>
        <v>181800</v>
      </c>
      <c r="W2053" t="s">
        <v>4514</v>
      </c>
    </row>
    <row r="2054" spans="1:23" x14ac:dyDescent="0.3">
      <c r="A2054" s="110">
        <v>2540109</v>
      </c>
      <c r="B2054" s="110" t="s">
        <v>2209</v>
      </c>
      <c r="C2054" s="110" t="s">
        <v>2249</v>
      </c>
      <c r="D2054" s="110" t="s">
        <v>2252</v>
      </c>
      <c r="E2054" s="110" t="s">
        <v>317</v>
      </c>
      <c r="F2054" s="110" t="s">
        <v>113</v>
      </c>
      <c r="G2054" s="110" t="s">
        <v>114</v>
      </c>
      <c r="H2054" s="111">
        <v>67</v>
      </c>
      <c r="I2054" s="111">
        <v>61</v>
      </c>
      <c r="J2054" s="111">
        <v>46</v>
      </c>
      <c r="K2054" s="111">
        <f t="shared" si="291"/>
        <v>58</v>
      </c>
      <c r="L2054" s="111">
        <v>150000</v>
      </c>
      <c r="M2054" s="111">
        <f t="shared" si="292"/>
        <v>67500</v>
      </c>
      <c r="N2054" s="111">
        <f t="shared" si="293"/>
        <v>67500</v>
      </c>
      <c r="O2054" s="111">
        <f t="shared" si="294"/>
        <v>13500</v>
      </c>
      <c r="P2054" s="111">
        <f t="shared" si="295"/>
        <v>15000</v>
      </c>
      <c r="Q2054" s="111">
        <v>30000</v>
      </c>
      <c r="R2054" s="111">
        <v>3</v>
      </c>
      <c r="S2054" s="111">
        <f t="shared" si="296"/>
        <v>3000</v>
      </c>
      <c r="T2054" s="111">
        <f t="shared" si="297"/>
        <v>180000</v>
      </c>
      <c r="U2054" s="111">
        <f t="shared" si="298"/>
        <v>1800</v>
      </c>
      <c r="V2054" s="111">
        <f t="shared" si="299"/>
        <v>181800</v>
      </c>
      <c r="W2054" t="s">
        <v>4515</v>
      </c>
    </row>
    <row r="2055" spans="1:23" x14ac:dyDescent="0.3">
      <c r="A2055" s="110">
        <v>2540110</v>
      </c>
      <c r="B2055" s="110" t="s">
        <v>2209</v>
      </c>
      <c r="C2055" s="110" t="s">
        <v>2249</v>
      </c>
      <c r="D2055" s="110" t="s">
        <v>2253</v>
      </c>
      <c r="E2055" s="110" t="s">
        <v>184</v>
      </c>
      <c r="F2055" s="110" t="s">
        <v>113</v>
      </c>
      <c r="G2055" s="110" t="s">
        <v>114</v>
      </c>
      <c r="H2055" s="111">
        <v>23</v>
      </c>
      <c r="I2055" s="111">
        <v>21</v>
      </c>
      <c r="J2055" s="111">
        <v>16</v>
      </c>
      <c r="K2055" s="111">
        <f t="shared" si="291"/>
        <v>20</v>
      </c>
      <c r="L2055" s="111">
        <v>50000</v>
      </c>
      <c r="M2055" s="111">
        <f t="shared" si="292"/>
        <v>22500</v>
      </c>
      <c r="N2055" s="111">
        <f t="shared" si="293"/>
        <v>22500</v>
      </c>
      <c r="O2055" s="111">
        <f t="shared" si="294"/>
        <v>4500</v>
      </c>
      <c r="P2055" s="111">
        <f t="shared" si="295"/>
        <v>5000</v>
      </c>
      <c r="Q2055" s="111">
        <v>10000</v>
      </c>
      <c r="R2055" s="111">
        <v>1</v>
      </c>
      <c r="S2055" s="111">
        <f t="shared" si="296"/>
        <v>1000</v>
      </c>
      <c r="T2055" s="111">
        <f t="shared" si="297"/>
        <v>60000</v>
      </c>
      <c r="U2055" s="111">
        <f t="shared" si="298"/>
        <v>600</v>
      </c>
      <c r="V2055" s="111">
        <f t="shared" si="299"/>
        <v>60600</v>
      </c>
      <c r="W2055" t="s">
        <v>4516</v>
      </c>
    </row>
    <row r="2056" spans="1:23" x14ac:dyDescent="0.3">
      <c r="A2056" s="110">
        <v>2540111</v>
      </c>
      <c r="B2056" s="110" t="s">
        <v>2209</v>
      </c>
      <c r="C2056" s="110" t="s">
        <v>2249</v>
      </c>
      <c r="D2056" s="110" t="s">
        <v>2254</v>
      </c>
      <c r="E2056" s="110" t="s">
        <v>312</v>
      </c>
      <c r="F2056" s="110" t="s">
        <v>113</v>
      </c>
      <c r="G2056" s="110" t="s">
        <v>114</v>
      </c>
      <c r="H2056" s="111">
        <v>92</v>
      </c>
      <c r="I2056" s="111">
        <v>97</v>
      </c>
      <c r="J2056" s="111">
        <v>90</v>
      </c>
      <c r="K2056" s="111">
        <f t="shared" si="291"/>
        <v>93</v>
      </c>
      <c r="L2056" s="111">
        <v>150000</v>
      </c>
      <c r="M2056" s="111">
        <f t="shared" si="292"/>
        <v>67500</v>
      </c>
      <c r="N2056" s="111">
        <f t="shared" si="293"/>
        <v>67500</v>
      </c>
      <c r="O2056" s="111">
        <f t="shared" si="294"/>
        <v>13500</v>
      </c>
      <c r="P2056" s="111">
        <f t="shared" si="295"/>
        <v>15000</v>
      </c>
      <c r="Q2056" s="111">
        <v>30000</v>
      </c>
      <c r="R2056" s="111">
        <v>3</v>
      </c>
      <c r="S2056" s="111">
        <f t="shared" si="296"/>
        <v>3000</v>
      </c>
      <c r="T2056" s="111">
        <f t="shared" si="297"/>
        <v>180000</v>
      </c>
      <c r="U2056" s="111">
        <f t="shared" si="298"/>
        <v>1800</v>
      </c>
      <c r="V2056" s="111">
        <f t="shared" si="299"/>
        <v>181800</v>
      </c>
      <c r="W2056" t="s">
        <v>4517</v>
      </c>
    </row>
    <row r="2057" spans="1:23" x14ac:dyDescent="0.3">
      <c r="A2057" s="110">
        <v>2540112</v>
      </c>
      <c r="B2057" s="110" t="s">
        <v>2209</v>
      </c>
      <c r="C2057" s="110" t="s">
        <v>2249</v>
      </c>
      <c r="D2057" s="110" t="s">
        <v>1238</v>
      </c>
      <c r="E2057" s="110" t="s">
        <v>319</v>
      </c>
      <c r="F2057" s="110" t="s">
        <v>113</v>
      </c>
      <c r="G2057" s="110" t="s">
        <v>114</v>
      </c>
      <c r="H2057" s="111">
        <v>60</v>
      </c>
      <c r="I2057" s="111">
        <v>56</v>
      </c>
      <c r="J2057" s="111">
        <v>58</v>
      </c>
      <c r="K2057" s="111">
        <f t="shared" si="291"/>
        <v>58</v>
      </c>
      <c r="L2057" s="111">
        <v>150000</v>
      </c>
      <c r="M2057" s="111">
        <f t="shared" si="292"/>
        <v>67500</v>
      </c>
      <c r="N2057" s="111">
        <f t="shared" si="293"/>
        <v>67500</v>
      </c>
      <c r="O2057" s="111">
        <f t="shared" si="294"/>
        <v>13500</v>
      </c>
      <c r="P2057" s="111">
        <f t="shared" si="295"/>
        <v>15000</v>
      </c>
      <c r="Q2057" s="111">
        <v>30000</v>
      </c>
      <c r="R2057" s="111">
        <v>3</v>
      </c>
      <c r="S2057" s="111">
        <f t="shared" si="296"/>
        <v>3000</v>
      </c>
      <c r="T2057" s="111">
        <f t="shared" si="297"/>
        <v>180000</v>
      </c>
      <c r="U2057" s="111">
        <f t="shared" si="298"/>
        <v>1800</v>
      </c>
      <c r="V2057" s="111">
        <f t="shared" si="299"/>
        <v>181800</v>
      </c>
      <c r="W2057" t="s">
        <v>4518</v>
      </c>
    </row>
    <row r="2058" spans="1:23" x14ac:dyDescent="0.3">
      <c r="A2058" s="110">
        <v>2540401</v>
      </c>
      <c r="B2058" s="110" t="s">
        <v>2209</v>
      </c>
      <c r="C2058" s="110" t="s">
        <v>2249</v>
      </c>
      <c r="D2058" s="110" t="s">
        <v>2249</v>
      </c>
      <c r="E2058" s="110" t="s">
        <v>943</v>
      </c>
      <c r="F2058" s="110" t="s">
        <v>122</v>
      </c>
      <c r="G2058" s="110" t="s">
        <v>114</v>
      </c>
      <c r="H2058" s="111">
        <v>288</v>
      </c>
      <c r="I2058" s="111">
        <v>262</v>
      </c>
      <c r="J2058" s="111">
        <v>260</v>
      </c>
      <c r="K2058" s="111">
        <f t="shared" si="291"/>
        <v>270</v>
      </c>
      <c r="L2058" s="111">
        <f>200000*0.7</f>
        <v>140000</v>
      </c>
      <c r="M2058" s="111">
        <f t="shared" si="292"/>
        <v>63000</v>
      </c>
      <c r="N2058" s="111">
        <f t="shared" si="293"/>
        <v>63000</v>
      </c>
      <c r="O2058" s="111">
        <f t="shared" si="294"/>
        <v>12600</v>
      </c>
      <c r="P2058" s="111">
        <f t="shared" si="295"/>
        <v>14000</v>
      </c>
      <c r="Q2058" s="111">
        <v>50000</v>
      </c>
      <c r="R2058" s="111">
        <v>5</v>
      </c>
      <c r="S2058" s="111">
        <f t="shared" si="296"/>
        <v>5000</v>
      </c>
      <c r="T2058" s="111">
        <f t="shared" si="297"/>
        <v>190000</v>
      </c>
      <c r="U2058" s="111">
        <f t="shared" si="298"/>
        <v>1900</v>
      </c>
      <c r="V2058" s="111">
        <f t="shared" si="299"/>
        <v>191900</v>
      </c>
      <c r="W2058" t="s">
        <v>4519</v>
      </c>
    </row>
    <row r="2059" spans="1:23" x14ac:dyDescent="0.3">
      <c r="A2059" s="110">
        <v>2540601</v>
      </c>
      <c r="B2059" s="110" t="s">
        <v>2209</v>
      </c>
      <c r="C2059" s="110" t="s">
        <v>2249</v>
      </c>
      <c r="D2059" s="110" t="s">
        <v>2249</v>
      </c>
      <c r="E2059" s="110" t="s">
        <v>2255</v>
      </c>
      <c r="F2059" s="110" t="s">
        <v>117</v>
      </c>
      <c r="G2059" s="110" t="s">
        <v>125</v>
      </c>
      <c r="H2059" s="111">
        <v>301</v>
      </c>
      <c r="I2059" s="111">
        <v>305</v>
      </c>
      <c r="J2059" s="111">
        <v>304</v>
      </c>
      <c r="K2059" s="111">
        <f t="shared" si="291"/>
        <v>303.33333333333331</v>
      </c>
      <c r="L2059" s="111">
        <f>200000*0.7</f>
        <v>140000</v>
      </c>
      <c r="M2059" s="111">
        <f t="shared" si="292"/>
        <v>63000</v>
      </c>
      <c r="N2059" s="111">
        <f t="shared" si="293"/>
        <v>63000</v>
      </c>
      <c r="O2059" s="111">
        <f t="shared" si="294"/>
        <v>12600</v>
      </c>
      <c r="P2059" s="111">
        <f t="shared" si="295"/>
        <v>14000</v>
      </c>
      <c r="Q2059" s="111">
        <v>50000</v>
      </c>
      <c r="R2059" s="111">
        <v>5</v>
      </c>
      <c r="S2059" s="111">
        <f t="shared" si="296"/>
        <v>5000</v>
      </c>
      <c r="T2059" s="111">
        <f t="shared" si="297"/>
        <v>190000</v>
      </c>
      <c r="U2059" s="111">
        <f t="shared" si="298"/>
        <v>1900</v>
      </c>
      <c r="V2059" s="111">
        <f t="shared" si="299"/>
        <v>191900</v>
      </c>
      <c r="W2059" t="s">
        <v>4520</v>
      </c>
    </row>
    <row r="2060" spans="1:23" x14ac:dyDescent="0.3">
      <c r="A2060" s="110">
        <v>2540602</v>
      </c>
      <c r="B2060" s="110" t="s">
        <v>2209</v>
      </c>
      <c r="C2060" s="110" t="s">
        <v>2249</v>
      </c>
      <c r="D2060" s="110" t="s">
        <v>2249</v>
      </c>
      <c r="E2060" s="110" t="s">
        <v>2256</v>
      </c>
      <c r="F2060" s="110" t="s">
        <v>117</v>
      </c>
      <c r="G2060" s="110" t="s">
        <v>114</v>
      </c>
      <c r="H2060" s="111">
        <v>453</v>
      </c>
      <c r="I2060" s="111">
        <v>437</v>
      </c>
      <c r="J2060" s="111">
        <v>442</v>
      </c>
      <c r="K2060" s="111">
        <f t="shared" si="291"/>
        <v>444</v>
      </c>
      <c r="L2060" s="111">
        <f>300000</f>
        <v>300000</v>
      </c>
      <c r="M2060" s="111">
        <f t="shared" si="292"/>
        <v>135000</v>
      </c>
      <c r="N2060" s="111">
        <f t="shared" si="293"/>
        <v>135000</v>
      </c>
      <c r="O2060" s="111">
        <f t="shared" si="294"/>
        <v>27000</v>
      </c>
      <c r="P2060" s="111">
        <f t="shared" si="295"/>
        <v>30000</v>
      </c>
      <c r="Q2060" s="111">
        <v>60000</v>
      </c>
      <c r="R2060" s="111">
        <v>6</v>
      </c>
      <c r="S2060" s="111">
        <f t="shared" si="296"/>
        <v>6000</v>
      </c>
      <c r="T2060" s="111">
        <f t="shared" si="297"/>
        <v>360000</v>
      </c>
      <c r="U2060" s="111">
        <f t="shared" si="298"/>
        <v>3600</v>
      </c>
      <c r="V2060" s="111">
        <f t="shared" si="299"/>
        <v>363600</v>
      </c>
      <c r="W2060" t="s">
        <v>4521</v>
      </c>
    </row>
    <row r="2061" spans="1:23" x14ac:dyDescent="0.3">
      <c r="A2061" s="110">
        <v>2601001</v>
      </c>
      <c r="B2061" s="110" t="s">
        <v>2257</v>
      </c>
      <c r="C2061" s="110" t="s">
        <v>2257</v>
      </c>
      <c r="D2061" s="110" t="s">
        <v>2257</v>
      </c>
      <c r="E2061" s="110" t="s">
        <v>1093</v>
      </c>
      <c r="F2061" s="110" t="s">
        <v>209</v>
      </c>
      <c r="G2061" s="110" t="s">
        <v>114</v>
      </c>
      <c r="H2061" s="111">
        <v>221</v>
      </c>
      <c r="I2061" s="111">
        <v>229</v>
      </c>
      <c r="J2061" s="111">
        <v>190</v>
      </c>
      <c r="K2061" s="111">
        <f t="shared" si="291"/>
        <v>213.33333333333334</v>
      </c>
      <c r="L2061" s="111">
        <v>200000</v>
      </c>
      <c r="M2061" s="111">
        <f t="shared" si="292"/>
        <v>90000</v>
      </c>
      <c r="N2061" s="111">
        <f t="shared" si="293"/>
        <v>90000</v>
      </c>
      <c r="O2061" s="111">
        <f t="shared" si="294"/>
        <v>18000</v>
      </c>
      <c r="P2061" s="111">
        <f t="shared" si="295"/>
        <v>20000</v>
      </c>
      <c r="Q2061" s="111">
        <v>50000</v>
      </c>
      <c r="R2061" s="111">
        <v>5</v>
      </c>
      <c r="S2061" s="111">
        <f t="shared" si="296"/>
        <v>5000</v>
      </c>
      <c r="T2061" s="111">
        <f t="shared" si="297"/>
        <v>250000</v>
      </c>
      <c r="U2061" s="111">
        <f t="shared" si="298"/>
        <v>2500</v>
      </c>
      <c r="V2061" s="111">
        <f t="shared" si="299"/>
        <v>252500</v>
      </c>
      <c r="W2061" t="s">
        <v>4522</v>
      </c>
    </row>
    <row r="2062" spans="1:23" x14ac:dyDescent="0.3">
      <c r="A2062" s="110">
        <v>2601004</v>
      </c>
      <c r="B2062" s="110" t="s">
        <v>2257</v>
      </c>
      <c r="C2062" s="110" t="s">
        <v>2257</v>
      </c>
      <c r="D2062" s="110" t="s">
        <v>2257</v>
      </c>
      <c r="E2062" s="110" t="s">
        <v>310</v>
      </c>
      <c r="F2062" s="110" t="s">
        <v>113</v>
      </c>
      <c r="G2062" s="110" t="s">
        <v>114</v>
      </c>
      <c r="H2062" s="111">
        <v>325</v>
      </c>
      <c r="I2062" s="111">
        <v>345</v>
      </c>
      <c r="J2062" s="111">
        <v>375</v>
      </c>
      <c r="K2062" s="111">
        <f t="shared" si="291"/>
        <v>348.33333333333331</v>
      </c>
      <c r="L2062" s="111">
        <v>200000</v>
      </c>
      <c r="M2062" s="111">
        <f t="shared" si="292"/>
        <v>90000</v>
      </c>
      <c r="N2062" s="111">
        <f t="shared" si="293"/>
        <v>90000</v>
      </c>
      <c r="O2062" s="111">
        <f t="shared" si="294"/>
        <v>18000</v>
      </c>
      <c r="P2062" s="111">
        <f t="shared" si="295"/>
        <v>20000</v>
      </c>
      <c r="Q2062" s="111">
        <v>50000</v>
      </c>
      <c r="R2062" s="111">
        <v>5</v>
      </c>
      <c r="S2062" s="111">
        <f t="shared" si="296"/>
        <v>5000</v>
      </c>
      <c r="T2062" s="111">
        <f t="shared" si="297"/>
        <v>250000</v>
      </c>
      <c r="U2062" s="111">
        <f t="shared" si="298"/>
        <v>2500</v>
      </c>
      <c r="V2062" s="111">
        <f t="shared" si="299"/>
        <v>252500</v>
      </c>
      <c r="W2062" t="s">
        <v>4523</v>
      </c>
    </row>
    <row r="2063" spans="1:23" x14ac:dyDescent="0.3">
      <c r="A2063" s="110">
        <v>2601005</v>
      </c>
      <c r="B2063" s="110" t="s">
        <v>2257</v>
      </c>
      <c r="C2063" s="110" t="s">
        <v>2257</v>
      </c>
      <c r="D2063" s="110" t="s">
        <v>2257</v>
      </c>
      <c r="E2063" s="110" t="s">
        <v>2258</v>
      </c>
      <c r="F2063" s="110" t="s">
        <v>113</v>
      </c>
      <c r="G2063" s="110" t="s">
        <v>114</v>
      </c>
      <c r="H2063" s="111">
        <v>119</v>
      </c>
      <c r="I2063" s="111">
        <v>127</v>
      </c>
      <c r="J2063" s="111">
        <v>117</v>
      </c>
      <c r="K2063" s="111">
        <f t="shared" si="291"/>
        <v>121</v>
      </c>
      <c r="L2063" s="111">
        <v>150000</v>
      </c>
      <c r="M2063" s="111">
        <f t="shared" si="292"/>
        <v>67500</v>
      </c>
      <c r="N2063" s="111">
        <f t="shared" si="293"/>
        <v>67500</v>
      </c>
      <c r="O2063" s="111">
        <f t="shared" si="294"/>
        <v>13500</v>
      </c>
      <c r="P2063" s="111">
        <f t="shared" si="295"/>
        <v>15000</v>
      </c>
      <c r="Q2063" s="111">
        <v>30000</v>
      </c>
      <c r="R2063" s="111">
        <v>3</v>
      </c>
      <c r="S2063" s="111">
        <f t="shared" si="296"/>
        <v>3000</v>
      </c>
      <c r="T2063" s="111">
        <f t="shared" si="297"/>
        <v>180000</v>
      </c>
      <c r="U2063" s="111">
        <f t="shared" si="298"/>
        <v>1800</v>
      </c>
      <c r="V2063" s="111">
        <f t="shared" si="299"/>
        <v>181800</v>
      </c>
      <c r="W2063" t="s">
        <v>4524</v>
      </c>
    </row>
    <row r="2064" spans="1:23" x14ac:dyDescent="0.3">
      <c r="A2064" s="110">
        <v>2601006</v>
      </c>
      <c r="B2064" s="110" t="s">
        <v>2257</v>
      </c>
      <c r="C2064" s="110" t="s">
        <v>2257</v>
      </c>
      <c r="D2064" s="110" t="s">
        <v>2257</v>
      </c>
      <c r="E2064" s="110" t="s">
        <v>2259</v>
      </c>
      <c r="F2064" s="110" t="s">
        <v>113</v>
      </c>
      <c r="G2064" s="110" t="s">
        <v>114</v>
      </c>
      <c r="H2064" s="111">
        <v>341</v>
      </c>
      <c r="I2064" s="111">
        <v>326</v>
      </c>
      <c r="J2064" s="111">
        <v>310</v>
      </c>
      <c r="K2064" s="111">
        <f t="shared" si="291"/>
        <v>325.66666666666669</v>
      </c>
      <c r="L2064" s="111">
        <v>200000</v>
      </c>
      <c r="M2064" s="111">
        <f t="shared" si="292"/>
        <v>90000</v>
      </c>
      <c r="N2064" s="111">
        <f t="shared" si="293"/>
        <v>90000</v>
      </c>
      <c r="O2064" s="111">
        <f t="shared" si="294"/>
        <v>18000</v>
      </c>
      <c r="P2064" s="111">
        <f t="shared" si="295"/>
        <v>20000</v>
      </c>
      <c r="Q2064" s="111">
        <v>50000</v>
      </c>
      <c r="R2064" s="111">
        <v>5</v>
      </c>
      <c r="S2064" s="111">
        <f t="shared" si="296"/>
        <v>5000</v>
      </c>
      <c r="T2064" s="111">
        <f t="shared" si="297"/>
        <v>250000</v>
      </c>
      <c r="U2064" s="111">
        <f t="shared" si="298"/>
        <v>2500</v>
      </c>
      <c r="V2064" s="111">
        <f t="shared" si="299"/>
        <v>252500</v>
      </c>
      <c r="W2064" t="s">
        <v>4525</v>
      </c>
    </row>
    <row r="2065" spans="1:23" x14ac:dyDescent="0.3">
      <c r="A2065" s="110">
        <v>2601008</v>
      </c>
      <c r="B2065" s="110" t="s">
        <v>2257</v>
      </c>
      <c r="C2065" s="110" t="s">
        <v>2257</v>
      </c>
      <c r="D2065" s="110" t="s">
        <v>2257</v>
      </c>
      <c r="E2065" s="110" t="s">
        <v>186</v>
      </c>
      <c r="F2065" s="110" t="s">
        <v>113</v>
      </c>
      <c r="G2065" s="110" t="s">
        <v>114</v>
      </c>
      <c r="H2065" s="111">
        <v>600</v>
      </c>
      <c r="I2065" s="111">
        <v>583</v>
      </c>
      <c r="J2065" s="111">
        <v>546</v>
      </c>
      <c r="K2065" s="111">
        <f t="shared" si="291"/>
        <v>576.33333333333337</v>
      </c>
      <c r="L2065" s="111">
        <f>300000</f>
        <v>300000</v>
      </c>
      <c r="M2065" s="111">
        <f t="shared" si="292"/>
        <v>135000</v>
      </c>
      <c r="N2065" s="111">
        <f t="shared" si="293"/>
        <v>135000</v>
      </c>
      <c r="O2065" s="111">
        <f t="shared" si="294"/>
        <v>27000</v>
      </c>
      <c r="P2065" s="111">
        <f t="shared" si="295"/>
        <v>30000</v>
      </c>
      <c r="Q2065" s="111">
        <v>60000</v>
      </c>
      <c r="R2065" s="111">
        <v>6</v>
      </c>
      <c r="S2065" s="111">
        <f t="shared" si="296"/>
        <v>6000</v>
      </c>
      <c r="T2065" s="111">
        <f t="shared" si="297"/>
        <v>360000</v>
      </c>
      <c r="U2065" s="111">
        <f t="shared" si="298"/>
        <v>3600</v>
      </c>
      <c r="V2065" s="111">
        <f t="shared" si="299"/>
        <v>363600</v>
      </c>
      <c r="W2065" t="s">
        <v>4526</v>
      </c>
    </row>
    <row r="2066" spans="1:23" x14ac:dyDescent="0.3">
      <c r="A2066" s="110">
        <v>2601009</v>
      </c>
      <c r="B2066" s="110" t="s">
        <v>2257</v>
      </c>
      <c r="C2066" s="110" t="s">
        <v>2257</v>
      </c>
      <c r="D2066" s="110" t="s">
        <v>2257</v>
      </c>
      <c r="E2066" s="110" t="s">
        <v>406</v>
      </c>
      <c r="F2066" s="110" t="s">
        <v>113</v>
      </c>
      <c r="G2066" s="110" t="s">
        <v>114</v>
      </c>
      <c r="H2066" s="111">
        <v>289</v>
      </c>
      <c r="I2066" s="111">
        <v>267</v>
      </c>
      <c r="J2066" s="111">
        <v>216</v>
      </c>
      <c r="K2066" s="111">
        <f t="shared" si="291"/>
        <v>257.33333333333331</v>
      </c>
      <c r="L2066" s="111">
        <v>200000</v>
      </c>
      <c r="M2066" s="111">
        <f t="shared" si="292"/>
        <v>90000</v>
      </c>
      <c r="N2066" s="111">
        <f t="shared" si="293"/>
        <v>90000</v>
      </c>
      <c r="O2066" s="111">
        <f t="shared" si="294"/>
        <v>18000</v>
      </c>
      <c r="P2066" s="111">
        <f t="shared" si="295"/>
        <v>20000</v>
      </c>
      <c r="Q2066" s="111">
        <v>50000</v>
      </c>
      <c r="R2066" s="111">
        <v>5</v>
      </c>
      <c r="S2066" s="111">
        <f t="shared" si="296"/>
        <v>5000</v>
      </c>
      <c r="T2066" s="111">
        <f t="shared" si="297"/>
        <v>250000</v>
      </c>
      <c r="U2066" s="111">
        <f t="shared" si="298"/>
        <v>2500</v>
      </c>
      <c r="V2066" s="111">
        <f t="shared" si="299"/>
        <v>252500</v>
      </c>
      <c r="W2066" t="s">
        <v>4527</v>
      </c>
    </row>
    <row r="2067" spans="1:23" x14ac:dyDescent="0.3">
      <c r="A2067" s="110">
        <v>2601010</v>
      </c>
      <c r="B2067" s="110" t="s">
        <v>2257</v>
      </c>
      <c r="C2067" s="110" t="s">
        <v>2257</v>
      </c>
      <c r="D2067" s="110" t="s">
        <v>2257</v>
      </c>
      <c r="E2067" s="110" t="s">
        <v>458</v>
      </c>
      <c r="F2067" s="110" t="s">
        <v>113</v>
      </c>
      <c r="G2067" s="110" t="s">
        <v>114</v>
      </c>
      <c r="H2067" s="111">
        <v>1051</v>
      </c>
      <c r="I2067" s="111">
        <v>1047</v>
      </c>
      <c r="J2067" s="111">
        <v>1027</v>
      </c>
      <c r="K2067" s="111">
        <f t="shared" si="291"/>
        <v>1041.6666666666667</v>
      </c>
      <c r="L2067" s="111">
        <f>600000</f>
        <v>600000</v>
      </c>
      <c r="M2067" s="111">
        <f t="shared" si="292"/>
        <v>270000</v>
      </c>
      <c r="N2067" s="111">
        <f t="shared" si="293"/>
        <v>270000</v>
      </c>
      <c r="O2067" s="111">
        <f t="shared" si="294"/>
        <v>54000</v>
      </c>
      <c r="P2067" s="111">
        <f t="shared" si="295"/>
        <v>60000</v>
      </c>
      <c r="Q2067" s="111">
        <v>80000</v>
      </c>
      <c r="R2067" s="111">
        <v>8</v>
      </c>
      <c r="S2067" s="111">
        <f t="shared" si="296"/>
        <v>8000</v>
      </c>
      <c r="T2067" s="111">
        <f t="shared" si="297"/>
        <v>680000</v>
      </c>
      <c r="U2067" s="111">
        <f t="shared" si="298"/>
        <v>6800</v>
      </c>
      <c r="V2067" s="111">
        <f t="shared" si="299"/>
        <v>686800</v>
      </c>
      <c r="W2067" t="s">
        <v>4528</v>
      </c>
    </row>
    <row r="2068" spans="1:23" x14ac:dyDescent="0.3">
      <c r="A2068" s="110">
        <v>2601011</v>
      </c>
      <c r="B2068" s="110" t="s">
        <v>2257</v>
      </c>
      <c r="C2068" s="110" t="s">
        <v>2257</v>
      </c>
      <c r="D2068" s="110" t="s">
        <v>2257</v>
      </c>
      <c r="E2068" s="110" t="s">
        <v>353</v>
      </c>
      <c r="F2068" s="110" t="s">
        <v>113</v>
      </c>
      <c r="G2068" s="110" t="s">
        <v>114</v>
      </c>
      <c r="H2068" s="111">
        <v>771</v>
      </c>
      <c r="I2068" s="111">
        <v>727</v>
      </c>
      <c r="J2068" s="111">
        <v>689</v>
      </c>
      <c r="K2068" s="111">
        <f t="shared" si="291"/>
        <v>729</v>
      </c>
      <c r="L2068" s="111">
        <f>300000</f>
        <v>300000</v>
      </c>
      <c r="M2068" s="111">
        <f t="shared" si="292"/>
        <v>135000</v>
      </c>
      <c r="N2068" s="111">
        <f t="shared" si="293"/>
        <v>135000</v>
      </c>
      <c r="O2068" s="111">
        <f t="shared" si="294"/>
        <v>27000</v>
      </c>
      <c r="P2068" s="111">
        <f t="shared" si="295"/>
        <v>30000</v>
      </c>
      <c r="Q2068" s="111">
        <v>60000</v>
      </c>
      <c r="R2068" s="111">
        <v>6</v>
      </c>
      <c r="S2068" s="111">
        <f t="shared" si="296"/>
        <v>6000</v>
      </c>
      <c r="T2068" s="111">
        <f t="shared" si="297"/>
        <v>360000</v>
      </c>
      <c r="U2068" s="111">
        <f t="shared" si="298"/>
        <v>3600</v>
      </c>
      <c r="V2068" s="111">
        <f t="shared" si="299"/>
        <v>363600</v>
      </c>
      <c r="W2068" t="s">
        <v>4529</v>
      </c>
    </row>
    <row r="2069" spans="1:23" x14ac:dyDescent="0.3">
      <c r="A2069" s="110">
        <v>2601015</v>
      </c>
      <c r="B2069" s="110" t="s">
        <v>2257</v>
      </c>
      <c r="C2069" s="110" t="s">
        <v>2257</v>
      </c>
      <c r="D2069" s="110" t="s">
        <v>2260</v>
      </c>
      <c r="E2069" s="110" t="s">
        <v>184</v>
      </c>
      <c r="F2069" s="110" t="s">
        <v>113</v>
      </c>
      <c r="G2069" s="110" t="s">
        <v>114</v>
      </c>
      <c r="H2069" s="111">
        <v>53</v>
      </c>
      <c r="I2069" s="111">
        <v>62</v>
      </c>
      <c r="J2069" s="111">
        <v>62</v>
      </c>
      <c r="K2069" s="111">
        <f t="shared" si="291"/>
        <v>59</v>
      </c>
      <c r="L2069" s="111">
        <v>150000</v>
      </c>
      <c r="M2069" s="111">
        <f t="shared" si="292"/>
        <v>67500</v>
      </c>
      <c r="N2069" s="111">
        <f t="shared" si="293"/>
        <v>67500</v>
      </c>
      <c r="O2069" s="111">
        <f t="shared" si="294"/>
        <v>13500</v>
      </c>
      <c r="P2069" s="111">
        <f t="shared" si="295"/>
        <v>15000</v>
      </c>
      <c r="Q2069" s="111">
        <v>30000</v>
      </c>
      <c r="R2069" s="111">
        <v>3</v>
      </c>
      <c r="S2069" s="111">
        <f t="shared" si="296"/>
        <v>3000</v>
      </c>
      <c r="T2069" s="111">
        <f t="shared" si="297"/>
        <v>180000</v>
      </c>
      <c r="U2069" s="111">
        <f t="shared" si="298"/>
        <v>1800</v>
      </c>
      <c r="V2069" s="111">
        <f t="shared" si="299"/>
        <v>181800</v>
      </c>
      <c r="W2069" t="s">
        <v>4530</v>
      </c>
    </row>
    <row r="2070" spans="1:23" x14ac:dyDescent="0.3">
      <c r="A2070" s="110">
        <v>2601017</v>
      </c>
      <c r="B2070" s="110" t="s">
        <v>2257</v>
      </c>
      <c r="C2070" s="110" t="s">
        <v>2257</v>
      </c>
      <c r="D2070" s="110" t="s">
        <v>2261</v>
      </c>
      <c r="E2070" s="110" t="s">
        <v>310</v>
      </c>
      <c r="F2070" s="110" t="s">
        <v>113</v>
      </c>
      <c r="G2070" s="110" t="s">
        <v>114</v>
      </c>
      <c r="H2070" s="111">
        <v>225</v>
      </c>
      <c r="I2070" s="111">
        <v>204</v>
      </c>
      <c r="J2070" s="111">
        <v>196</v>
      </c>
      <c r="K2070" s="111">
        <f t="shared" si="291"/>
        <v>208.33333333333334</v>
      </c>
      <c r="L2070" s="111">
        <v>200000</v>
      </c>
      <c r="M2070" s="111">
        <f t="shared" si="292"/>
        <v>90000</v>
      </c>
      <c r="N2070" s="111">
        <f t="shared" si="293"/>
        <v>90000</v>
      </c>
      <c r="O2070" s="111">
        <f t="shared" si="294"/>
        <v>18000</v>
      </c>
      <c r="P2070" s="111">
        <f t="shared" si="295"/>
        <v>20000</v>
      </c>
      <c r="Q2070" s="111">
        <v>50000</v>
      </c>
      <c r="R2070" s="111">
        <v>5</v>
      </c>
      <c r="S2070" s="111">
        <f t="shared" si="296"/>
        <v>5000</v>
      </c>
      <c r="T2070" s="111">
        <f t="shared" si="297"/>
        <v>250000</v>
      </c>
      <c r="U2070" s="111">
        <f t="shared" si="298"/>
        <v>2500</v>
      </c>
      <c r="V2070" s="111">
        <f t="shared" si="299"/>
        <v>252500</v>
      </c>
      <c r="W2070" t="s">
        <v>4531</v>
      </c>
    </row>
    <row r="2071" spans="1:23" x14ac:dyDescent="0.3">
      <c r="A2071" s="110">
        <v>2601019</v>
      </c>
      <c r="B2071" s="110" t="s">
        <v>2257</v>
      </c>
      <c r="C2071" s="110" t="s">
        <v>2257</v>
      </c>
      <c r="D2071" s="110" t="s">
        <v>2262</v>
      </c>
      <c r="E2071" s="110" t="s">
        <v>381</v>
      </c>
      <c r="F2071" s="110" t="s">
        <v>113</v>
      </c>
      <c r="G2071" s="110" t="s">
        <v>114</v>
      </c>
      <c r="H2071" s="111">
        <v>65</v>
      </c>
      <c r="I2071" s="111">
        <v>61</v>
      </c>
      <c r="J2071" s="111">
        <v>68</v>
      </c>
      <c r="K2071" s="111">
        <f t="shared" si="291"/>
        <v>64.666666666666671</v>
      </c>
      <c r="L2071" s="111">
        <v>150000</v>
      </c>
      <c r="M2071" s="111">
        <f t="shared" si="292"/>
        <v>67500</v>
      </c>
      <c r="N2071" s="111">
        <f t="shared" si="293"/>
        <v>67500</v>
      </c>
      <c r="O2071" s="111">
        <f t="shared" si="294"/>
        <v>13500</v>
      </c>
      <c r="P2071" s="111">
        <f t="shared" si="295"/>
        <v>15000</v>
      </c>
      <c r="Q2071" s="111">
        <v>30000</v>
      </c>
      <c r="R2071" s="111">
        <v>3</v>
      </c>
      <c r="S2071" s="111">
        <f t="shared" si="296"/>
        <v>3000</v>
      </c>
      <c r="T2071" s="111">
        <f t="shared" si="297"/>
        <v>180000</v>
      </c>
      <c r="U2071" s="111">
        <f t="shared" si="298"/>
        <v>1800</v>
      </c>
      <c r="V2071" s="111">
        <f t="shared" si="299"/>
        <v>181800</v>
      </c>
      <c r="W2071" t="s">
        <v>4532</v>
      </c>
    </row>
    <row r="2072" spans="1:23" x14ac:dyDescent="0.3">
      <c r="A2072" s="110">
        <v>2601020</v>
      </c>
      <c r="B2072" s="110" t="s">
        <v>2257</v>
      </c>
      <c r="C2072" s="110" t="s">
        <v>2257</v>
      </c>
      <c r="D2072" s="110" t="s">
        <v>2263</v>
      </c>
      <c r="E2072" s="110" t="s">
        <v>184</v>
      </c>
      <c r="F2072" s="110" t="s">
        <v>113</v>
      </c>
      <c r="G2072" s="110" t="s">
        <v>114</v>
      </c>
      <c r="H2072" s="111">
        <v>80</v>
      </c>
      <c r="I2072" s="111">
        <v>84</v>
      </c>
      <c r="J2072" s="111">
        <v>82</v>
      </c>
      <c r="K2072" s="111">
        <f t="shared" si="291"/>
        <v>82</v>
      </c>
      <c r="L2072" s="111">
        <v>150000</v>
      </c>
      <c r="M2072" s="111">
        <f t="shared" si="292"/>
        <v>67500</v>
      </c>
      <c r="N2072" s="111">
        <f t="shared" si="293"/>
        <v>67500</v>
      </c>
      <c r="O2072" s="111">
        <f t="shared" si="294"/>
        <v>13500</v>
      </c>
      <c r="P2072" s="111">
        <f t="shared" si="295"/>
        <v>15000</v>
      </c>
      <c r="Q2072" s="111">
        <v>30000</v>
      </c>
      <c r="R2072" s="111">
        <v>3</v>
      </c>
      <c r="S2072" s="111">
        <f t="shared" si="296"/>
        <v>3000</v>
      </c>
      <c r="T2072" s="111">
        <f t="shared" si="297"/>
        <v>180000</v>
      </c>
      <c r="U2072" s="111">
        <f t="shared" si="298"/>
        <v>1800</v>
      </c>
      <c r="V2072" s="111">
        <f t="shared" si="299"/>
        <v>181800</v>
      </c>
      <c r="W2072" t="s">
        <v>4533</v>
      </c>
    </row>
    <row r="2073" spans="1:23" x14ac:dyDescent="0.3">
      <c r="A2073" s="110">
        <v>2601021</v>
      </c>
      <c r="B2073" s="110" t="s">
        <v>2257</v>
      </c>
      <c r="C2073" s="110" t="s">
        <v>2257</v>
      </c>
      <c r="D2073" s="110" t="s">
        <v>2264</v>
      </c>
      <c r="E2073" s="110" t="s">
        <v>482</v>
      </c>
      <c r="F2073" s="110" t="s">
        <v>113</v>
      </c>
      <c r="G2073" s="110" t="s">
        <v>114</v>
      </c>
      <c r="H2073" s="111">
        <v>96</v>
      </c>
      <c r="I2073" s="111">
        <v>100</v>
      </c>
      <c r="J2073" s="111">
        <v>98</v>
      </c>
      <c r="K2073" s="111">
        <f t="shared" si="291"/>
        <v>98</v>
      </c>
      <c r="L2073" s="111">
        <v>150000</v>
      </c>
      <c r="M2073" s="111">
        <f t="shared" si="292"/>
        <v>67500</v>
      </c>
      <c r="N2073" s="111">
        <f t="shared" si="293"/>
        <v>67500</v>
      </c>
      <c r="O2073" s="111">
        <f t="shared" si="294"/>
        <v>13500</v>
      </c>
      <c r="P2073" s="111">
        <f t="shared" si="295"/>
        <v>15000</v>
      </c>
      <c r="Q2073" s="111">
        <v>30000</v>
      </c>
      <c r="R2073" s="111">
        <v>3</v>
      </c>
      <c r="S2073" s="111">
        <f t="shared" si="296"/>
        <v>3000</v>
      </c>
      <c r="T2073" s="111">
        <f t="shared" si="297"/>
        <v>180000</v>
      </c>
      <c r="U2073" s="111">
        <f t="shared" si="298"/>
        <v>1800</v>
      </c>
      <c r="V2073" s="111">
        <f t="shared" si="299"/>
        <v>181800</v>
      </c>
      <c r="W2073" t="s">
        <v>4534</v>
      </c>
    </row>
    <row r="2074" spans="1:23" x14ac:dyDescent="0.3">
      <c r="A2074" s="110">
        <v>2601022</v>
      </c>
      <c r="B2074" s="110" t="s">
        <v>2257</v>
      </c>
      <c r="C2074" s="110" t="s">
        <v>2257</v>
      </c>
      <c r="D2074" s="110" t="s">
        <v>2265</v>
      </c>
      <c r="E2074" s="110" t="s">
        <v>2266</v>
      </c>
      <c r="F2074" s="110" t="s">
        <v>113</v>
      </c>
      <c r="G2074" s="110" t="s">
        <v>114</v>
      </c>
      <c r="H2074" s="111">
        <v>112</v>
      </c>
      <c r="I2074" s="111">
        <v>111</v>
      </c>
      <c r="J2074" s="111">
        <v>94</v>
      </c>
      <c r="K2074" s="111">
        <f t="shared" si="291"/>
        <v>105.66666666666667</v>
      </c>
      <c r="L2074" s="111">
        <v>150000</v>
      </c>
      <c r="M2074" s="111">
        <f t="shared" si="292"/>
        <v>67500</v>
      </c>
      <c r="N2074" s="111">
        <f t="shared" si="293"/>
        <v>67500</v>
      </c>
      <c r="O2074" s="111">
        <f t="shared" si="294"/>
        <v>13500</v>
      </c>
      <c r="P2074" s="111">
        <f t="shared" si="295"/>
        <v>15000</v>
      </c>
      <c r="Q2074" s="111">
        <v>30000</v>
      </c>
      <c r="R2074" s="111">
        <v>3</v>
      </c>
      <c r="S2074" s="111">
        <f t="shared" si="296"/>
        <v>3000</v>
      </c>
      <c r="T2074" s="111">
        <f t="shared" si="297"/>
        <v>180000</v>
      </c>
      <c r="U2074" s="111">
        <f t="shared" si="298"/>
        <v>1800</v>
      </c>
      <c r="V2074" s="111">
        <f t="shared" si="299"/>
        <v>181800</v>
      </c>
      <c r="W2074" t="s">
        <v>4535</v>
      </c>
    </row>
    <row r="2075" spans="1:23" x14ac:dyDescent="0.3">
      <c r="A2075" s="110">
        <v>2601024</v>
      </c>
      <c r="B2075" s="110" t="s">
        <v>2257</v>
      </c>
      <c r="C2075" s="110" t="s">
        <v>2257</v>
      </c>
      <c r="D2075" s="110" t="s">
        <v>2267</v>
      </c>
      <c r="E2075" s="110" t="s">
        <v>588</v>
      </c>
      <c r="F2075" s="110" t="s">
        <v>113</v>
      </c>
      <c r="G2075" s="110" t="s">
        <v>114</v>
      </c>
      <c r="H2075" s="111">
        <v>120</v>
      </c>
      <c r="I2075" s="111">
        <v>105</v>
      </c>
      <c r="J2075" s="111">
        <v>120</v>
      </c>
      <c r="K2075" s="111">
        <f t="shared" si="291"/>
        <v>115</v>
      </c>
      <c r="L2075" s="111">
        <v>150000</v>
      </c>
      <c r="M2075" s="111">
        <f t="shared" si="292"/>
        <v>67500</v>
      </c>
      <c r="N2075" s="111">
        <f t="shared" si="293"/>
        <v>67500</v>
      </c>
      <c r="O2075" s="111">
        <f t="shared" si="294"/>
        <v>13500</v>
      </c>
      <c r="P2075" s="111">
        <f t="shared" si="295"/>
        <v>15000</v>
      </c>
      <c r="Q2075" s="111">
        <v>30000</v>
      </c>
      <c r="R2075" s="111">
        <v>3</v>
      </c>
      <c r="S2075" s="111">
        <f t="shared" si="296"/>
        <v>3000</v>
      </c>
      <c r="T2075" s="111">
        <f t="shared" si="297"/>
        <v>180000</v>
      </c>
      <c r="U2075" s="111">
        <f t="shared" si="298"/>
        <v>1800</v>
      </c>
      <c r="V2075" s="111">
        <f t="shared" si="299"/>
        <v>181800</v>
      </c>
      <c r="W2075" t="s">
        <v>4536</v>
      </c>
    </row>
    <row r="2076" spans="1:23" x14ac:dyDescent="0.3">
      <c r="A2076" s="110">
        <v>2601025</v>
      </c>
      <c r="B2076" s="110" t="s">
        <v>2257</v>
      </c>
      <c r="C2076" s="110" t="s">
        <v>2257</v>
      </c>
      <c r="D2076" s="110" t="s">
        <v>2257</v>
      </c>
      <c r="E2076" s="110" t="s">
        <v>2268</v>
      </c>
      <c r="F2076" s="110" t="s">
        <v>119</v>
      </c>
      <c r="G2076" s="110" t="s">
        <v>114</v>
      </c>
      <c r="H2076" s="111">
        <v>744</v>
      </c>
      <c r="I2076" s="111">
        <v>749</v>
      </c>
      <c r="J2076" s="111">
        <v>769</v>
      </c>
      <c r="K2076" s="111">
        <f t="shared" si="291"/>
        <v>754</v>
      </c>
      <c r="L2076" s="111">
        <f>300000</f>
        <v>300000</v>
      </c>
      <c r="M2076" s="111">
        <f t="shared" si="292"/>
        <v>135000</v>
      </c>
      <c r="N2076" s="111">
        <f t="shared" si="293"/>
        <v>135000</v>
      </c>
      <c r="O2076" s="111">
        <f t="shared" si="294"/>
        <v>27000</v>
      </c>
      <c r="P2076" s="111">
        <f t="shared" si="295"/>
        <v>30000</v>
      </c>
      <c r="Q2076" s="111">
        <v>60000</v>
      </c>
      <c r="R2076" s="111">
        <v>6</v>
      </c>
      <c r="S2076" s="111">
        <f t="shared" si="296"/>
        <v>6000</v>
      </c>
      <c r="T2076" s="111">
        <f t="shared" si="297"/>
        <v>360000</v>
      </c>
      <c r="U2076" s="111">
        <f t="shared" si="298"/>
        <v>3600</v>
      </c>
      <c r="V2076" s="111">
        <f t="shared" si="299"/>
        <v>363600</v>
      </c>
      <c r="W2076" t="s">
        <v>4537</v>
      </c>
    </row>
    <row r="2077" spans="1:23" x14ac:dyDescent="0.3">
      <c r="A2077" s="110">
        <v>2601026</v>
      </c>
      <c r="B2077" s="110" t="s">
        <v>2257</v>
      </c>
      <c r="C2077" s="110" t="s">
        <v>2257</v>
      </c>
      <c r="D2077" s="110" t="s">
        <v>2257</v>
      </c>
      <c r="E2077" s="110" t="s">
        <v>216</v>
      </c>
      <c r="F2077" s="110" t="s">
        <v>119</v>
      </c>
      <c r="G2077" s="110" t="s">
        <v>114</v>
      </c>
      <c r="H2077" s="111">
        <v>602</v>
      </c>
      <c r="I2077" s="111">
        <v>581</v>
      </c>
      <c r="J2077" s="111">
        <v>586</v>
      </c>
      <c r="K2077" s="111">
        <f t="shared" si="291"/>
        <v>589.66666666666663</v>
      </c>
      <c r="L2077" s="111">
        <f>300000</f>
        <v>300000</v>
      </c>
      <c r="M2077" s="111">
        <f t="shared" si="292"/>
        <v>135000</v>
      </c>
      <c r="N2077" s="111">
        <f t="shared" si="293"/>
        <v>135000</v>
      </c>
      <c r="O2077" s="111">
        <f t="shared" si="294"/>
        <v>27000</v>
      </c>
      <c r="P2077" s="111">
        <f t="shared" si="295"/>
        <v>30000</v>
      </c>
      <c r="Q2077" s="111">
        <v>60000</v>
      </c>
      <c r="R2077" s="111">
        <v>6</v>
      </c>
      <c r="S2077" s="111">
        <f t="shared" si="296"/>
        <v>6000</v>
      </c>
      <c r="T2077" s="111">
        <f t="shared" si="297"/>
        <v>360000</v>
      </c>
      <c r="U2077" s="111">
        <f t="shared" si="298"/>
        <v>3600</v>
      </c>
      <c r="V2077" s="111">
        <f t="shared" si="299"/>
        <v>363600</v>
      </c>
      <c r="W2077" t="s">
        <v>4538</v>
      </c>
    </row>
    <row r="2078" spans="1:23" x14ac:dyDescent="0.3">
      <c r="A2078" s="110">
        <v>2601027</v>
      </c>
      <c r="B2078" s="110" t="s">
        <v>2257</v>
      </c>
      <c r="C2078" s="110" t="s">
        <v>2257</v>
      </c>
      <c r="D2078" s="110" t="s">
        <v>2257</v>
      </c>
      <c r="E2078" s="110" t="s">
        <v>2269</v>
      </c>
      <c r="F2078" s="110" t="s">
        <v>296</v>
      </c>
      <c r="G2078" s="110" t="s">
        <v>114</v>
      </c>
      <c r="H2078" s="111">
        <v>217</v>
      </c>
      <c r="I2078" s="111">
        <v>216</v>
      </c>
      <c r="J2078" s="111">
        <v>203</v>
      </c>
      <c r="K2078" s="111">
        <f t="shared" si="291"/>
        <v>212</v>
      </c>
      <c r="L2078" s="111">
        <v>200000</v>
      </c>
      <c r="M2078" s="111">
        <f t="shared" si="292"/>
        <v>90000</v>
      </c>
      <c r="N2078" s="111">
        <f t="shared" si="293"/>
        <v>90000</v>
      </c>
      <c r="O2078" s="111">
        <f t="shared" si="294"/>
        <v>18000</v>
      </c>
      <c r="P2078" s="111">
        <f t="shared" si="295"/>
        <v>20000</v>
      </c>
      <c r="Q2078" s="111">
        <v>50000</v>
      </c>
      <c r="R2078" s="111">
        <v>5</v>
      </c>
      <c r="S2078" s="111">
        <f t="shared" si="296"/>
        <v>5000</v>
      </c>
      <c r="T2078" s="111">
        <f t="shared" si="297"/>
        <v>250000</v>
      </c>
      <c r="U2078" s="111">
        <f t="shared" si="298"/>
        <v>2500</v>
      </c>
      <c r="V2078" s="111">
        <f t="shared" si="299"/>
        <v>252500</v>
      </c>
      <c r="W2078" t="s">
        <v>4539</v>
      </c>
    </row>
    <row r="2079" spans="1:23" x14ac:dyDescent="0.3">
      <c r="A2079" s="110">
        <v>2601028</v>
      </c>
      <c r="B2079" s="110" t="s">
        <v>2257</v>
      </c>
      <c r="C2079" s="110" t="s">
        <v>2257</v>
      </c>
      <c r="D2079" s="110" t="s">
        <v>2257</v>
      </c>
      <c r="E2079" s="110" t="s">
        <v>2270</v>
      </c>
      <c r="F2079" s="110" t="s">
        <v>122</v>
      </c>
      <c r="G2079" s="110" t="s">
        <v>114</v>
      </c>
      <c r="H2079" s="111">
        <v>911</v>
      </c>
      <c r="I2079" s="111">
        <v>915</v>
      </c>
      <c r="J2079" s="111">
        <v>914</v>
      </c>
      <c r="K2079" s="111">
        <f t="shared" si="291"/>
        <v>913.33333333333337</v>
      </c>
      <c r="L2079" s="111">
        <f>300000</f>
        <v>300000</v>
      </c>
      <c r="M2079" s="111">
        <f t="shared" si="292"/>
        <v>135000</v>
      </c>
      <c r="N2079" s="111">
        <f t="shared" si="293"/>
        <v>135000</v>
      </c>
      <c r="O2079" s="111">
        <f t="shared" si="294"/>
        <v>27000</v>
      </c>
      <c r="P2079" s="111">
        <f t="shared" si="295"/>
        <v>30000</v>
      </c>
      <c r="Q2079" s="111">
        <v>60000</v>
      </c>
      <c r="R2079" s="111">
        <v>6</v>
      </c>
      <c r="S2079" s="111">
        <f t="shared" si="296"/>
        <v>6000</v>
      </c>
      <c r="T2079" s="111">
        <f t="shared" si="297"/>
        <v>360000</v>
      </c>
      <c r="U2079" s="111">
        <f t="shared" si="298"/>
        <v>3600</v>
      </c>
      <c r="V2079" s="111">
        <f t="shared" si="299"/>
        <v>363600</v>
      </c>
      <c r="W2079" t="s">
        <v>4540</v>
      </c>
    </row>
    <row r="2080" spans="1:23" x14ac:dyDescent="0.3">
      <c r="A2080" s="110">
        <v>2601029</v>
      </c>
      <c r="B2080" s="110" t="s">
        <v>2257</v>
      </c>
      <c r="C2080" s="110" t="s">
        <v>2257</v>
      </c>
      <c r="D2080" s="110" t="s">
        <v>2257</v>
      </c>
      <c r="E2080" s="110" t="s">
        <v>2271</v>
      </c>
      <c r="F2080" s="110" t="s">
        <v>122</v>
      </c>
      <c r="G2080" s="110" t="s">
        <v>114</v>
      </c>
      <c r="H2080" s="111">
        <v>728</v>
      </c>
      <c r="I2080" s="111">
        <v>728</v>
      </c>
      <c r="J2080" s="111">
        <v>732</v>
      </c>
      <c r="K2080" s="111">
        <f t="shared" si="291"/>
        <v>729.33333333333337</v>
      </c>
      <c r="L2080" s="111">
        <f>300000*0.7</f>
        <v>210000</v>
      </c>
      <c r="M2080" s="111">
        <f t="shared" si="292"/>
        <v>94500</v>
      </c>
      <c r="N2080" s="111">
        <f t="shared" si="293"/>
        <v>94500</v>
      </c>
      <c r="O2080" s="111">
        <f t="shared" si="294"/>
        <v>18900</v>
      </c>
      <c r="P2080" s="111">
        <f t="shared" si="295"/>
        <v>21000</v>
      </c>
      <c r="Q2080" s="111">
        <v>60000</v>
      </c>
      <c r="R2080" s="111">
        <v>6</v>
      </c>
      <c r="S2080" s="111">
        <f t="shared" si="296"/>
        <v>6000</v>
      </c>
      <c r="T2080" s="111">
        <f t="shared" si="297"/>
        <v>270000</v>
      </c>
      <c r="U2080" s="111">
        <f t="shared" si="298"/>
        <v>2700</v>
      </c>
      <c r="V2080" s="111">
        <f t="shared" si="299"/>
        <v>272700</v>
      </c>
      <c r="W2080" t="s">
        <v>4541</v>
      </c>
    </row>
    <row r="2081" spans="1:23" x14ac:dyDescent="0.3">
      <c r="A2081" s="110">
        <v>2601031</v>
      </c>
      <c r="B2081" s="110" t="s">
        <v>2257</v>
      </c>
      <c r="C2081" s="110" t="s">
        <v>2257</v>
      </c>
      <c r="D2081" s="110" t="s">
        <v>2257</v>
      </c>
      <c r="E2081" s="110" t="s">
        <v>2272</v>
      </c>
      <c r="F2081" s="110" t="s">
        <v>117</v>
      </c>
      <c r="G2081" s="110" t="s">
        <v>125</v>
      </c>
      <c r="H2081" s="111">
        <v>637</v>
      </c>
      <c r="I2081" s="111">
        <v>629</v>
      </c>
      <c r="J2081" s="111">
        <v>617</v>
      </c>
      <c r="K2081" s="111">
        <f t="shared" si="291"/>
        <v>627.66666666666663</v>
      </c>
      <c r="L2081" s="111">
        <f>300000</f>
        <v>300000</v>
      </c>
      <c r="M2081" s="111">
        <f t="shared" si="292"/>
        <v>135000</v>
      </c>
      <c r="N2081" s="111">
        <f t="shared" si="293"/>
        <v>135000</v>
      </c>
      <c r="O2081" s="111">
        <f t="shared" si="294"/>
        <v>27000</v>
      </c>
      <c r="P2081" s="111">
        <f t="shared" si="295"/>
        <v>30000</v>
      </c>
      <c r="Q2081" s="111">
        <v>60000</v>
      </c>
      <c r="R2081" s="111">
        <v>6</v>
      </c>
      <c r="S2081" s="111">
        <f t="shared" si="296"/>
        <v>6000</v>
      </c>
      <c r="T2081" s="111">
        <f t="shared" si="297"/>
        <v>360000</v>
      </c>
      <c r="U2081" s="111">
        <f t="shared" si="298"/>
        <v>3600</v>
      </c>
      <c r="V2081" s="111">
        <f t="shared" si="299"/>
        <v>363600</v>
      </c>
      <c r="W2081" t="s">
        <v>4542</v>
      </c>
    </row>
    <row r="2082" spans="1:23" x14ac:dyDescent="0.3">
      <c r="A2082" s="110">
        <v>2601032</v>
      </c>
      <c r="B2082" s="110" t="s">
        <v>2257</v>
      </c>
      <c r="C2082" s="110" t="s">
        <v>2257</v>
      </c>
      <c r="D2082" s="110" t="s">
        <v>2257</v>
      </c>
      <c r="E2082" s="110" t="s">
        <v>2273</v>
      </c>
      <c r="F2082" s="110" t="s">
        <v>117</v>
      </c>
      <c r="G2082" s="110" t="s">
        <v>125</v>
      </c>
      <c r="H2082" s="111">
        <v>469</v>
      </c>
      <c r="I2082" s="111">
        <v>468</v>
      </c>
      <c r="J2082" s="111">
        <v>437</v>
      </c>
      <c r="K2082" s="111">
        <f t="shared" si="291"/>
        <v>458</v>
      </c>
      <c r="L2082" s="111">
        <f>300000</f>
        <v>300000</v>
      </c>
      <c r="M2082" s="111">
        <f t="shared" si="292"/>
        <v>135000</v>
      </c>
      <c r="N2082" s="111">
        <f t="shared" si="293"/>
        <v>135000</v>
      </c>
      <c r="O2082" s="111">
        <f t="shared" si="294"/>
        <v>27000</v>
      </c>
      <c r="P2082" s="111">
        <f t="shared" si="295"/>
        <v>30000</v>
      </c>
      <c r="Q2082" s="111">
        <v>60000</v>
      </c>
      <c r="R2082" s="111">
        <v>6</v>
      </c>
      <c r="S2082" s="111">
        <f t="shared" si="296"/>
        <v>6000</v>
      </c>
      <c r="T2082" s="111">
        <f t="shared" si="297"/>
        <v>360000</v>
      </c>
      <c r="U2082" s="111">
        <f t="shared" si="298"/>
        <v>3600</v>
      </c>
      <c r="V2082" s="111">
        <f t="shared" si="299"/>
        <v>363600</v>
      </c>
      <c r="W2082" t="s">
        <v>4543</v>
      </c>
    </row>
    <row r="2083" spans="1:23" x14ac:dyDescent="0.3">
      <c r="A2083" s="110">
        <v>2601034</v>
      </c>
      <c r="B2083" s="110" t="s">
        <v>2257</v>
      </c>
      <c r="C2083" s="110" t="s">
        <v>2257</v>
      </c>
      <c r="D2083" s="110" t="s">
        <v>2257</v>
      </c>
      <c r="E2083" s="110" t="s">
        <v>2274</v>
      </c>
      <c r="F2083" s="110" t="s">
        <v>117</v>
      </c>
      <c r="G2083" s="110" t="s">
        <v>114</v>
      </c>
      <c r="H2083" s="111">
        <v>624</v>
      </c>
      <c r="I2083" s="111">
        <v>624</v>
      </c>
      <c r="J2083" s="111">
        <v>651</v>
      </c>
      <c r="K2083" s="111">
        <f t="shared" si="291"/>
        <v>633</v>
      </c>
      <c r="L2083" s="111">
        <f>300000</f>
        <v>300000</v>
      </c>
      <c r="M2083" s="111">
        <f t="shared" si="292"/>
        <v>135000</v>
      </c>
      <c r="N2083" s="111">
        <f t="shared" si="293"/>
        <v>135000</v>
      </c>
      <c r="O2083" s="111">
        <f t="shared" si="294"/>
        <v>27000</v>
      </c>
      <c r="P2083" s="111">
        <f t="shared" si="295"/>
        <v>30000</v>
      </c>
      <c r="Q2083" s="111">
        <v>60000</v>
      </c>
      <c r="R2083" s="111">
        <v>6</v>
      </c>
      <c r="S2083" s="111">
        <f t="shared" si="296"/>
        <v>6000</v>
      </c>
      <c r="T2083" s="111">
        <f t="shared" si="297"/>
        <v>360000</v>
      </c>
      <c r="U2083" s="111">
        <f t="shared" si="298"/>
        <v>3600</v>
      </c>
      <c r="V2083" s="111">
        <f t="shared" si="299"/>
        <v>363600</v>
      </c>
      <c r="W2083" t="s">
        <v>4544</v>
      </c>
    </row>
    <row r="2084" spans="1:23" x14ac:dyDescent="0.3">
      <c r="A2084" s="110">
        <v>2601035</v>
      </c>
      <c r="B2084" s="110" t="s">
        <v>2257</v>
      </c>
      <c r="C2084" s="110" t="s">
        <v>2257</v>
      </c>
      <c r="D2084" s="110" t="s">
        <v>2257</v>
      </c>
      <c r="E2084" s="110" t="s">
        <v>2275</v>
      </c>
      <c r="F2084" s="110" t="s">
        <v>117</v>
      </c>
      <c r="G2084" s="110" t="s">
        <v>125</v>
      </c>
      <c r="H2084" s="111">
        <v>282</v>
      </c>
      <c r="I2084" s="111">
        <v>266</v>
      </c>
      <c r="J2084" s="111">
        <v>289</v>
      </c>
      <c r="K2084" s="111">
        <f t="shared" si="291"/>
        <v>279</v>
      </c>
      <c r="L2084" s="111">
        <v>200000</v>
      </c>
      <c r="M2084" s="111">
        <f t="shared" si="292"/>
        <v>90000</v>
      </c>
      <c r="N2084" s="111">
        <f t="shared" si="293"/>
        <v>90000</v>
      </c>
      <c r="O2084" s="111">
        <f t="shared" si="294"/>
        <v>18000</v>
      </c>
      <c r="P2084" s="111">
        <f t="shared" si="295"/>
        <v>20000</v>
      </c>
      <c r="Q2084" s="111">
        <v>50000</v>
      </c>
      <c r="R2084" s="111">
        <v>5</v>
      </c>
      <c r="S2084" s="111">
        <f t="shared" si="296"/>
        <v>5000</v>
      </c>
      <c r="T2084" s="111">
        <f t="shared" si="297"/>
        <v>250000</v>
      </c>
      <c r="U2084" s="111">
        <f t="shared" si="298"/>
        <v>2500</v>
      </c>
      <c r="V2084" s="111">
        <f t="shared" si="299"/>
        <v>252500</v>
      </c>
      <c r="W2084" t="s">
        <v>4545</v>
      </c>
    </row>
    <row r="2085" spans="1:23" x14ac:dyDescent="0.3">
      <c r="A2085" s="110">
        <v>2601036</v>
      </c>
      <c r="B2085" s="110" t="s">
        <v>2257</v>
      </c>
      <c r="C2085" s="110" t="s">
        <v>2257</v>
      </c>
      <c r="D2085" s="110" t="s">
        <v>2257</v>
      </c>
      <c r="E2085" s="110" t="s">
        <v>2276</v>
      </c>
      <c r="F2085" s="110" t="s">
        <v>117</v>
      </c>
      <c r="G2085" s="110" t="s">
        <v>125</v>
      </c>
      <c r="H2085" s="111">
        <v>359</v>
      </c>
      <c r="I2085" s="111">
        <v>366</v>
      </c>
      <c r="J2085" s="111">
        <v>341</v>
      </c>
      <c r="K2085" s="111">
        <f t="shared" si="291"/>
        <v>355.33333333333331</v>
      </c>
      <c r="L2085" s="111">
        <v>200000</v>
      </c>
      <c r="M2085" s="111">
        <f t="shared" si="292"/>
        <v>90000</v>
      </c>
      <c r="N2085" s="111">
        <f t="shared" si="293"/>
        <v>90000</v>
      </c>
      <c r="O2085" s="111">
        <f t="shared" si="294"/>
        <v>18000</v>
      </c>
      <c r="P2085" s="111">
        <f t="shared" si="295"/>
        <v>20000</v>
      </c>
      <c r="Q2085" s="111">
        <v>50000</v>
      </c>
      <c r="R2085" s="111">
        <v>5</v>
      </c>
      <c r="S2085" s="111">
        <f t="shared" si="296"/>
        <v>5000</v>
      </c>
      <c r="T2085" s="111">
        <f t="shared" si="297"/>
        <v>250000</v>
      </c>
      <c r="U2085" s="111">
        <f t="shared" si="298"/>
        <v>2500</v>
      </c>
      <c r="V2085" s="111">
        <f t="shared" si="299"/>
        <v>252500</v>
      </c>
      <c r="W2085" t="s">
        <v>4546</v>
      </c>
    </row>
    <row r="2086" spans="1:23" x14ac:dyDescent="0.3">
      <c r="A2086" s="110">
        <v>2601038</v>
      </c>
      <c r="B2086" s="110" t="s">
        <v>2257</v>
      </c>
      <c r="C2086" s="110" t="s">
        <v>2257</v>
      </c>
      <c r="D2086" s="110" t="s">
        <v>2257</v>
      </c>
      <c r="E2086" s="110" t="s">
        <v>2277</v>
      </c>
      <c r="F2086" s="110" t="s">
        <v>135</v>
      </c>
      <c r="G2086" s="110" t="s">
        <v>125</v>
      </c>
      <c r="H2086" s="111">
        <v>89</v>
      </c>
      <c r="I2086" s="111">
        <v>78</v>
      </c>
      <c r="J2086" s="111">
        <v>77</v>
      </c>
      <c r="K2086" s="111">
        <f t="shared" si="291"/>
        <v>81.333333333333329</v>
      </c>
      <c r="L2086" s="111">
        <v>150000</v>
      </c>
      <c r="M2086" s="111">
        <f t="shared" si="292"/>
        <v>67500</v>
      </c>
      <c r="N2086" s="111">
        <f t="shared" si="293"/>
        <v>67500</v>
      </c>
      <c r="O2086" s="111">
        <f t="shared" si="294"/>
        <v>13500</v>
      </c>
      <c r="P2086" s="111">
        <f t="shared" si="295"/>
        <v>15000</v>
      </c>
      <c r="Q2086" s="111">
        <v>30000</v>
      </c>
      <c r="R2086" s="111">
        <v>3</v>
      </c>
      <c r="S2086" s="111">
        <f t="shared" si="296"/>
        <v>3000</v>
      </c>
      <c r="T2086" s="111">
        <f t="shared" si="297"/>
        <v>180000</v>
      </c>
      <c r="U2086" s="111">
        <f t="shared" si="298"/>
        <v>1800</v>
      </c>
      <c r="V2086" s="111">
        <f t="shared" si="299"/>
        <v>181800</v>
      </c>
      <c r="W2086" t="s">
        <v>4547</v>
      </c>
    </row>
    <row r="2087" spans="1:23" x14ac:dyDescent="0.3">
      <c r="A2087" s="110">
        <v>2601904</v>
      </c>
      <c r="B2087" s="110" t="s">
        <v>2257</v>
      </c>
      <c r="C2087" s="110" t="s">
        <v>2257</v>
      </c>
      <c r="D2087" s="110" t="s">
        <v>2257</v>
      </c>
      <c r="E2087" s="110" t="s">
        <v>2278</v>
      </c>
      <c r="F2087" s="110" t="s">
        <v>117</v>
      </c>
      <c r="G2087" s="110" t="s">
        <v>114</v>
      </c>
      <c r="H2087" s="111">
        <v>283</v>
      </c>
      <c r="I2087" s="111">
        <v>292</v>
      </c>
      <c r="J2087" s="111">
        <v>286</v>
      </c>
      <c r="K2087" s="111">
        <f t="shared" si="291"/>
        <v>287</v>
      </c>
      <c r="L2087" s="111">
        <v>200000</v>
      </c>
      <c r="M2087" s="111">
        <f t="shared" si="292"/>
        <v>90000</v>
      </c>
      <c r="N2087" s="111">
        <f t="shared" si="293"/>
        <v>90000</v>
      </c>
      <c r="O2087" s="111">
        <f t="shared" si="294"/>
        <v>18000</v>
      </c>
      <c r="P2087" s="111">
        <f t="shared" si="295"/>
        <v>20000</v>
      </c>
      <c r="Q2087" s="111">
        <v>50000</v>
      </c>
      <c r="R2087" s="111">
        <v>5</v>
      </c>
      <c r="S2087" s="111">
        <f t="shared" si="296"/>
        <v>5000</v>
      </c>
      <c r="T2087" s="111">
        <f t="shared" si="297"/>
        <v>250000</v>
      </c>
      <c r="U2087" s="111">
        <f t="shared" si="298"/>
        <v>2500</v>
      </c>
      <c r="V2087" s="111">
        <f t="shared" si="299"/>
        <v>252500</v>
      </c>
      <c r="W2087" t="s">
        <v>4548</v>
      </c>
    </row>
    <row r="2088" spans="1:23" x14ac:dyDescent="0.3">
      <c r="A2088" s="110">
        <v>2602002</v>
      </c>
      <c r="B2088" s="110" t="s">
        <v>2257</v>
      </c>
      <c r="C2088" s="110" t="s">
        <v>2279</v>
      </c>
      <c r="D2088" s="110" t="s">
        <v>2279</v>
      </c>
      <c r="E2088" s="110" t="s">
        <v>2280</v>
      </c>
      <c r="F2088" s="110" t="s">
        <v>113</v>
      </c>
      <c r="G2088" s="110" t="s">
        <v>114</v>
      </c>
      <c r="H2088" s="111">
        <v>244</v>
      </c>
      <c r="I2088" s="111">
        <v>243</v>
      </c>
      <c r="J2088" s="111">
        <v>230</v>
      </c>
      <c r="K2088" s="111">
        <f t="shared" si="291"/>
        <v>239</v>
      </c>
      <c r="L2088" s="111">
        <v>200000</v>
      </c>
      <c r="M2088" s="111">
        <f t="shared" si="292"/>
        <v>90000</v>
      </c>
      <c r="N2088" s="111">
        <f t="shared" si="293"/>
        <v>90000</v>
      </c>
      <c r="O2088" s="111">
        <f t="shared" si="294"/>
        <v>18000</v>
      </c>
      <c r="P2088" s="111">
        <f t="shared" si="295"/>
        <v>20000</v>
      </c>
      <c r="Q2088" s="111">
        <v>50000</v>
      </c>
      <c r="R2088" s="111">
        <v>5</v>
      </c>
      <c r="S2088" s="111">
        <f t="shared" si="296"/>
        <v>5000</v>
      </c>
      <c r="T2088" s="111">
        <f t="shared" si="297"/>
        <v>250000</v>
      </c>
      <c r="U2088" s="111">
        <f t="shared" si="298"/>
        <v>2500</v>
      </c>
      <c r="V2088" s="111">
        <f t="shared" si="299"/>
        <v>252500</v>
      </c>
      <c r="W2088" t="s">
        <v>4549</v>
      </c>
    </row>
    <row r="2089" spans="1:23" x14ac:dyDescent="0.3">
      <c r="A2089" s="110">
        <v>2602003</v>
      </c>
      <c r="B2089" s="110" t="s">
        <v>2257</v>
      </c>
      <c r="C2089" s="110" t="s">
        <v>2279</v>
      </c>
      <c r="D2089" s="110" t="s">
        <v>2279</v>
      </c>
      <c r="E2089" s="110" t="s">
        <v>721</v>
      </c>
      <c r="F2089" s="110" t="s">
        <v>168</v>
      </c>
      <c r="G2089" s="110" t="s">
        <v>114</v>
      </c>
      <c r="H2089" s="111">
        <v>169</v>
      </c>
      <c r="I2089" s="111">
        <v>178</v>
      </c>
      <c r="J2089" s="111">
        <v>164</v>
      </c>
      <c r="K2089" s="111">
        <f t="shared" si="291"/>
        <v>170.33333333333334</v>
      </c>
      <c r="L2089" s="111">
        <v>150000</v>
      </c>
      <c r="M2089" s="111">
        <f t="shared" si="292"/>
        <v>67500</v>
      </c>
      <c r="N2089" s="111">
        <f t="shared" si="293"/>
        <v>67500</v>
      </c>
      <c r="O2089" s="111">
        <f t="shared" si="294"/>
        <v>13500</v>
      </c>
      <c r="P2089" s="111">
        <f t="shared" si="295"/>
        <v>15000</v>
      </c>
      <c r="Q2089" s="111">
        <v>30000</v>
      </c>
      <c r="R2089" s="111">
        <v>3</v>
      </c>
      <c r="S2089" s="111">
        <f t="shared" si="296"/>
        <v>3000</v>
      </c>
      <c r="T2089" s="111">
        <f t="shared" si="297"/>
        <v>180000</v>
      </c>
      <c r="U2089" s="111">
        <f t="shared" si="298"/>
        <v>1800</v>
      </c>
      <c r="V2089" s="111">
        <f t="shared" si="299"/>
        <v>181800</v>
      </c>
      <c r="W2089" t="s">
        <v>4550</v>
      </c>
    </row>
    <row r="2090" spans="1:23" x14ac:dyDescent="0.3">
      <c r="A2090" s="110">
        <v>2602004</v>
      </c>
      <c r="B2090" s="110" t="s">
        <v>2257</v>
      </c>
      <c r="C2090" s="110" t="s">
        <v>2279</v>
      </c>
      <c r="D2090" s="110" t="s">
        <v>2279</v>
      </c>
      <c r="E2090" s="110" t="s">
        <v>2281</v>
      </c>
      <c r="F2090" s="110" t="s">
        <v>113</v>
      </c>
      <c r="G2090" s="110" t="s">
        <v>114</v>
      </c>
      <c r="H2090" s="111">
        <v>685</v>
      </c>
      <c r="I2090" s="111">
        <v>698</v>
      </c>
      <c r="J2090" s="111">
        <v>707</v>
      </c>
      <c r="K2090" s="111">
        <f t="shared" si="291"/>
        <v>696.66666666666663</v>
      </c>
      <c r="L2090" s="111">
        <f>300000*0.7</f>
        <v>210000</v>
      </c>
      <c r="M2090" s="111">
        <f t="shared" si="292"/>
        <v>94500</v>
      </c>
      <c r="N2090" s="111">
        <f t="shared" si="293"/>
        <v>94500</v>
      </c>
      <c r="O2090" s="111">
        <f t="shared" si="294"/>
        <v>18900</v>
      </c>
      <c r="P2090" s="111">
        <f t="shared" si="295"/>
        <v>21000</v>
      </c>
      <c r="Q2090" s="111">
        <v>60000</v>
      </c>
      <c r="R2090" s="111">
        <v>6</v>
      </c>
      <c r="S2090" s="111">
        <f t="shared" si="296"/>
        <v>6000</v>
      </c>
      <c r="T2090" s="111">
        <f t="shared" si="297"/>
        <v>270000</v>
      </c>
      <c r="U2090" s="111">
        <f t="shared" si="298"/>
        <v>2700</v>
      </c>
      <c r="V2090" s="111">
        <f t="shared" si="299"/>
        <v>272700</v>
      </c>
      <c r="W2090" t="s">
        <v>4551</v>
      </c>
    </row>
    <row r="2091" spans="1:23" x14ac:dyDescent="0.3">
      <c r="A2091" s="110">
        <v>2602006</v>
      </c>
      <c r="B2091" s="110" t="s">
        <v>2257</v>
      </c>
      <c r="C2091" s="110" t="s">
        <v>2279</v>
      </c>
      <c r="D2091" s="110" t="s">
        <v>2279</v>
      </c>
      <c r="E2091" s="110" t="s">
        <v>2282</v>
      </c>
      <c r="F2091" s="110" t="s">
        <v>113</v>
      </c>
      <c r="G2091" s="110" t="s">
        <v>114</v>
      </c>
      <c r="H2091" s="111">
        <v>656</v>
      </c>
      <c r="I2091" s="111">
        <v>658</v>
      </c>
      <c r="J2091" s="111">
        <v>668</v>
      </c>
      <c r="K2091" s="111">
        <f t="shared" si="291"/>
        <v>660.66666666666663</v>
      </c>
      <c r="L2091" s="111">
        <f>300000</f>
        <v>300000</v>
      </c>
      <c r="M2091" s="111">
        <f t="shared" si="292"/>
        <v>135000</v>
      </c>
      <c r="N2091" s="111">
        <f t="shared" si="293"/>
        <v>135000</v>
      </c>
      <c r="O2091" s="111">
        <f t="shared" si="294"/>
        <v>27000</v>
      </c>
      <c r="P2091" s="111">
        <f t="shared" si="295"/>
        <v>30000</v>
      </c>
      <c r="Q2091" s="111">
        <v>60000</v>
      </c>
      <c r="R2091" s="111">
        <v>6</v>
      </c>
      <c r="S2091" s="111">
        <f t="shared" si="296"/>
        <v>6000</v>
      </c>
      <c r="T2091" s="111">
        <f t="shared" si="297"/>
        <v>360000</v>
      </c>
      <c r="U2091" s="111">
        <f t="shared" si="298"/>
        <v>3600</v>
      </c>
      <c r="V2091" s="111">
        <f t="shared" si="299"/>
        <v>363600</v>
      </c>
      <c r="W2091" t="s">
        <v>4552</v>
      </c>
    </row>
    <row r="2092" spans="1:23" x14ac:dyDescent="0.3">
      <c r="A2092" s="110">
        <v>2602008</v>
      </c>
      <c r="B2092" s="110" t="s">
        <v>2257</v>
      </c>
      <c r="C2092" s="110" t="s">
        <v>2279</v>
      </c>
      <c r="D2092" s="110" t="s">
        <v>2283</v>
      </c>
      <c r="E2092" s="110" t="s">
        <v>184</v>
      </c>
      <c r="F2092" s="110" t="s">
        <v>113</v>
      </c>
      <c r="G2092" s="110" t="s">
        <v>114</v>
      </c>
      <c r="H2092" s="111">
        <v>84</v>
      </c>
      <c r="I2092" s="111">
        <v>88</v>
      </c>
      <c r="J2092" s="111">
        <v>91</v>
      </c>
      <c r="K2092" s="111">
        <f t="shared" si="291"/>
        <v>87.666666666666671</v>
      </c>
      <c r="L2092" s="111">
        <v>150000</v>
      </c>
      <c r="M2092" s="111">
        <f t="shared" si="292"/>
        <v>67500</v>
      </c>
      <c r="N2092" s="111">
        <f t="shared" si="293"/>
        <v>67500</v>
      </c>
      <c r="O2092" s="111">
        <f t="shared" si="294"/>
        <v>13500</v>
      </c>
      <c r="P2092" s="111">
        <f t="shared" si="295"/>
        <v>15000</v>
      </c>
      <c r="Q2092" s="111">
        <v>30000</v>
      </c>
      <c r="R2092" s="111">
        <v>3</v>
      </c>
      <c r="S2092" s="111">
        <f t="shared" si="296"/>
        <v>3000</v>
      </c>
      <c r="T2092" s="111">
        <f t="shared" si="297"/>
        <v>180000</v>
      </c>
      <c r="U2092" s="111">
        <f t="shared" si="298"/>
        <v>1800</v>
      </c>
      <c r="V2092" s="111">
        <f t="shared" si="299"/>
        <v>181800</v>
      </c>
      <c r="W2092" t="s">
        <v>4553</v>
      </c>
    </row>
    <row r="2093" spans="1:23" x14ac:dyDescent="0.3">
      <c r="A2093" s="110">
        <v>2602011</v>
      </c>
      <c r="B2093" s="110" t="s">
        <v>2257</v>
      </c>
      <c r="C2093" s="110" t="s">
        <v>2279</v>
      </c>
      <c r="D2093" s="110" t="s">
        <v>2284</v>
      </c>
      <c r="E2093" s="110" t="s">
        <v>2285</v>
      </c>
      <c r="F2093" s="110" t="s">
        <v>113</v>
      </c>
      <c r="G2093" s="110" t="s">
        <v>114</v>
      </c>
      <c r="H2093" s="111">
        <v>122</v>
      </c>
      <c r="I2093" s="111">
        <v>115</v>
      </c>
      <c r="J2093" s="111">
        <v>104</v>
      </c>
      <c r="K2093" s="111">
        <f t="shared" si="291"/>
        <v>113.66666666666667</v>
      </c>
      <c r="L2093" s="111">
        <f>150000*0.7</f>
        <v>105000</v>
      </c>
      <c r="M2093" s="111">
        <f t="shared" si="292"/>
        <v>47250</v>
      </c>
      <c r="N2093" s="111">
        <f t="shared" si="293"/>
        <v>47250</v>
      </c>
      <c r="O2093" s="111">
        <f t="shared" si="294"/>
        <v>9450</v>
      </c>
      <c r="P2093" s="111">
        <f t="shared" si="295"/>
        <v>10500</v>
      </c>
      <c r="Q2093" s="111">
        <v>30000</v>
      </c>
      <c r="R2093" s="111">
        <v>3</v>
      </c>
      <c r="S2093" s="111">
        <f t="shared" si="296"/>
        <v>3000</v>
      </c>
      <c r="T2093" s="111">
        <f t="shared" si="297"/>
        <v>135000</v>
      </c>
      <c r="U2093" s="111">
        <f t="shared" si="298"/>
        <v>1350</v>
      </c>
      <c r="V2093" s="111">
        <f t="shared" si="299"/>
        <v>136350</v>
      </c>
      <c r="W2093" t="s">
        <v>4554</v>
      </c>
    </row>
    <row r="2094" spans="1:23" x14ac:dyDescent="0.3">
      <c r="A2094" s="110">
        <v>2602014</v>
      </c>
      <c r="B2094" s="110" t="s">
        <v>2257</v>
      </c>
      <c r="C2094" s="110" t="s">
        <v>2279</v>
      </c>
      <c r="D2094" s="110" t="s">
        <v>2286</v>
      </c>
      <c r="E2094" s="110" t="s">
        <v>353</v>
      </c>
      <c r="F2094" s="110" t="s">
        <v>113</v>
      </c>
      <c r="G2094" s="110" t="s">
        <v>114</v>
      </c>
      <c r="H2094" s="111">
        <v>100</v>
      </c>
      <c r="I2094" s="111">
        <v>85</v>
      </c>
      <c r="J2094" s="111">
        <v>98</v>
      </c>
      <c r="K2094" s="111">
        <f t="shared" si="291"/>
        <v>94.333333333333329</v>
      </c>
      <c r="L2094" s="111">
        <v>150000</v>
      </c>
      <c r="M2094" s="111">
        <f t="shared" si="292"/>
        <v>67500</v>
      </c>
      <c r="N2094" s="111">
        <f t="shared" si="293"/>
        <v>67500</v>
      </c>
      <c r="O2094" s="111">
        <f t="shared" si="294"/>
        <v>13500</v>
      </c>
      <c r="P2094" s="111">
        <f t="shared" si="295"/>
        <v>15000</v>
      </c>
      <c r="Q2094" s="111">
        <v>30000</v>
      </c>
      <c r="R2094" s="111">
        <v>3</v>
      </c>
      <c r="S2094" s="111">
        <f t="shared" si="296"/>
        <v>3000</v>
      </c>
      <c r="T2094" s="111">
        <f t="shared" si="297"/>
        <v>180000</v>
      </c>
      <c r="U2094" s="111">
        <f t="shared" si="298"/>
        <v>1800</v>
      </c>
      <c r="V2094" s="111">
        <f t="shared" si="299"/>
        <v>181800</v>
      </c>
      <c r="W2094" t="s">
        <v>4555</v>
      </c>
    </row>
    <row r="2095" spans="1:23" x14ac:dyDescent="0.3">
      <c r="A2095" s="110">
        <v>2602016</v>
      </c>
      <c r="B2095" s="110" t="s">
        <v>2257</v>
      </c>
      <c r="C2095" s="110" t="s">
        <v>2279</v>
      </c>
      <c r="D2095" s="110" t="s">
        <v>2287</v>
      </c>
      <c r="E2095" s="110" t="s">
        <v>2266</v>
      </c>
      <c r="F2095" s="110" t="s">
        <v>113</v>
      </c>
      <c r="G2095" s="110" t="s">
        <v>114</v>
      </c>
      <c r="H2095" s="111">
        <v>118</v>
      </c>
      <c r="I2095" s="111">
        <v>110</v>
      </c>
      <c r="J2095" s="111">
        <v>102</v>
      </c>
      <c r="K2095" s="111">
        <f t="shared" si="291"/>
        <v>110</v>
      </c>
      <c r="L2095" s="111">
        <v>150000</v>
      </c>
      <c r="M2095" s="111">
        <f t="shared" si="292"/>
        <v>67500</v>
      </c>
      <c r="N2095" s="111">
        <f t="shared" si="293"/>
        <v>67500</v>
      </c>
      <c r="O2095" s="111">
        <f t="shared" si="294"/>
        <v>13500</v>
      </c>
      <c r="P2095" s="111">
        <f t="shared" si="295"/>
        <v>15000</v>
      </c>
      <c r="Q2095" s="111">
        <v>30000</v>
      </c>
      <c r="R2095" s="111">
        <v>3</v>
      </c>
      <c r="S2095" s="111">
        <f t="shared" si="296"/>
        <v>3000</v>
      </c>
      <c r="T2095" s="111">
        <f t="shared" si="297"/>
        <v>180000</v>
      </c>
      <c r="U2095" s="111">
        <f t="shared" si="298"/>
        <v>1800</v>
      </c>
      <c r="V2095" s="111">
        <f t="shared" si="299"/>
        <v>181800</v>
      </c>
      <c r="W2095" t="s">
        <v>4556</v>
      </c>
    </row>
    <row r="2096" spans="1:23" x14ac:dyDescent="0.3">
      <c r="A2096" s="110">
        <v>2602017</v>
      </c>
      <c r="B2096" s="110" t="s">
        <v>2257</v>
      </c>
      <c r="C2096" s="110" t="s">
        <v>2279</v>
      </c>
      <c r="D2096" s="110" t="s">
        <v>2279</v>
      </c>
      <c r="E2096" s="110" t="s">
        <v>319</v>
      </c>
      <c r="F2096" s="110" t="s">
        <v>113</v>
      </c>
      <c r="G2096" s="110" t="s">
        <v>114</v>
      </c>
      <c r="H2096" s="111">
        <v>115</v>
      </c>
      <c r="I2096" s="111">
        <v>122</v>
      </c>
      <c r="J2096" s="111">
        <v>111</v>
      </c>
      <c r="K2096" s="111">
        <f t="shared" si="291"/>
        <v>116</v>
      </c>
      <c r="L2096" s="111">
        <v>150000</v>
      </c>
      <c r="M2096" s="111">
        <f t="shared" si="292"/>
        <v>67500</v>
      </c>
      <c r="N2096" s="111">
        <f t="shared" si="293"/>
        <v>67500</v>
      </c>
      <c r="O2096" s="111">
        <f t="shared" si="294"/>
        <v>13500</v>
      </c>
      <c r="P2096" s="111">
        <f t="shared" si="295"/>
        <v>15000</v>
      </c>
      <c r="Q2096" s="111">
        <v>30000</v>
      </c>
      <c r="R2096" s="111">
        <v>3</v>
      </c>
      <c r="S2096" s="111">
        <f t="shared" si="296"/>
        <v>3000</v>
      </c>
      <c r="T2096" s="111">
        <f t="shared" si="297"/>
        <v>180000</v>
      </c>
      <c r="U2096" s="111">
        <f t="shared" si="298"/>
        <v>1800</v>
      </c>
      <c r="V2096" s="111">
        <f t="shared" si="299"/>
        <v>181800</v>
      </c>
      <c r="W2096" t="s">
        <v>4557</v>
      </c>
    </row>
    <row r="2097" spans="1:23" x14ac:dyDescent="0.3">
      <c r="A2097" s="110">
        <v>2602018</v>
      </c>
      <c r="B2097" s="110" t="s">
        <v>2257</v>
      </c>
      <c r="C2097" s="110" t="s">
        <v>2279</v>
      </c>
      <c r="D2097" s="110" t="s">
        <v>2279</v>
      </c>
      <c r="E2097" s="110" t="s">
        <v>374</v>
      </c>
      <c r="F2097" s="110" t="s">
        <v>119</v>
      </c>
      <c r="G2097" s="110" t="s">
        <v>114</v>
      </c>
      <c r="H2097" s="111">
        <v>623</v>
      </c>
      <c r="I2097" s="111">
        <v>615</v>
      </c>
      <c r="J2097" s="111">
        <v>623</v>
      </c>
      <c r="K2097" s="111">
        <f t="shared" si="291"/>
        <v>620.33333333333337</v>
      </c>
      <c r="L2097" s="111">
        <f>300000</f>
        <v>300000</v>
      </c>
      <c r="M2097" s="111">
        <f t="shared" si="292"/>
        <v>135000</v>
      </c>
      <c r="N2097" s="111">
        <f t="shared" si="293"/>
        <v>135000</v>
      </c>
      <c r="O2097" s="111">
        <f t="shared" si="294"/>
        <v>27000</v>
      </c>
      <c r="P2097" s="111">
        <f t="shared" si="295"/>
        <v>30000</v>
      </c>
      <c r="Q2097" s="111">
        <v>60000</v>
      </c>
      <c r="R2097" s="111">
        <v>6</v>
      </c>
      <c r="S2097" s="111">
        <f t="shared" si="296"/>
        <v>6000</v>
      </c>
      <c r="T2097" s="111">
        <f t="shared" si="297"/>
        <v>360000</v>
      </c>
      <c r="U2097" s="111">
        <f t="shared" si="298"/>
        <v>3600</v>
      </c>
      <c r="V2097" s="111">
        <f t="shared" si="299"/>
        <v>363600</v>
      </c>
      <c r="W2097" t="s">
        <v>4558</v>
      </c>
    </row>
    <row r="2098" spans="1:23" x14ac:dyDescent="0.3">
      <c r="A2098" s="110">
        <v>2602019</v>
      </c>
      <c r="B2098" s="110" t="s">
        <v>2257</v>
      </c>
      <c r="C2098" s="110" t="s">
        <v>2279</v>
      </c>
      <c r="D2098" s="110" t="s">
        <v>2279</v>
      </c>
      <c r="E2098" s="110" t="s">
        <v>2288</v>
      </c>
      <c r="F2098" s="110" t="s">
        <v>122</v>
      </c>
      <c r="G2098" s="110" t="s">
        <v>114</v>
      </c>
      <c r="H2098" s="111">
        <v>529</v>
      </c>
      <c r="I2098" s="111">
        <v>557</v>
      </c>
      <c r="J2098" s="111">
        <v>562</v>
      </c>
      <c r="K2098" s="111">
        <f t="shared" si="291"/>
        <v>549.33333333333337</v>
      </c>
      <c r="L2098" s="111">
        <f>300000</f>
        <v>300000</v>
      </c>
      <c r="M2098" s="111">
        <f t="shared" si="292"/>
        <v>135000</v>
      </c>
      <c r="N2098" s="111">
        <f t="shared" si="293"/>
        <v>135000</v>
      </c>
      <c r="O2098" s="111">
        <f t="shared" si="294"/>
        <v>27000</v>
      </c>
      <c r="P2098" s="111">
        <f t="shared" si="295"/>
        <v>30000</v>
      </c>
      <c r="Q2098" s="111">
        <v>60000</v>
      </c>
      <c r="R2098" s="111">
        <v>6</v>
      </c>
      <c r="S2098" s="111">
        <f t="shared" si="296"/>
        <v>6000</v>
      </c>
      <c r="T2098" s="111">
        <f t="shared" si="297"/>
        <v>360000</v>
      </c>
      <c r="U2098" s="111">
        <f t="shared" si="298"/>
        <v>3600</v>
      </c>
      <c r="V2098" s="111">
        <f t="shared" si="299"/>
        <v>363600</v>
      </c>
      <c r="W2098" t="s">
        <v>4559</v>
      </c>
    </row>
    <row r="2099" spans="1:23" x14ac:dyDescent="0.3">
      <c r="A2099" s="110">
        <v>2602020</v>
      </c>
      <c r="B2099" s="110" t="s">
        <v>2257</v>
      </c>
      <c r="C2099" s="110" t="s">
        <v>2279</v>
      </c>
      <c r="D2099" s="110" t="s">
        <v>2279</v>
      </c>
      <c r="E2099" s="110" t="s">
        <v>2289</v>
      </c>
      <c r="F2099" s="110" t="s">
        <v>122</v>
      </c>
      <c r="G2099" s="110" t="s">
        <v>114</v>
      </c>
      <c r="H2099" s="111">
        <v>369</v>
      </c>
      <c r="I2099" s="111">
        <v>385</v>
      </c>
      <c r="J2099" s="111">
        <v>390</v>
      </c>
      <c r="K2099" s="111">
        <f t="shared" si="291"/>
        <v>381.33333333333331</v>
      </c>
      <c r="L2099" s="111">
        <v>200000</v>
      </c>
      <c r="M2099" s="111">
        <f t="shared" si="292"/>
        <v>90000</v>
      </c>
      <c r="N2099" s="111">
        <f t="shared" si="293"/>
        <v>90000</v>
      </c>
      <c r="O2099" s="111">
        <f t="shared" si="294"/>
        <v>18000</v>
      </c>
      <c r="P2099" s="111">
        <f t="shared" si="295"/>
        <v>20000</v>
      </c>
      <c r="Q2099" s="111">
        <v>50000</v>
      </c>
      <c r="R2099" s="111">
        <v>5</v>
      </c>
      <c r="S2099" s="111">
        <f t="shared" si="296"/>
        <v>5000</v>
      </c>
      <c r="T2099" s="111">
        <f t="shared" si="297"/>
        <v>250000</v>
      </c>
      <c r="U2099" s="111">
        <f t="shared" si="298"/>
        <v>2500</v>
      </c>
      <c r="V2099" s="111">
        <f t="shared" si="299"/>
        <v>252500</v>
      </c>
      <c r="W2099" t="s">
        <v>4560</v>
      </c>
    </row>
    <row r="2100" spans="1:23" x14ac:dyDescent="0.3">
      <c r="A2100" s="110">
        <v>2602023</v>
      </c>
      <c r="B2100" s="110" t="s">
        <v>2257</v>
      </c>
      <c r="C2100" s="110" t="s">
        <v>2279</v>
      </c>
      <c r="D2100" s="110" t="s">
        <v>2279</v>
      </c>
      <c r="E2100" s="110" t="s">
        <v>689</v>
      </c>
      <c r="F2100" s="110" t="s">
        <v>117</v>
      </c>
      <c r="G2100" s="110" t="s">
        <v>125</v>
      </c>
      <c r="H2100" s="111">
        <v>313</v>
      </c>
      <c r="I2100" s="111">
        <v>333</v>
      </c>
      <c r="J2100" s="111">
        <v>346</v>
      </c>
      <c r="K2100" s="111">
        <f t="shared" si="291"/>
        <v>330.66666666666669</v>
      </c>
      <c r="L2100" s="111">
        <f>200000*0.7</f>
        <v>140000</v>
      </c>
      <c r="M2100" s="111">
        <f t="shared" si="292"/>
        <v>63000</v>
      </c>
      <c r="N2100" s="111">
        <f t="shared" si="293"/>
        <v>63000</v>
      </c>
      <c r="O2100" s="111">
        <f t="shared" si="294"/>
        <v>12600</v>
      </c>
      <c r="P2100" s="111">
        <f t="shared" si="295"/>
        <v>14000</v>
      </c>
      <c r="Q2100" s="111">
        <v>50000</v>
      </c>
      <c r="R2100" s="111">
        <v>5</v>
      </c>
      <c r="S2100" s="111">
        <f t="shared" si="296"/>
        <v>5000</v>
      </c>
      <c r="T2100" s="111">
        <f t="shared" si="297"/>
        <v>190000</v>
      </c>
      <c r="U2100" s="111">
        <f t="shared" si="298"/>
        <v>1900</v>
      </c>
      <c r="V2100" s="111">
        <f t="shared" si="299"/>
        <v>191900</v>
      </c>
      <c r="W2100" t="s">
        <v>4561</v>
      </c>
    </row>
    <row r="2101" spans="1:23" x14ac:dyDescent="0.3">
      <c r="A2101" s="110">
        <v>2603001</v>
      </c>
      <c r="B2101" s="110" t="s">
        <v>2257</v>
      </c>
      <c r="C2101" s="110" t="s">
        <v>2290</v>
      </c>
      <c r="D2101" s="110" t="s">
        <v>2290</v>
      </c>
      <c r="E2101" s="110" t="s">
        <v>540</v>
      </c>
      <c r="F2101" s="110" t="s">
        <v>209</v>
      </c>
      <c r="G2101" s="110" t="s">
        <v>114</v>
      </c>
      <c r="H2101" s="111">
        <v>174</v>
      </c>
      <c r="I2101" s="111">
        <v>148</v>
      </c>
      <c r="J2101" s="111">
        <v>154</v>
      </c>
      <c r="K2101" s="111">
        <f t="shared" si="291"/>
        <v>158.66666666666666</v>
      </c>
      <c r="L2101" s="111">
        <v>150000</v>
      </c>
      <c r="M2101" s="111">
        <f t="shared" si="292"/>
        <v>67500</v>
      </c>
      <c r="N2101" s="111">
        <f t="shared" si="293"/>
        <v>67500</v>
      </c>
      <c r="O2101" s="111">
        <f t="shared" si="294"/>
        <v>13500</v>
      </c>
      <c r="P2101" s="111">
        <f t="shared" si="295"/>
        <v>15000</v>
      </c>
      <c r="Q2101" s="111">
        <v>30000</v>
      </c>
      <c r="R2101" s="111">
        <v>3</v>
      </c>
      <c r="S2101" s="111">
        <f t="shared" si="296"/>
        <v>3000</v>
      </c>
      <c r="T2101" s="111">
        <f t="shared" si="297"/>
        <v>180000</v>
      </c>
      <c r="U2101" s="111">
        <f t="shared" si="298"/>
        <v>1800</v>
      </c>
      <c r="V2101" s="111">
        <f t="shared" si="299"/>
        <v>181800</v>
      </c>
      <c r="W2101" t="s">
        <v>4562</v>
      </c>
    </row>
    <row r="2102" spans="1:23" x14ac:dyDescent="0.3">
      <c r="A2102" s="110">
        <v>2603002</v>
      </c>
      <c r="B2102" s="110" t="s">
        <v>2257</v>
      </c>
      <c r="C2102" s="110" t="s">
        <v>2290</v>
      </c>
      <c r="D2102" s="110" t="s">
        <v>2290</v>
      </c>
      <c r="E2102" s="110" t="s">
        <v>2291</v>
      </c>
      <c r="F2102" s="110" t="s">
        <v>209</v>
      </c>
      <c r="G2102" s="110" t="s">
        <v>114</v>
      </c>
      <c r="H2102" s="111">
        <v>267</v>
      </c>
      <c r="I2102" s="111">
        <v>261</v>
      </c>
      <c r="J2102" s="111">
        <v>262</v>
      </c>
      <c r="K2102" s="111">
        <f t="shared" si="291"/>
        <v>263.33333333333331</v>
      </c>
      <c r="L2102" s="111">
        <f>200000*0.7</f>
        <v>140000</v>
      </c>
      <c r="M2102" s="111">
        <f t="shared" si="292"/>
        <v>63000</v>
      </c>
      <c r="N2102" s="111">
        <f t="shared" si="293"/>
        <v>63000</v>
      </c>
      <c r="O2102" s="111">
        <f t="shared" si="294"/>
        <v>12600</v>
      </c>
      <c r="P2102" s="111">
        <f t="shared" si="295"/>
        <v>14000</v>
      </c>
      <c r="Q2102" s="111">
        <v>50000</v>
      </c>
      <c r="R2102" s="111">
        <v>5</v>
      </c>
      <c r="S2102" s="111">
        <f t="shared" si="296"/>
        <v>5000</v>
      </c>
      <c r="T2102" s="111">
        <f t="shared" si="297"/>
        <v>190000</v>
      </c>
      <c r="U2102" s="111">
        <f t="shared" si="298"/>
        <v>1900</v>
      </c>
      <c r="V2102" s="111">
        <f t="shared" si="299"/>
        <v>191900</v>
      </c>
      <c r="W2102" t="s">
        <v>4563</v>
      </c>
    </row>
    <row r="2103" spans="1:23" x14ac:dyDescent="0.3">
      <c r="A2103" s="110">
        <v>2603003</v>
      </c>
      <c r="B2103" s="110" t="s">
        <v>2257</v>
      </c>
      <c r="C2103" s="110" t="s">
        <v>2290</v>
      </c>
      <c r="D2103" s="110" t="s">
        <v>2292</v>
      </c>
      <c r="E2103" s="110" t="s">
        <v>184</v>
      </c>
      <c r="F2103" s="110" t="s">
        <v>113</v>
      </c>
      <c r="G2103" s="110" t="s">
        <v>114</v>
      </c>
      <c r="H2103" s="111">
        <v>72</v>
      </c>
      <c r="I2103" s="111">
        <v>72</v>
      </c>
      <c r="J2103" s="111">
        <v>65</v>
      </c>
      <c r="K2103" s="111">
        <f t="shared" si="291"/>
        <v>69.666666666666671</v>
      </c>
      <c r="L2103" s="111">
        <v>150000</v>
      </c>
      <c r="M2103" s="111">
        <f t="shared" si="292"/>
        <v>67500</v>
      </c>
      <c r="N2103" s="111">
        <f t="shared" si="293"/>
        <v>67500</v>
      </c>
      <c r="O2103" s="111">
        <f t="shared" si="294"/>
        <v>13500</v>
      </c>
      <c r="P2103" s="111">
        <f t="shared" si="295"/>
        <v>15000</v>
      </c>
      <c r="Q2103" s="111">
        <v>30000</v>
      </c>
      <c r="R2103" s="111">
        <v>3</v>
      </c>
      <c r="S2103" s="111">
        <f t="shared" si="296"/>
        <v>3000</v>
      </c>
      <c r="T2103" s="111">
        <f t="shared" si="297"/>
        <v>180000</v>
      </c>
      <c r="U2103" s="111">
        <f t="shared" si="298"/>
        <v>1800</v>
      </c>
      <c r="V2103" s="111">
        <f t="shared" si="299"/>
        <v>181800</v>
      </c>
      <c r="W2103" t="s">
        <v>4564</v>
      </c>
    </row>
    <row r="2104" spans="1:23" x14ac:dyDescent="0.3">
      <c r="A2104" s="110">
        <v>2603004</v>
      </c>
      <c r="B2104" s="110" t="s">
        <v>2257</v>
      </c>
      <c r="C2104" s="110" t="s">
        <v>2290</v>
      </c>
      <c r="D2104" s="110" t="s">
        <v>1238</v>
      </c>
      <c r="E2104" s="110" t="s">
        <v>2293</v>
      </c>
      <c r="F2104" s="110" t="s">
        <v>113</v>
      </c>
      <c r="G2104" s="110" t="s">
        <v>114</v>
      </c>
      <c r="H2104" s="111">
        <v>80</v>
      </c>
      <c r="I2104" s="111">
        <v>97</v>
      </c>
      <c r="J2104" s="111">
        <v>96</v>
      </c>
      <c r="K2104" s="111">
        <f t="shared" si="291"/>
        <v>91</v>
      </c>
      <c r="L2104" s="111">
        <v>150000</v>
      </c>
      <c r="M2104" s="111">
        <f t="shared" si="292"/>
        <v>67500</v>
      </c>
      <c r="N2104" s="111">
        <f t="shared" si="293"/>
        <v>67500</v>
      </c>
      <c r="O2104" s="111">
        <f t="shared" si="294"/>
        <v>13500</v>
      </c>
      <c r="P2104" s="111">
        <f t="shared" si="295"/>
        <v>15000</v>
      </c>
      <c r="Q2104" s="111">
        <v>30000</v>
      </c>
      <c r="R2104" s="111">
        <v>3</v>
      </c>
      <c r="S2104" s="111">
        <f t="shared" si="296"/>
        <v>3000</v>
      </c>
      <c r="T2104" s="111">
        <f t="shared" si="297"/>
        <v>180000</v>
      </c>
      <c r="U2104" s="111">
        <f t="shared" si="298"/>
        <v>1800</v>
      </c>
      <c r="V2104" s="111">
        <f t="shared" si="299"/>
        <v>181800</v>
      </c>
      <c r="W2104" t="s">
        <v>4565</v>
      </c>
    </row>
    <row r="2105" spans="1:23" x14ac:dyDescent="0.3">
      <c r="A2105" s="110">
        <v>2603005</v>
      </c>
      <c r="B2105" s="110" t="s">
        <v>2257</v>
      </c>
      <c r="C2105" s="110" t="s">
        <v>2290</v>
      </c>
      <c r="D2105" s="110" t="s">
        <v>1569</v>
      </c>
      <c r="E2105" s="110" t="s">
        <v>2294</v>
      </c>
      <c r="F2105" s="110" t="s">
        <v>113</v>
      </c>
      <c r="G2105" s="110" t="s">
        <v>114</v>
      </c>
      <c r="H2105" s="111">
        <v>124</v>
      </c>
      <c r="I2105" s="111">
        <v>108</v>
      </c>
      <c r="J2105" s="111">
        <v>119</v>
      </c>
      <c r="K2105" s="111">
        <f t="shared" si="291"/>
        <v>117</v>
      </c>
      <c r="L2105" s="111">
        <v>150000</v>
      </c>
      <c r="M2105" s="111">
        <f t="shared" si="292"/>
        <v>67500</v>
      </c>
      <c r="N2105" s="111">
        <f t="shared" si="293"/>
        <v>67500</v>
      </c>
      <c r="O2105" s="111">
        <f t="shared" si="294"/>
        <v>13500</v>
      </c>
      <c r="P2105" s="111">
        <f t="shared" si="295"/>
        <v>15000</v>
      </c>
      <c r="Q2105" s="111">
        <v>30000</v>
      </c>
      <c r="R2105" s="111">
        <v>3</v>
      </c>
      <c r="S2105" s="111">
        <f t="shared" si="296"/>
        <v>3000</v>
      </c>
      <c r="T2105" s="111">
        <f t="shared" si="297"/>
        <v>180000</v>
      </c>
      <c r="U2105" s="111">
        <f t="shared" si="298"/>
        <v>1800</v>
      </c>
      <c r="V2105" s="111">
        <f t="shared" si="299"/>
        <v>181800</v>
      </c>
      <c r="W2105" t="s">
        <v>4566</v>
      </c>
    </row>
    <row r="2106" spans="1:23" x14ac:dyDescent="0.3">
      <c r="A2106" s="110">
        <v>2603006</v>
      </c>
      <c r="B2106" s="110" t="s">
        <v>2257</v>
      </c>
      <c r="C2106" s="110" t="s">
        <v>2290</v>
      </c>
      <c r="D2106" s="110" t="s">
        <v>2295</v>
      </c>
      <c r="E2106" s="110" t="s">
        <v>184</v>
      </c>
      <c r="F2106" s="110" t="s">
        <v>113</v>
      </c>
      <c r="G2106" s="110" t="s">
        <v>114</v>
      </c>
      <c r="H2106" s="111">
        <v>118</v>
      </c>
      <c r="I2106" s="111">
        <v>99</v>
      </c>
      <c r="J2106" s="111">
        <v>94</v>
      </c>
      <c r="K2106" s="111">
        <f t="shared" si="291"/>
        <v>103.66666666666667</v>
      </c>
      <c r="L2106" s="111">
        <v>150000</v>
      </c>
      <c r="M2106" s="111">
        <f t="shared" si="292"/>
        <v>67500</v>
      </c>
      <c r="N2106" s="111">
        <f t="shared" si="293"/>
        <v>67500</v>
      </c>
      <c r="O2106" s="111">
        <f t="shared" si="294"/>
        <v>13500</v>
      </c>
      <c r="P2106" s="111">
        <f t="shared" si="295"/>
        <v>15000</v>
      </c>
      <c r="Q2106" s="111">
        <v>30000</v>
      </c>
      <c r="R2106" s="111">
        <v>3</v>
      </c>
      <c r="S2106" s="111">
        <f t="shared" si="296"/>
        <v>3000</v>
      </c>
      <c r="T2106" s="111">
        <f t="shared" si="297"/>
        <v>180000</v>
      </c>
      <c r="U2106" s="111">
        <f t="shared" si="298"/>
        <v>1800</v>
      </c>
      <c r="V2106" s="111">
        <f t="shared" si="299"/>
        <v>181800</v>
      </c>
      <c r="W2106" t="s">
        <v>4567</v>
      </c>
    </row>
    <row r="2107" spans="1:23" x14ac:dyDescent="0.3">
      <c r="A2107" s="110">
        <v>2603007</v>
      </c>
      <c r="B2107" s="110" t="s">
        <v>2257</v>
      </c>
      <c r="C2107" s="110" t="s">
        <v>2290</v>
      </c>
      <c r="D2107" s="110" t="s">
        <v>2290</v>
      </c>
      <c r="E2107" s="110" t="s">
        <v>320</v>
      </c>
      <c r="F2107" s="110" t="s">
        <v>113</v>
      </c>
      <c r="G2107" s="110" t="s">
        <v>114</v>
      </c>
      <c r="H2107" s="111">
        <v>439</v>
      </c>
      <c r="I2107" s="111">
        <v>455</v>
      </c>
      <c r="J2107" s="111">
        <v>473</v>
      </c>
      <c r="K2107" s="111">
        <f t="shared" si="291"/>
        <v>455.66666666666669</v>
      </c>
      <c r="L2107" s="111">
        <f>300000</f>
        <v>300000</v>
      </c>
      <c r="M2107" s="111">
        <f t="shared" si="292"/>
        <v>135000</v>
      </c>
      <c r="N2107" s="111">
        <f t="shared" si="293"/>
        <v>135000</v>
      </c>
      <c r="O2107" s="111">
        <f t="shared" si="294"/>
        <v>27000</v>
      </c>
      <c r="P2107" s="111">
        <f t="shared" si="295"/>
        <v>30000</v>
      </c>
      <c r="Q2107" s="111">
        <v>60000</v>
      </c>
      <c r="R2107" s="111">
        <v>6</v>
      </c>
      <c r="S2107" s="111">
        <f t="shared" si="296"/>
        <v>6000</v>
      </c>
      <c r="T2107" s="111">
        <f t="shared" si="297"/>
        <v>360000</v>
      </c>
      <c r="U2107" s="111">
        <f t="shared" si="298"/>
        <v>3600</v>
      </c>
      <c r="V2107" s="111">
        <f t="shared" si="299"/>
        <v>363600</v>
      </c>
      <c r="W2107" t="s">
        <v>4568</v>
      </c>
    </row>
    <row r="2108" spans="1:23" x14ac:dyDescent="0.3">
      <c r="A2108" s="110">
        <v>2603008</v>
      </c>
      <c r="B2108" s="110" t="s">
        <v>2257</v>
      </c>
      <c r="C2108" s="110" t="s">
        <v>2290</v>
      </c>
      <c r="D2108" s="110" t="s">
        <v>2290</v>
      </c>
      <c r="E2108" s="110" t="s">
        <v>245</v>
      </c>
      <c r="F2108" s="110" t="s">
        <v>119</v>
      </c>
      <c r="G2108" s="110" t="s">
        <v>114</v>
      </c>
      <c r="H2108" s="111">
        <v>734</v>
      </c>
      <c r="I2108" s="111">
        <v>713</v>
      </c>
      <c r="J2108" s="111">
        <v>692</v>
      </c>
      <c r="K2108" s="111">
        <f t="shared" si="291"/>
        <v>713</v>
      </c>
      <c r="L2108" s="111">
        <f>300000*0.7</f>
        <v>210000</v>
      </c>
      <c r="M2108" s="111">
        <f t="shared" si="292"/>
        <v>94500</v>
      </c>
      <c r="N2108" s="111">
        <f t="shared" si="293"/>
        <v>94500</v>
      </c>
      <c r="O2108" s="111">
        <f t="shared" si="294"/>
        <v>18900</v>
      </c>
      <c r="P2108" s="111">
        <f t="shared" si="295"/>
        <v>21000</v>
      </c>
      <c r="Q2108" s="111">
        <v>60000</v>
      </c>
      <c r="R2108" s="111">
        <v>6</v>
      </c>
      <c r="S2108" s="111">
        <f t="shared" si="296"/>
        <v>6000</v>
      </c>
      <c r="T2108" s="111">
        <f t="shared" si="297"/>
        <v>270000</v>
      </c>
      <c r="U2108" s="111">
        <f t="shared" si="298"/>
        <v>2700</v>
      </c>
      <c r="V2108" s="111">
        <f t="shared" si="299"/>
        <v>272700</v>
      </c>
      <c r="W2108" t="s">
        <v>4569</v>
      </c>
    </row>
    <row r="2109" spans="1:23" x14ac:dyDescent="0.3">
      <c r="A2109" s="110">
        <v>2603009</v>
      </c>
      <c r="B2109" s="110" t="s">
        <v>2257</v>
      </c>
      <c r="C2109" s="110" t="s">
        <v>2290</v>
      </c>
      <c r="D2109" s="110" t="s">
        <v>2290</v>
      </c>
      <c r="E2109" s="110" t="s">
        <v>2296</v>
      </c>
      <c r="F2109" s="110" t="s">
        <v>117</v>
      </c>
      <c r="G2109" s="110" t="s">
        <v>125</v>
      </c>
      <c r="H2109" s="111">
        <v>224</v>
      </c>
      <c r="I2109" s="111">
        <v>226</v>
      </c>
      <c r="J2109" s="111">
        <v>216</v>
      </c>
      <c r="K2109" s="111">
        <f t="shared" si="291"/>
        <v>222</v>
      </c>
      <c r="L2109" s="111">
        <f>200000</f>
        <v>200000</v>
      </c>
      <c r="M2109" s="111">
        <f t="shared" si="292"/>
        <v>90000</v>
      </c>
      <c r="N2109" s="111">
        <f t="shared" si="293"/>
        <v>90000</v>
      </c>
      <c r="O2109" s="111">
        <f t="shared" si="294"/>
        <v>18000</v>
      </c>
      <c r="P2109" s="111">
        <f t="shared" si="295"/>
        <v>20000</v>
      </c>
      <c r="Q2109" s="111">
        <v>50000</v>
      </c>
      <c r="R2109" s="111">
        <v>5</v>
      </c>
      <c r="S2109" s="111">
        <f t="shared" si="296"/>
        <v>5000</v>
      </c>
      <c r="T2109" s="111">
        <f t="shared" si="297"/>
        <v>250000</v>
      </c>
      <c r="U2109" s="111">
        <f t="shared" si="298"/>
        <v>2500</v>
      </c>
      <c r="V2109" s="111">
        <f t="shared" si="299"/>
        <v>252500</v>
      </c>
      <c r="W2109" t="s">
        <v>4570</v>
      </c>
    </row>
    <row r="2110" spans="1:23" x14ac:dyDescent="0.3">
      <c r="A2110" s="110">
        <v>2603010</v>
      </c>
      <c r="B2110" s="110" t="s">
        <v>2257</v>
      </c>
      <c r="C2110" s="110" t="s">
        <v>2290</v>
      </c>
      <c r="D2110" s="110" t="s">
        <v>2290</v>
      </c>
      <c r="E2110" s="110" t="s">
        <v>2297</v>
      </c>
      <c r="F2110" s="110" t="s">
        <v>135</v>
      </c>
      <c r="G2110" s="110" t="s">
        <v>125</v>
      </c>
      <c r="H2110" s="111">
        <v>116</v>
      </c>
      <c r="I2110" s="111">
        <v>113</v>
      </c>
      <c r="J2110" s="111">
        <v>122</v>
      </c>
      <c r="K2110" s="111">
        <f t="shared" si="291"/>
        <v>117</v>
      </c>
      <c r="L2110" s="111">
        <v>150000</v>
      </c>
      <c r="M2110" s="111">
        <f t="shared" si="292"/>
        <v>67500</v>
      </c>
      <c r="N2110" s="111">
        <f t="shared" si="293"/>
        <v>67500</v>
      </c>
      <c r="O2110" s="111">
        <f t="shared" si="294"/>
        <v>13500</v>
      </c>
      <c r="P2110" s="111">
        <f t="shared" si="295"/>
        <v>15000</v>
      </c>
      <c r="Q2110" s="111">
        <v>30000</v>
      </c>
      <c r="R2110" s="111">
        <v>3</v>
      </c>
      <c r="S2110" s="111">
        <f t="shared" si="296"/>
        <v>3000</v>
      </c>
      <c r="T2110" s="111">
        <f t="shared" si="297"/>
        <v>180000</v>
      </c>
      <c r="U2110" s="111">
        <f t="shared" si="298"/>
        <v>1800</v>
      </c>
      <c r="V2110" s="111">
        <f t="shared" si="299"/>
        <v>181800</v>
      </c>
      <c r="W2110" t="s">
        <v>4571</v>
      </c>
    </row>
    <row r="2111" spans="1:23" x14ac:dyDescent="0.3">
      <c r="A2111" s="110">
        <v>2604001</v>
      </c>
      <c r="B2111" s="110" t="s">
        <v>2257</v>
      </c>
      <c r="C2111" s="110" t="s">
        <v>2298</v>
      </c>
      <c r="D2111" s="110" t="s">
        <v>2298</v>
      </c>
      <c r="E2111" s="110" t="s">
        <v>2299</v>
      </c>
      <c r="F2111" s="110" t="s">
        <v>209</v>
      </c>
      <c r="G2111" s="110" t="s">
        <v>114</v>
      </c>
      <c r="H2111" s="111">
        <v>177</v>
      </c>
      <c r="I2111" s="111">
        <v>163</v>
      </c>
      <c r="J2111" s="111">
        <v>150</v>
      </c>
      <c r="K2111" s="111">
        <f t="shared" si="291"/>
        <v>163.33333333333334</v>
      </c>
      <c r="L2111" s="111">
        <v>150000</v>
      </c>
      <c r="M2111" s="111">
        <f t="shared" si="292"/>
        <v>67500</v>
      </c>
      <c r="N2111" s="111">
        <f t="shared" si="293"/>
        <v>67500</v>
      </c>
      <c r="O2111" s="111">
        <f t="shared" si="294"/>
        <v>13500</v>
      </c>
      <c r="P2111" s="111">
        <f t="shared" si="295"/>
        <v>15000</v>
      </c>
      <c r="Q2111" s="111">
        <v>30000</v>
      </c>
      <c r="R2111" s="111">
        <v>3</v>
      </c>
      <c r="S2111" s="111">
        <f t="shared" si="296"/>
        <v>3000</v>
      </c>
      <c r="T2111" s="111">
        <f t="shared" si="297"/>
        <v>180000</v>
      </c>
      <c r="U2111" s="111">
        <f t="shared" si="298"/>
        <v>1800</v>
      </c>
      <c r="V2111" s="111">
        <f t="shared" si="299"/>
        <v>181800</v>
      </c>
      <c r="W2111" t="s">
        <v>4572</v>
      </c>
    </row>
    <row r="2112" spans="1:23" x14ac:dyDescent="0.3">
      <c r="A2112" s="110">
        <v>2604003</v>
      </c>
      <c r="B2112" s="110" t="s">
        <v>2257</v>
      </c>
      <c r="C2112" s="110" t="s">
        <v>2298</v>
      </c>
      <c r="D2112" s="110" t="s">
        <v>2298</v>
      </c>
      <c r="E2112" s="110" t="s">
        <v>2300</v>
      </c>
      <c r="F2112" s="110" t="s">
        <v>113</v>
      </c>
      <c r="G2112" s="110" t="s">
        <v>114</v>
      </c>
      <c r="H2112" s="111">
        <v>171</v>
      </c>
      <c r="I2112" s="111">
        <v>160</v>
      </c>
      <c r="J2112" s="111">
        <v>163</v>
      </c>
      <c r="K2112" s="111">
        <f t="shared" si="291"/>
        <v>164.66666666666666</v>
      </c>
      <c r="L2112" s="111">
        <v>150000</v>
      </c>
      <c r="M2112" s="111">
        <f t="shared" si="292"/>
        <v>67500</v>
      </c>
      <c r="N2112" s="111">
        <f t="shared" si="293"/>
        <v>67500</v>
      </c>
      <c r="O2112" s="111">
        <f t="shared" si="294"/>
        <v>13500</v>
      </c>
      <c r="P2112" s="111">
        <f t="shared" si="295"/>
        <v>15000</v>
      </c>
      <c r="Q2112" s="111">
        <v>30000</v>
      </c>
      <c r="R2112" s="111">
        <v>3</v>
      </c>
      <c r="S2112" s="111">
        <f t="shared" si="296"/>
        <v>3000</v>
      </c>
      <c r="T2112" s="111">
        <f t="shared" si="297"/>
        <v>180000</v>
      </c>
      <c r="U2112" s="111">
        <f t="shared" si="298"/>
        <v>1800</v>
      </c>
      <c r="V2112" s="111">
        <f t="shared" si="299"/>
        <v>181800</v>
      </c>
      <c r="W2112" t="s">
        <v>4573</v>
      </c>
    </row>
    <row r="2113" spans="1:23" x14ac:dyDescent="0.3">
      <c r="A2113" s="110">
        <v>2604004</v>
      </c>
      <c r="B2113" s="110" t="s">
        <v>2257</v>
      </c>
      <c r="C2113" s="110" t="s">
        <v>2298</v>
      </c>
      <c r="D2113" s="110" t="s">
        <v>2298</v>
      </c>
      <c r="E2113" s="110" t="s">
        <v>274</v>
      </c>
      <c r="F2113" s="110" t="s">
        <v>119</v>
      </c>
      <c r="G2113" s="110" t="s">
        <v>114</v>
      </c>
      <c r="H2113" s="111">
        <v>424</v>
      </c>
      <c r="I2113" s="111">
        <v>426</v>
      </c>
      <c r="J2113" s="111">
        <v>434</v>
      </c>
      <c r="K2113" s="111">
        <f t="shared" si="291"/>
        <v>428</v>
      </c>
      <c r="L2113" s="111">
        <f>300000</f>
        <v>300000</v>
      </c>
      <c r="M2113" s="111">
        <f t="shared" si="292"/>
        <v>135000</v>
      </c>
      <c r="N2113" s="111">
        <f t="shared" si="293"/>
        <v>135000</v>
      </c>
      <c r="O2113" s="111">
        <f t="shared" si="294"/>
        <v>27000</v>
      </c>
      <c r="P2113" s="111">
        <f t="shared" si="295"/>
        <v>30000</v>
      </c>
      <c r="Q2113" s="111">
        <v>60000</v>
      </c>
      <c r="R2113" s="111">
        <v>6</v>
      </c>
      <c r="S2113" s="111">
        <f t="shared" si="296"/>
        <v>6000</v>
      </c>
      <c r="T2113" s="111">
        <f t="shared" si="297"/>
        <v>360000</v>
      </c>
      <c r="U2113" s="111">
        <f t="shared" si="298"/>
        <v>3600</v>
      </c>
      <c r="V2113" s="111">
        <f t="shared" si="299"/>
        <v>363600</v>
      </c>
      <c r="W2113" t="s">
        <v>4574</v>
      </c>
    </row>
    <row r="2114" spans="1:23" x14ac:dyDescent="0.3">
      <c r="A2114" s="110">
        <v>2605001</v>
      </c>
      <c r="B2114" s="110" t="s">
        <v>2257</v>
      </c>
      <c r="C2114" s="110" t="s">
        <v>2301</v>
      </c>
      <c r="D2114" s="110" t="s">
        <v>2301</v>
      </c>
      <c r="E2114" s="110" t="s">
        <v>2302</v>
      </c>
      <c r="F2114" s="110" t="s">
        <v>209</v>
      </c>
      <c r="G2114" s="110" t="s">
        <v>114</v>
      </c>
      <c r="H2114" s="111">
        <v>53</v>
      </c>
      <c r="I2114" s="111">
        <v>44</v>
      </c>
      <c r="J2114" s="111">
        <v>43</v>
      </c>
      <c r="K2114" s="111">
        <f t="shared" ref="K2114:K2177" si="300">+(H2114+I2114+J2114)/3</f>
        <v>46.666666666666664</v>
      </c>
      <c r="L2114" s="111">
        <v>50000</v>
      </c>
      <c r="M2114" s="111">
        <f t="shared" ref="M2114:M2177" si="301">+L2114*0.45</f>
        <v>22500</v>
      </c>
      <c r="N2114" s="111">
        <f t="shared" ref="N2114:N2177" si="302">+L2114*0.45</f>
        <v>22500</v>
      </c>
      <c r="O2114" s="111">
        <f t="shared" ref="O2114:O2177" si="303">+N2114*0.2</f>
        <v>4500</v>
      </c>
      <c r="P2114" s="111">
        <f t="shared" ref="P2114:P2177" si="304">++L2114*0.1</f>
        <v>5000</v>
      </c>
      <c r="Q2114" s="111">
        <v>10000</v>
      </c>
      <c r="R2114" s="111">
        <v>1</v>
      </c>
      <c r="S2114" s="111">
        <f t="shared" ref="S2114:S2177" si="305">+Q2114*0.1</f>
        <v>1000</v>
      </c>
      <c r="T2114" s="111">
        <f t="shared" ref="T2114:T2177" si="306">+L2114+Q2114</f>
        <v>60000</v>
      </c>
      <c r="U2114" s="111">
        <f t="shared" ref="U2114:U2177" si="307">+T2114*0.01</f>
        <v>600</v>
      </c>
      <c r="V2114" s="111">
        <f t="shared" ref="V2114:V2177" si="308">+T2114+U2114</f>
        <v>60600</v>
      </c>
      <c r="W2114" t="s">
        <v>4575</v>
      </c>
    </row>
    <row r="2115" spans="1:23" x14ac:dyDescent="0.3">
      <c r="A2115" s="110">
        <v>2605002</v>
      </c>
      <c r="B2115" s="110" t="s">
        <v>2257</v>
      </c>
      <c r="C2115" s="110" t="s">
        <v>2301</v>
      </c>
      <c r="D2115" s="110" t="s">
        <v>2301</v>
      </c>
      <c r="E2115" s="110" t="s">
        <v>2303</v>
      </c>
      <c r="F2115" s="110" t="s">
        <v>113</v>
      </c>
      <c r="G2115" s="110" t="s">
        <v>114</v>
      </c>
      <c r="H2115" s="111">
        <v>623</v>
      </c>
      <c r="I2115" s="111">
        <v>620</v>
      </c>
      <c r="J2115" s="111">
        <v>602</v>
      </c>
      <c r="K2115" s="111">
        <f t="shared" si="300"/>
        <v>615</v>
      </c>
      <c r="L2115" s="111">
        <f>300000</f>
        <v>300000</v>
      </c>
      <c r="M2115" s="111">
        <f t="shared" si="301"/>
        <v>135000</v>
      </c>
      <c r="N2115" s="111">
        <f t="shared" si="302"/>
        <v>135000</v>
      </c>
      <c r="O2115" s="111">
        <f t="shared" si="303"/>
        <v>27000</v>
      </c>
      <c r="P2115" s="111">
        <f t="shared" si="304"/>
        <v>30000</v>
      </c>
      <c r="Q2115" s="111">
        <v>60000</v>
      </c>
      <c r="R2115" s="111">
        <v>6</v>
      </c>
      <c r="S2115" s="111">
        <f t="shared" si="305"/>
        <v>6000</v>
      </c>
      <c r="T2115" s="111">
        <f t="shared" si="306"/>
        <v>360000</v>
      </c>
      <c r="U2115" s="111">
        <f t="shared" si="307"/>
        <v>3600</v>
      </c>
      <c r="V2115" s="111">
        <f t="shared" si="308"/>
        <v>363600</v>
      </c>
      <c r="W2115" t="s">
        <v>4576</v>
      </c>
    </row>
    <row r="2116" spans="1:23" x14ac:dyDescent="0.3">
      <c r="A2116" s="110">
        <v>2605003</v>
      </c>
      <c r="B2116" s="110" t="s">
        <v>2257</v>
      </c>
      <c r="C2116" s="110" t="s">
        <v>2301</v>
      </c>
      <c r="D2116" s="110" t="s">
        <v>2301</v>
      </c>
      <c r="E2116" s="110" t="s">
        <v>310</v>
      </c>
      <c r="F2116" s="110" t="s">
        <v>113</v>
      </c>
      <c r="G2116" s="110" t="s">
        <v>114</v>
      </c>
      <c r="H2116" s="111">
        <v>153</v>
      </c>
      <c r="I2116" s="111">
        <v>148</v>
      </c>
      <c r="J2116" s="111">
        <v>143</v>
      </c>
      <c r="K2116" s="111">
        <f t="shared" si="300"/>
        <v>148</v>
      </c>
      <c r="L2116" s="111">
        <v>150000</v>
      </c>
      <c r="M2116" s="111">
        <f t="shared" si="301"/>
        <v>67500</v>
      </c>
      <c r="N2116" s="111">
        <f t="shared" si="302"/>
        <v>67500</v>
      </c>
      <c r="O2116" s="111">
        <f t="shared" si="303"/>
        <v>13500</v>
      </c>
      <c r="P2116" s="111">
        <f t="shared" si="304"/>
        <v>15000</v>
      </c>
      <c r="Q2116" s="111">
        <v>30000</v>
      </c>
      <c r="R2116" s="111">
        <v>3</v>
      </c>
      <c r="S2116" s="111">
        <f t="shared" si="305"/>
        <v>3000</v>
      </c>
      <c r="T2116" s="111">
        <f t="shared" si="306"/>
        <v>180000</v>
      </c>
      <c r="U2116" s="111">
        <f t="shared" si="307"/>
        <v>1800</v>
      </c>
      <c r="V2116" s="111">
        <f t="shared" si="308"/>
        <v>181800</v>
      </c>
      <c r="W2116" t="s">
        <v>4577</v>
      </c>
    </row>
    <row r="2117" spans="1:23" x14ac:dyDescent="0.3">
      <c r="A2117" s="110">
        <v>2605005</v>
      </c>
      <c r="B2117" s="110" t="s">
        <v>2257</v>
      </c>
      <c r="C2117" s="110" t="s">
        <v>2301</v>
      </c>
      <c r="D2117" s="110" t="s">
        <v>2304</v>
      </c>
      <c r="E2117" s="110" t="s">
        <v>184</v>
      </c>
      <c r="F2117" s="110" t="s">
        <v>113</v>
      </c>
      <c r="G2117" s="110" t="s">
        <v>114</v>
      </c>
      <c r="H2117" s="111">
        <v>96</v>
      </c>
      <c r="I2117" s="111">
        <v>100</v>
      </c>
      <c r="J2117" s="111">
        <v>90</v>
      </c>
      <c r="K2117" s="111">
        <f t="shared" si="300"/>
        <v>95.333333333333329</v>
      </c>
      <c r="L2117" s="111">
        <v>150000</v>
      </c>
      <c r="M2117" s="111">
        <f t="shared" si="301"/>
        <v>67500</v>
      </c>
      <c r="N2117" s="111">
        <f t="shared" si="302"/>
        <v>67500</v>
      </c>
      <c r="O2117" s="111">
        <f t="shared" si="303"/>
        <v>13500</v>
      </c>
      <c r="P2117" s="111">
        <f t="shared" si="304"/>
        <v>15000</v>
      </c>
      <c r="Q2117" s="111">
        <v>30000</v>
      </c>
      <c r="R2117" s="111">
        <v>3</v>
      </c>
      <c r="S2117" s="111">
        <f t="shared" si="305"/>
        <v>3000</v>
      </c>
      <c r="T2117" s="111">
        <f t="shared" si="306"/>
        <v>180000</v>
      </c>
      <c r="U2117" s="111">
        <f t="shared" si="307"/>
        <v>1800</v>
      </c>
      <c r="V2117" s="111">
        <f t="shared" si="308"/>
        <v>181800</v>
      </c>
      <c r="W2117" t="s">
        <v>4578</v>
      </c>
    </row>
    <row r="2118" spans="1:23" x14ac:dyDescent="0.3">
      <c r="A2118" s="110">
        <v>2605008</v>
      </c>
      <c r="B2118" s="110" t="s">
        <v>2257</v>
      </c>
      <c r="C2118" s="110" t="s">
        <v>2301</v>
      </c>
      <c r="D2118" s="110" t="s">
        <v>2301</v>
      </c>
      <c r="E2118" s="110" t="s">
        <v>1032</v>
      </c>
      <c r="F2118" s="110" t="s">
        <v>119</v>
      </c>
      <c r="G2118" s="110" t="s">
        <v>114</v>
      </c>
      <c r="H2118" s="111">
        <v>804</v>
      </c>
      <c r="I2118" s="111">
        <v>817</v>
      </c>
      <c r="J2118" s="111">
        <v>816</v>
      </c>
      <c r="K2118" s="111">
        <f t="shared" si="300"/>
        <v>812.33333333333337</v>
      </c>
      <c r="L2118" s="111">
        <f>300000*0.7</f>
        <v>210000</v>
      </c>
      <c r="M2118" s="111">
        <f t="shared" si="301"/>
        <v>94500</v>
      </c>
      <c r="N2118" s="111">
        <f t="shared" si="302"/>
        <v>94500</v>
      </c>
      <c r="O2118" s="111">
        <f t="shared" si="303"/>
        <v>18900</v>
      </c>
      <c r="P2118" s="111">
        <f t="shared" si="304"/>
        <v>21000</v>
      </c>
      <c r="Q2118" s="111">
        <v>60000</v>
      </c>
      <c r="R2118" s="111">
        <v>6</v>
      </c>
      <c r="S2118" s="111">
        <f t="shared" si="305"/>
        <v>6000</v>
      </c>
      <c r="T2118" s="111">
        <f t="shared" si="306"/>
        <v>270000</v>
      </c>
      <c r="U2118" s="111">
        <f t="shared" si="307"/>
        <v>2700</v>
      </c>
      <c r="V2118" s="111">
        <f t="shared" si="308"/>
        <v>272700</v>
      </c>
      <c r="W2118" t="s">
        <v>4579</v>
      </c>
    </row>
    <row r="2119" spans="1:23" x14ac:dyDescent="0.3">
      <c r="A2119" s="110">
        <v>2605010</v>
      </c>
      <c r="B2119" s="110" t="s">
        <v>2257</v>
      </c>
      <c r="C2119" s="110" t="s">
        <v>2301</v>
      </c>
      <c r="D2119" s="110" t="s">
        <v>2301</v>
      </c>
      <c r="E2119" s="110" t="s">
        <v>2305</v>
      </c>
      <c r="F2119" s="110" t="s">
        <v>135</v>
      </c>
      <c r="G2119" s="110" t="s">
        <v>125</v>
      </c>
      <c r="H2119" s="111">
        <v>83</v>
      </c>
      <c r="I2119" s="111">
        <v>65</v>
      </c>
      <c r="J2119" s="111">
        <v>57</v>
      </c>
      <c r="K2119" s="111">
        <f t="shared" si="300"/>
        <v>68.333333333333329</v>
      </c>
      <c r="L2119" s="111">
        <v>150000</v>
      </c>
      <c r="M2119" s="111">
        <f t="shared" si="301"/>
        <v>67500</v>
      </c>
      <c r="N2119" s="111">
        <f t="shared" si="302"/>
        <v>67500</v>
      </c>
      <c r="O2119" s="111">
        <f t="shared" si="303"/>
        <v>13500</v>
      </c>
      <c r="P2119" s="111">
        <f t="shared" si="304"/>
        <v>15000</v>
      </c>
      <c r="Q2119" s="111">
        <v>30000</v>
      </c>
      <c r="R2119" s="111">
        <v>3</v>
      </c>
      <c r="S2119" s="111">
        <f t="shared" si="305"/>
        <v>3000</v>
      </c>
      <c r="T2119" s="111">
        <f t="shared" si="306"/>
        <v>180000</v>
      </c>
      <c r="U2119" s="111">
        <f t="shared" si="307"/>
        <v>1800</v>
      </c>
      <c r="V2119" s="111">
        <f t="shared" si="308"/>
        <v>181800</v>
      </c>
      <c r="W2119" t="s">
        <v>4580</v>
      </c>
    </row>
    <row r="2120" spans="1:23" x14ac:dyDescent="0.3">
      <c r="A2120" s="110">
        <v>2605016</v>
      </c>
      <c r="B2120" s="110" t="s">
        <v>2257</v>
      </c>
      <c r="C2120" s="110" t="s">
        <v>2301</v>
      </c>
      <c r="D2120" s="110" t="s">
        <v>2301</v>
      </c>
      <c r="E2120" s="110" t="s">
        <v>2306</v>
      </c>
      <c r="F2120" s="110" t="s">
        <v>117</v>
      </c>
      <c r="G2120" s="110" t="s">
        <v>114</v>
      </c>
      <c r="H2120" s="111">
        <v>378</v>
      </c>
      <c r="I2120" s="111">
        <v>425</v>
      </c>
      <c r="J2120" s="111">
        <v>442</v>
      </c>
      <c r="K2120" s="111">
        <f t="shared" si="300"/>
        <v>415</v>
      </c>
      <c r="L2120" s="111">
        <f>300000</f>
        <v>300000</v>
      </c>
      <c r="M2120" s="111">
        <f t="shared" si="301"/>
        <v>135000</v>
      </c>
      <c r="N2120" s="111">
        <f t="shared" si="302"/>
        <v>135000</v>
      </c>
      <c r="O2120" s="111">
        <f t="shared" si="303"/>
        <v>27000</v>
      </c>
      <c r="P2120" s="111">
        <f t="shared" si="304"/>
        <v>30000</v>
      </c>
      <c r="Q2120" s="111">
        <v>60000</v>
      </c>
      <c r="R2120" s="111">
        <v>6</v>
      </c>
      <c r="S2120" s="111">
        <f t="shared" si="305"/>
        <v>6000</v>
      </c>
      <c r="T2120" s="111">
        <f t="shared" si="306"/>
        <v>360000</v>
      </c>
      <c r="U2120" s="111">
        <f t="shared" si="307"/>
        <v>3600</v>
      </c>
      <c r="V2120" s="111">
        <f t="shared" si="308"/>
        <v>363600</v>
      </c>
      <c r="W2120" t="s">
        <v>4581</v>
      </c>
    </row>
    <row r="2121" spans="1:23" x14ac:dyDescent="0.3">
      <c r="A2121" s="110">
        <v>2606001</v>
      </c>
      <c r="B2121" s="110" t="s">
        <v>2257</v>
      </c>
      <c r="C2121" s="110" t="s">
        <v>2307</v>
      </c>
      <c r="D2121" s="110" t="s">
        <v>2307</v>
      </c>
      <c r="E2121" s="110" t="s">
        <v>2308</v>
      </c>
      <c r="F2121" s="110" t="s">
        <v>209</v>
      </c>
      <c r="G2121" s="110" t="s">
        <v>114</v>
      </c>
      <c r="H2121" s="111">
        <v>156</v>
      </c>
      <c r="I2121" s="111">
        <v>159</v>
      </c>
      <c r="J2121" s="111">
        <v>157</v>
      </c>
      <c r="K2121" s="111">
        <f t="shared" si="300"/>
        <v>157.33333333333334</v>
      </c>
      <c r="L2121" s="111">
        <v>150000</v>
      </c>
      <c r="M2121" s="111">
        <f t="shared" si="301"/>
        <v>67500</v>
      </c>
      <c r="N2121" s="111">
        <f t="shared" si="302"/>
        <v>67500</v>
      </c>
      <c r="O2121" s="111">
        <f t="shared" si="303"/>
        <v>13500</v>
      </c>
      <c r="P2121" s="111">
        <f t="shared" si="304"/>
        <v>15000</v>
      </c>
      <c r="Q2121" s="111">
        <v>30000</v>
      </c>
      <c r="R2121" s="111">
        <v>3</v>
      </c>
      <c r="S2121" s="111">
        <f t="shared" si="305"/>
        <v>3000</v>
      </c>
      <c r="T2121" s="111">
        <f t="shared" si="306"/>
        <v>180000</v>
      </c>
      <c r="U2121" s="111">
        <f t="shared" si="307"/>
        <v>1800</v>
      </c>
      <c r="V2121" s="111">
        <f t="shared" si="308"/>
        <v>181800</v>
      </c>
      <c r="W2121" t="s">
        <v>4582</v>
      </c>
    </row>
    <row r="2122" spans="1:23" x14ac:dyDescent="0.3">
      <c r="A2122" s="110">
        <v>2606002</v>
      </c>
      <c r="B2122" s="110" t="s">
        <v>2257</v>
      </c>
      <c r="C2122" s="110" t="s">
        <v>2307</v>
      </c>
      <c r="D2122" s="110" t="s">
        <v>2307</v>
      </c>
      <c r="E2122" s="110" t="s">
        <v>646</v>
      </c>
      <c r="F2122" s="110" t="s">
        <v>209</v>
      </c>
      <c r="G2122" s="110" t="s">
        <v>114</v>
      </c>
      <c r="H2122" s="111">
        <v>189</v>
      </c>
      <c r="I2122" s="111">
        <v>172</v>
      </c>
      <c r="J2122" s="111">
        <v>156</v>
      </c>
      <c r="K2122" s="111">
        <f t="shared" si="300"/>
        <v>172.33333333333334</v>
      </c>
      <c r="L2122" s="111">
        <v>150000</v>
      </c>
      <c r="M2122" s="111">
        <f t="shared" si="301"/>
        <v>67500</v>
      </c>
      <c r="N2122" s="111">
        <f t="shared" si="302"/>
        <v>67500</v>
      </c>
      <c r="O2122" s="111">
        <f t="shared" si="303"/>
        <v>13500</v>
      </c>
      <c r="P2122" s="111">
        <f t="shared" si="304"/>
        <v>15000</v>
      </c>
      <c r="Q2122" s="111">
        <v>30000</v>
      </c>
      <c r="R2122" s="111">
        <v>3</v>
      </c>
      <c r="S2122" s="111">
        <f t="shared" si="305"/>
        <v>3000</v>
      </c>
      <c r="T2122" s="111">
        <f t="shared" si="306"/>
        <v>180000</v>
      </c>
      <c r="U2122" s="111">
        <f t="shared" si="307"/>
        <v>1800</v>
      </c>
      <c r="V2122" s="111">
        <f t="shared" si="308"/>
        <v>181800</v>
      </c>
      <c r="W2122" t="s">
        <v>4583</v>
      </c>
    </row>
    <row r="2123" spans="1:23" x14ac:dyDescent="0.3">
      <c r="A2123" s="110">
        <v>2606004</v>
      </c>
      <c r="B2123" s="110" t="s">
        <v>2257</v>
      </c>
      <c r="C2123" s="110" t="s">
        <v>2307</v>
      </c>
      <c r="D2123" s="110" t="s">
        <v>2309</v>
      </c>
      <c r="E2123" s="110" t="s">
        <v>588</v>
      </c>
      <c r="F2123" s="110" t="s">
        <v>113</v>
      </c>
      <c r="G2123" s="110" t="s">
        <v>114</v>
      </c>
      <c r="H2123" s="111">
        <v>63</v>
      </c>
      <c r="I2123" s="111">
        <v>57</v>
      </c>
      <c r="J2123" s="111">
        <v>46</v>
      </c>
      <c r="K2123" s="111">
        <f t="shared" si="300"/>
        <v>55.333333333333336</v>
      </c>
      <c r="L2123" s="111">
        <v>150000</v>
      </c>
      <c r="M2123" s="111">
        <f t="shared" si="301"/>
        <v>67500</v>
      </c>
      <c r="N2123" s="111">
        <f t="shared" si="302"/>
        <v>67500</v>
      </c>
      <c r="O2123" s="111">
        <f t="shared" si="303"/>
        <v>13500</v>
      </c>
      <c r="P2123" s="111">
        <f t="shared" si="304"/>
        <v>15000</v>
      </c>
      <c r="Q2123" s="111">
        <v>30000</v>
      </c>
      <c r="R2123" s="111">
        <v>3</v>
      </c>
      <c r="S2123" s="111">
        <f t="shared" si="305"/>
        <v>3000</v>
      </c>
      <c r="T2123" s="111">
        <f t="shared" si="306"/>
        <v>180000</v>
      </c>
      <c r="U2123" s="111">
        <f t="shared" si="307"/>
        <v>1800</v>
      </c>
      <c r="V2123" s="111">
        <f t="shared" si="308"/>
        <v>181800</v>
      </c>
      <c r="W2123" t="s">
        <v>4584</v>
      </c>
    </row>
    <row r="2124" spans="1:23" x14ac:dyDescent="0.3">
      <c r="A2124" s="110">
        <v>2606005</v>
      </c>
      <c r="B2124" s="110" t="s">
        <v>2257</v>
      </c>
      <c r="C2124" s="110" t="s">
        <v>2307</v>
      </c>
      <c r="D2124" s="110" t="s">
        <v>2307</v>
      </c>
      <c r="E2124" s="110" t="s">
        <v>2310</v>
      </c>
      <c r="F2124" s="110" t="s">
        <v>119</v>
      </c>
      <c r="G2124" s="110" t="s">
        <v>114</v>
      </c>
      <c r="H2124" s="111">
        <v>500</v>
      </c>
      <c r="I2124" s="111">
        <v>497</v>
      </c>
      <c r="J2124" s="111">
        <v>497</v>
      </c>
      <c r="K2124" s="111">
        <f t="shared" si="300"/>
        <v>498</v>
      </c>
      <c r="L2124" s="111">
        <f>300000</f>
        <v>300000</v>
      </c>
      <c r="M2124" s="111">
        <f t="shared" si="301"/>
        <v>135000</v>
      </c>
      <c r="N2124" s="111">
        <f t="shared" si="302"/>
        <v>135000</v>
      </c>
      <c r="O2124" s="111">
        <f t="shared" si="303"/>
        <v>27000</v>
      </c>
      <c r="P2124" s="111">
        <f t="shared" si="304"/>
        <v>30000</v>
      </c>
      <c r="Q2124" s="111">
        <v>60000</v>
      </c>
      <c r="R2124" s="111">
        <v>6</v>
      </c>
      <c r="S2124" s="111">
        <f t="shared" si="305"/>
        <v>6000</v>
      </c>
      <c r="T2124" s="111">
        <f t="shared" si="306"/>
        <v>360000</v>
      </c>
      <c r="U2124" s="111">
        <f t="shared" si="307"/>
        <v>3600</v>
      </c>
      <c r="V2124" s="111">
        <f t="shared" si="308"/>
        <v>363600</v>
      </c>
      <c r="W2124" t="s">
        <v>4585</v>
      </c>
    </row>
    <row r="2125" spans="1:23" x14ac:dyDescent="0.3">
      <c r="A2125" s="110">
        <v>2607001</v>
      </c>
      <c r="B2125" s="110" t="s">
        <v>2257</v>
      </c>
      <c r="C2125" s="110" t="s">
        <v>2311</v>
      </c>
      <c r="D2125" s="110" t="s">
        <v>2311</v>
      </c>
      <c r="E2125" s="110" t="s">
        <v>2312</v>
      </c>
      <c r="F2125" s="110" t="s">
        <v>119</v>
      </c>
      <c r="G2125" s="110" t="s">
        <v>114</v>
      </c>
      <c r="H2125" s="111">
        <v>164</v>
      </c>
      <c r="I2125" s="111">
        <v>185</v>
      </c>
      <c r="J2125" s="111">
        <v>183</v>
      </c>
      <c r="K2125" s="111">
        <f t="shared" si="300"/>
        <v>177.33333333333334</v>
      </c>
      <c r="L2125" s="111">
        <v>150000</v>
      </c>
      <c r="M2125" s="111">
        <f t="shared" si="301"/>
        <v>67500</v>
      </c>
      <c r="N2125" s="111">
        <f t="shared" si="302"/>
        <v>67500</v>
      </c>
      <c r="O2125" s="111">
        <f t="shared" si="303"/>
        <v>13500</v>
      </c>
      <c r="P2125" s="111">
        <f t="shared" si="304"/>
        <v>15000</v>
      </c>
      <c r="Q2125" s="111">
        <v>30000</v>
      </c>
      <c r="R2125" s="111">
        <v>3</v>
      </c>
      <c r="S2125" s="111">
        <f t="shared" si="305"/>
        <v>3000</v>
      </c>
      <c r="T2125" s="111">
        <f t="shared" si="306"/>
        <v>180000</v>
      </c>
      <c r="U2125" s="111">
        <f t="shared" si="307"/>
        <v>1800</v>
      </c>
      <c r="V2125" s="111">
        <f t="shared" si="308"/>
        <v>181800</v>
      </c>
      <c r="W2125" t="s">
        <v>4586</v>
      </c>
    </row>
    <row r="2126" spans="1:23" x14ac:dyDescent="0.3">
      <c r="A2126" s="110">
        <v>2607002</v>
      </c>
      <c r="B2126" s="110" t="s">
        <v>2257</v>
      </c>
      <c r="C2126" s="110" t="s">
        <v>2311</v>
      </c>
      <c r="D2126" s="110" t="s">
        <v>2313</v>
      </c>
      <c r="E2126" s="110" t="s">
        <v>2166</v>
      </c>
      <c r="F2126" s="110" t="s">
        <v>119</v>
      </c>
      <c r="G2126" s="110" t="s">
        <v>114</v>
      </c>
      <c r="H2126" s="111">
        <v>194</v>
      </c>
      <c r="I2126" s="111">
        <v>204</v>
      </c>
      <c r="J2126" s="111">
        <v>193</v>
      </c>
      <c r="K2126" s="111">
        <f t="shared" si="300"/>
        <v>197</v>
      </c>
      <c r="L2126" s="111">
        <v>150000</v>
      </c>
      <c r="M2126" s="111">
        <f t="shared" si="301"/>
        <v>67500</v>
      </c>
      <c r="N2126" s="111">
        <f t="shared" si="302"/>
        <v>67500</v>
      </c>
      <c r="O2126" s="111">
        <f t="shared" si="303"/>
        <v>13500</v>
      </c>
      <c r="P2126" s="111">
        <f t="shared" si="304"/>
        <v>15000</v>
      </c>
      <c r="Q2126" s="111">
        <v>30000</v>
      </c>
      <c r="R2126" s="111">
        <v>3</v>
      </c>
      <c r="S2126" s="111">
        <f t="shared" si="305"/>
        <v>3000</v>
      </c>
      <c r="T2126" s="111">
        <f t="shared" si="306"/>
        <v>180000</v>
      </c>
      <c r="U2126" s="111">
        <f t="shared" si="307"/>
        <v>1800</v>
      </c>
      <c r="V2126" s="111">
        <f t="shared" si="308"/>
        <v>181800</v>
      </c>
      <c r="W2126" t="s">
        <v>4587</v>
      </c>
    </row>
    <row r="2127" spans="1:23" x14ac:dyDescent="0.3">
      <c r="A2127" s="110">
        <v>2608001</v>
      </c>
      <c r="B2127" s="110" t="s">
        <v>2257</v>
      </c>
      <c r="C2127" s="110" t="s">
        <v>2314</v>
      </c>
      <c r="D2127" s="110" t="s">
        <v>2314</v>
      </c>
      <c r="E2127" s="110" t="s">
        <v>2315</v>
      </c>
      <c r="F2127" s="110" t="s">
        <v>119</v>
      </c>
      <c r="G2127" s="110" t="s">
        <v>114</v>
      </c>
      <c r="H2127" s="111">
        <v>175</v>
      </c>
      <c r="I2127" s="111">
        <v>179</v>
      </c>
      <c r="J2127" s="111">
        <v>188</v>
      </c>
      <c r="K2127" s="111">
        <f t="shared" si="300"/>
        <v>180.66666666666666</v>
      </c>
      <c r="L2127" s="111">
        <v>150000</v>
      </c>
      <c r="M2127" s="111">
        <f t="shared" si="301"/>
        <v>67500</v>
      </c>
      <c r="N2127" s="111">
        <f t="shared" si="302"/>
        <v>67500</v>
      </c>
      <c r="O2127" s="111">
        <f t="shared" si="303"/>
        <v>13500</v>
      </c>
      <c r="P2127" s="111">
        <f t="shared" si="304"/>
        <v>15000</v>
      </c>
      <c r="Q2127" s="111">
        <v>30000</v>
      </c>
      <c r="R2127" s="111">
        <v>3</v>
      </c>
      <c r="S2127" s="111">
        <f t="shared" si="305"/>
        <v>3000</v>
      </c>
      <c r="T2127" s="111">
        <f t="shared" si="306"/>
        <v>180000</v>
      </c>
      <c r="U2127" s="111">
        <f t="shared" si="307"/>
        <v>1800</v>
      </c>
      <c r="V2127" s="111">
        <f t="shared" si="308"/>
        <v>181800</v>
      </c>
      <c r="W2127" t="s">
        <v>4588</v>
      </c>
    </row>
    <row r="2128" spans="1:23" x14ac:dyDescent="0.3">
      <c r="A2128" s="110">
        <v>2609002</v>
      </c>
      <c r="B2128" s="110" t="s">
        <v>2257</v>
      </c>
      <c r="C2128" s="110" t="s">
        <v>2316</v>
      </c>
      <c r="D2128" s="110" t="s">
        <v>2317</v>
      </c>
      <c r="E2128" s="110" t="s">
        <v>143</v>
      </c>
      <c r="F2128" s="110" t="s">
        <v>113</v>
      </c>
      <c r="G2128" s="110" t="s">
        <v>114</v>
      </c>
      <c r="H2128" s="111">
        <v>62</v>
      </c>
      <c r="I2128" s="111">
        <v>64</v>
      </c>
      <c r="J2128" s="111">
        <v>58</v>
      </c>
      <c r="K2128" s="111">
        <f t="shared" si="300"/>
        <v>61.333333333333336</v>
      </c>
      <c r="L2128" s="111">
        <f>150000*0.7</f>
        <v>105000</v>
      </c>
      <c r="M2128" s="111">
        <f t="shared" si="301"/>
        <v>47250</v>
      </c>
      <c r="N2128" s="111">
        <f t="shared" si="302"/>
        <v>47250</v>
      </c>
      <c r="O2128" s="111">
        <f t="shared" si="303"/>
        <v>9450</v>
      </c>
      <c r="P2128" s="111">
        <f t="shared" si="304"/>
        <v>10500</v>
      </c>
      <c r="Q2128" s="111">
        <v>30000</v>
      </c>
      <c r="R2128" s="111">
        <v>3</v>
      </c>
      <c r="S2128" s="111">
        <f t="shared" si="305"/>
        <v>3000</v>
      </c>
      <c r="T2128" s="111">
        <f t="shared" si="306"/>
        <v>135000</v>
      </c>
      <c r="U2128" s="111">
        <f t="shared" si="307"/>
        <v>1350</v>
      </c>
      <c r="V2128" s="111">
        <f t="shared" si="308"/>
        <v>136350</v>
      </c>
      <c r="W2128" t="s">
        <v>4589</v>
      </c>
    </row>
    <row r="2129" spans="1:23" x14ac:dyDescent="0.3">
      <c r="A2129" s="110">
        <v>2609003</v>
      </c>
      <c r="B2129" s="110" t="s">
        <v>2257</v>
      </c>
      <c r="C2129" s="110" t="s">
        <v>2316</v>
      </c>
      <c r="D2129" s="110" t="s">
        <v>2318</v>
      </c>
      <c r="E2129" s="110" t="s">
        <v>381</v>
      </c>
      <c r="F2129" s="110" t="s">
        <v>113</v>
      </c>
      <c r="G2129" s="110" t="s">
        <v>114</v>
      </c>
      <c r="H2129" s="111">
        <v>74</v>
      </c>
      <c r="I2129" s="111">
        <v>59</v>
      </c>
      <c r="J2129" s="111">
        <v>51</v>
      </c>
      <c r="K2129" s="111">
        <f t="shared" si="300"/>
        <v>61.333333333333336</v>
      </c>
      <c r="L2129" s="111">
        <f>150000*0.7</f>
        <v>105000</v>
      </c>
      <c r="M2129" s="111">
        <f t="shared" si="301"/>
        <v>47250</v>
      </c>
      <c r="N2129" s="111">
        <f t="shared" si="302"/>
        <v>47250</v>
      </c>
      <c r="O2129" s="111">
        <f t="shared" si="303"/>
        <v>9450</v>
      </c>
      <c r="P2129" s="111">
        <f t="shared" si="304"/>
        <v>10500</v>
      </c>
      <c r="Q2129" s="111">
        <v>30000</v>
      </c>
      <c r="R2129" s="111">
        <v>3</v>
      </c>
      <c r="S2129" s="111">
        <f t="shared" si="305"/>
        <v>3000</v>
      </c>
      <c r="T2129" s="111">
        <f t="shared" si="306"/>
        <v>135000</v>
      </c>
      <c r="U2129" s="111">
        <f t="shared" si="307"/>
        <v>1350</v>
      </c>
      <c r="V2129" s="111">
        <f t="shared" si="308"/>
        <v>136350</v>
      </c>
      <c r="W2129" t="s">
        <v>4590</v>
      </c>
    </row>
    <row r="2130" spans="1:23" x14ac:dyDescent="0.3">
      <c r="A2130" s="110">
        <v>2609005</v>
      </c>
      <c r="B2130" s="110" t="s">
        <v>2257</v>
      </c>
      <c r="C2130" s="110" t="s">
        <v>2316</v>
      </c>
      <c r="D2130" s="110" t="s">
        <v>2319</v>
      </c>
      <c r="E2130" s="110" t="s">
        <v>184</v>
      </c>
      <c r="F2130" s="110" t="s">
        <v>113</v>
      </c>
      <c r="G2130" s="110" t="s">
        <v>114</v>
      </c>
      <c r="H2130" s="111">
        <v>64</v>
      </c>
      <c r="I2130" s="111">
        <v>66</v>
      </c>
      <c r="J2130" s="111">
        <v>53</v>
      </c>
      <c r="K2130" s="111">
        <f t="shared" si="300"/>
        <v>61</v>
      </c>
      <c r="L2130" s="111">
        <v>150000</v>
      </c>
      <c r="M2130" s="111">
        <f t="shared" si="301"/>
        <v>67500</v>
      </c>
      <c r="N2130" s="111">
        <f t="shared" si="302"/>
        <v>67500</v>
      </c>
      <c r="O2130" s="111">
        <f t="shared" si="303"/>
        <v>13500</v>
      </c>
      <c r="P2130" s="111">
        <f t="shared" si="304"/>
        <v>15000</v>
      </c>
      <c r="Q2130" s="111">
        <v>30000</v>
      </c>
      <c r="R2130" s="111">
        <v>3</v>
      </c>
      <c r="S2130" s="111">
        <f t="shared" si="305"/>
        <v>3000</v>
      </c>
      <c r="T2130" s="111">
        <f t="shared" si="306"/>
        <v>180000</v>
      </c>
      <c r="U2130" s="111">
        <f t="shared" si="307"/>
        <v>1800</v>
      </c>
      <c r="V2130" s="111">
        <f t="shared" si="308"/>
        <v>181800</v>
      </c>
      <c r="W2130" t="s">
        <v>4591</v>
      </c>
    </row>
    <row r="2131" spans="1:23" x14ac:dyDescent="0.3">
      <c r="A2131" s="110">
        <v>2609006</v>
      </c>
      <c r="B2131" s="110" t="s">
        <v>2257</v>
      </c>
      <c r="C2131" s="110" t="s">
        <v>2316</v>
      </c>
      <c r="D2131" s="110" t="s">
        <v>2316</v>
      </c>
      <c r="E2131" s="110" t="s">
        <v>2320</v>
      </c>
      <c r="F2131" s="110" t="s">
        <v>119</v>
      </c>
      <c r="G2131" s="110" t="s">
        <v>114</v>
      </c>
      <c r="H2131" s="111">
        <v>293</v>
      </c>
      <c r="I2131" s="111">
        <v>277</v>
      </c>
      <c r="J2131" s="111">
        <v>290</v>
      </c>
      <c r="K2131" s="111">
        <f t="shared" si="300"/>
        <v>286.66666666666669</v>
      </c>
      <c r="L2131" s="111">
        <f>200000*0.7</f>
        <v>140000</v>
      </c>
      <c r="M2131" s="111">
        <f t="shared" si="301"/>
        <v>63000</v>
      </c>
      <c r="N2131" s="111">
        <f t="shared" si="302"/>
        <v>63000</v>
      </c>
      <c r="O2131" s="111">
        <f t="shared" si="303"/>
        <v>12600</v>
      </c>
      <c r="P2131" s="111">
        <f t="shared" si="304"/>
        <v>14000</v>
      </c>
      <c r="Q2131" s="111">
        <v>50000</v>
      </c>
      <c r="R2131" s="111">
        <v>5</v>
      </c>
      <c r="S2131" s="111">
        <f t="shared" si="305"/>
        <v>5000</v>
      </c>
      <c r="T2131" s="111">
        <f t="shared" si="306"/>
        <v>190000</v>
      </c>
      <c r="U2131" s="111">
        <f t="shared" si="307"/>
        <v>1900</v>
      </c>
      <c r="V2131" s="111">
        <f t="shared" si="308"/>
        <v>191900</v>
      </c>
      <c r="W2131" t="s">
        <v>4592</v>
      </c>
    </row>
    <row r="2132" spans="1:23" x14ac:dyDescent="0.3">
      <c r="A2132" s="110">
        <v>2610001</v>
      </c>
      <c r="B2132" s="110" t="s">
        <v>2257</v>
      </c>
      <c r="C2132" s="110" t="s">
        <v>2321</v>
      </c>
      <c r="D2132" s="110" t="s">
        <v>2322</v>
      </c>
      <c r="E2132" s="110" t="s">
        <v>2323</v>
      </c>
      <c r="F2132" s="110" t="s">
        <v>113</v>
      </c>
      <c r="G2132" s="110" t="s">
        <v>114</v>
      </c>
      <c r="H2132" s="111">
        <v>29</v>
      </c>
      <c r="I2132" s="111">
        <v>22</v>
      </c>
      <c r="J2132" s="111">
        <v>27</v>
      </c>
      <c r="K2132" s="111">
        <f t="shared" si="300"/>
        <v>26</v>
      </c>
      <c r="L2132" s="111">
        <v>50000</v>
      </c>
      <c r="M2132" s="111">
        <f t="shared" si="301"/>
        <v>22500</v>
      </c>
      <c r="N2132" s="111">
        <f t="shared" si="302"/>
        <v>22500</v>
      </c>
      <c r="O2132" s="111">
        <f t="shared" si="303"/>
        <v>4500</v>
      </c>
      <c r="P2132" s="111">
        <f t="shared" si="304"/>
        <v>5000</v>
      </c>
      <c r="Q2132" s="111">
        <v>10000</v>
      </c>
      <c r="R2132" s="111">
        <v>1</v>
      </c>
      <c r="S2132" s="111">
        <f t="shared" si="305"/>
        <v>1000</v>
      </c>
      <c r="T2132" s="111">
        <f t="shared" si="306"/>
        <v>60000</v>
      </c>
      <c r="U2132" s="111">
        <f t="shared" si="307"/>
        <v>600</v>
      </c>
      <c r="V2132" s="111">
        <f t="shared" si="308"/>
        <v>60600</v>
      </c>
      <c r="W2132" t="s">
        <v>4593</v>
      </c>
    </row>
    <row r="2133" spans="1:23" x14ac:dyDescent="0.3">
      <c r="A2133" s="110">
        <v>2610002</v>
      </c>
      <c r="B2133" s="110" t="s">
        <v>2257</v>
      </c>
      <c r="C2133" s="110" t="s">
        <v>2321</v>
      </c>
      <c r="D2133" s="110" t="s">
        <v>2324</v>
      </c>
      <c r="E2133" s="110" t="s">
        <v>143</v>
      </c>
      <c r="F2133" s="110" t="s">
        <v>113</v>
      </c>
      <c r="G2133" s="110" t="s">
        <v>114</v>
      </c>
      <c r="H2133" s="111">
        <v>43</v>
      </c>
      <c r="I2133" s="111">
        <v>39</v>
      </c>
      <c r="J2133" s="111">
        <v>36</v>
      </c>
      <c r="K2133" s="111">
        <f t="shared" si="300"/>
        <v>39.333333333333336</v>
      </c>
      <c r="L2133" s="111">
        <v>50000</v>
      </c>
      <c r="M2133" s="111">
        <f t="shared" si="301"/>
        <v>22500</v>
      </c>
      <c r="N2133" s="111">
        <f t="shared" si="302"/>
        <v>22500</v>
      </c>
      <c r="O2133" s="111">
        <f t="shared" si="303"/>
        <v>4500</v>
      </c>
      <c r="P2133" s="111">
        <f t="shared" si="304"/>
        <v>5000</v>
      </c>
      <c r="Q2133" s="111">
        <v>10000</v>
      </c>
      <c r="R2133" s="111">
        <v>1</v>
      </c>
      <c r="S2133" s="111">
        <f t="shared" si="305"/>
        <v>1000</v>
      </c>
      <c r="T2133" s="111">
        <f t="shared" si="306"/>
        <v>60000</v>
      </c>
      <c r="U2133" s="111">
        <f t="shared" si="307"/>
        <v>600</v>
      </c>
      <c r="V2133" s="111">
        <f t="shared" si="308"/>
        <v>60600</v>
      </c>
      <c r="W2133" t="s">
        <v>4594</v>
      </c>
    </row>
    <row r="2134" spans="1:23" x14ac:dyDescent="0.3">
      <c r="A2134" s="110">
        <v>2610004</v>
      </c>
      <c r="B2134" s="110" t="s">
        <v>2257</v>
      </c>
      <c r="C2134" s="110" t="s">
        <v>2321</v>
      </c>
      <c r="D2134" s="110" t="s">
        <v>2325</v>
      </c>
      <c r="E2134" s="110" t="s">
        <v>143</v>
      </c>
      <c r="F2134" s="110" t="s">
        <v>113</v>
      </c>
      <c r="G2134" s="110" t="s">
        <v>114</v>
      </c>
      <c r="H2134" s="111">
        <v>58</v>
      </c>
      <c r="I2134" s="111">
        <v>59</v>
      </c>
      <c r="J2134" s="111">
        <v>56</v>
      </c>
      <c r="K2134" s="111">
        <f t="shared" si="300"/>
        <v>57.666666666666664</v>
      </c>
      <c r="L2134" s="111">
        <v>150000</v>
      </c>
      <c r="M2134" s="111">
        <f t="shared" si="301"/>
        <v>67500</v>
      </c>
      <c r="N2134" s="111">
        <f t="shared" si="302"/>
        <v>67500</v>
      </c>
      <c r="O2134" s="111">
        <f t="shared" si="303"/>
        <v>13500</v>
      </c>
      <c r="P2134" s="111">
        <f t="shared" si="304"/>
        <v>15000</v>
      </c>
      <c r="Q2134" s="111">
        <v>30000</v>
      </c>
      <c r="R2134" s="111">
        <v>3</v>
      </c>
      <c r="S2134" s="111">
        <f t="shared" si="305"/>
        <v>3000</v>
      </c>
      <c r="T2134" s="111">
        <f t="shared" si="306"/>
        <v>180000</v>
      </c>
      <c r="U2134" s="111">
        <f t="shared" si="307"/>
        <v>1800</v>
      </c>
      <c r="V2134" s="111">
        <f t="shared" si="308"/>
        <v>181800</v>
      </c>
      <c r="W2134" t="s">
        <v>4595</v>
      </c>
    </row>
    <row r="2135" spans="1:23" x14ac:dyDescent="0.3">
      <c r="A2135" s="110">
        <v>2610005</v>
      </c>
      <c r="B2135" s="110" t="s">
        <v>2257</v>
      </c>
      <c r="C2135" s="110" t="s">
        <v>2321</v>
      </c>
      <c r="D2135" s="110" t="s">
        <v>2321</v>
      </c>
      <c r="E2135" s="110" t="s">
        <v>272</v>
      </c>
      <c r="F2135" s="110" t="s">
        <v>119</v>
      </c>
      <c r="G2135" s="110" t="s">
        <v>114</v>
      </c>
      <c r="H2135" s="111">
        <v>305</v>
      </c>
      <c r="I2135" s="111">
        <v>287</v>
      </c>
      <c r="J2135" s="111">
        <v>281</v>
      </c>
      <c r="K2135" s="111">
        <f t="shared" si="300"/>
        <v>291</v>
      </c>
      <c r="L2135" s="111">
        <v>200000</v>
      </c>
      <c r="M2135" s="111">
        <f t="shared" si="301"/>
        <v>90000</v>
      </c>
      <c r="N2135" s="111">
        <f t="shared" si="302"/>
        <v>90000</v>
      </c>
      <c r="O2135" s="111">
        <f t="shared" si="303"/>
        <v>18000</v>
      </c>
      <c r="P2135" s="111">
        <f t="shared" si="304"/>
        <v>20000</v>
      </c>
      <c r="Q2135" s="111">
        <v>50000</v>
      </c>
      <c r="R2135" s="111">
        <v>5</v>
      </c>
      <c r="S2135" s="111">
        <f t="shared" si="305"/>
        <v>5000</v>
      </c>
      <c r="T2135" s="111">
        <f t="shared" si="306"/>
        <v>250000</v>
      </c>
      <c r="U2135" s="111">
        <f t="shared" si="307"/>
        <v>2500</v>
      </c>
      <c r="V2135" s="111">
        <f t="shared" si="308"/>
        <v>252500</v>
      </c>
      <c r="W2135" t="s">
        <v>4596</v>
      </c>
    </row>
    <row r="2136" spans="1:23" x14ac:dyDescent="0.3">
      <c r="A2136" s="110">
        <v>2611001</v>
      </c>
      <c r="B2136" s="110" t="s">
        <v>2257</v>
      </c>
      <c r="C2136" s="110" t="s">
        <v>2326</v>
      </c>
      <c r="D2136" s="110" t="s">
        <v>2326</v>
      </c>
      <c r="E2136" s="110" t="s">
        <v>954</v>
      </c>
      <c r="F2136" s="110" t="s">
        <v>209</v>
      </c>
      <c r="G2136" s="110" t="s">
        <v>114</v>
      </c>
      <c r="H2136" s="111">
        <v>178</v>
      </c>
      <c r="I2136" s="111">
        <v>180</v>
      </c>
      <c r="J2136" s="111">
        <v>200</v>
      </c>
      <c r="K2136" s="111">
        <f t="shared" si="300"/>
        <v>186</v>
      </c>
      <c r="L2136" s="111">
        <v>150000</v>
      </c>
      <c r="M2136" s="111">
        <f t="shared" si="301"/>
        <v>67500</v>
      </c>
      <c r="N2136" s="111">
        <f t="shared" si="302"/>
        <v>67500</v>
      </c>
      <c r="O2136" s="111">
        <f t="shared" si="303"/>
        <v>13500</v>
      </c>
      <c r="P2136" s="111">
        <f t="shared" si="304"/>
        <v>15000</v>
      </c>
      <c r="Q2136" s="111">
        <v>30000</v>
      </c>
      <c r="R2136" s="111">
        <v>3</v>
      </c>
      <c r="S2136" s="111">
        <f t="shared" si="305"/>
        <v>3000</v>
      </c>
      <c r="T2136" s="111">
        <f t="shared" si="306"/>
        <v>180000</v>
      </c>
      <c r="U2136" s="111">
        <f t="shared" si="307"/>
        <v>1800</v>
      </c>
      <c r="V2136" s="111">
        <f t="shared" si="308"/>
        <v>181800</v>
      </c>
      <c r="W2136" t="s">
        <v>4597</v>
      </c>
    </row>
    <row r="2137" spans="1:23" x14ac:dyDescent="0.3">
      <c r="A2137" s="110">
        <v>2611005</v>
      </c>
      <c r="B2137" s="110" t="s">
        <v>2257</v>
      </c>
      <c r="C2137" s="110" t="s">
        <v>2326</v>
      </c>
      <c r="D2137" s="110" t="s">
        <v>2327</v>
      </c>
      <c r="E2137" s="110" t="s">
        <v>381</v>
      </c>
      <c r="F2137" s="110" t="s">
        <v>113</v>
      </c>
      <c r="G2137" s="110" t="s">
        <v>114</v>
      </c>
      <c r="H2137" s="111">
        <v>36</v>
      </c>
      <c r="I2137" s="111">
        <v>38</v>
      </c>
      <c r="J2137" s="111">
        <v>36</v>
      </c>
      <c r="K2137" s="111">
        <f t="shared" si="300"/>
        <v>36.666666666666664</v>
      </c>
      <c r="L2137" s="111">
        <v>50000</v>
      </c>
      <c r="M2137" s="111">
        <f t="shared" si="301"/>
        <v>22500</v>
      </c>
      <c r="N2137" s="111">
        <f t="shared" si="302"/>
        <v>22500</v>
      </c>
      <c r="O2137" s="111">
        <f t="shared" si="303"/>
        <v>4500</v>
      </c>
      <c r="P2137" s="111">
        <f t="shared" si="304"/>
        <v>5000</v>
      </c>
      <c r="Q2137" s="111">
        <v>10000</v>
      </c>
      <c r="R2137" s="111">
        <v>1</v>
      </c>
      <c r="S2137" s="111">
        <f t="shared" si="305"/>
        <v>1000</v>
      </c>
      <c r="T2137" s="111">
        <f t="shared" si="306"/>
        <v>60000</v>
      </c>
      <c r="U2137" s="111">
        <f t="shared" si="307"/>
        <v>600</v>
      </c>
      <c r="V2137" s="111">
        <f t="shared" si="308"/>
        <v>60600</v>
      </c>
      <c r="W2137" t="s">
        <v>4598</v>
      </c>
    </row>
    <row r="2138" spans="1:23" x14ac:dyDescent="0.3">
      <c r="A2138" s="110">
        <v>2611007</v>
      </c>
      <c r="B2138" s="110" t="s">
        <v>2257</v>
      </c>
      <c r="C2138" s="110" t="s">
        <v>2326</v>
      </c>
      <c r="D2138" s="110" t="s">
        <v>2328</v>
      </c>
      <c r="E2138" s="110" t="s">
        <v>381</v>
      </c>
      <c r="F2138" s="110" t="s">
        <v>113</v>
      </c>
      <c r="G2138" s="110" t="s">
        <v>114</v>
      </c>
      <c r="H2138" s="111">
        <v>55</v>
      </c>
      <c r="I2138" s="111">
        <v>51</v>
      </c>
      <c r="J2138" s="111">
        <v>64</v>
      </c>
      <c r="K2138" s="111">
        <f t="shared" si="300"/>
        <v>56.666666666666664</v>
      </c>
      <c r="L2138" s="111">
        <v>150000</v>
      </c>
      <c r="M2138" s="111">
        <f t="shared" si="301"/>
        <v>67500</v>
      </c>
      <c r="N2138" s="111">
        <f t="shared" si="302"/>
        <v>67500</v>
      </c>
      <c r="O2138" s="111">
        <f t="shared" si="303"/>
        <v>13500</v>
      </c>
      <c r="P2138" s="111">
        <f t="shared" si="304"/>
        <v>15000</v>
      </c>
      <c r="Q2138" s="111">
        <v>30000</v>
      </c>
      <c r="R2138" s="111">
        <v>3</v>
      </c>
      <c r="S2138" s="111">
        <f t="shared" si="305"/>
        <v>3000</v>
      </c>
      <c r="T2138" s="111">
        <f t="shared" si="306"/>
        <v>180000</v>
      </c>
      <c r="U2138" s="111">
        <f t="shared" si="307"/>
        <v>1800</v>
      </c>
      <c r="V2138" s="111">
        <f t="shared" si="308"/>
        <v>181800</v>
      </c>
      <c r="W2138" t="s">
        <v>4599</v>
      </c>
    </row>
    <row r="2139" spans="1:23" x14ac:dyDescent="0.3">
      <c r="A2139" s="110">
        <v>2611008</v>
      </c>
      <c r="B2139" s="110" t="s">
        <v>2257</v>
      </c>
      <c r="C2139" s="110" t="s">
        <v>2326</v>
      </c>
      <c r="D2139" s="110" t="s">
        <v>2329</v>
      </c>
      <c r="E2139" s="110" t="s">
        <v>320</v>
      </c>
      <c r="F2139" s="110" t="s">
        <v>113</v>
      </c>
      <c r="G2139" s="110" t="s">
        <v>114</v>
      </c>
      <c r="H2139" s="111">
        <v>79</v>
      </c>
      <c r="I2139" s="111">
        <v>81</v>
      </c>
      <c r="J2139" s="111">
        <v>78</v>
      </c>
      <c r="K2139" s="111">
        <f t="shared" si="300"/>
        <v>79.333333333333329</v>
      </c>
      <c r="L2139" s="111">
        <v>150000</v>
      </c>
      <c r="M2139" s="111">
        <f t="shared" si="301"/>
        <v>67500</v>
      </c>
      <c r="N2139" s="111">
        <f t="shared" si="302"/>
        <v>67500</v>
      </c>
      <c r="O2139" s="111">
        <f t="shared" si="303"/>
        <v>13500</v>
      </c>
      <c r="P2139" s="111">
        <f t="shared" si="304"/>
        <v>15000</v>
      </c>
      <c r="Q2139" s="111">
        <v>30000</v>
      </c>
      <c r="R2139" s="111">
        <v>3</v>
      </c>
      <c r="S2139" s="111">
        <f t="shared" si="305"/>
        <v>3000</v>
      </c>
      <c r="T2139" s="111">
        <f t="shared" si="306"/>
        <v>180000</v>
      </c>
      <c r="U2139" s="111">
        <f t="shared" si="307"/>
        <v>1800</v>
      </c>
      <c r="V2139" s="111">
        <f t="shared" si="308"/>
        <v>181800</v>
      </c>
      <c r="W2139" t="s">
        <v>4600</v>
      </c>
    </row>
    <row r="2140" spans="1:23" x14ac:dyDescent="0.3">
      <c r="A2140" s="110">
        <v>2611018</v>
      </c>
      <c r="B2140" s="110" t="s">
        <v>2257</v>
      </c>
      <c r="C2140" s="110" t="s">
        <v>2326</v>
      </c>
      <c r="D2140" s="110" t="s">
        <v>2326</v>
      </c>
      <c r="E2140" s="110" t="s">
        <v>1032</v>
      </c>
      <c r="F2140" s="110" t="s">
        <v>119</v>
      </c>
      <c r="G2140" s="110" t="s">
        <v>114</v>
      </c>
      <c r="H2140" s="111">
        <v>532</v>
      </c>
      <c r="I2140" s="111">
        <v>534</v>
      </c>
      <c r="J2140" s="111">
        <v>514</v>
      </c>
      <c r="K2140" s="111">
        <f t="shared" si="300"/>
        <v>526.66666666666663</v>
      </c>
      <c r="L2140" s="111">
        <f>300000</f>
        <v>300000</v>
      </c>
      <c r="M2140" s="111">
        <f t="shared" si="301"/>
        <v>135000</v>
      </c>
      <c r="N2140" s="111">
        <f t="shared" si="302"/>
        <v>135000</v>
      </c>
      <c r="O2140" s="111">
        <f t="shared" si="303"/>
        <v>27000</v>
      </c>
      <c r="P2140" s="111">
        <f t="shared" si="304"/>
        <v>30000</v>
      </c>
      <c r="Q2140" s="111">
        <v>60000</v>
      </c>
      <c r="R2140" s="111">
        <v>6</v>
      </c>
      <c r="S2140" s="111">
        <f t="shared" si="305"/>
        <v>6000</v>
      </c>
      <c r="T2140" s="111">
        <f t="shared" si="306"/>
        <v>360000</v>
      </c>
      <c r="U2140" s="111">
        <f t="shared" si="307"/>
        <v>3600</v>
      </c>
      <c r="V2140" s="111">
        <f t="shared" si="308"/>
        <v>363600</v>
      </c>
      <c r="W2140" t="s">
        <v>4601</v>
      </c>
    </row>
    <row r="2141" spans="1:23" x14ac:dyDescent="0.3">
      <c r="A2141" s="110">
        <v>2700006</v>
      </c>
      <c r="B2141" s="110" t="s">
        <v>2330</v>
      </c>
      <c r="C2141" s="110" t="s">
        <v>2330</v>
      </c>
      <c r="D2141" s="110" t="s">
        <v>2330</v>
      </c>
      <c r="E2141" s="110" t="s">
        <v>2331</v>
      </c>
      <c r="F2141" s="110" t="s">
        <v>117</v>
      </c>
      <c r="G2141" s="110" t="s">
        <v>125</v>
      </c>
      <c r="H2141" s="111">
        <v>376</v>
      </c>
      <c r="I2141" s="111">
        <v>349</v>
      </c>
      <c r="J2141" s="111">
        <v>342</v>
      </c>
      <c r="K2141" s="111">
        <f t="shared" si="300"/>
        <v>355.66666666666669</v>
      </c>
      <c r="L2141" s="111">
        <v>200000</v>
      </c>
      <c r="M2141" s="111">
        <f t="shared" si="301"/>
        <v>90000</v>
      </c>
      <c r="N2141" s="111">
        <f t="shared" si="302"/>
        <v>90000</v>
      </c>
      <c r="O2141" s="111">
        <f t="shared" si="303"/>
        <v>18000</v>
      </c>
      <c r="P2141" s="111">
        <f t="shared" si="304"/>
        <v>20000</v>
      </c>
      <c r="Q2141" s="111">
        <v>50000</v>
      </c>
      <c r="R2141" s="111">
        <v>5</v>
      </c>
      <c r="S2141" s="111">
        <f t="shared" si="305"/>
        <v>5000</v>
      </c>
      <c r="T2141" s="111">
        <f t="shared" si="306"/>
        <v>250000</v>
      </c>
      <c r="U2141" s="111">
        <f t="shared" si="307"/>
        <v>2500</v>
      </c>
      <c r="V2141" s="111">
        <f t="shared" si="308"/>
        <v>252500</v>
      </c>
      <c r="W2141" t="s">
        <v>4602</v>
      </c>
    </row>
    <row r="2142" spans="1:23" x14ac:dyDescent="0.3">
      <c r="A2142" s="110">
        <v>2700011</v>
      </c>
      <c r="B2142" s="110" t="s">
        <v>2330</v>
      </c>
      <c r="C2142" s="110" t="s">
        <v>2330</v>
      </c>
      <c r="D2142" s="110" t="s">
        <v>2330</v>
      </c>
      <c r="E2142" s="110" t="s">
        <v>2332</v>
      </c>
      <c r="F2142" s="110" t="s">
        <v>117</v>
      </c>
      <c r="G2142" s="110" t="s">
        <v>125</v>
      </c>
      <c r="H2142" s="111">
        <v>555</v>
      </c>
      <c r="I2142" s="111">
        <v>510</v>
      </c>
      <c r="J2142" s="111">
        <v>512</v>
      </c>
      <c r="K2142" s="111">
        <f t="shared" si="300"/>
        <v>525.66666666666663</v>
      </c>
      <c r="L2142" s="111">
        <f>300000</f>
        <v>300000</v>
      </c>
      <c r="M2142" s="111">
        <f t="shared" si="301"/>
        <v>135000</v>
      </c>
      <c r="N2142" s="111">
        <f t="shared" si="302"/>
        <v>135000</v>
      </c>
      <c r="O2142" s="111">
        <f t="shared" si="303"/>
        <v>27000</v>
      </c>
      <c r="P2142" s="111">
        <f t="shared" si="304"/>
        <v>30000</v>
      </c>
      <c r="Q2142" s="111">
        <v>60000</v>
      </c>
      <c r="R2142" s="111">
        <v>6</v>
      </c>
      <c r="S2142" s="111">
        <f t="shared" si="305"/>
        <v>6000</v>
      </c>
      <c r="T2142" s="111">
        <f t="shared" si="306"/>
        <v>360000</v>
      </c>
      <c r="U2142" s="111">
        <f t="shared" si="307"/>
        <v>3600</v>
      </c>
      <c r="V2142" s="111">
        <f t="shared" si="308"/>
        <v>363600</v>
      </c>
      <c r="W2142" t="s">
        <v>4603</v>
      </c>
    </row>
    <row r="2143" spans="1:23" x14ac:dyDescent="0.3">
      <c r="A2143" s="110">
        <v>2700024</v>
      </c>
      <c r="B2143" s="110" t="s">
        <v>2330</v>
      </c>
      <c r="C2143" s="110" t="s">
        <v>2333</v>
      </c>
      <c r="D2143" s="110" t="s">
        <v>2333</v>
      </c>
      <c r="E2143" s="110" t="s">
        <v>2334</v>
      </c>
      <c r="F2143" s="110" t="s">
        <v>117</v>
      </c>
      <c r="G2143" s="110" t="s">
        <v>125</v>
      </c>
      <c r="H2143" s="111">
        <v>272</v>
      </c>
      <c r="I2143" s="111">
        <v>259</v>
      </c>
      <c r="J2143" s="111">
        <v>240</v>
      </c>
      <c r="K2143" s="111">
        <f t="shared" si="300"/>
        <v>257</v>
      </c>
      <c r="L2143" s="111">
        <f>200000*0.7</f>
        <v>140000</v>
      </c>
      <c r="M2143" s="111">
        <f t="shared" si="301"/>
        <v>63000</v>
      </c>
      <c r="N2143" s="111">
        <f t="shared" si="302"/>
        <v>63000</v>
      </c>
      <c r="O2143" s="111">
        <f t="shared" si="303"/>
        <v>12600</v>
      </c>
      <c r="P2143" s="111">
        <f t="shared" si="304"/>
        <v>14000</v>
      </c>
      <c r="Q2143" s="111">
        <v>50000</v>
      </c>
      <c r="R2143" s="111">
        <v>5</v>
      </c>
      <c r="S2143" s="111">
        <f t="shared" si="305"/>
        <v>5000</v>
      </c>
      <c r="T2143" s="111">
        <f t="shared" si="306"/>
        <v>190000</v>
      </c>
      <c r="U2143" s="111">
        <f t="shared" si="307"/>
        <v>1900</v>
      </c>
      <c r="V2143" s="111">
        <f t="shared" si="308"/>
        <v>191900</v>
      </c>
      <c r="W2143" t="s">
        <v>4604</v>
      </c>
    </row>
    <row r="2144" spans="1:23" x14ac:dyDescent="0.3">
      <c r="A2144" s="110">
        <v>2700031</v>
      </c>
      <c r="B2144" s="110" t="s">
        <v>2330</v>
      </c>
      <c r="C2144" s="110" t="s">
        <v>2330</v>
      </c>
      <c r="D2144" s="110" t="s">
        <v>2330</v>
      </c>
      <c r="E2144" s="110" t="s">
        <v>2335</v>
      </c>
      <c r="F2144" s="110" t="s">
        <v>117</v>
      </c>
      <c r="G2144" s="110" t="s">
        <v>125</v>
      </c>
      <c r="H2144" s="111">
        <v>294</v>
      </c>
      <c r="I2144" s="111">
        <v>285</v>
      </c>
      <c r="J2144" s="111">
        <v>258</v>
      </c>
      <c r="K2144" s="111">
        <f t="shared" si="300"/>
        <v>279</v>
      </c>
      <c r="L2144" s="111">
        <v>200000</v>
      </c>
      <c r="M2144" s="111">
        <f t="shared" si="301"/>
        <v>90000</v>
      </c>
      <c r="N2144" s="111">
        <f t="shared" si="302"/>
        <v>90000</v>
      </c>
      <c r="O2144" s="111">
        <f t="shared" si="303"/>
        <v>18000</v>
      </c>
      <c r="P2144" s="111">
        <f t="shared" si="304"/>
        <v>20000</v>
      </c>
      <c r="Q2144" s="111">
        <v>50000</v>
      </c>
      <c r="R2144" s="111">
        <v>5</v>
      </c>
      <c r="S2144" s="111">
        <f t="shared" si="305"/>
        <v>5000</v>
      </c>
      <c r="T2144" s="111">
        <f t="shared" si="306"/>
        <v>250000</v>
      </c>
      <c r="U2144" s="111">
        <f t="shared" si="307"/>
        <v>2500</v>
      </c>
      <c r="V2144" s="111">
        <f t="shared" si="308"/>
        <v>252500</v>
      </c>
      <c r="W2144" t="s">
        <v>4605</v>
      </c>
    </row>
    <row r="2145" spans="1:23" x14ac:dyDescent="0.3">
      <c r="A2145" s="110">
        <v>2700036</v>
      </c>
      <c r="B2145" s="110" t="s">
        <v>2330</v>
      </c>
      <c r="C2145" s="110" t="s">
        <v>2336</v>
      </c>
      <c r="D2145" s="110" t="s">
        <v>2337</v>
      </c>
      <c r="E2145" s="110" t="s">
        <v>319</v>
      </c>
      <c r="F2145" s="110" t="s">
        <v>113</v>
      </c>
      <c r="G2145" s="110" t="s">
        <v>114</v>
      </c>
      <c r="H2145" s="111">
        <v>41</v>
      </c>
      <c r="I2145" s="111">
        <v>45</v>
      </c>
      <c r="J2145" s="111">
        <v>46</v>
      </c>
      <c r="K2145" s="111">
        <f t="shared" si="300"/>
        <v>44</v>
      </c>
      <c r="L2145" s="111">
        <v>50000</v>
      </c>
      <c r="M2145" s="111">
        <f t="shared" si="301"/>
        <v>22500</v>
      </c>
      <c r="N2145" s="111">
        <f t="shared" si="302"/>
        <v>22500</v>
      </c>
      <c r="O2145" s="111">
        <f t="shared" si="303"/>
        <v>4500</v>
      </c>
      <c r="P2145" s="111">
        <f t="shared" si="304"/>
        <v>5000</v>
      </c>
      <c r="Q2145" s="111">
        <v>10000</v>
      </c>
      <c r="R2145" s="111">
        <v>1</v>
      </c>
      <c r="S2145" s="111">
        <f t="shared" si="305"/>
        <v>1000</v>
      </c>
      <c r="T2145" s="111">
        <f t="shared" si="306"/>
        <v>60000</v>
      </c>
      <c r="U2145" s="111">
        <f t="shared" si="307"/>
        <v>600</v>
      </c>
      <c r="V2145" s="111">
        <f t="shared" si="308"/>
        <v>60600</v>
      </c>
      <c r="W2145" t="s">
        <v>4606</v>
      </c>
    </row>
    <row r="2146" spans="1:23" x14ac:dyDescent="0.3">
      <c r="A2146" s="110">
        <v>2700041</v>
      </c>
      <c r="B2146" s="110" t="s">
        <v>2330</v>
      </c>
      <c r="C2146" s="110" t="s">
        <v>2338</v>
      </c>
      <c r="D2146" s="110" t="s">
        <v>2339</v>
      </c>
      <c r="E2146" s="110" t="s">
        <v>308</v>
      </c>
      <c r="F2146" s="110" t="s">
        <v>113</v>
      </c>
      <c r="G2146" s="110" t="s">
        <v>114</v>
      </c>
      <c r="H2146" s="111">
        <v>63</v>
      </c>
      <c r="I2146" s="111">
        <v>61</v>
      </c>
      <c r="J2146" s="111">
        <v>50</v>
      </c>
      <c r="K2146" s="111">
        <f t="shared" si="300"/>
        <v>58</v>
      </c>
      <c r="L2146" s="111">
        <v>150000</v>
      </c>
      <c r="M2146" s="111">
        <f t="shared" si="301"/>
        <v>67500</v>
      </c>
      <c r="N2146" s="111">
        <f t="shared" si="302"/>
        <v>67500</v>
      </c>
      <c r="O2146" s="111">
        <f t="shared" si="303"/>
        <v>13500</v>
      </c>
      <c r="P2146" s="111">
        <f t="shared" si="304"/>
        <v>15000</v>
      </c>
      <c r="Q2146" s="111">
        <v>30000</v>
      </c>
      <c r="R2146" s="111">
        <v>3</v>
      </c>
      <c r="S2146" s="111">
        <f t="shared" si="305"/>
        <v>3000</v>
      </c>
      <c r="T2146" s="111">
        <f t="shared" si="306"/>
        <v>180000</v>
      </c>
      <c r="U2146" s="111">
        <f t="shared" si="307"/>
        <v>1800</v>
      </c>
      <c r="V2146" s="111">
        <f t="shared" si="308"/>
        <v>181800</v>
      </c>
      <c r="W2146" t="s">
        <v>4607</v>
      </c>
    </row>
    <row r="2147" spans="1:23" x14ac:dyDescent="0.3">
      <c r="A2147" s="110">
        <v>2700047</v>
      </c>
      <c r="B2147" s="110" t="s">
        <v>2330</v>
      </c>
      <c r="C2147" s="110" t="s">
        <v>2336</v>
      </c>
      <c r="D2147" s="110" t="s">
        <v>2336</v>
      </c>
      <c r="E2147" s="110" t="s">
        <v>214</v>
      </c>
      <c r="F2147" s="110" t="s">
        <v>119</v>
      </c>
      <c r="G2147" s="110" t="s">
        <v>114</v>
      </c>
      <c r="H2147" s="111">
        <v>585</v>
      </c>
      <c r="I2147" s="111">
        <v>550</v>
      </c>
      <c r="J2147" s="111">
        <v>494</v>
      </c>
      <c r="K2147" s="111">
        <f t="shared" si="300"/>
        <v>543</v>
      </c>
      <c r="L2147" s="111">
        <f>300000</f>
        <v>300000</v>
      </c>
      <c r="M2147" s="111">
        <f t="shared" si="301"/>
        <v>135000</v>
      </c>
      <c r="N2147" s="111">
        <f t="shared" si="302"/>
        <v>135000</v>
      </c>
      <c r="O2147" s="111">
        <f t="shared" si="303"/>
        <v>27000</v>
      </c>
      <c r="P2147" s="111">
        <f t="shared" si="304"/>
        <v>30000</v>
      </c>
      <c r="Q2147" s="111">
        <v>60000</v>
      </c>
      <c r="R2147" s="111">
        <v>6</v>
      </c>
      <c r="S2147" s="111">
        <f t="shared" si="305"/>
        <v>6000</v>
      </c>
      <c r="T2147" s="111">
        <f t="shared" si="306"/>
        <v>360000</v>
      </c>
      <c r="U2147" s="111">
        <f t="shared" si="307"/>
        <v>3600</v>
      </c>
      <c r="V2147" s="111">
        <f t="shared" si="308"/>
        <v>363600</v>
      </c>
      <c r="W2147" t="s">
        <v>4608</v>
      </c>
    </row>
    <row r="2148" spans="1:23" x14ac:dyDescent="0.3">
      <c r="A2148" s="110">
        <v>2700048</v>
      </c>
      <c r="B2148" s="110" t="s">
        <v>2330</v>
      </c>
      <c r="C2148" s="110" t="s">
        <v>2336</v>
      </c>
      <c r="D2148" s="110" t="s">
        <v>2340</v>
      </c>
      <c r="E2148" s="110" t="s">
        <v>2341</v>
      </c>
      <c r="F2148" s="110" t="s">
        <v>113</v>
      </c>
      <c r="G2148" s="110" t="s">
        <v>114</v>
      </c>
      <c r="H2148" s="111">
        <v>85</v>
      </c>
      <c r="I2148" s="111">
        <v>78</v>
      </c>
      <c r="J2148" s="111">
        <v>89</v>
      </c>
      <c r="K2148" s="111">
        <f t="shared" si="300"/>
        <v>84</v>
      </c>
      <c r="L2148" s="111">
        <v>150000</v>
      </c>
      <c r="M2148" s="111">
        <f t="shared" si="301"/>
        <v>67500</v>
      </c>
      <c r="N2148" s="111">
        <f t="shared" si="302"/>
        <v>67500</v>
      </c>
      <c r="O2148" s="111">
        <f t="shared" si="303"/>
        <v>13500</v>
      </c>
      <c r="P2148" s="111">
        <f t="shared" si="304"/>
        <v>15000</v>
      </c>
      <c r="Q2148" s="111">
        <v>30000</v>
      </c>
      <c r="R2148" s="111">
        <v>3</v>
      </c>
      <c r="S2148" s="111">
        <f t="shared" si="305"/>
        <v>3000</v>
      </c>
      <c r="T2148" s="111">
        <f t="shared" si="306"/>
        <v>180000</v>
      </c>
      <c r="U2148" s="111">
        <f t="shared" si="307"/>
        <v>1800</v>
      </c>
      <c r="V2148" s="111">
        <f t="shared" si="308"/>
        <v>181800</v>
      </c>
      <c r="W2148" t="s">
        <v>4609</v>
      </c>
    </row>
    <row r="2149" spans="1:23" x14ac:dyDescent="0.3">
      <c r="A2149" s="110">
        <v>2700060</v>
      </c>
      <c r="B2149" s="110" t="s">
        <v>2330</v>
      </c>
      <c r="C2149" s="110" t="s">
        <v>2336</v>
      </c>
      <c r="D2149" s="110" t="s">
        <v>2342</v>
      </c>
      <c r="E2149" s="110" t="s">
        <v>1131</v>
      </c>
      <c r="F2149" s="110" t="s">
        <v>113</v>
      </c>
      <c r="G2149" s="110" t="s">
        <v>114</v>
      </c>
      <c r="H2149" s="111">
        <v>56</v>
      </c>
      <c r="I2149" s="111">
        <v>40</v>
      </c>
      <c r="J2149" s="111">
        <v>35</v>
      </c>
      <c r="K2149" s="111">
        <f t="shared" si="300"/>
        <v>43.666666666666664</v>
      </c>
      <c r="L2149" s="111">
        <v>50000</v>
      </c>
      <c r="M2149" s="111">
        <f t="shared" si="301"/>
        <v>22500</v>
      </c>
      <c r="N2149" s="111">
        <f t="shared" si="302"/>
        <v>22500</v>
      </c>
      <c r="O2149" s="111">
        <f t="shared" si="303"/>
        <v>4500</v>
      </c>
      <c r="P2149" s="111">
        <f t="shared" si="304"/>
        <v>5000</v>
      </c>
      <c r="Q2149" s="111">
        <v>10000</v>
      </c>
      <c r="R2149" s="111">
        <v>1</v>
      </c>
      <c r="S2149" s="111">
        <f t="shared" si="305"/>
        <v>1000</v>
      </c>
      <c r="T2149" s="111">
        <f t="shared" si="306"/>
        <v>60000</v>
      </c>
      <c r="U2149" s="111">
        <f t="shared" si="307"/>
        <v>600</v>
      </c>
      <c r="V2149" s="111">
        <f t="shared" si="308"/>
        <v>60600</v>
      </c>
      <c r="W2149" t="s">
        <v>4610</v>
      </c>
    </row>
    <row r="2150" spans="1:23" x14ac:dyDescent="0.3">
      <c r="A2150" s="110">
        <v>2700061</v>
      </c>
      <c r="B2150" s="110" t="s">
        <v>2330</v>
      </c>
      <c r="C2150" s="110" t="s">
        <v>486</v>
      </c>
      <c r="D2150" s="110" t="s">
        <v>1402</v>
      </c>
      <c r="E2150" s="110" t="s">
        <v>409</v>
      </c>
      <c r="F2150" s="110" t="s">
        <v>168</v>
      </c>
      <c r="G2150" s="110" t="s">
        <v>114</v>
      </c>
      <c r="H2150" s="111">
        <v>150</v>
      </c>
      <c r="I2150" s="111">
        <v>136</v>
      </c>
      <c r="J2150" s="111">
        <v>141</v>
      </c>
      <c r="K2150" s="111">
        <f t="shared" si="300"/>
        <v>142.33333333333334</v>
      </c>
      <c r="L2150" s="111">
        <v>150000</v>
      </c>
      <c r="M2150" s="111">
        <f t="shared" si="301"/>
        <v>67500</v>
      </c>
      <c r="N2150" s="111">
        <f t="shared" si="302"/>
        <v>67500</v>
      </c>
      <c r="O2150" s="111">
        <f t="shared" si="303"/>
        <v>13500</v>
      </c>
      <c r="P2150" s="111">
        <f t="shared" si="304"/>
        <v>15000</v>
      </c>
      <c r="Q2150" s="111">
        <v>30000</v>
      </c>
      <c r="R2150" s="111">
        <v>3</v>
      </c>
      <c r="S2150" s="111">
        <f t="shared" si="305"/>
        <v>3000</v>
      </c>
      <c r="T2150" s="111">
        <f t="shared" si="306"/>
        <v>180000</v>
      </c>
      <c r="U2150" s="111">
        <f t="shared" si="307"/>
        <v>1800</v>
      </c>
      <c r="V2150" s="111">
        <f t="shared" si="308"/>
        <v>181800</v>
      </c>
      <c r="W2150" t="s">
        <v>4611</v>
      </c>
    </row>
    <row r="2151" spans="1:23" x14ac:dyDescent="0.3">
      <c r="A2151" s="110">
        <v>2700062</v>
      </c>
      <c r="B2151" s="110" t="s">
        <v>2330</v>
      </c>
      <c r="C2151" s="110" t="s">
        <v>486</v>
      </c>
      <c r="D2151" s="110" t="s">
        <v>486</v>
      </c>
      <c r="E2151" s="110" t="s">
        <v>269</v>
      </c>
      <c r="F2151" s="110" t="s">
        <v>119</v>
      </c>
      <c r="G2151" s="110" t="s">
        <v>114</v>
      </c>
      <c r="H2151" s="111">
        <v>572</v>
      </c>
      <c r="I2151" s="111">
        <v>545</v>
      </c>
      <c r="J2151" s="111">
        <v>515</v>
      </c>
      <c r="K2151" s="111">
        <f t="shared" si="300"/>
        <v>544</v>
      </c>
      <c r="L2151" s="111">
        <f>300000</f>
        <v>300000</v>
      </c>
      <c r="M2151" s="111">
        <f t="shared" si="301"/>
        <v>135000</v>
      </c>
      <c r="N2151" s="111">
        <f t="shared" si="302"/>
        <v>135000</v>
      </c>
      <c r="O2151" s="111">
        <f t="shared" si="303"/>
        <v>27000</v>
      </c>
      <c r="P2151" s="111">
        <f t="shared" si="304"/>
        <v>30000</v>
      </c>
      <c r="Q2151" s="111">
        <v>60000</v>
      </c>
      <c r="R2151" s="111">
        <v>6</v>
      </c>
      <c r="S2151" s="111">
        <f t="shared" si="305"/>
        <v>6000</v>
      </c>
      <c r="T2151" s="111">
        <f t="shared" si="306"/>
        <v>360000</v>
      </c>
      <c r="U2151" s="111">
        <f t="shared" si="307"/>
        <v>3600</v>
      </c>
      <c r="V2151" s="111">
        <f t="shared" si="308"/>
        <v>363600</v>
      </c>
      <c r="W2151" t="s">
        <v>4612</v>
      </c>
    </row>
    <row r="2152" spans="1:23" x14ac:dyDescent="0.3">
      <c r="A2152" s="110">
        <v>2700064</v>
      </c>
      <c r="B2152" s="110" t="s">
        <v>2330</v>
      </c>
      <c r="C2152" s="110" t="s">
        <v>2330</v>
      </c>
      <c r="D2152" s="110" t="s">
        <v>2330</v>
      </c>
      <c r="E2152" s="110" t="s">
        <v>2343</v>
      </c>
      <c r="F2152" s="110" t="s">
        <v>117</v>
      </c>
      <c r="G2152" s="110" t="s">
        <v>114</v>
      </c>
      <c r="H2152" s="111">
        <v>220</v>
      </c>
      <c r="I2152" s="111">
        <v>241</v>
      </c>
      <c r="J2152" s="111">
        <v>229</v>
      </c>
      <c r="K2152" s="111">
        <f t="shared" si="300"/>
        <v>230</v>
      </c>
      <c r="L2152" s="111">
        <v>200000</v>
      </c>
      <c r="M2152" s="111">
        <f t="shared" si="301"/>
        <v>90000</v>
      </c>
      <c r="N2152" s="111">
        <f t="shared" si="302"/>
        <v>90000</v>
      </c>
      <c r="O2152" s="111">
        <f t="shared" si="303"/>
        <v>18000</v>
      </c>
      <c r="P2152" s="111">
        <f t="shared" si="304"/>
        <v>20000</v>
      </c>
      <c r="Q2152" s="111">
        <v>50000</v>
      </c>
      <c r="R2152" s="111">
        <v>5</v>
      </c>
      <c r="S2152" s="111">
        <f t="shared" si="305"/>
        <v>5000</v>
      </c>
      <c r="T2152" s="111">
        <f t="shared" si="306"/>
        <v>250000</v>
      </c>
      <c r="U2152" s="111">
        <f t="shared" si="307"/>
        <v>2500</v>
      </c>
      <c r="V2152" s="111">
        <f t="shared" si="308"/>
        <v>252500</v>
      </c>
      <c r="W2152" t="s">
        <v>4613</v>
      </c>
    </row>
    <row r="2153" spans="1:23" x14ac:dyDescent="0.3">
      <c r="A2153" s="110">
        <v>2700067</v>
      </c>
      <c r="B2153" s="110" t="s">
        <v>2330</v>
      </c>
      <c r="C2153" s="110" t="s">
        <v>2344</v>
      </c>
      <c r="D2153" s="110" t="s">
        <v>2344</v>
      </c>
      <c r="E2153" s="110" t="s">
        <v>1558</v>
      </c>
      <c r="F2153" s="110" t="s">
        <v>119</v>
      </c>
      <c r="G2153" s="110" t="s">
        <v>114</v>
      </c>
      <c r="H2153" s="111">
        <v>238</v>
      </c>
      <c r="I2153" s="111">
        <v>233</v>
      </c>
      <c r="J2153" s="111">
        <v>209</v>
      </c>
      <c r="K2153" s="111">
        <f t="shared" si="300"/>
        <v>226.66666666666666</v>
      </c>
      <c r="L2153" s="111">
        <v>200000</v>
      </c>
      <c r="M2153" s="111">
        <f t="shared" si="301"/>
        <v>90000</v>
      </c>
      <c r="N2153" s="111">
        <f t="shared" si="302"/>
        <v>90000</v>
      </c>
      <c r="O2153" s="111">
        <f t="shared" si="303"/>
        <v>18000</v>
      </c>
      <c r="P2153" s="111">
        <f t="shared" si="304"/>
        <v>20000</v>
      </c>
      <c r="Q2153" s="111">
        <v>50000</v>
      </c>
      <c r="R2153" s="111">
        <v>5</v>
      </c>
      <c r="S2153" s="111">
        <f t="shared" si="305"/>
        <v>5000</v>
      </c>
      <c r="T2153" s="111">
        <f t="shared" si="306"/>
        <v>250000</v>
      </c>
      <c r="U2153" s="111">
        <f t="shared" si="307"/>
        <v>2500</v>
      </c>
      <c r="V2153" s="111">
        <f t="shared" si="308"/>
        <v>252500</v>
      </c>
      <c r="W2153" t="s">
        <v>4614</v>
      </c>
    </row>
    <row r="2154" spans="1:23" x14ac:dyDescent="0.3">
      <c r="A2154" s="110">
        <v>2700068</v>
      </c>
      <c r="B2154" s="110" t="s">
        <v>2330</v>
      </c>
      <c r="C2154" s="110" t="s">
        <v>2344</v>
      </c>
      <c r="D2154" s="110" t="s">
        <v>2344</v>
      </c>
      <c r="E2154" s="110" t="s">
        <v>172</v>
      </c>
      <c r="F2154" s="110" t="s">
        <v>168</v>
      </c>
      <c r="G2154" s="110" t="s">
        <v>114</v>
      </c>
      <c r="H2154" s="111">
        <v>135</v>
      </c>
      <c r="I2154" s="111">
        <v>128</v>
      </c>
      <c r="J2154" s="111">
        <v>110</v>
      </c>
      <c r="K2154" s="111">
        <f t="shared" si="300"/>
        <v>124.33333333333333</v>
      </c>
      <c r="L2154" s="111">
        <v>150000</v>
      </c>
      <c r="M2154" s="111">
        <f t="shared" si="301"/>
        <v>67500</v>
      </c>
      <c r="N2154" s="111">
        <f t="shared" si="302"/>
        <v>67500</v>
      </c>
      <c r="O2154" s="111">
        <f t="shared" si="303"/>
        <v>13500</v>
      </c>
      <c r="P2154" s="111">
        <f t="shared" si="304"/>
        <v>15000</v>
      </c>
      <c r="Q2154" s="111">
        <v>30000</v>
      </c>
      <c r="R2154" s="111">
        <v>3</v>
      </c>
      <c r="S2154" s="111">
        <f t="shared" si="305"/>
        <v>3000</v>
      </c>
      <c r="T2154" s="111">
        <f t="shared" si="306"/>
        <v>180000</v>
      </c>
      <c r="U2154" s="111">
        <f t="shared" si="307"/>
        <v>1800</v>
      </c>
      <c r="V2154" s="111">
        <f t="shared" si="308"/>
        <v>181800</v>
      </c>
      <c r="W2154" t="s">
        <v>4615</v>
      </c>
    </row>
    <row r="2155" spans="1:23" x14ac:dyDescent="0.3">
      <c r="A2155" s="110">
        <v>2700069</v>
      </c>
      <c r="B2155" s="110" t="s">
        <v>2330</v>
      </c>
      <c r="C2155" s="110" t="s">
        <v>2338</v>
      </c>
      <c r="D2155" s="110" t="s">
        <v>2338</v>
      </c>
      <c r="E2155" s="110" t="s">
        <v>178</v>
      </c>
      <c r="F2155" s="110" t="s">
        <v>119</v>
      </c>
      <c r="G2155" s="110" t="s">
        <v>114</v>
      </c>
      <c r="H2155" s="111">
        <v>288</v>
      </c>
      <c r="I2155" s="111">
        <v>280</v>
      </c>
      <c r="J2155" s="111">
        <v>256</v>
      </c>
      <c r="K2155" s="111">
        <f t="shared" si="300"/>
        <v>274.66666666666669</v>
      </c>
      <c r="L2155" s="111">
        <v>200000</v>
      </c>
      <c r="M2155" s="111">
        <f t="shared" si="301"/>
        <v>90000</v>
      </c>
      <c r="N2155" s="111">
        <f t="shared" si="302"/>
        <v>90000</v>
      </c>
      <c r="O2155" s="111">
        <f t="shared" si="303"/>
        <v>18000</v>
      </c>
      <c r="P2155" s="111">
        <f t="shared" si="304"/>
        <v>20000</v>
      </c>
      <c r="Q2155" s="111">
        <v>50000</v>
      </c>
      <c r="R2155" s="111">
        <v>5</v>
      </c>
      <c r="S2155" s="111">
        <f t="shared" si="305"/>
        <v>5000</v>
      </c>
      <c r="T2155" s="111">
        <f t="shared" si="306"/>
        <v>250000</v>
      </c>
      <c r="U2155" s="111">
        <f t="shared" si="307"/>
        <v>2500</v>
      </c>
      <c r="V2155" s="111">
        <f t="shared" si="308"/>
        <v>252500</v>
      </c>
      <c r="W2155" t="s">
        <v>4616</v>
      </c>
    </row>
    <row r="2156" spans="1:23" x14ac:dyDescent="0.3">
      <c r="A2156" s="110">
        <v>2700071</v>
      </c>
      <c r="B2156" s="110" t="s">
        <v>2330</v>
      </c>
      <c r="C2156" s="110" t="s">
        <v>2336</v>
      </c>
      <c r="D2156" s="110" t="s">
        <v>2336</v>
      </c>
      <c r="E2156" s="110" t="s">
        <v>2345</v>
      </c>
      <c r="F2156" s="110" t="s">
        <v>119</v>
      </c>
      <c r="G2156" s="110" t="s">
        <v>114</v>
      </c>
      <c r="H2156" s="111">
        <v>441</v>
      </c>
      <c r="I2156" s="111">
        <v>434</v>
      </c>
      <c r="J2156" s="111">
        <v>429</v>
      </c>
      <c r="K2156" s="111">
        <f t="shared" si="300"/>
        <v>434.66666666666669</v>
      </c>
      <c r="L2156" s="111">
        <f>300000</f>
        <v>300000</v>
      </c>
      <c r="M2156" s="111">
        <f t="shared" si="301"/>
        <v>135000</v>
      </c>
      <c r="N2156" s="111">
        <f t="shared" si="302"/>
        <v>135000</v>
      </c>
      <c r="O2156" s="111">
        <f t="shared" si="303"/>
        <v>27000</v>
      </c>
      <c r="P2156" s="111">
        <f t="shared" si="304"/>
        <v>30000</v>
      </c>
      <c r="Q2156" s="111">
        <v>60000</v>
      </c>
      <c r="R2156" s="111">
        <v>6</v>
      </c>
      <c r="S2156" s="111">
        <f t="shared" si="305"/>
        <v>6000</v>
      </c>
      <c r="T2156" s="111">
        <f t="shared" si="306"/>
        <v>360000</v>
      </c>
      <c r="U2156" s="111">
        <f t="shared" si="307"/>
        <v>3600</v>
      </c>
      <c r="V2156" s="111">
        <f t="shared" si="308"/>
        <v>363600</v>
      </c>
      <c r="W2156" t="s">
        <v>4617</v>
      </c>
    </row>
    <row r="2157" spans="1:23" x14ac:dyDescent="0.3">
      <c r="A2157" s="110">
        <v>2700073</v>
      </c>
      <c r="B2157" s="110" t="s">
        <v>2330</v>
      </c>
      <c r="C2157" s="110" t="s">
        <v>486</v>
      </c>
      <c r="D2157" s="110" t="s">
        <v>2346</v>
      </c>
      <c r="E2157" s="110" t="s">
        <v>2347</v>
      </c>
      <c r="F2157" s="110" t="s">
        <v>113</v>
      </c>
      <c r="G2157" s="110" t="s">
        <v>114</v>
      </c>
      <c r="H2157" s="111">
        <v>49</v>
      </c>
      <c r="I2157" s="111">
        <v>44</v>
      </c>
      <c r="J2157" s="111">
        <v>47</v>
      </c>
      <c r="K2157" s="111">
        <f t="shared" si="300"/>
        <v>46.666666666666664</v>
      </c>
      <c r="L2157" s="111">
        <v>50000</v>
      </c>
      <c r="M2157" s="111">
        <f t="shared" si="301"/>
        <v>22500</v>
      </c>
      <c r="N2157" s="111">
        <f t="shared" si="302"/>
        <v>22500</v>
      </c>
      <c r="O2157" s="111">
        <f t="shared" si="303"/>
        <v>4500</v>
      </c>
      <c r="P2157" s="111">
        <f t="shared" si="304"/>
        <v>5000</v>
      </c>
      <c r="Q2157" s="111">
        <v>10000</v>
      </c>
      <c r="R2157" s="111">
        <v>1</v>
      </c>
      <c r="S2157" s="111">
        <f t="shared" si="305"/>
        <v>1000</v>
      </c>
      <c r="T2157" s="111">
        <f t="shared" si="306"/>
        <v>60000</v>
      </c>
      <c r="U2157" s="111">
        <f t="shared" si="307"/>
        <v>600</v>
      </c>
      <c r="V2157" s="111">
        <f t="shared" si="308"/>
        <v>60600</v>
      </c>
      <c r="W2157" t="s">
        <v>4618</v>
      </c>
    </row>
    <row r="2158" spans="1:23" x14ac:dyDescent="0.3">
      <c r="A2158" s="110">
        <v>2700076</v>
      </c>
      <c r="B2158" s="110" t="s">
        <v>2330</v>
      </c>
      <c r="C2158" s="110" t="s">
        <v>2330</v>
      </c>
      <c r="D2158" s="110" t="s">
        <v>2330</v>
      </c>
      <c r="E2158" s="110" t="s">
        <v>1558</v>
      </c>
      <c r="F2158" s="110" t="s">
        <v>119</v>
      </c>
      <c r="G2158" s="110" t="s">
        <v>114</v>
      </c>
      <c r="H2158" s="111">
        <v>748</v>
      </c>
      <c r="I2158" s="111">
        <v>791</v>
      </c>
      <c r="J2158" s="111">
        <v>843</v>
      </c>
      <c r="K2158" s="111">
        <f t="shared" si="300"/>
        <v>794</v>
      </c>
      <c r="L2158" s="111">
        <f>300000</f>
        <v>300000</v>
      </c>
      <c r="M2158" s="111">
        <f t="shared" si="301"/>
        <v>135000</v>
      </c>
      <c r="N2158" s="111">
        <f t="shared" si="302"/>
        <v>135000</v>
      </c>
      <c r="O2158" s="111">
        <f t="shared" si="303"/>
        <v>27000</v>
      </c>
      <c r="P2158" s="111">
        <f t="shared" si="304"/>
        <v>30000</v>
      </c>
      <c r="Q2158" s="111">
        <v>60000</v>
      </c>
      <c r="R2158" s="111">
        <v>6</v>
      </c>
      <c r="S2158" s="111">
        <f t="shared" si="305"/>
        <v>6000</v>
      </c>
      <c r="T2158" s="111">
        <f t="shared" si="306"/>
        <v>360000</v>
      </c>
      <c r="U2158" s="111">
        <f t="shared" si="307"/>
        <v>3600</v>
      </c>
      <c r="V2158" s="111">
        <f t="shared" si="308"/>
        <v>363600</v>
      </c>
      <c r="W2158" t="s">
        <v>4619</v>
      </c>
    </row>
    <row r="2159" spans="1:23" x14ac:dyDescent="0.3">
      <c r="A2159" s="110">
        <v>2700078</v>
      </c>
      <c r="B2159" s="110" t="s">
        <v>2330</v>
      </c>
      <c r="C2159" s="110" t="s">
        <v>2344</v>
      </c>
      <c r="D2159" s="110" t="s">
        <v>2348</v>
      </c>
      <c r="E2159" s="110" t="s">
        <v>2349</v>
      </c>
      <c r="F2159" s="110" t="s">
        <v>168</v>
      </c>
      <c r="G2159" s="110" t="s">
        <v>114</v>
      </c>
      <c r="H2159" s="111">
        <v>75</v>
      </c>
      <c r="I2159" s="111">
        <v>65</v>
      </c>
      <c r="J2159" s="111">
        <v>64</v>
      </c>
      <c r="K2159" s="111">
        <f t="shared" si="300"/>
        <v>68</v>
      </c>
      <c r="L2159" s="111">
        <v>150000</v>
      </c>
      <c r="M2159" s="111">
        <f t="shared" si="301"/>
        <v>67500</v>
      </c>
      <c r="N2159" s="111">
        <f t="shared" si="302"/>
        <v>67500</v>
      </c>
      <c r="O2159" s="111">
        <f t="shared" si="303"/>
        <v>13500</v>
      </c>
      <c r="P2159" s="111">
        <f t="shared" si="304"/>
        <v>15000</v>
      </c>
      <c r="Q2159" s="111">
        <v>30000</v>
      </c>
      <c r="R2159" s="111">
        <v>3</v>
      </c>
      <c r="S2159" s="111">
        <f t="shared" si="305"/>
        <v>3000</v>
      </c>
      <c r="T2159" s="111">
        <f t="shared" si="306"/>
        <v>180000</v>
      </c>
      <c r="U2159" s="111">
        <f t="shared" si="307"/>
        <v>1800</v>
      </c>
      <c r="V2159" s="111">
        <f t="shared" si="308"/>
        <v>181800</v>
      </c>
      <c r="W2159" t="s">
        <v>4620</v>
      </c>
    </row>
    <row r="2160" spans="1:23" x14ac:dyDescent="0.3">
      <c r="A2160" s="110">
        <v>2700080</v>
      </c>
      <c r="B2160" s="110" t="s">
        <v>2330</v>
      </c>
      <c r="C2160" s="110" t="s">
        <v>2350</v>
      </c>
      <c r="D2160" s="110" t="s">
        <v>2351</v>
      </c>
      <c r="E2160" s="110" t="s">
        <v>247</v>
      </c>
      <c r="F2160" s="110" t="s">
        <v>113</v>
      </c>
      <c r="G2160" s="110" t="s">
        <v>114</v>
      </c>
      <c r="H2160" s="111">
        <v>111</v>
      </c>
      <c r="I2160" s="111">
        <v>103</v>
      </c>
      <c r="J2160" s="111">
        <v>94</v>
      </c>
      <c r="K2160" s="111">
        <f t="shared" si="300"/>
        <v>102.66666666666667</v>
      </c>
      <c r="L2160" s="111">
        <f>150000*0.7</f>
        <v>105000</v>
      </c>
      <c r="M2160" s="111">
        <f t="shared" si="301"/>
        <v>47250</v>
      </c>
      <c r="N2160" s="111">
        <f t="shared" si="302"/>
        <v>47250</v>
      </c>
      <c r="O2160" s="111">
        <f t="shared" si="303"/>
        <v>9450</v>
      </c>
      <c r="P2160" s="111">
        <f t="shared" si="304"/>
        <v>10500</v>
      </c>
      <c r="Q2160" s="111">
        <v>30000</v>
      </c>
      <c r="R2160" s="111">
        <v>3</v>
      </c>
      <c r="S2160" s="111">
        <f t="shared" si="305"/>
        <v>3000</v>
      </c>
      <c r="T2160" s="111">
        <f t="shared" si="306"/>
        <v>135000</v>
      </c>
      <c r="U2160" s="111">
        <f t="shared" si="307"/>
        <v>1350</v>
      </c>
      <c r="V2160" s="111">
        <f t="shared" si="308"/>
        <v>136350</v>
      </c>
      <c r="W2160" t="s">
        <v>4621</v>
      </c>
    </row>
    <row r="2161" spans="1:23" x14ac:dyDescent="0.3">
      <c r="A2161" s="110">
        <v>2700082</v>
      </c>
      <c r="B2161" s="110" t="s">
        <v>2330</v>
      </c>
      <c r="C2161" s="110" t="s">
        <v>2330</v>
      </c>
      <c r="D2161" s="110" t="s">
        <v>2330</v>
      </c>
      <c r="E2161" s="110" t="s">
        <v>2352</v>
      </c>
      <c r="F2161" s="110" t="s">
        <v>209</v>
      </c>
      <c r="G2161" s="110" t="s">
        <v>114</v>
      </c>
      <c r="H2161" s="111">
        <v>300</v>
      </c>
      <c r="I2161" s="111">
        <v>277</v>
      </c>
      <c r="J2161" s="111">
        <v>270</v>
      </c>
      <c r="K2161" s="111">
        <f t="shared" si="300"/>
        <v>282.33333333333331</v>
      </c>
      <c r="L2161" s="111">
        <v>200000</v>
      </c>
      <c r="M2161" s="111">
        <f t="shared" si="301"/>
        <v>90000</v>
      </c>
      <c r="N2161" s="111">
        <f t="shared" si="302"/>
        <v>90000</v>
      </c>
      <c r="O2161" s="111">
        <f t="shared" si="303"/>
        <v>18000</v>
      </c>
      <c r="P2161" s="111">
        <f t="shared" si="304"/>
        <v>20000</v>
      </c>
      <c r="Q2161" s="111">
        <v>50000</v>
      </c>
      <c r="R2161" s="111">
        <v>5</v>
      </c>
      <c r="S2161" s="111">
        <f t="shared" si="305"/>
        <v>5000</v>
      </c>
      <c r="T2161" s="111">
        <f t="shared" si="306"/>
        <v>250000</v>
      </c>
      <c r="U2161" s="111">
        <f t="shared" si="307"/>
        <v>2500</v>
      </c>
      <c r="V2161" s="111">
        <f t="shared" si="308"/>
        <v>252500</v>
      </c>
      <c r="W2161" t="s">
        <v>4622</v>
      </c>
    </row>
    <row r="2162" spans="1:23" x14ac:dyDescent="0.3">
      <c r="A2162" s="110">
        <v>2700083</v>
      </c>
      <c r="B2162" s="110" t="s">
        <v>2330</v>
      </c>
      <c r="C2162" s="110" t="s">
        <v>2330</v>
      </c>
      <c r="D2162" s="110" t="s">
        <v>2330</v>
      </c>
      <c r="E2162" s="110" t="s">
        <v>2353</v>
      </c>
      <c r="F2162" s="110" t="s">
        <v>122</v>
      </c>
      <c r="G2162" s="110" t="s">
        <v>114</v>
      </c>
      <c r="H2162" s="111">
        <v>658</v>
      </c>
      <c r="I2162" s="111">
        <v>677</v>
      </c>
      <c r="J2162" s="111">
        <v>671</v>
      </c>
      <c r="K2162" s="111">
        <f t="shared" si="300"/>
        <v>668.66666666666663</v>
      </c>
      <c r="L2162" s="111">
        <f>300000</f>
        <v>300000</v>
      </c>
      <c r="M2162" s="111">
        <f t="shared" si="301"/>
        <v>135000</v>
      </c>
      <c r="N2162" s="111">
        <f t="shared" si="302"/>
        <v>135000</v>
      </c>
      <c r="O2162" s="111">
        <f t="shared" si="303"/>
        <v>27000</v>
      </c>
      <c r="P2162" s="111">
        <f t="shared" si="304"/>
        <v>30000</v>
      </c>
      <c r="Q2162" s="111">
        <v>60000</v>
      </c>
      <c r="R2162" s="111">
        <v>6</v>
      </c>
      <c r="S2162" s="111">
        <f t="shared" si="305"/>
        <v>6000</v>
      </c>
      <c r="T2162" s="111">
        <f t="shared" si="306"/>
        <v>360000</v>
      </c>
      <c r="U2162" s="111">
        <f t="shared" si="307"/>
        <v>3600</v>
      </c>
      <c r="V2162" s="111">
        <f t="shared" si="308"/>
        <v>363600</v>
      </c>
      <c r="W2162" t="s">
        <v>4623</v>
      </c>
    </row>
    <row r="2163" spans="1:23" x14ac:dyDescent="0.3">
      <c r="A2163" s="110">
        <v>2700087</v>
      </c>
      <c r="B2163" s="110" t="s">
        <v>2330</v>
      </c>
      <c r="C2163" s="110" t="s">
        <v>2330</v>
      </c>
      <c r="D2163" s="110" t="s">
        <v>2354</v>
      </c>
      <c r="E2163" s="110" t="s">
        <v>2266</v>
      </c>
      <c r="F2163" s="110" t="s">
        <v>113</v>
      </c>
      <c r="G2163" s="110" t="s">
        <v>114</v>
      </c>
      <c r="H2163" s="111">
        <v>63</v>
      </c>
      <c r="I2163" s="111">
        <v>63</v>
      </c>
      <c r="J2163" s="111">
        <v>62</v>
      </c>
      <c r="K2163" s="111">
        <f t="shared" si="300"/>
        <v>62.666666666666664</v>
      </c>
      <c r="L2163" s="111">
        <v>150000</v>
      </c>
      <c r="M2163" s="111">
        <f t="shared" si="301"/>
        <v>67500</v>
      </c>
      <c r="N2163" s="111">
        <f t="shared" si="302"/>
        <v>67500</v>
      </c>
      <c r="O2163" s="111">
        <f t="shared" si="303"/>
        <v>13500</v>
      </c>
      <c r="P2163" s="111">
        <f t="shared" si="304"/>
        <v>15000</v>
      </c>
      <c r="Q2163" s="111">
        <v>30000</v>
      </c>
      <c r="R2163" s="111">
        <v>3</v>
      </c>
      <c r="S2163" s="111">
        <f t="shared" si="305"/>
        <v>3000</v>
      </c>
      <c r="T2163" s="111">
        <f t="shared" si="306"/>
        <v>180000</v>
      </c>
      <c r="U2163" s="111">
        <f t="shared" si="307"/>
        <v>1800</v>
      </c>
      <c r="V2163" s="111">
        <f t="shared" si="308"/>
        <v>181800</v>
      </c>
      <c r="W2163" t="s">
        <v>4624</v>
      </c>
    </row>
    <row r="2164" spans="1:23" x14ac:dyDescent="0.3">
      <c r="A2164" s="110">
        <v>2700088</v>
      </c>
      <c r="B2164" s="110" t="s">
        <v>2330</v>
      </c>
      <c r="C2164" s="110" t="s">
        <v>2355</v>
      </c>
      <c r="D2164" s="110" t="s">
        <v>2355</v>
      </c>
      <c r="E2164" s="110" t="s">
        <v>1032</v>
      </c>
      <c r="F2164" s="110" t="s">
        <v>119</v>
      </c>
      <c r="G2164" s="110" t="s">
        <v>114</v>
      </c>
      <c r="H2164" s="111">
        <v>210</v>
      </c>
      <c r="I2164" s="111">
        <v>199</v>
      </c>
      <c r="J2164" s="111">
        <v>206</v>
      </c>
      <c r="K2164" s="111">
        <f t="shared" si="300"/>
        <v>205</v>
      </c>
      <c r="L2164" s="111">
        <v>200000</v>
      </c>
      <c r="M2164" s="111">
        <f t="shared" si="301"/>
        <v>90000</v>
      </c>
      <c r="N2164" s="111">
        <f t="shared" si="302"/>
        <v>90000</v>
      </c>
      <c r="O2164" s="111">
        <f t="shared" si="303"/>
        <v>18000</v>
      </c>
      <c r="P2164" s="111">
        <f t="shared" si="304"/>
        <v>20000</v>
      </c>
      <c r="Q2164" s="111">
        <v>50000</v>
      </c>
      <c r="R2164" s="111">
        <v>5</v>
      </c>
      <c r="S2164" s="111">
        <f t="shared" si="305"/>
        <v>5000</v>
      </c>
      <c r="T2164" s="111">
        <f t="shared" si="306"/>
        <v>250000</v>
      </c>
      <c r="U2164" s="111">
        <f t="shared" si="307"/>
        <v>2500</v>
      </c>
      <c r="V2164" s="111">
        <f t="shared" si="308"/>
        <v>252500</v>
      </c>
      <c r="W2164" t="s">
        <v>4625</v>
      </c>
    </row>
    <row r="2165" spans="1:23" x14ac:dyDescent="0.3">
      <c r="A2165" s="110">
        <v>2700103</v>
      </c>
      <c r="B2165" s="110" t="s">
        <v>2330</v>
      </c>
      <c r="C2165" s="110" t="s">
        <v>2333</v>
      </c>
      <c r="D2165" s="110" t="s">
        <v>2333</v>
      </c>
      <c r="E2165" s="110" t="s">
        <v>1501</v>
      </c>
      <c r="F2165" s="110" t="s">
        <v>119</v>
      </c>
      <c r="G2165" s="110" t="s">
        <v>114</v>
      </c>
      <c r="H2165" s="111">
        <v>135</v>
      </c>
      <c r="I2165" s="111">
        <v>129</v>
      </c>
      <c r="J2165" s="111">
        <v>109</v>
      </c>
      <c r="K2165" s="111">
        <f t="shared" si="300"/>
        <v>124.33333333333333</v>
      </c>
      <c r="L2165" s="111">
        <v>150000</v>
      </c>
      <c r="M2165" s="111">
        <f t="shared" si="301"/>
        <v>67500</v>
      </c>
      <c r="N2165" s="111">
        <f t="shared" si="302"/>
        <v>67500</v>
      </c>
      <c r="O2165" s="111">
        <f t="shared" si="303"/>
        <v>13500</v>
      </c>
      <c r="P2165" s="111">
        <f t="shared" si="304"/>
        <v>15000</v>
      </c>
      <c r="Q2165" s="111">
        <v>30000</v>
      </c>
      <c r="R2165" s="111">
        <v>3</v>
      </c>
      <c r="S2165" s="111">
        <f t="shared" si="305"/>
        <v>3000</v>
      </c>
      <c r="T2165" s="111">
        <f t="shared" si="306"/>
        <v>180000</v>
      </c>
      <c r="U2165" s="111">
        <f t="shared" si="307"/>
        <v>1800</v>
      </c>
      <c r="V2165" s="111">
        <f t="shared" si="308"/>
        <v>181800</v>
      </c>
      <c r="W2165" t="s">
        <v>4626</v>
      </c>
    </row>
    <row r="2166" spans="1:23" x14ac:dyDescent="0.3">
      <c r="A2166" s="110">
        <v>2700104</v>
      </c>
      <c r="B2166" s="110" t="s">
        <v>2330</v>
      </c>
      <c r="C2166" s="110" t="s">
        <v>2330</v>
      </c>
      <c r="D2166" s="110" t="s">
        <v>2330</v>
      </c>
      <c r="E2166" s="110" t="s">
        <v>2356</v>
      </c>
      <c r="F2166" s="110" t="s">
        <v>113</v>
      </c>
      <c r="G2166" s="110" t="s">
        <v>114</v>
      </c>
      <c r="H2166" s="111">
        <v>210</v>
      </c>
      <c r="I2166" s="111">
        <v>190</v>
      </c>
      <c r="J2166" s="111">
        <v>184</v>
      </c>
      <c r="K2166" s="111">
        <f t="shared" si="300"/>
        <v>194.66666666666666</v>
      </c>
      <c r="L2166" s="111">
        <v>150000</v>
      </c>
      <c r="M2166" s="111">
        <f t="shared" si="301"/>
        <v>67500</v>
      </c>
      <c r="N2166" s="111">
        <f t="shared" si="302"/>
        <v>67500</v>
      </c>
      <c r="O2166" s="111">
        <f t="shared" si="303"/>
        <v>13500</v>
      </c>
      <c r="P2166" s="111">
        <f t="shared" si="304"/>
        <v>15000</v>
      </c>
      <c r="Q2166" s="111">
        <v>30000</v>
      </c>
      <c r="R2166" s="111">
        <v>3</v>
      </c>
      <c r="S2166" s="111">
        <f t="shared" si="305"/>
        <v>3000</v>
      </c>
      <c r="T2166" s="111">
        <f t="shared" si="306"/>
        <v>180000</v>
      </c>
      <c r="U2166" s="111">
        <f t="shared" si="307"/>
        <v>1800</v>
      </c>
      <c r="V2166" s="111">
        <f t="shared" si="308"/>
        <v>181800</v>
      </c>
      <c r="W2166" t="s">
        <v>4627</v>
      </c>
    </row>
    <row r="2167" spans="1:23" x14ac:dyDescent="0.3">
      <c r="A2167" s="110">
        <v>2700105</v>
      </c>
      <c r="B2167" s="110" t="s">
        <v>2330</v>
      </c>
      <c r="C2167" s="110" t="s">
        <v>2357</v>
      </c>
      <c r="D2167" s="110" t="s">
        <v>2358</v>
      </c>
      <c r="E2167" s="110" t="s">
        <v>184</v>
      </c>
      <c r="F2167" s="110" t="s">
        <v>113</v>
      </c>
      <c r="G2167" s="110" t="s">
        <v>114</v>
      </c>
      <c r="H2167" s="111">
        <v>31</v>
      </c>
      <c r="I2167" s="111">
        <v>36</v>
      </c>
      <c r="J2167" s="111">
        <v>36</v>
      </c>
      <c r="K2167" s="111">
        <f t="shared" si="300"/>
        <v>34.333333333333336</v>
      </c>
      <c r="L2167" s="111">
        <v>50000</v>
      </c>
      <c r="M2167" s="111">
        <f t="shared" si="301"/>
        <v>22500</v>
      </c>
      <c r="N2167" s="111">
        <f t="shared" si="302"/>
        <v>22500</v>
      </c>
      <c r="O2167" s="111">
        <f t="shared" si="303"/>
        <v>4500</v>
      </c>
      <c r="P2167" s="111">
        <f t="shared" si="304"/>
        <v>5000</v>
      </c>
      <c r="Q2167" s="111">
        <v>10000</v>
      </c>
      <c r="R2167" s="111">
        <v>1</v>
      </c>
      <c r="S2167" s="111">
        <f t="shared" si="305"/>
        <v>1000</v>
      </c>
      <c r="T2167" s="111">
        <f t="shared" si="306"/>
        <v>60000</v>
      </c>
      <c r="U2167" s="111">
        <f t="shared" si="307"/>
        <v>600</v>
      </c>
      <c r="V2167" s="111">
        <f t="shared" si="308"/>
        <v>60600</v>
      </c>
      <c r="W2167" t="s">
        <v>4628</v>
      </c>
    </row>
    <row r="2168" spans="1:23" x14ac:dyDescent="0.3">
      <c r="A2168" s="110">
        <v>2700114</v>
      </c>
      <c r="B2168" s="110" t="s">
        <v>2330</v>
      </c>
      <c r="C2168" s="110" t="s">
        <v>2330</v>
      </c>
      <c r="D2168" s="110" t="s">
        <v>2330</v>
      </c>
      <c r="E2168" s="110" t="s">
        <v>2359</v>
      </c>
      <c r="F2168" s="110" t="s">
        <v>113</v>
      </c>
      <c r="G2168" s="110" t="s">
        <v>114</v>
      </c>
      <c r="H2168" s="111">
        <v>584</v>
      </c>
      <c r="I2168" s="111">
        <v>597</v>
      </c>
      <c r="J2168" s="111">
        <v>571</v>
      </c>
      <c r="K2168" s="111">
        <f t="shared" si="300"/>
        <v>584</v>
      </c>
      <c r="L2168" s="111">
        <f>300000</f>
        <v>300000</v>
      </c>
      <c r="M2168" s="111">
        <f t="shared" si="301"/>
        <v>135000</v>
      </c>
      <c r="N2168" s="111">
        <f t="shared" si="302"/>
        <v>135000</v>
      </c>
      <c r="O2168" s="111">
        <f t="shared" si="303"/>
        <v>27000</v>
      </c>
      <c r="P2168" s="111">
        <f t="shared" si="304"/>
        <v>30000</v>
      </c>
      <c r="Q2168" s="111">
        <v>60000</v>
      </c>
      <c r="R2168" s="111">
        <v>6</v>
      </c>
      <c r="S2168" s="111">
        <f t="shared" si="305"/>
        <v>6000</v>
      </c>
      <c r="T2168" s="111">
        <f t="shared" si="306"/>
        <v>360000</v>
      </c>
      <c r="U2168" s="111">
        <f t="shared" si="307"/>
        <v>3600</v>
      </c>
      <c r="V2168" s="111">
        <f t="shared" si="308"/>
        <v>363600</v>
      </c>
      <c r="W2168" t="s">
        <v>4629</v>
      </c>
    </row>
    <row r="2169" spans="1:23" x14ac:dyDescent="0.3">
      <c r="A2169" s="110">
        <v>2700133</v>
      </c>
      <c r="B2169" s="110" t="s">
        <v>2330</v>
      </c>
      <c r="C2169" s="110" t="s">
        <v>2330</v>
      </c>
      <c r="D2169" s="110" t="s">
        <v>2330</v>
      </c>
      <c r="E2169" s="110" t="s">
        <v>467</v>
      </c>
      <c r="F2169" s="110" t="s">
        <v>135</v>
      </c>
      <c r="G2169" s="110" t="s">
        <v>125</v>
      </c>
      <c r="H2169" s="111">
        <v>48</v>
      </c>
      <c r="I2169" s="111">
        <v>55</v>
      </c>
      <c r="J2169" s="111">
        <v>70</v>
      </c>
      <c r="K2169" s="111">
        <f t="shared" si="300"/>
        <v>57.666666666666664</v>
      </c>
      <c r="L2169" s="111">
        <v>150000</v>
      </c>
      <c r="M2169" s="111">
        <f t="shared" si="301"/>
        <v>67500</v>
      </c>
      <c r="N2169" s="111">
        <f t="shared" si="302"/>
        <v>67500</v>
      </c>
      <c r="O2169" s="111">
        <f t="shared" si="303"/>
        <v>13500</v>
      </c>
      <c r="P2169" s="111">
        <f t="shared" si="304"/>
        <v>15000</v>
      </c>
      <c r="Q2169" s="111">
        <v>30000</v>
      </c>
      <c r="R2169" s="111">
        <v>3</v>
      </c>
      <c r="S2169" s="111">
        <f t="shared" si="305"/>
        <v>3000</v>
      </c>
      <c r="T2169" s="111">
        <f t="shared" si="306"/>
        <v>180000</v>
      </c>
      <c r="U2169" s="111">
        <f t="shared" si="307"/>
        <v>1800</v>
      </c>
      <c r="V2169" s="111">
        <f t="shared" si="308"/>
        <v>181800</v>
      </c>
      <c r="W2169" t="s">
        <v>4630</v>
      </c>
    </row>
    <row r="2170" spans="1:23" x14ac:dyDescent="0.3">
      <c r="A2170" s="110">
        <v>2700144</v>
      </c>
      <c r="B2170" s="110" t="s">
        <v>2330</v>
      </c>
      <c r="C2170" s="110" t="s">
        <v>2330</v>
      </c>
      <c r="D2170" s="110" t="s">
        <v>2360</v>
      </c>
      <c r="E2170" s="110" t="s">
        <v>557</v>
      </c>
      <c r="F2170" s="110" t="s">
        <v>113</v>
      </c>
      <c r="G2170" s="110" t="s">
        <v>114</v>
      </c>
      <c r="H2170" s="111">
        <v>56</v>
      </c>
      <c r="I2170" s="111">
        <v>58</v>
      </c>
      <c r="J2170" s="111">
        <v>66</v>
      </c>
      <c r="K2170" s="111">
        <f t="shared" si="300"/>
        <v>60</v>
      </c>
      <c r="L2170" s="111">
        <v>150000</v>
      </c>
      <c r="M2170" s="111">
        <f t="shared" si="301"/>
        <v>67500</v>
      </c>
      <c r="N2170" s="111">
        <f t="shared" si="302"/>
        <v>67500</v>
      </c>
      <c r="O2170" s="111">
        <f t="shared" si="303"/>
        <v>13500</v>
      </c>
      <c r="P2170" s="111">
        <f t="shared" si="304"/>
        <v>15000</v>
      </c>
      <c r="Q2170" s="111">
        <v>30000</v>
      </c>
      <c r="R2170" s="111">
        <v>3</v>
      </c>
      <c r="S2170" s="111">
        <f t="shared" si="305"/>
        <v>3000</v>
      </c>
      <c r="T2170" s="111">
        <f t="shared" si="306"/>
        <v>180000</v>
      </c>
      <c r="U2170" s="111">
        <f t="shared" si="307"/>
        <v>1800</v>
      </c>
      <c r="V2170" s="111">
        <f t="shared" si="308"/>
        <v>181800</v>
      </c>
      <c r="W2170" t="s">
        <v>4631</v>
      </c>
    </row>
    <row r="2171" spans="1:23" x14ac:dyDescent="0.3">
      <c r="A2171" s="110">
        <v>2700146</v>
      </c>
      <c r="B2171" s="110" t="s">
        <v>2330</v>
      </c>
      <c r="C2171" s="110" t="s">
        <v>2330</v>
      </c>
      <c r="D2171" s="110" t="s">
        <v>2330</v>
      </c>
      <c r="E2171" s="110" t="s">
        <v>2361</v>
      </c>
      <c r="F2171" s="110" t="s">
        <v>113</v>
      </c>
      <c r="G2171" s="110" t="s">
        <v>114</v>
      </c>
      <c r="H2171" s="111">
        <v>727</v>
      </c>
      <c r="I2171" s="111">
        <v>687</v>
      </c>
      <c r="J2171" s="111">
        <v>657</v>
      </c>
      <c r="K2171" s="111">
        <f t="shared" si="300"/>
        <v>690.33333333333337</v>
      </c>
      <c r="L2171" s="111">
        <f>300000</f>
        <v>300000</v>
      </c>
      <c r="M2171" s="111">
        <f t="shared" si="301"/>
        <v>135000</v>
      </c>
      <c r="N2171" s="111">
        <f t="shared" si="302"/>
        <v>135000</v>
      </c>
      <c r="O2171" s="111">
        <f t="shared" si="303"/>
        <v>27000</v>
      </c>
      <c r="P2171" s="111">
        <f t="shared" si="304"/>
        <v>30000</v>
      </c>
      <c r="Q2171" s="111">
        <v>60000</v>
      </c>
      <c r="R2171" s="111">
        <v>6</v>
      </c>
      <c r="S2171" s="111">
        <f t="shared" si="305"/>
        <v>6000</v>
      </c>
      <c r="T2171" s="111">
        <f t="shared" si="306"/>
        <v>360000</v>
      </c>
      <c r="U2171" s="111">
        <f t="shared" si="307"/>
        <v>3600</v>
      </c>
      <c r="V2171" s="111">
        <f t="shared" si="308"/>
        <v>363600</v>
      </c>
      <c r="W2171" t="s">
        <v>4632</v>
      </c>
    </row>
    <row r="2172" spans="1:23" x14ac:dyDescent="0.3">
      <c r="A2172" s="110">
        <v>2700147</v>
      </c>
      <c r="B2172" s="110" t="s">
        <v>2330</v>
      </c>
      <c r="C2172" s="110" t="s">
        <v>2330</v>
      </c>
      <c r="D2172" s="110" t="s">
        <v>2330</v>
      </c>
      <c r="E2172" s="110" t="s">
        <v>2362</v>
      </c>
      <c r="F2172" s="110" t="s">
        <v>119</v>
      </c>
      <c r="G2172" s="110" t="s">
        <v>114</v>
      </c>
      <c r="H2172" s="111">
        <v>270</v>
      </c>
      <c r="I2172" s="111">
        <v>304</v>
      </c>
      <c r="J2172" s="111">
        <v>335</v>
      </c>
      <c r="K2172" s="111">
        <f t="shared" si="300"/>
        <v>303</v>
      </c>
      <c r="L2172" s="111">
        <f>200000*0.7</f>
        <v>140000</v>
      </c>
      <c r="M2172" s="111">
        <f t="shared" si="301"/>
        <v>63000</v>
      </c>
      <c r="N2172" s="111">
        <f t="shared" si="302"/>
        <v>63000</v>
      </c>
      <c r="O2172" s="111">
        <f t="shared" si="303"/>
        <v>12600</v>
      </c>
      <c r="P2172" s="111">
        <f t="shared" si="304"/>
        <v>14000</v>
      </c>
      <c r="Q2172" s="111">
        <v>50000</v>
      </c>
      <c r="R2172" s="111">
        <v>5</v>
      </c>
      <c r="S2172" s="111">
        <f t="shared" si="305"/>
        <v>5000</v>
      </c>
      <c r="T2172" s="111">
        <f t="shared" si="306"/>
        <v>190000</v>
      </c>
      <c r="U2172" s="111">
        <f t="shared" si="307"/>
        <v>1900</v>
      </c>
      <c r="V2172" s="111">
        <f t="shared" si="308"/>
        <v>191900</v>
      </c>
      <c r="W2172" t="s">
        <v>4633</v>
      </c>
    </row>
    <row r="2173" spans="1:23" x14ac:dyDescent="0.3">
      <c r="A2173" s="110">
        <v>2700153</v>
      </c>
      <c r="B2173" s="110" t="s">
        <v>2330</v>
      </c>
      <c r="C2173" s="110" t="s">
        <v>2330</v>
      </c>
      <c r="D2173" s="110" t="s">
        <v>2330</v>
      </c>
      <c r="E2173" s="110" t="s">
        <v>2363</v>
      </c>
      <c r="F2173" s="110" t="s">
        <v>209</v>
      </c>
      <c r="G2173" s="110" t="s">
        <v>114</v>
      </c>
      <c r="H2173" s="111">
        <v>272</v>
      </c>
      <c r="I2173" s="111">
        <v>265</v>
      </c>
      <c r="J2173" s="111">
        <v>268</v>
      </c>
      <c r="K2173" s="111">
        <f t="shared" si="300"/>
        <v>268.33333333333331</v>
      </c>
      <c r="L2173" s="111">
        <v>200000</v>
      </c>
      <c r="M2173" s="111">
        <f t="shared" si="301"/>
        <v>90000</v>
      </c>
      <c r="N2173" s="111">
        <f t="shared" si="302"/>
        <v>90000</v>
      </c>
      <c r="O2173" s="111">
        <f t="shared" si="303"/>
        <v>18000</v>
      </c>
      <c r="P2173" s="111">
        <f t="shared" si="304"/>
        <v>20000</v>
      </c>
      <c r="Q2173" s="111">
        <v>50000</v>
      </c>
      <c r="R2173" s="111">
        <v>5</v>
      </c>
      <c r="S2173" s="111">
        <f t="shared" si="305"/>
        <v>5000</v>
      </c>
      <c r="T2173" s="111">
        <f t="shared" si="306"/>
        <v>250000</v>
      </c>
      <c r="U2173" s="111">
        <f t="shared" si="307"/>
        <v>2500</v>
      </c>
      <c r="V2173" s="111">
        <f t="shared" si="308"/>
        <v>252500</v>
      </c>
      <c r="W2173" t="s">
        <v>4634</v>
      </c>
    </row>
    <row r="2174" spans="1:23" x14ac:dyDescent="0.3">
      <c r="A2174" s="110">
        <v>2700155</v>
      </c>
      <c r="B2174" s="110" t="s">
        <v>2330</v>
      </c>
      <c r="C2174" s="110" t="s">
        <v>2357</v>
      </c>
      <c r="D2174" s="110" t="s">
        <v>2364</v>
      </c>
      <c r="E2174" s="110" t="s">
        <v>314</v>
      </c>
      <c r="F2174" s="110" t="s">
        <v>113</v>
      </c>
      <c r="G2174" s="110" t="s">
        <v>114</v>
      </c>
      <c r="H2174" s="111">
        <v>30</v>
      </c>
      <c r="I2174" s="111">
        <v>35</v>
      </c>
      <c r="J2174" s="111">
        <v>31</v>
      </c>
      <c r="K2174" s="111">
        <f t="shared" si="300"/>
        <v>32</v>
      </c>
      <c r="L2174" s="111">
        <v>50000</v>
      </c>
      <c r="M2174" s="111">
        <f t="shared" si="301"/>
        <v>22500</v>
      </c>
      <c r="N2174" s="111">
        <f t="shared" si="302"/>
        <v>22500</v>
      </c>
      <c r="O2174" s="111">
        <f t="shared" si="303"/>
        <v>4500</v>
      </c>
      <c r="P2174" s="111">
        <f t="shared" si="304"/>
        <v>5000</v>
      </c>
      <c r="Q2174" s="111">
        <v>10000</v>
      </c>
      <c r="R2174" s="111">
        <v>1</v>
      </c>
      <c r="S2174" s="111">
        <f t="shared" si="305"/>
        <v>1000</v>
      </c>
      <c r="T2174" s="111">
        <f t="shared" si="306"/>
        <v>60000</v>
      </c>
      <c r="U2174" s="111">
        <f t="shared" si="307"/>
        <v>600</v>
      </c>
      <c r="V2174" s="111">
        <f t="shared" si="308"/>
        <v>60600</v>
      </c>
      <c r="W2174" t="s">
        <v>4635</v>
      </c>
    </row>
    <row r="2175" spans="1:23" x14ac:dyDescent="0.3">
      <c r="A2175" s="110">
        <v>2700160</v>
      </c>
      <c r="B2175" s="110" t="s">
        <v>2330</v>
      </c>
      <c r="C2175" s="110" t="s">
        <v>2330</v>
      </c>
      <c r="D2175" s="110" t="s">
        <v>2365</v>
      </c>
      <c r="E2175" s="110" t="s">
        <v>2366</v>
      </c>
      <c r="F2175" s="110" t="s">
        <v>168</v>
      </c>
      <c r="G2175" s="110" t="s">
        <v>114</v>
      </c>
      <c r="H2175" s="111">
        <v>131</v>
      </c>
      <c r="I2175" s="111">
        <v>147</v>
      </c>
      <c r="J2175" s="111">
        <v>139</v>
      </c>
      <c r="K2175" s="111">
        <f t="shared" si="300"/>
        <v>139</v>
      </c>
      <c r="L2175" s="111">
        <v>150000</v>
      </c>
      <c r="M2175" s="111">
        <f t="shared" si="301"/>
        <v>67500</v>
      </c>
      <c r="N2175" s="111">
        <f t="shared" si="302"/>
        <v>67500</v>
      </c>
      <c r="O2175" s="111">
        <f t="shared" si="303"/>
        <v>13500</v>
      </c>
      <c r="P2175" s="111">
        <f t="shared" si="304"/>
        <v>15000</v>
      </c>
      <c r="Q2175" s="111">
        <v>30000</v>
      </c>
      <c r="R2175" s="111">
        <v>3</v>
      </c>
      <c r="S2175" s="111">
        <f t="shared" si="305"/>
        <v>3000</v>
      </c>
      <c r="T2175" s="111">
        <f t="shared" si="306"/>
        <v>180000</v>
      </c>
      <c r="U2175" s="111">
        <f t="shared" si="307"/>
        <v>1800</v>
      </c>
      <c r="V2175" s="111">
        <f t="shared" si="308"/>
        <v>181800</v>
      </c>
      <c r="W2175" t="s">
        <v>4636</v>
      </c>
    </row>
    <row r="2176" spans="1:23" x14ac:dyDescent="0.3">
      <c r="A2176" s="110">
        <v>2700180</v>
      </c>
      <c r="B2176" s="110" t="s">
        <v>2330</v>
      </c>
      <c r="C2176" s="110" t="s">
        <v>2333</v>
      </c>
      <c r="D2176" s="110" t="s">
        <v>2333</v>
      </c>
      <c r="E2176" s="110" t="s">
        <v>143</v>
      </c>
      <c r="F2176" s="110" t="s">
        <v>113</v>
      </c>
      <c r="G2176" s="110" t="s">
        <v>114</v>
      </c>
      <c r="H2176" s="111">
        <v>302</v>
      </c>
      <c r="I2176" s="111">
        <v>307</v>
      </c>
      <c r="J2176" s="111">
        <v>304</v>
      </c>
      <c r="K2176" s="111">
        <f t="shared" si="300"/>
        <v>304.33333333333331</v>
      </c>
      <c r="L2176" s="111">
        <v>200000</v>
      </c>
      <c r="M2176" s="111">
        <f t="shared" si="301"/>
        <v>90000</v>
      </c>
      <c r="N2176" s="111">
        <f t="shared" si="302"/>
        <v>90000</v>
      </c>
      <c r="O2176" s="111">
        <f t="shared" si="303"/>
        <v>18000</v>
      </c>
      <c r="P2176" s="111">
        <f t="shared" si="304"/>
        <v>20000</v>
      </c>
      <c r="Q2176" s="111">
        <v>50000</v>
      </c>
      <c r="R2176" s="111">
        <v>5</v>
      </c>
      <c r="S2176" s="111">
        <f t="shared" si="305"/>
        <v>5000</v>
      </c>
      <c r="T2176" s="111">
        <f t="shared" si="306"/>
        <v>250000</v>
      </c>
      <c r="U2176" s="111">
        <f t="shared" si="307"/>
        <v>2500</v>
      </c>
      <c r="V2176" s="111">
        <f t="shared" si="308"/>
        <v>252500</v>
      </c>
      <c r="W2176" t="s">
        <v>4637</v>
      </c>
    </row>
    <row r="2177" spans="1:23" x14ac:dyDescent="0.3">
      <c r="A2177" s="110">
        <v>2700182</v>
      </c>
      <c r="B2177" s="110" t="s">
        <v>2330</v>
      </c>
      <c r="C2177" s="110" t="s">
        <v>2330</v>
      </c>
      <c r="D2177" s="110" t="s">
        <v>2330</v>
      </c>
      <c r="E2177" s="110" t="s">
        <v>2367</v>
      </c>
      <c r="F2177" s="110" t="s">
        <v>119</v>
      </c>
      <c r="G2177" s="110" t="s">
        <v>114</v>
      </c>
      <c r="H2177" s="111">
        <v>967</v>
      </c>
      <c r="I2177" s="111">
        <v>899</v>
      </c>
      <c r="J2177" s="111">
        <v>872</v>
      </c>
      <c r="K2177" s="111">
        <f t="shared" si="300"/>
        <v>912.66666666666663</v>
      </c>
      <c r="L2177" s="111">
        <f>300000*0.7</f>
        <v>210000</v>
      </c>
      <c r="M2177" s="111">
        <f t="shared" si="301"/>
        <v>94500</v>
      </c>
      <c r="N2177" s="111">
        <f t="shared" si="302"/>
        <v>94500</v>
      </c>
      <c r="O2177" s="111">
        <f t="shared" si="303"/>
        <v>18900</v>
      </c>
      <c r="P2177" s="111">
        <f t="shared" si="304"/>
        <v>21000</v>
      </c>
      <c r="Q2177" s="111">
        <v>60000</v>
      </c>
      <c r="R2177" s="111">
        <v>6</v>
      </c>
      <c r="S2177" s="111">
        <f t="shared" si="305"/>
        <v>6000</v>
      </c>
      <c r="T2177" s="111">
        <f t="shared" si="306"/>
        <v>270000</v>
      </c>
      <c r="U2177" s="111">
        <f t="shared" si="307"/>
        <v>2700</v>
      </c>
      <c r="V2177" s="111">
        <f t="shared" si="308"/>
        <v>272700</v>
      </c>
      <c r="W2177" t="s">
        <v>4638</v>
      </c>
    </row>
    <row r="2178" spans="1:23" x14ac:dyDescent="0.3">
      <c r="A2178" s="110">
        <v>2700189</v>
      </c>
      <c r="B2178" s="110" t="s">
        <v>2330</v>
      </c>
      <c r="C2178" s="110" t="s">
        <v>2330</v>
      </c>
      <c r="D2178" s="110" t="s">
        <v>2368</v>
      </c>
      <c r="E2178" s="110" t="s">
        <v>143</v>
      </c>
      <c r="F2178" s="110" t="s">
        <v>113</v>
      </c>
      <c r="G2178" s="110" t="s">
        <v>114</v>
      </c>
      <c r="H2178" s="111">
        <v>108</v>
      </c>
      <c r="I2178" s="111">
        <v>129</v>
      </c>
      <c r="J2178" s="111">
        <v>124</v>
      </c>
      <c r="K2178" s="111">
        <f t="shared" ref="K2178:K2241" si="309">+(H2178+I2178+J2178)/3</f>
        <v>120.33333333333333</v>
      </c>
      <c r="L2178" s="111">
        <v>150000</v>
      </c>
      <c r="M2178" s="111">
        <f t="shared" ref="M2178:M2241" si="310">+L2178*0.45</f>
        <v>67500</v>
      </c>
      <c r="N2178" s="111">
        <f t="shared" ref="N2178:N2241" si="311">+L2178*0.45</f>
        <v>67500</v>
      </c>
      <c r="O2178" s="111">
        <f t="shared" ref="O2178:O2241" si="312">+N2178*0.2</f>
        <v>13500</v>
      </c>
      <c r="P2178" s="111">
        <f t="shared" ref="P2178:P2241" si="313">++L2178*0.1</f>
        <v>15000</v>
      </c>
      <c r="Q2178" s="111">
        <v>30000</v>
      </c>
      <c r="R2178" s="111">
        <v>3</v>
      </c>
      <c r="S2178" s="111">
        <f t="shared" ref="S2178:S2241" si="314">+Q2178*0.1</f>
        <v>3000</v>
      </c>
      <c r="T2178" s="111">
        <f t="shared" ref="T2178:T2241" si="315">+L2178+Q2178</f>
        <v>180000</v>
      </c>
      <c r="U2178" s="111">
        <f t="shared" ref="U2178:U2241" si="316">+T2178*0.01</f>
        <v>1800</v>
      </c>
      <c r="V2178" s="111">
        <f t="shared" ref="V2178:V2241" si="317">+T2178+U2178</f>
        <v>181800</v>
      </c>
      <c r="W2178" t="s">
        <v>4639</v>
      </c>
    </row>
    <row r="2179" spans="1:23" x14ac:dyDescent="0.3">
      <c r="A2179" s="110">
        <v>2700191</v>
      </c>
      <c r="B2179" s="110" t="s">
        <v>2330</v>
      </c>
      <c r="C2179" s="110" t="s">
        <v>2357</v>
      </c>
      <c r="D2179" s="110" t="s">
        <v>2357</v>
      </c>
      <c r="E2179" s="110" t="s">
        <v>682</v>
      </c>
      <c r="F2179" s="110" t="s">
        <v>119</v>
      </c>
      <c r="G2179" s="110" t="s">
        <v>114</v>
      </c>
      <c r="H2179" s="111">
        <v>400</v>
      </c>
      <c r="I2179" s="111">
        <v>395</v>
      </c>
      <c r="J2179" s="111">
        <v>373</v>
      </c>
      <c r="K2179" s="111">
        <f t="shared" si="309"/>
        <v>389.33333333333331</v>
      </c>
      <c r="L2179" s="111">
        <v>200000</v>
      </c>
      <c r="M2179" s="111">
        <f t="shared" si="310"/>
        <v>90000</v>
      </c>
      <c r="N2179" s="111">
        <f t="shared" si="311"/>
        <v>90000</v>
      </c>
      <c r="O2179" s="111">
        <f t="shared" si="312"/>
        <v>18000</v>
      </c>
      <c r="P2179" s="111">
        <f t="shared" si="313"/>
        <v>20000</v>
      </c>
      <c r="Q2179" s="111">
        <v>50000</v>
      </c>
      <c r="R2179" s="111">
        <v>5</v>
      </c>
      <c r="S2179" s="111">
        <f t="shared" si="314"/>
        <v>5000</v>
      </c>
      <c r="T2179" s="111">
        <f t="shared" si="315"/>
        <v>250000</v>
      </c>
      <c r="U2179" s="111">
        <f t="shared" si="316"/>
        <v>2500</v>
      </c>
      <c r="V2179" s="111">
        <f t="shared" si="317"/>
        <v>252500</v>
      </c>
      <c r="W2179" t="s">
        <v>4640</v>
      </c>
    </row>
    <row r="2180" spans="1:23" x14ac:dyDescent="0.3">
      <c r="A2180" s="110">
        <v>2700192</v>
      </c>
      <c r="B2180" s="110" t="s">
        <v>2330</v>
      </c>
      <c r="C2180" s="110" t="s">
        <v>2350</v>
      </c>
      <c r="D2180" s="110" t="s">
        <v>2350</v>
      </c>
      <c r="E2180" s="110" t="s">
        <v>2369</v>
      </c>
      <c r="F2180" s="110" t="s">
        <v>119</v>
      </c>
      <c r="G2180" s="110" t="s">
        <v>114</v>
      </c>
      <c r="H2180" s="111">
        <v>367</v>
      </c>
      <c r="I2180" s="111">
        <v>369</v>
      </c>
      <c r="J2180" s="111">
        <v>265</v>
      </c>
      <c r="K2180" s="111">
        <f t="shared" si="309"/>
        <v>333.66666666666669</v>
      </c>
      <c r="L2180" s="111">
        <v>200000</v>
      </c>
      <c r="M2180" s="111">
        <f t="shared" si="310"/>
        <v>90000</v>
      </c>
      <c r="N2180" s="111">
        <f t="shared" si="311"/>
        <v>90000</v>
      </c>
      <c r="O2180" s="111">
        <f t="shared" si="312"/>
        <v>18000</v>
      </c>
      <c r="P2180" s="111">
        <f t="shared" si="313"/>
        <v>20000</v>
      </c>
      <c r="Q2180" s="111">
        <v>50000</v>
      </c>
      <c r="R2180" s="111">
        <v>5</v>
      </c>
      <c r="S2180" s="111">
        <f t="shared" si="314"/>
        <v>5000</v>
      </c>
      <c r="T2180" s="111">
        <f t="shared" si="315"/>
        <v>250000</v>
      </c>
      <c r="U2180" s="111">
        <f t="shared" si="316"/>
        <v>2500</v>
      </c>
      <c r="V2180" s="111">
        <f t="shared" si="317"/>
        <v>252500</v>
      </c>
      <c r="W2180" t="s">
        <v>4641</v>
      </c>
    </row>
    <row r="2181" spans="1:23" x14ac:dyDescent="0.3">
      <c r="A2181" s="110">
        <v>2700194</v>
      </c>
      <c r="B2181" s="110" t="s">
        <v>2330</v>
      </c>
      <c r="C2181" s="110" t="s">
        <v>2336</v>
      </c>
      <c r="D2181" s="110" t="s">
        <v>2336</v>
      </c>
      <c r="E2181" s="110" t="s">
        <v>406</v>
      </c>
      <c r="F2181" s="110" t="s">
        <v>113</v>
      </c>
      <c r="G2181" s="110" t="s">
        <v>114</v>
      </c>
      <c r="H2181" s="111">
        <v>132</v>
      </c>
      <c r="I2181" s="111">
        <v>110</v>
      </c>
      <c r="J2181" s="111">
        <v>100</v>
      </c>
      <c r="K2181" s="111">
        <f t="shared" si="309"/>
        <v>114</v>
      </c>
      <c r="L2181" s="111">
        <v>150000</v>
      </c>
      <c r="M2181" s="111">
        <f t="shared" si="310"/>
        <v>67500</v>
      </c>
      <c r="N2181" s="111">
        <f t="shared" si="311"/>
        <v>67500</v>
      </c>
      <c r="O2181" s="111">
        <f t="shared" si="312"/>
        <v>13500</v>
      </c>
      <c r="P2181" s="111">
        <f t="shared" si="313"/>
        <v>15000</v>
      </c>
      <c r="Q2181" s="111">
        <v>30000</v>
      </c>
      <c r="R2181" s="111">
        <v>3</v>
      </c>
      <c r="S2181" s="111">
        <f t="shared" si="314"/>
        <v>3000</v>
      </c>
      <c r="T2181" s="111">
        <f t="shared" si="315"/>
        <v>180000</v>
      </c>
      <c r="U2181" s="111">
        <f t="shared" si="316"/>
        <v>1800</v>
      </c>
      <c r="V2181" s="111">
        <f t="shared" si="317"/>
        <v>181800</v>
      </c>
      <c r="W2181" t="s">
        <v>4642</v>
      </c>
    </row>
    <row r="2182" spans="1:23" x14ac:dyDescent="0.3">
      <c r="A2182" s="110">
        <v>2700196</v>
      </c>
      <c r="B2182" s="110" t="s">
        <v>2330</v>
      </c>
      <c r="C2182" s="110" t="s">
        <v>2333</v>
      </c>
      <c r="D2182" s="110" t="s">
        <v>2370</v>
      </c>
      <c r="E2182" s="110" t="s">
        <v>184</v>
      </c>
      <c r="F2182" s="110" t="s">
        <v>113</v>
      </c>
      <c r="G2182" s="110" t="s">
        <v>114</v>
      </c>
      <c r="H2182" s="111">
        <v>45</v>
      </c>
      <c r="I2182" s="111">
        <v>45</v>
      </c>
      <c r="J2182" s="111">
        <v>43</v>
      </c>
      <c r="K2182" s="111">
        <f t="shared" si="309"/>
        <v>44.333333333333336</v>
      </c>
      <c r="L2182" s="111">
        <v>50000</v>
      </c>
      <c r="M2182" s="111">
        <f t="shared" si="310"/>
        <v>22500</v>
      </c>
      <c r="N2182" s="111">
        <f t="shared" si="311"/>
        <v>22500</v>
      </c>
      <c r="O2182" s="111">
        <f t="shared" si="312"/>
        <v>4500</v>
      </c>
      <c r="P2182" s="111">
        <f t="shared" si="313"/>
        <v>5000</v>
      </c>
      <c r="Q2182" s="111">
        <v>10000</v>
      </c>
      <c r="R2182" s="111">
        <v>1</v>
      </c>
      <c r="S2182" s="111">
        <f t="shared" si="314"/>
        <v>1000</v>
      </c>
      <c r="T2182" s="111">
        <f t="shared" si="315"/>
        <v>60000</v>
      </c>
      <c r="U2182" s="111">
        <f t="shared" si="316"/>
        <v>600</v>
      </c>
      <c r="V2182" s="111">
        <f t="shared" si="317"/>
        <v>60600</v>
      </c>
      <c r="W2182" t="s">
        <v>4643</v>
      </c>
    </row>
    <row r="2183" spans="1:23" x14ac:dyDescent="0.3">
      <c r="A2183" s="110">
        <v>2700197</v>
      </c>
      <c r="B2183" s="110" t="s">
        <v>2330</v>
      </c>
      <c r="C2183" s="110" t="s">
        <v>2330</v>
      </c>
      <c r="D2183" s="110" t="s">
        <v>2330</v>
      </c>
      <c r="E2183" s="110" t="s">
        <v>2371</v>
      </c>
      <c r="F2183" s="110" t="s">
        <v>119</v>
      </c>
      <c r="G2183" s="110" t="s">
        <v>114</v>
      </c>
      <c r="H2183" s="111">
        <v>1353</v>
      </c>
      <c r="I2183" s="111">
        <v>1373</v>
      </c>
      <c r="J2183" s="111">
        <v>1353</v>
      </c>
      <c r="K2183" s="111">
        <f t="shared" si="309"/>
        <v>1359.6666666666667</v>
      </c>
      <c r="L2183" s="111">
        <f>600000*0.7</f>
        <v>420000</v>
      </c>
      <c r="M2183" s="111">
        <f t="shared" si="310"/>
        <v>189000</v>
      </c>
      <c r="N2183" s="111">
        <f t="shared" si="311"/>
        <v>189000</v>
      </c>
      <c r="O2183" s="111">
        <f t="shared" si="312"/>
        <v>37800</v>
      </c>
      <c r="P2183" s="111">
        <f t="shared" si="313"/>
        <v>42000</v>
      </c>
      <c r="Q2183" s="111">
        <v>80000</v>
      </c>
      <c r="R2183" s="111">
        <v>8</v>
      </c>
      <c r="S2183" s="111">
        <f t="shared" si="314"/>
        <v>8000</v>
      </c>
      <c r="T2183" s="111">
        <f t="shared" si="315"/>
        <v>500000</v>
      </c>
      <c r="U2183" s="111">
        <f t="shared" si="316"/>
        <v>5000</v>
      </c>
      <c r="V2183" s="111">
        <f t="shared" si="317"/>
        <v>505000</v>
      </c>
      <c r="W2183" t="s">
        <v>4644</v>
      </c>
    </row>
    <row r="2184" spans="1:23" x14ac:dyDescent="0.3">
      <c r="A2184" s="110">
        <v>2700212</v>
      </c>
      <c r="B2184" s="110" t="s">
        <v>2330</v>
      </c>
      <c r="C2184" s="110" t="s">
        <v>2372</v>
      </c>
      <c r="D2184" s="110" t="s">
        <v>2373</v>
      </c>
      <c r="E2184" s="110" t="s">
        <v>353</v>
      </c>
      <c r="F2184" s="110" t="s">
        <v>113</v>
      </c>
      <c r="G2184" s="110" t="s">
        <v>114</v>
      </c>
      <c r="H2184" s="111">
        <v>118</v>
      </c>
      <c r="I2184" s="111">
        <v>109</v>
      </c>
      <c r="J2184" s="111">
        <v>101</v>
      </c>
      <c r="K2184" s="111">
        <f t="shared" si="309"/>
        <v>109.33333333333333</v>
      </c>
      <c r="L2184" s="111">
        <v>150000</v>
      </c>
      <c r="M2184" s="111">
        <f t="shared" si="310"/>
        <v>67500</v>
      </c>
      <c r="N2184" s="111">
        <f t="shared" si="311"/>
        <v>67500</v>
      </c>
      <c r="O2184" s="111">
        <f t="shared" si="312"/>
        <v>13500</v>
      </c>
      <c r="P2184" s="111">
        <f t="shared" si="313"/>
        <v>15000</v>
      </c>
      <c r="Q2184" s="111">
        <v>30000</v>
      </c>
      <c r="R2184" s="111">
        <v>3</v>
      </c>
      <c r="S2184" s="111">
        <f t="shared" si="314"/>
        <v>3000</v>
      </c>
      <c r="T2184" s="111">
        <f t="shared" si="315"/>
        <v>180000</v>
      </c>
      <c r="U2184" s="111">
        <f t="shared" si="316"/>
        <v>1800</v>
      </c>
      <c r="V2184" s="111">
        <f t="shared" si="317"/>
        <v>181800</v>
      </c>
      <c r="W2184" t="s">
        <v>4645</v>
      </c>
    </row>
    <row r="2185" spans="1:23" x14ac:dyDescent="0.3">
      <c r="A2185" s="110">
        <v>2700216</v>
      </c>
      <c r="B2185" s="110" t="s">
        <v>2330</v>
      </c>
      <c r="C2185" s="110" t="s">
        <v>2372</v>
      </c>
      <c r="D2185" s="110" t="s">
        <v>2372</v>
      </c>
      <c r="E2185" s="110" t="s">
        <v>474</v>
      </c>
      <c r="F2185" s="110" t="s">
        <v>119</v>
      </c>
      <c r="G2185" s="110" t="s">
        <v>114</v>
      </c>
      <c r="H2185" s="111">
        <v>307</v>
      </c>
      <c r="I2185" s="111">
        <v>302</v>
      </c>
      <c r="J2185" s="111">
        <v>288</v>
      </c>
      <c r="K2185" s="111">
        <f t="shared" si="309"/>
        <v>299</v>
      </c>
      <c r="L2185" s="111">
        <v>200000</v>
      </c>
      <c r="M2185" s="111">
        <f t="shared" si="310"/>
        <v>90000</v>
      </c>
      <c r="N2185" s="111">
        <f t="shared" si="311"/>
        <v>90000</v>
      </c>
      <c r="O2185" s="111">
        <f t="shared" si="312"/>
        <v>18000</v>
      </c>
      <c r="P2185" s="111">
        <f t="shared" si="313"/>
        <v>20000</v>
      </c>
      <c r="Q2185" s="111">
        <v>50000</v>
      </c>
      <c r="R2185" s="111">
        <v>5</v>
      </c>
      <c r="S2185" s="111">
        <f t="shared" si="314"/>
        <v>5000</v>
      </c>
      <c r="T2185" s="111">
        <f t="shared" si="315"/>
        <v>250000</v>
      </c>
      <c r="U2185" s="111">
        <f t="shared" si="316"/>
        <v>2500</v>
      </c>
      <c r="V2185" s="111">
        <f t="shared" si="317"/>
        <v>252500</v>
      </c>
      <c r="W2185" t="s">
        <v>4646</v>
      </c>
    </row>
    <row r="2186" spans="1:23" x14ac:dyDescent="0.3">
      <c r="A2186" s="110">
        <v>2700220</v>
      </c>
      <c r="B2186" s="110" t="s">
        <v>2330</v>
      </c>
      <c r="C2186" s="110" t="s">
        <v>2336</v>
      </c>
      <c r="D2186" s="110" t="s">
        <v>2336</v>
      </c>
      <c r="E2186" s="110" t="s">
        <v>357</v>
      </c>
      <c r="F2186" s="110" t="s">
        <v>117</v>
      </c>
      <c r="G2186" s="110" t="s">
        <v>114</v>
      </c>
      <c r="H2186" s="111">
        <v>151</v>
      </c>
      <c r="I2186" s="111">
        <v>157</v>
      </c>
      <c r="J2186" s="111">
        <v>135</v>
      </c>
      <c r="K2186" s="111">
        <f t="shared" si="309"/>
        <v>147.66666666666666</v>
      </c>
      <c r="L2186" s="111">
        <v>150000</v>
      </c>
      <c r="M2186" s="111">
        <f t="shared" si="310"/>
        <v>67500</v>
      </c>
      <c r="N2186" s="111">
        <f t="shared" si="311"/>
        <v>67500</v>
      </c>
      <c r="O2186" s="111">
        <f t="shared" si="312"/>
        <v>13500</v>
      </c>
      <c r="P2186" s="111">
        <f t="shared" si="313"/>
        <v>15000</v>
      </c>
      <c r="Q2186" s="111">
        <v>30000</v>
      </c>
      <c r="R2186" s="111">
        <v>3</v>
      </c>
      <c r="S2186" s="111">
        <f t="shared" si="314"/>
        <v>3000</v>
      </c>
      <c r="T2186" s="111">
        <f t="shared" si="315"/>
        <v>180000</v>
      </c>
      <c r="U2186" s="111">
        <f t="shared" si="316"/>
        <v>1800</v>
      </c>
      <c r="V2186" s="111">
        <f t="shared" si="317"/>
        <v>181800</v>
      </c>
      <c r="W2186" t="s">
        <v>4647</v>
      </c>
    </row>
    <row r="2187" spans="1:23" x14ac:dyDescent="0.3">
      <c r="A2187" s="110">
        <v>2700221</v>
      </c>
      <c r="B2187" s="110" t="s">
        <v>2330</v>
      </c>
      <c r="C2187" s="110" t="s">
        <v>2330</v>
      </c>
      <c r="D2187" s="110" t="s">
        <v>2330</v>
      </c>
      <c r="E2187" s="110" t="s">
        <v>2374</v>
      </c>
      <c r="F2187" s="110" t="s">
        <v>122</v>
      </c>
      <c r="G2187" s="110" t="s">
        <v>114</v>
      </c>
      <c r="H2187" s="111">
        <v>808</v>
      </c>
      <c r="I2187" s="111">
        <v>812</v>
      </c>
      <c r="J2187" s="111">
        <v>807</v>
      </c>
      <c r="K2187" s="111">
        <f t="shared" si="309"/>
        <v>809</v>
      </c>
      <c r="L2187" s="111">
        <f>300000</f>
        <v>300000</v>
      </c>
      <c r="M2187" s="111">
        <f t="shared" si="310"/>
        <v>135000</v>
      </c>
      <c r="N2187" s="111">
        <f t="shared" si="311"/>
        <v>135000</v>
      </c>
      <c r="O2187" s="111">
        <f t="shared" si="312"/>
        <v>27000</v>
      </c>
      <c r="P2187" s="111">
        <f t="shared" si="313"/>
        <v>30000</v>
      </c>
      <c r="Q2187" s="111">
        <v>60000</v>
      </c>
      <c r="R2187" s="111">
        <v>6</v>
      </c>
      <c r="S2187" s="111">
        <f t="shared" si="314"/>
        <v>6000</v>
      </c>
      <c r="T2187" s="111">
        <f t="shared" si="315"/>
        <v>360000</v>
      </c>
      <c r="U2187" s="111">
        <f t="shared" si="316"/>
        <v>3600</v>
      </c>
      <c r="V2187" s="111">
        <f t="shared" si="317"/>
        <v>363600</v>
      </c>
      <c r="W2187" t="s">
        <v>4648</v>
      </c>
    </row>
    <row r="2188" spans="1:23" x14ac:dyDescent="0.3">
      <c r="A2188" s="110">
        <v>2700224</v>
      </c>
      <c r="B2188" s="110" t="s">
        <v>2330</v>
      </c>
      <c r="C2188" s="110" t="s">
        <v>2336</v>
      </c>
      <c r="D2188" s="110" t="s">
        <v>2336</v>
      </c>
      <c r="E2188" s="110" t="s">
        <v>2375</v>
      </c>
      <c r="F2188" s="110" t="s">
        <v>117</v>
      </c>
      <c r="G2188" s="110" t="s">
        <v>114</v>
      </c>
      <c r="H2188" s="111">
        <v>195</v>
      </c>
      <c r="I2188" s="111">
        <v>176</v>
      </c>
      <c r="J2188" s="111">
        <v>172</v>
      </c>
      <c r="K2188" s="111">
        <f t="shared" si="309"/>
        <v>181</v>
      </c>
      <c r="L2188" s="111">
        <v>150000</v>
      </c>
      <c r="M2188" s="111">
        <f t="shared" si="310"/>
        <v>67500</v>
      </c>
      <c r="N2188" s="111">
        <f t="shared" si="311"/>
        <v>67500</v>
      </c>
      <c r="O2188" s="111">
        <f t="shared" si="312"/>
        <v>13500</v>
      </c>
      <c r="P2188" s="111">
        <f t="shared" si="313"/>
        <v>15000</v>
      </c>
      <c r="Q2188" s="111">
        <v>30000</v>
      </c>
      <c r="R2188" s="111">
        <v>3</v>
      </c>
      <c r="S2188" s="111">
        <f t="shared" si="314"/>
        <v>3000</v>
      </c>
      <c r="T2188" s="111">
        <f t="shared" si="315"/>
        <v>180000</v>
      </c>
      <c r="U2188" s="111">
        <f t="shared" si="316"/>
        <v>1800</v>
      </c>
      <c r="V2188" s="111">
        <f t="shared" si="317"/>
        <v>181800</v>
      </c>
      <c r="W2188" t="s">
        <v>4649</v>
      </c>
    </row>
    <row r="2189" spans="1:23" x14ac:dyDescent="0.3">
      <c r="A2189" s="110">
        <v>2700231</v>
      </c>
      <c r="B2189" s="110" t="s">
        <v>2330</v>
      </c>
      <c r="C2189" s="110" t="s">
        <v>2330</v>
      </c>
      <c r="D2189" s="110" t="s">
        <v>2330</v>
      </c>
      <c r="E2189" s="110" t="s">
        <v>214</v>
      </c>
      <c r="F2189" s="110" t="s">
        <v>119</v>
      </c>
      <c r="G2189" s="110" t="s">
        <v>114</v>
      </c>
      <c r="H2189" s="111">
        <v>478</v>
      </c>
      <c r="I2189" s="111">
        <v>478</v>
      </c>
      <c r="J2189" s="111">
        <v>475</v>
      </c>
      <c r="K2189" s="111">
        <f t="shared" si="309"/>
        <v>477</v>
      </c>
      <c r="L2189" s="111">
        <f>300000</f>
        <v>300000</v>
      </c>
      <c r="M2189" s="111">
        <f t="shared" si="310"/>
        <v>135000</v>
      </c>
      <c r="N2189" s="111">
        <f t="shared" si="311"/>
        <v>135000</v>
      </c>
      <c r="O2189" s="111">
        <f t="shared" si="312"/>
        <v>27000</v>
      </c>
      <c r="P2189" s="111">
        <f t="shared" si="313"/>
        <v>30000</v>
      </c>
      <c r="Q2189" s="111">
        <v>60000</v>
      </c>
      <c r="R2189" s="111">
        <v>6</v>
      </c>
      <c r="S2189" s="111">
        <f t="shared" si="314"/>
        <v>6000</v>
      </c>
      <c r="T2189" s="111">
        <f t="shared" si="315"/>
        <v>360000</v>
      </c>
      <c r="U2189" s="111">
        <f t="shared" si="316"/>
        <v>3600</v>
      </c>
      <c r="V2189" s="111">
        <f t="shared" si="317"/>
        <v>363600</v>
      </c>
      <c r="W2189" t="s">
        <v>4650</v>
      </c>
    </row>
    <row r="2190" spans="1:23" x14ac:dyDescent="0.3">
      <c r="A2190" s="110">
        <v>2700237</v>
      </c>
      <c r="B2190" s="110" t="s">
        <v>2330</v>
      </c>
      <c r="C2190" s="110" t="s">
        <v>2372</v>
      </c>
      <c r="D2190" s="110" t="s">
        <v>2376</v>
      </c>
      <c r="E2190" s="110" t="s">
        <v>2377</v>
      </c>
      <c r="F2190" s="110" t="s">
        <v>113</v>
      </c>
      <c r="G2190" s="110" t="s">
        <v>114</v>
      </c>
      <c r="H2190" s="111">
        <v>52</v>
      </c>
      <c r="I2190" s="111">
        <v>45</v>
      </c>
      <c r="J2190" s="111">
        <v>35</v>
      </c>
      <c r="K2190" s="111">
        <f t="shared" si="309"/>
        <v>44</v>
      </c>
      <c r="L2190" s="111">
        <v>50000</v>
      </c>
      <c r="M2190" s="111">
        <f t="shared" si="310"/>
        <v>22500</v>
      </c>
      <c r="N2190" s="111">
        <f t="shared" si="311"/>
        <v>22500</v>
      </c>
      <c r="O2190" s="111">
        <f t="shared" si="312"/>
        <v>4500</v>
      </c>
      <c r="P2190" s="111">
        <f t="shared" si="313"/>
        <v>5000</v>
      </c>
      <c r="Q2190" s="111">
        <v>10000</v>
      </c>
      <c r="R2190" s="111">
        <v>1</v>
      </c>
      <c r="S2190" s="111">
        <f t="shared" si="314"/>
        <v>1000</v>
      </c>
      <c r="T2190" s="111">
        <f t="shared" si="315"/>
        <v>60000</v>
      </c>
      <c r="U2190" s="111">
        <f t="shared" si="316"/>
        <v>600</v>
      </c>
      <c r="V2190" s="111">
        <f t="shared" si="317"/>
        <v>60600</v>
      </c>
      <c r="W2190" t="s">
        <v>4651</v>
      </c>
    </row>
    <row r="2191" spans="1:23" x14ac:dyDescent="0.3">
      <c r="A2191" s="110">
        <v>2700238</v>
      </c>
      <c r="B2191" s="110" t="s">
        <v>2330</v>
      </c>
      <c r="C2191" s="110" t="s">
        <v>2372</v>
      </c>
      <c r="D2191" s="110" t="s">
        <v>2378</v>
      </c>
      <c r="E2191" s="110" t="s">
        <v>786</v>
      </c>
      <c r="F2191" s="110" t="s">
        <v>168</v>
      </c>
      <c r="G2191" s="110" t="s">
        <v>114</v>
      </c>
      <c r="H2191" s="111">
        <v>128</v>
      </c>
      <c r="I2191" s="111">
        <v>124</v>
      </c>
      <c r="J2191" s="111">
        <v>132</v>
      </c>
      <c r="K2191" s="111">
        <f t="shared" si="309"/>
        <v>128</v>
      </c>
      <c r="L2191" s="111">
        <v>150000</v>
      </c>
      <c r="M2191" s="111">
        <f t="shared" si="310"/>
        <v>67500</v>
      </c>
      <c r="N2191" s="111">
        <f t="shared" si="311"/>
        <v>67500</v>
      </c>
      <c r="O2191" s="111">
        <f t="shared" si="312"/>
        <v>13500</v>
      </c>
      <c r="P2191" s="111">
        <f t="shared" si="313"/>
        <v>15000</v>
      </c>
      <c r="Q2191" s="111">
        <v>30000</v>
      </c>
      <c r="R2191" s="111">
        <v>3</v>
      </c>
      <c r="S2191" s="111">
        <f t="shared" si="314"/>
        <v>3000</v>
      </c>
      <c r="T2191" s="111">
        <f t="shared" si="315"/>
        <v>180000</v>
      </c>
      <c r="U2191" s="111">
        <f t="shared" si="316"/>
        <v>1800</v>
      </c>
      <c r="V2191" s="111">
        <f t="shared" si="317"/>
        <v>181800</v>
      </c>
      <c r="W2191" t="s">
        <v>4652</v>
      </c>
    </row>
    <row r="2192" spans="1:23" x14ac:dyDescent="0.3">
      <c r="A2192" s="110">
        <v>2700239</v>
      </c>
      <c r="B2192" s="110" t="s">
        <v>2330</v>
      </c>
      <c r="C2192" s="110" t="s">
        <v>2372</v>
      </c>
      <c r="D2192" s="110" t="s">
        <v>2379</v>
      </c>
      <c r="E2192" s="110" t="s">
        <v>2380</v>
      </c>
      <c r="F2192" s="110" t="s">
        <v>168</v>
      </c>
      <c r="G2192" s="110" t="s">
        <v>114</v>
      </c>
      <c r="H2192" s="111">
        <v>249</v>
      </c>
      <c r="I2192" s="111">
        <v>231</v>
      </c>
      <c r="J2192" s="111">
        <v>229</v>
      </c>
      <c r="K2192" s="111">
        <f t="shared" si="309"/>
        <v>236.33333333333334</v>
      </c>
      <c r="L2192" s="111">
        <v>200000</v>
      </c>
      <c r="M2192" s="111">
        <f t="shared" si="310"/>
        <v>90000</v>
      </c>
      <c r="N2192" s="111">
        <f t="shared" si="311"/>
        <v>90000</v>
      </c>
      <c r="O2192" s="111">
        <f t="shared" si="312"/>
        <v>18000</v>
      </c>
      <c r="P2192" s="111">
        <f t="shared" si="313"/>
        <v>20000</v>
      </c>
      <c r="Q2192" s="111">
        <v>50000</v>
      </c>
      <c r="R2192" s="111">
        <v>5</v>
      </c>
      <c r="S2192" s="111">
        <f t="shared" si="314"/>
        <v>5000</v>
      </c>
      <c r="T2192" s="111">
        <f t="shared" si="315"/>
        <v>250000</v>
      </c>
      <c r="U2192" s="111">
        <f t="shared" si="316"/>
        <v>2500</v>
      </c>
      <c r="V2192" s="111">
        <f t="shared" si="317"/>
        <v>252500</v>
      </c>
      <c r="W2192" t="s">
        <v>4653</v>
      </c>
    </row>
    <row r="2193" spans="1:23" x14ac:dyDescent="0.3">
      <c r="A2193" s="110">
        <v>2700251</v>
      </c>
      <c r="B2193" s="110" t="s">
        <v>2330</v>
      </c>
      <c r="C2193" s="110" t="s">
        <v>2350</v>
      </c>
      <c r="D2193" s="110" t="s">
        <v>2381</v>
      </c>
      <c r="E2193" s="110" t="s">
        <v>184</v>
      </c>
      <c r="F2193" s="110" t="s">
        <v>113</v>
      </c>
      <c r="G2193" s="110" t="s">
        <v>114</v>
      </c>
      <c r="H2193" s="111">
        <v>82</v>
      </c>
      <c r="I2193" s="111">
        <v>77</v>
      </c>
      <c r="J2193" s="111">
        <v>71</v>
      </c>
      <c r="K2193" s="111">
        <f t="shared" si="309"/>
        <v>76.666666666666671</v>
      </c>
      <c r="L2193" s="111">
        <v>150000</v>
      </c>
      <c r="M2193" s="111">
        <f t="shared" si="310"/>
        <v>67500</v>
      </c>
      <c r="N2193" s="111">
        <f t="shared" si="311"/>
        <v>67500</v>
      </c>
      <c r="O2193" s="111">
        <f t="shared" si="312"/>
        <v>13500</v>
      </c>
      <c r="P2193" s="111">
        <f t="shared" si="313"/>
        <v>15000</v>
      </c>
      <c r="Q2193" s="111">
        <v>30000</v>
      </c>
      <c r="R2193" s="111">
        <v>3</v>
      </c>
      <c r="S2193" s="111">
        <f t="shared" si="314"/>
        <v>3000</v>
      </c>
      <c r="T2193" s="111">
        <f t="shared" si="315"/>
        <v>180000</v>
      </c>
      <c r="U2193" s="111">
        <f t="shared" si="316"/>
        <v>1800</v>
      </c>
      <c r="V2193" s="111">
        <f t="shared" si="317"/>
        <v>181800</v>
      </c>
      <c r="W2193" t="s">
        <v>4654</v>
      </c>
    </row>
    <row r="2194" spans="1:23" x14ac:dyDescent="0.3">
      <c r="A2194" s="110">
        <v>2700253</v>
      </c>
      <c r="B2194" s="110" t="s">
        <v>2330</v>
      </c>
      <c r="C2194" s="110" t="s">
        <v>486</v>
      </c>
      <c r="D2194" s="110" t="s">
        <v>1569</v>
      </c>
      <c r="E2194" s="110" t="s">
        <v>319</v>
      </c>
      <c r="F2194" s="110" t="s">
        <v>113</v>
      </c>
      <c r="G2194" s="110" t="s">
        <v>114</v>
      </c>
      <c r="H2194" s="111">
        <v>29</v>
      </c>
      <c r="I2194" s="111">
        <v>33</v>
      </c>
      <c r="J2194" s="111">
        <v>30</v>
      </c>
      <c r="K2194" s="111">
        <f t="shared" si="309"/>
        <v>30.666666666666668</v>
      </c>
      <c r="L2194" s="111">
        <v>50000</v>
      </c>
      <c r="M2194" s="111">
        <f t="shared" si="310"/>
        <v>22500</v>
      </c>
      <c r="N2194" s="111">
        <f t="shared" si="311"/>
        <v>22500</v>
      </c>
      <c r="O2194" s="111">
        <f t="shared" si="312"/>
        <v>4500</v>
      </c>
      <c r="P2194" s="111">
        <f t="shared" si="313"/>
        <v>5000</v>
      </c>
      <c r="Q2194" s="111">
        <v>10000</v>
      </c>
      <c r="R2194" s="111">
        <v>1</v>
      </c>
      <c r="S2194" s="111">
        <f t="shared" si="314"/>
        <v>1000</v>
      </c>
      <c r="T2194" s="111">
        <f t="shared" si="315"/>
        <v>60000</v>
      </c>
      <c r="U2194" s="111">
        <f t="shared" si="316"/>
        <v>600</v>
      </c>
      <c r="V2194" s="111">
        <f t="shared" si="317"/>
        <v>60600</v>
      </c>
      <c r="W2194" t="s">
        <v>4655</v>
      </c>
    </row>
    <row r="2195" spans="1:23" x14ac:dyDescent="0.3">
      <c r="A2195" s="110">
        <v>2700255</v>
      </c>
      <c r="B2195" s="110" t="s">
        <v>2330</v>
      </c>
      <c r="C2195" s="110" t="s">
        <v>2333</v>
      </c>
      <c r="D2195" s="110" t="s">
        <v>2382</v>
      </c>
      <c r="E2195" s="110" t="s">
        <v>143</v>
      </c>
      <c r="F2195" s="110" t="s">
        <v>113</v>
      </c>
      <c r="G2195" s="110" t="s">
        <v>114</v>
      </c>
      <c r="H2195" s="111">
        <v>40</v>
      </c>
      <c r="I2195" s="111">
        <v>48</v>
      </c>
      <c r="J2195" s="111">
        <v>44</v>
      </c>
      <c r="K2195" s="111">
        <f t="shared" si="309"/>
        <v>44</v>
      </c>
      <c r="L2195" s="111">
        <v>50000</v>
      </c>
      <c r="M2195" s="111">
        <f t="shared" si="310"/>
        <v>22500</v>
      </c>
      <c r="N2195" s="111">
        <f t="shared" si="311"/>
        <v>22500</v>
      </c>
      <c r="O2195" s="111">
        <f t="shared" si="312"/>
        <v>4500</v>
      </c>
      <c r="P2195" s="111">
        <f t="shared" si="313"/>
        <v>5000</v>
      </c>
      <c r="Q2195" s="111">
        <v>10000</v>
      </c>
      <c r="R2195" s="111">
        <v>1</v>
      </c>
      <c r="S2195" s="111">
        <f t="shared" si="314"/>
        <v>1000</v>
      </c>
      <c r="T2195" s="111">
        <f t="shared" si="315"/>
        <v>60000</v>
      </c>
      <c r="U2195" s="111">
        <f t="shared" si="316"/>
        <v>600</v>
      </c>
      <c r="V2195" s="111">
        <f t="shared" si="317"/>
        <v>60600</v>
      </c>
      <c r="W2195" t="s">
        <v>4656</v>
      </c>
    </row>
    <row r="2196" spans="1:23" x14ac:dyDescent="0.3">
      <c r="A2196" s="110">
        <v>2700260</v>
      </c>
      <c r="B2196" s="110" t="s">
        <v>2330</v>
      </c>
      <c r="C2196" s="110" t="s">
        <v>2372</v>
      </c>
      <c r="D2196" s="110" t="s">
        <v>2383</v>
      </c>
      <c r="E2196" s="110" t="s">
        <v>2384</v>
      </c>
      <c r="F2196" s="110" t="s">
        <v>113</v>
      </c>
      <c r="G2196" s="110" t="s">
        <v>114</v>
      </c>
      <c r="H2196" s="111">
        <v>87</v>
      </c>
      <c r="I2196" s="111">
        <v>68</v>
      </c>
      <c r="J2196" s="111">
        <v>59</v>
      </c>
      <c r="K2196" s="111">
        <f t="shared" si="309"/>
        <v>71.333333333333329</v>
      </c>
      <c r="L2196" s="111">
        <v>150000</v>
      </c>
      <c r="M2196" s="111">
        <f t="shared" si="310"/>
        <v>67500</v>
      </c>
      <c r="N2196" s="111">
        <f t="shared" si="311"/>
        <v>67500</v>
      </c>
      <c r="O2196" s="111">
        <f t="shared" si="312"/>
        <v>13500</v>
      </c>
      <c r="P2196" s="111">
        <f t="shared" si="313"/>
        <v>15000</v>
      </c>
      <c r="Q2196" s="111">
        <v>30000</v>
      </c>
      <c r="R2196" s="111">
        <v>3</v>
      </c>
      <c r="S2196" s="111">
        <f t="shared" si="314"/>
        <v>3000</v>
      </c>
      <c r="T2196" s="111">
        <f t="shared" si="315"/>
        <v>180000</v>
      </c>
      <c r="U2196" s="111">
        <f t="shared" si="316"/>
        <v>1800</v>
      </c>
      <c r="V2196" s="111">
        <f t="shared" si="317"/>
        <v>181800</v>
      </c>
      <c r="W2196" t="s">
        <v>4657</v>
      </c>
    </row>
    <row r="2197" spans="1:23" x14ac:dyDescent="0.3">
      <c r="A2197" s="110">
        <v>2700263</v>
      </c>
      <c r="B2197" s="110" t="s">
        <v>2330</v>
      </c>
      <c r="C2197" s="110" t="s">
        <v>2344</v>
      </c>
      <c r="D2197" s="110" t="s">
        <v>1422</v>
      </c>
      <c r="E2197" s="110" t="s">
        <v>2385</v>
      </c>
      <c r="F2197" s="110" t="s">
        <v>168</v>
      </c>
      <c r="G2197" s="110" t="s">
        <v>114</v>
      </c>
      <c r="H2197" s="111">
        <v>135</v>
      </c>
      <c r="I2197" s="111">
        <v>115</v>
      </c>
      <c r="J2197" s="111">
        <v>118</v>
      </c>
      <c r="K2197" s="111">
        <f t="shared" si="309"/>
        <v>122.66666666666667</v>
      </c>
      <c r="L2197" s="111">
        <v>150000</v>
      </c>
      <c r="M2197" s="111">
        <f t="shared" si="310"/>
        <v>67500</v>
      </c>
      <c r="N2197" s="111">
        <f t="shared" si="311"/>
        <v>67500</v>
      </c>
      <c r="O2197" s="111">
        <f t="shared" si="312"/>
        <v>13500</v>
      </c>
      <c r="P2197" s="111">
        <f t="shared" si="313"/>
        <v>15000</v>
      </c>
      <c r="Q2197" s="111">
        <v>30000</v>
      </c>
      <c r="R2197" s="111">
        <v>3</v>
      </c>
      <c r="S2197" s="111">
        <f t="shared" si="314"/>
        <v>3000</v>
      </c>
      <c r="T2197" s="111">
        <f t="shared" si="315"/>
        <v>180000</v>
      </c>
      <c r="U2197" s="111">
        <f t="shared" si="316"/>
        <v>1800</v>
      </c>
      <c r="V2197" s="111">
        <f t="shared" si="317"/>
        <v>181800</v>
      </c>
      <c r="W2197" t="s">
        <v>4658</v>
      </c>
    </row>
    <row r="2198" spans="1:23" x14ac:dyDescent="0.3">
      <c r="A2198" s="110">
        <v>2700265</v>
      </c>
      <c r="B2198" s="110" t="s">
        <v>2330</v>
      </c>
      <c r="C2198" s="110" t="s">
        <v>2350</v>
      </c>
      <c r="D2198" s="110" t="s">
        <v>2386</v>
      </c>
      <c r="E2198" s="110" t="s">
        <v>2387</v>
      </c>
      <c r="F2198" s="110" t="s">
        <v>209</v>
      </c>
      <c r="G2198" s="110" t="s">
        <v>114</v>
      </c>
      <c r="H2198" s="111">
        <v>25</v>
      </c>
      <c r="I2198" s="111">
        <v>23</v>
      </c>
      <c r="J2198" s="111">
        <v>21</v>
      </c>
      <c r="K2198" s="111">
        <f t="shared" si="309"/>
        <v>23</v>
      </c>
      <c r="L2198" s="111">
        <v>50000</v>
      </c>
      <c r="M2198" s="111">
        <f t="shared" si="310"/>
        <v>22500</v>
      </c>
      <c r="N2198" s="111">
        <f t="shared" si="311"/>
        <v>22500</v>
      </c>
      <c r="O2198" s="111">
        <f t="shared" si="312"/>
        <v>4500</v>
      </c>
      <c r="P2198" s="111">
        <f t="shared" si="313"/>
        <v>5000</v>
      </c>
      <c r="Q2198" s="111">
        <v>10000</v>
      </c>
      <c r="R2198" s="111">
        <v>1</v>
      </c>
      <c r="S2198" s="111">
        <f t="shared" si="314"/>
        <v>1000</v>
      </c>
      <c r="T2198" s="111">
        <f t="shared" si="315"/>
        <v>60000</v>
      </c>
      <c r="U2198" s="111">
        <f t="shared" si="316"/>
        <v>600</v>
      </c>
      <c r="V2198" s="111">
        <f t="shared" si="317"/>
        <v>60600</v>
      </c>
      <c r="W2198" t="s">
        <v>4659</v>
      </c>
    </row>
    <row r="2199" spans="1:23" x14ac:dyDescent="0.3">
      <c r="A2199" s="110">
        <v>2700266</v>
      </c>
      <c r="B2199" s="110" t="s">
        <v>2330</v>
      </c>
      <c r="C2199" s="110" t="s">
        <v>2350</v>
      </c>
      <c r="D2199" s="110" t="s">
        <v>2388</v>
      </c>
      <c r="E2199" s="110" t="s">
        <v>184</v>
      </c>
      <c r="F2199" s="110" t="s">
        <v>113</v>
      </c>
      <c r="G2199" s="110" t="s">
        <v>114</v>
      </c>
      <c r="H2199" s="111">
        <v>94</v>
      </c>
      <c r="I2199" s="111">
        <v>79</v>
      </c>
      <c r="J2199" s="111">
        <v>90</v>
      </c>
      <c r="K2199" s="111">
        <f t="shared" si="309"/>
        <v>87.666666666666671</v>
      </c>
      <c r="L2199" s="111">
        <v>150000</v>
      </c>
      <c r="M2199" s="111">
        <f t="shared" si="310"/>
        <v>67500</v>
      </c>
      <c r="N2199" s="111">
        <f t="shared" si="311"/>
        <v>67500</v>
      </c>
      <c r="O2199" s="111">
        <f t="shared" si="312"/>
        <v>13500</v>
      </c>
      <c r="P2199" s="111">
        <f t="shared" si="313"/>
        <v>15000</v>
      </c>
      <c r="Q2199" s="111">
        <v>30000</v>
      </c>
      <c r="R2199" s="111">
        <v>3</v>
      </c>
      <c r="S2199" s="111">
        <f t="shared" si="314"/>
        <v>3000</v>
      </c>
      <c r="T2199" s="111">
        <f t="shared" si="315"/>
        <v>180000</v>
      </c>
      <c r="U2199" s="111">
        <f t="shared" si="316"/>
        <v>1800</v>
      </c>
      <c r="V2199" s="111">
        <f t="shared" si="317"/>
        <v>181800</v>
      </c>
      <c r="W2199" t="s">
        <v>4660</v>
      </c>
    </row>
    <row r="2200" spans="1:23" x14ac:dyDescent="0.3">
      <c r="A2200" s="110">
        <v>2700267</v>
      </c>
      <c r="B2200" s="110" t="s">
        <v>2330</v>
      </c>
      <c r="C2200" s="110" t="s">
        <v>2336</v>
      </c>
      <c r="D2200" s="110" t="s">
        <v>2336</v>
      </c>
      <c r="E2200" s="110" t="s">
        <v>2389</v>
      </c>
      <c r="F2200" s="110" t="s">
        <v>135</v>
      </c>
      <c r="G2200" s="110" t="s">
        <v>114</v>
      </c>
      <c r="H2200" s="111">
        <v>63</v>
      </c>
      <c r="I2200" s="111">
        <v>57</v>
      </c>
      <c r="J2200" s="111">
        <v>55</v>
      </c>
      <c r="K2200" s="111">
        <f t="shared" si="309"/>
        <v>58.333333333333336</v>
      </c>
      <c r="L2200" s="111">
        <v>150000</v>
      </c>
      <c r="M2200" s="111">
        <f t="shared" si="310"/>
        <v>67500</v>
      </c>
      <c r="N2200" s="111">
        <f t="shared" si="311"/>
        <v>67500</v>
      </c>
      <c r="O2200" s="111">
        <f t="shared" si="312"/>
        <v>13500</v>
      </c>
      <c r="P2200" s="111">
        <f t="shared" si="313"/>
        <v>15000</v>
      </c>
      <c r="Q2200" s="111">
        <v>30000</v>
      </c>
      <c r="R2200" s="111">
        <v>3</v>
      </c>
      <c r="S2200" s="111">
        <f t="shared" si="314"/>
        <v>3000</v>
      </c>
      <c r="T2200" s="111">
        <f t="shared" si="315"/>
        <v>180000</v>
      </c>
      <c r="U2200" s="111">
        <f t="shared" si="316"/>
        <v>1800</v>
      </c>
      <c r="V2200" s="111">
        <f t="shared" si="317"/>
        <v>181800</v>
      </c>
      <c r="W2200" t="s">
        <v>4661</v>
      </c>
    </row>
    <row r="2201" spans="1:23" x14ac:dyDescent="0.3">
      <c r="A2201" s="110">
        <v>2700269</v>
      </c>
      <c r="B2201" s="110" t="s">
        <v>2330</v>
      </c>
      <c r="C2201" s="110" t="s">
        <v>2330</v>
      </c>
      <c r="D2201" s="110" t="s">
        <v>2330</v>
      </c>
      <c r="E2201" s="110" t="s">
        <v>2390</v>
      </c>
      <c r="F2201" s="110" t="s">
        <v>113</v>
      </c>
      <c r="G2201" s="110" t="s">
        <v>114</v>
      </c>
      <c r="H2201" s="111">
        <v>158</v>
      </c>
      <c r="I2201" s="111">
        <v>161</v>
      </c>
      <c r="J2201" s="111">
        <v>157</v>
      </c>
      <c r="K2201" s="111">
        <f t="shared" si="309"/>
        <v>158.66666666666666</v>
      </c>
      <c r="L2201" s="111">
        <v>150000</v>
      </c>
      <c r="M2201" s="111">
        <f t="shared" si="310"/>
        <v>67500</v>
      </c>
      <c r="N2201" s="111">
        <f t="shared" si="311"/>
        <v>67500</v>
      </c>
      <c r="O2201" s="111">
        <f t="shared" si="312"/>
        <v>13500</v>
      </c>
      <c r="P2201" s="111">
        <f t="shared" si="313"/>
        <v>15000</v>
      </c>
      <c r="Q2201" s="111">
        <v>30000</v>
      </c>
      <c r="R2201" s="111">
        <v>3</v>
      </c>
      <c r="S2201" s="111">
        <f t="shared" si="314"/>
        <v>3000</v>
      </c>
      <c r="T2201" s="111">
        <f t="shared" si="315"/>
        <v>180000</v>
      </c>
      <c r="U2201" s="111">
        <f t="shared" si="316"/>
        <v>1800</v>
      </c>
      <c r="V2201" s="111">
        <f t="shared" si="317"/>
        <v>181800</v>
      </c>
      <c r="W2201" t="s">
        <v>4662</v>
      </c>
    </row>
    <row r="2202" spans="1:23" x14ac:dyDescent="0.3">
      <c r="A2202" s="110">
        <v>2700273</v>
      </c>
      <c r="B2202" s="110" t="s">
        <v>2330</v>
      </c>
      <c r="C2202" s="110" t="s">
        <v>2330</v>
      </c>
      <c r="D2202" s="110" t="s">
        <v>2391</v>
      </c>
      <c r="E2202" s="110" t="s">
        <v>172</v>
      </c>
      <c r="F2202" s="110" t="s">
        <v>168</v>
      </c>
      <c r="G2202" s="110" t="s">
        <v>114</v>
      </c>
      <c r="H2202" s="111">
        <v>169</v>
      </c>
      <c r="I2202" s="111">
        <v>193</v>
      </c>
      <c r="J2202" s="111">
        <v>188</v>
      </c>
      <c r="K2202" s="111">
        <f t="shared" si="309"/>
        <v>183.33333333333334</v>
      </c>
      <c r="L2202" s="111">
        <v>150000</v>
      </c>
      <c r="M2202" s="111">
        <f t="shared" si="310"/>
        <v>67500</v>
      </c>
      <c r="N2202" s="111">
        <f t="shared" si="311"/>
        <v>67500</v>
      </c>
      <c r="O2202" s="111">
        <f t="shared" si="312"/>
        <v>13500</v>
      </c>
      <c r="P2202" s="111">
        <f t="shared" si="313"/>
        <v>15000</v>
      </c>
      <c r="Q2202" s="111">
        <v>30000</v>
      </c>
      <c r="R2202" s="111">
        <v>3</v>
      </c>
      <c r="S2202" s="111">
        <f t="shared" si="314"/>
        <v>3000</v>
      </c>
      <c r="T2202" s="111">
        <f t="shared" si="315"/>
        <v>180000</v>
      </c>
      <c r="U2202" s="111">
        <f t="shared" si="316"/>
        <v>1800</v>
      </c>
      <c r="V2202" s="111">
        <f t="shared" si="317"/>
        <v>181800</v>
      </c>
      <c r="W2202" t="s">
        <v>4663</v>
      </c>
    </row>
    <row r="2203" spans="1:23" x14ac:dyDescent="0.3">
      <c r="A2203" s="110">
        <v>2700282</v>
      </c>
      <c r="B2203" s="110" t="s">
        <v>2330</v>
      </c>
      <c r="C2203" s="110" t="s">
        <v>2333</v>
      </c>
      <c r="D2203" s="110" t="s">
        <v>2333</v>
      </c>
      <c r="E2203" s="110" t="s">
        <v>357</v>
      </c>
      <c r="F2203" s="110" t="s">
        <v>117</v>
      </c>
      <c r="G2203" s="110" t="s">
        <v>114</v>
      </c>
      <c r="H2203" s="111">
        <v>150</v>
      </c>
      <c r="I2203" s="111">
        <v>123</v>
      </c>
      <c r="J2203" s="111">
        <v>136</v>
      </c>
      <c r="K2203" s="111">
        <f t="shared" si="309"/>
        <v>136.33333333333334</v>
      </c>
      <c r="L2203" s="111">
        <v>150000</v>
      </c>
      <c r="M2203" s="111">
        <f t="shared" si="310"/>
        <v>67500</v>
      </c>
      <c r="N2203" s="111">
        <f t="shared" si="311"/>
        <v>67500</v>
      </c>
      <c r="O2203" s="111">
        <f t="shared" si="312"/>
        <v>13500</v>
      </c>
      <c r="P2203" s="111">
        <f t="shared" si="313"/>
        <v>15000</v>
      </c>
      <c r="Q2203" s="111">
        <v>30000</v>
      </c>
      <c r="R2203" s="111">
        <v>3</v>
      </c>
      <c r="S2203" s="111">
        <f t="shared" si="314"/>
        <v>3000</v>
      </c>
      <c r="T2203" s="111">
        <f t="shared" si="315"/>
        <v>180000</v>
      </c>
      <c r="U2203" s="111">
        <f t="shared" si="316"/>
        <v>1800</v>
      </c>
      <c r="V2203" s="111">
        <f t="shared" si="317"/>
        <v>181800</v>
      </c>
      <c r="W2203" t="s">
        <v>4664</v>
      </c>
    </row>
    <row r="2204" spans="1:23" x14ac:dyDescent="0.3">
      <c r="A2204" s="110">
        <v>2700283</v>
      </c>
      <c r="B2204" s="110" t="s">
        <v>2330</v>
      </c>
      <c r="C2204" s="110" t="s">
        <v>2338</v>
      </c>
      <c r="D2204" s="110" t="s">
        <v>2392</v>
      </c>
      <c r="E2204" s="110" t="s">
        <v>353</v>
      </c>
      <c r="F2204" s="110" t="s">
        <v>113</v>
      </c>
      <c r="G2204" s="110" t="s">
        <v>114</v>
      </c>
      <c r="H2204" s="111">
        <v>67</v>
      </c>
      <c r="I2204" s="111">
        <v>64</v>
      </c>
      <c r="J2204" s="111">
        <v>63</v>
      </c>
      <c r="K2204" s="111">
        <f t="shared" si="309"/>
        <v>64.666666666666671</v>
      </c>
      <c r="L2204" s="111">
        <v>150000</v>
      </c>
      <c r="M2204" s="111">
        <f t="shared" si="310"/>
        <v>67500</v>
      </c>
      <c r="N2204" s="111">
        <f t="shared" si="311"/>
        <v>67500</v>
      </c>
      <c r="O2204" s="111">
        <f t="shared" si="312"/>
        <v>13500</v>
      </c>
      <c r="P2204" s="111">
        <f t="shared" si="313"/>
        <v>15000</v>
      </c>
      <c r="Q2204" s="111">
        <v>30000</v>
      </c>
      <c r="R2204" s="111">
        <v>3</v>
      </c>
      <c r="S2204" s="111">
        <f t="shared" si="314"/>
        <v>3000</v>
      </c>
      <c r="T2204" s="111">
        <f t="shared" si="315"/>
        <v>180000</v>
      </c>
      <c r="U2204" s="111">
        <f t="shared" si="316"/>
        <v>1800</v>
      </c>
      <c r="V2204" s="111">
        <f t="shared" si="317"/>
        <v>181800</v>
      </c>
      <c r="W2204" t="s">
        <v>4665</v>
      </c>
    </row>
    <row r="2205" spans="1:23" x14ac:dyDescent="0.3">
      <c r="A2205" s="110">
        <v>2707033</v>
      </c>
      <c r="B2205" s="110" t="s">
        <v>2330</v>
      </c>
      <c r="C2205" s="110" t="s">
        <v>2330</v>
      </c>
      <c r="D2205" s="110" t="s">
        <v>2330</v>
      </c>
      <c r="E2205" s="110" t="s">
        <v>2393</v>
      </c>
      <c r="F2205" s="110" t="s">
        <v>117</v>
      </c>
      <c r="G2205" s="110" t="s">
        <v>125</v>
      </c>
      <c r="H2205" s="111">
        <v>386</v>
      </c>
      <c r="I2205" s="111">
        <v>417</v>
      </c>
      <c r="J2205" s="111">
        <v>448</v>
      </c>
      <c r="K2205" s="111">
        <f t="shared" si="309"/>
        <v>417</v>
      </c>
      <c r="L2205" s="111">
        <f>300000</f>
        <v>300000</v>
      </c>
      <c r="M2205" s="111">
        <f t="shared" si="310"/>
        <v>135000</v>
      </c>
      <c r="N2205" s="111">
        <f t="shared" si="311"/>
        <v>135000</v>
      </c>
      <c r="O2205" s="111">
        <f t="shared" si="312"/>
        <v>27000</v>
      </c>
      <c r="P2205" s="111">
        <f t="shared" si="313"/>
        <v>30000</v>
      </c>
      <c r="Q2205" s="111">
        <v>60000</v>
      </c>
      <c r="R2205" s="111">
        <v>6</v>
      </c>
      <c r="S2205" s="111">
        <f t="shared" si="314"/>
        <v>6000</v>
      </c>
      <c r="T2205" s="111">
        <f t="shared" si="315"/>
        <v>360000</v>
      </c>
      <c r="U2205" s="111">
        <f t="shared" si="316"/>
        <v>3600</v>
      </c>
      <c r="V2205" s="111">
        <f t="shared" si="317"/>
        <v>363600</v>
      </c>
      <c r="W2205" t="s">
        <v>4666</v>
      </c>
    </row>
    <row r="2206" spans="1:23" x14ac:dyDescent="0.3">
      <c r="A2206" s="110">
        <v>2811501</v>
      </c>
      <c r="B2206" s="110" t="s">
        <v>2394</v>
      </c>
      <c r="C2206" s="110" t="s">
        <v>2394</v>
      </c>
      <c r="D2206" s="110" t="s">
        <v>2394</v>
      </c>
      <c r="E2206" s="110" t="s">
        <v>2395</v>
      </c>
      <c r="F2206" s="110" t="s">
        <v>209</v>
      </c>
      <c r="G2206" s="110" t="s">
        <v>114</v>
      </c>
      <c r="H2206" s="111">
        <v>268</v>
      </c>
      <c r="I2206" s="111">
        <v>242</v>
      </c>
      <c r="J2206" s="111">
        <v>233</v>
      </c>
      <c r="K2206" s="111">
        <f t="shared" si="309"/>
        <v>247.66666666666666</v>
      </c>
      <c r="L2206" s="111">
        <v>200000</v>
      </c>
      <c r="M2206" s="111">
        <f t="shared" si="310"/>
        <v>90000</v>
      </c>
      <c r="N2206" s="111">
        <f t="shared" si="311"/>
        <v>90000</v>
      </c>
      <c r="O2206" s="111">
        <f t="shared" si="312"/>
        <v>18000</v>
      </c>
      <c r="P2206" s="111">
        <f t="shared" si="313"/>
        <v>20000</v>
      </c>
      <c r="Q2206" s="111">
        <v>50000</v>
      </c>
      <c r="R2206" s="111">
        <v>5</v>
      </c>
      <c r="S2206" s="111">
        <f t="shared" si="314"/>
        <v>5000</v>
      </c>
      <c r="T2206" s="111">
        <f t="shared" si="315"/>
        <v>250000</v>
      </c>
      <c r="U2206" s="111">
        <f t="shared" si="316"/>
        <v>2500</v>
      </c>
      <c r="V2206" s="111">
        <f t="shared" si="317"/>
        <v>252500</v>
      </c>
      <c r="W2206" t="s">
        <v>4667</v>
      </c>
    </row>
    <row r="2207" spans="1:23" x14ac:dyDescent="0.3">
      <c r="A2207" s="110">
        <v>2811504</v>
      </c>
      <c r="B2207" s="110" t="s">
        <v>2394</v>
      </c>
      <c r="C2207" s="110" t="s">
        <v>2394</v>
      </c>
      <c r="D2207" s="110" t="s">
        <v>2394</v>
      </c>
      <c r="E2207" s="110" t="s">
        <v>1352</v>
      </c>
      <c r="F2207" s="110" t="s">
        <v>209</v>
      </c>
      <c r="G2207" s="110" t="s">
        <v>114</v>
      </c>
      <c r="H2207" s="111">
        <v>354</v>
      </c>
      <c r="I2207" s="111">
        <v>364</v>
      </c>
      <c r="J2207" s="111">
        <v>316</v>
      </c>
      <c r="K2207" s="111">
        <f t="shared" si="309"/>
        <v>344.66666666666669</v>
      </c>
      <c r="L2207" s="111">
        <v>200000</v>
      </c>
      <c r="M2207" s="111">
        <f t="shared" si="310"/>
        <v>90000</v>
      </c>
      <c r="N2207" s="111">
        <f t="shared" si="311"/>
        <v>90000</v>
      </c>
      <c r="O2207" s="111">
        <f t="shared" si="312"/>
        <v>18000</v>
      </c>
      <c r="P2207" s="111">
        <f t="shared" si="313"/>
        <v>20000</v>
      </c>
      <c r="Q2207" s="111">
        <v>50000</v>
      </c>
      <c r="R2207" s="111">
        <v>5</v>
      </c>
      <c r="S2207" s="111">
        <f t="shared" si="314"/>
        <v>5000</v>
      </c>
      <c r="T2207" s="111">
        <f t="shared" si="315"/>
        <v>250000</v>
      </c>
      <c r="U2207" s="111">
        <f t="shared" si="316"/>
        <v>2500</v>
      </c>
      <c r="V2207" s="111">
        <f t="shared" si="317"/>
        <v>252500</v>
      </c>
      <c r="W2207" t="s">
        <v>4668</v>
      </c>
    </row>
    <row r="2208" spans="1:23" x14ac:dyDescent="0.3">
      <c r="A2208" s="110">
        <v>2811506</v>
      </c>
      <c r="B2208" s="110" t="s">
        <v>2394</v>
      </c>
      <c r="C2208" s="110" t="s">
        <v>2394</v>
      </c>
      <c r="D2208" s="110" t="s">
        <v>2394</v>
      </c>
      <c r="E2208" s="110" t="s">
        <v>552</v>
      </c>
      <c r="F2208" s="110" t="s">
        <v>113</v>
      </c>
      <c r="G2208" s="110" t="s">
        <v>114</v>
      </c>
      <c r="H2208" s="111">
        <v>630</v>
      </c>
      <c r="I2208" s="111">
        <v>628</v>
      </c>
      <c r="J2208" s="111">
        <v>608</v>
      </c>
      <c r="K2208" s="111">
        <f t="shared" si="309"/>
        <v>622</v>
      </c>
      <c r="L2208" s="111">
        <f>300000</f>
        <v>300000</v>
      </c>
      <c r="M2208" s="111">
        <f t="shared" si="310"/>
        <v>135000</v>
      </c>
      <c r="N2208" s="111">
        <f t="shared" si="311"/>
        <v>135000</v>
      </c>
      <c r="O2208" s="111">
        <f t="shared" si="312"/>
        <v>27000</v>
      </c>
      <c r="P2208" s="111">
        <f t="shared" si="313"/>
        <v>30000</v>
      </c>
      <c r="Q2208" s="111">
        <v>60000</v>
      </c>
      <c r="R2208" s="111">
        <v>6</v>
      </c>
      <c r="S2208" s="111">
        <f t="shared" si="314"/>
        <v>6000</v>
      </c>
      <c r="T2208" s="111">
        <f t="shared" si="315"/>
        <v>360000</v>
      </c>
      <c r="U2208" s="111">
        <f t="shared" si="316"/>
        <v>3600</v>
      </c>
      <c r="V2208" s="111">
        <f t="shared" si="317"/>
        <v>363600</v>
      </c>
      <c r="W2208" t="s">
        <v>4669</v>
      </c>
    </row>
    <row r="2209" spans="1:23" x14ac:dyDescent="0.3">
      <c r="A2209" s="110">
        <v>2811507</v>
      </c>
      <c r="B2209" s="110" t="s">
        <v>2394</v>
      </c>
      <c r="C2209" s="110" t="s">
        <v>2394</v>
      </c>
      <c r="D2209" s="110" t="s">
        <v>2394</v>
      </c>
      <c r="E2209" s="110" t="s">
        <v>2396</v>
      </c>
      <c r="F2209" s="110" t="s">
        <v>113</v>
      </c>
      <c r="G2209" s="110" t="s">
        <v>114</v>
      </c>
      <c r="H2209" s="111">
        <v>645</v>
      </c>
      <c r="I2209" s="111">
        <v>731</v>
      </c>
      <c r="J2209" s="111">
        <v>785</v>
      </c>
      <c r="K2209" s="111">
        <f t="shared" si="309"/>
        <v>720.33333333333337</v>
      </c>
      <c r="L2209" s="111">
        <f>300000</f>
        <v>300000</v>
      </c>
      <c r="M2209" s="111">
        <f t="shared" si="310"/>
        <v>135000</v>
      </c>
      <c r="N2209" s="111">
        <f t="shared" si="311"/>
        <v>135000</v>
      </c>
      <c r="O2209" s="111">
        <f t="shared" si="312"/>
        <v>27000</v>
      </c>
      <c r="P2209" s="111">
        <f t="shared" si="313"/>
        <v>30000</v>
      </c>
      <c r="Q2209" s="111">
        <v>60000</v>
      </c>
      <c r="R2209" s="111">
        <v>6</v>
      </c>
      <c r="S2209" s="111">
        <f t="shared" si="314"/>
        <v>6000</v>
      </c>
      <c r="T2209" s="111">
        <f t="shared" si="315"/>
        <v>360000</v>
      </c>
      <c r="U2209" s="111">
        <f t="shared" si="316"/>
        <v>3600</v>
      </c>
      <c r="V2209" s="111">
        <f t="shared" si="317"/>
        <v>363600</v>
      </c>
      <c r="W2209" t="s">
        <v>4670</v>
      </c>
    </row>
    <row r="2210" spans="1:23" x14ac:dyDescent="0.3">
      <c r="A2210" s="110">
        <v>2811509</v>
      </c>
      <c r="B2210" s="110" t="s">
        <v>2394</v>
      </c>
      <c r="C2210" s="110" t="s">
        <v>2394</v>
      </c>
      <c r="D2210" s="110" t="s">
        <v>2394</v>
      </c>
      <c r="E2210" s="110" t="s">
        <v>310</v>
      </c>
      <c r="F2210" s="110" t="s">
        <v>113</v>
      </c>
      <c r="G2210" s="110" t="s">
        <v>114</v>
      </c>
      <c r="H2210" s="111">
        <v>882</v>
      </c>
      <c r="I2210" s="111">
        <v>868</v>
      </c>
      <c r="J2210" s="111">
        <v>859</v>
      </c>
      <c r="K2210" s="111">
        <f t="shared" si="309"/>
        <v>869.66666666666663</v>
      </c>
      <c r="L2210" s="111">
        <f>300000</f>
        <v>300000</v>
      </c>
      <c r="M2210" s="111">
        <f t="shared" si="310"/>
        <v>135000</v>
      </c>
      <c r="N2210" s="111">
        <f t="shared" si="311"/>
        <v>135000</v>
      </c>
      <c r="O2210" s="111">
        <f t="shared" si="312"/>
        <v>27000</v>
      </c>
      <c r="P2210" s="111">
        <f t="shared" si="313"/>
        <v>30000</v>
      </c>
      <c r="Q2210" s="111">
        <v>60000</v>
      </c>
      <c r="R2210" s="111">
        <v>6</v>
      </c>
      <c r="S2210" s="111">
        <f t="shared" si="314"/>
        <v>6000</v>
      </c>
      <c r="T2210" s="111">
        <f t="shared" si="315"/>
        <v>360000</v>
      </c>
      <c r="U2210" s="111">
        <f t="shared" si="316"/>
        <v>3600</v>
      </c>
      <c r="V2210" s="111">
        <f t="shared" si="317"/>
        <v>363600</v>
      </c>
      <c r="W2210" t="s">
        <v>4671</v>
      </c>
    </row>
    <row r="2211" spans="1:23" x14ac:dyDescent="0.3">
      <c r="A2211" s="110">
        <v>2811510</v>
      </c>
      <c r="B2211" s="110" t="s">
        <v>2394</v>
      </c>
      <c r="C2211" s="110" t="s">
        <v>2394</v>
      </c>
      <c r="D2211" s="110" t="s">
        <v>2394</v>
      </c>
      <c r="E2211" s="110" t="s">
        <v>274</v>
      </c>
      <c r="F2211" s="110" t="s">
        <v>119</v>
      </c>
      <c r="G2211" s="110" t="s">
        <v>114</v>
      </c>
      <c r="H2211" s="111">
        <v>666</v>
      </c>
      <c r="I2211" s="111">
        <v>606</v>
      </c>
      <c r="J2211" s="111">
        <v>559</v>
      </c>
      <c r="K2211" s="111">
        <f t="shared" si="309"/>
        <v>610.33333333333337</v>
      </c>
      <c r="L2211" s="111">
        <f>300000</f>
        <v>300000</v>
      </c>
      <c r="M2211" s="111">
        <f t="shared" si="310"/>
        <v>135000</v>
      </c>
      <c r="N2211" s="111">
        <f t="shared" si="311"/>
        <v>135000</v>
      </c>
      <c r="O2211" s="111">
        <f t="shared" si="312"/>
        <v>27000</v>
      </c>
      <c r="P2211" s="111">
        <f t="shared" si="313"/>
        <v>30000</v>
      </c>
      <c r="Q2211" s="111">
        <v>60000</v>
      </c>
      <c r="R2211" s="111">
        <v>6</v>
      </c>
      <c r="S2211" s="111">
        <f t="shared" si="314"/>
        <v>6000</v>
      </c>
      <c r="T2211" s="111">
        <f t="shared" si="315"/>
        <v>360000</v>
      </c>
      <c r="U2211" s="111">
        <f t="shared" si="316"/>
        <v>3600</v>
      </c>
      <c r="V2211" s="111">
        <f t="shared" si="317"/>
        <v>363600</v>
      </c>
      <c r="W2211" t="s">
        <v>4672</v>
      </c>
    </row>
    <row r="2212" spans="1:23" x14ac:dyDescent="0.3">
      <c r="A2212" s="110">
        <v>2811512</v>
      </c>
      <c r="B2212" s="110" t="s">
        <v>2394</v>
      </c>
      <c r="C2212" s="110" t="s">
        <v>2394</v>
      </c>
      <c r="D2212" s="110" t="s">
        <v>2394</v>
      </c>
      <c r="E2212" s="110" t="s">
        <v>559</v>
      </c>
      <c r="F2212" s="110" t="s">
        <v>113</v>
      </c>
      <c r="G2212" s="110" t="s">
        <v>114</v>
      </c>
      <c r="H2212" s="111">
        <v>710</v>
      </c>
      <c r="I2212" s="111">
        <v>677</v>
      </c>
      <c r="J2212" s="111">
        <v>682</v>
      </c>
      <c r="K2212" s="111">
        <f t="shared" si="309"/>
        <v>689.66666666666663</v>
      </c>
      <c r="L2212" s="111">
        <f>300000</f>
        <v>300000</v>
      </c>
      <c r="M2212" s="111">
        <f t="shared" si="310"/>
        <v>135000</v>
      </c>
      <c r="N2212" s="111">
        <f t="shared" si="311"/>
        <v>135000</v>
      </c>
      <c r="O2212" s="111">
        <f t="shared" si="312"/>
        <v>27000</v>
      </c>
      <c r="P2212" s="111">
        <f t="shared" si="313"/>
        <v>30000</v>
      </c>
      <c r="Q2212" s="111">
        <v>60000</v>
      </c>
      <c r="R2212" s="111">
        <v>6</v>
      </c>
      <c r="S2212" s="111">
        <f t="shared" si="314"/>
        <v>6000</v>
      </c>
      <c r="T2212" s="111">
        <f t="shared" si="315"/>
        <v>360000</v>
      </c>
      <c r="U2212" s="111">
        <f t="shared" si="316"/>
        <v>3600</v>
      </c>
      <c r="V2212" s="111">
        <f t="shared" si="317"/>
        <v>363600</v>
      </c>
      <c r="W2212" t="s">
        <v>4673</v>
      </c>
    </row>
    <row r="2213" spans="1:23" x14ac:dyDescent="0.3">
      <c r="A2213" s="110">
        <v>2811513</v>
      </c>
      <c r="B2213" s="110" t="s">
        <v>2394</v>
      </c>
      <c r="C2213" s="110" t="s">
        <v>2394</v>
      </c>
      <c r="D2213" s="110" t="s">
        <v>2394</v>
      </c>
      <c r="E2213" s="110" t="s">
        <v>353</v>
      </c>
      <c r="F2213" s="110" t="s">
        <v>113</v>
      </c>
      <c r="G2213" s="110" t="s">
        <v>114</v>
      </c>
      <c r="H2213" s="111">
        <v>215</v>
      </c>
      <c r="I2213" s="111">
        <v>199</v>
      </c>
      <c r="J2213" s="111">
        <v>179</v>
      </c>
      <c r="K2213" s="111">
        <f t="shared" si="309"/>
        <v>197.66666666666666</v>
      </c>
      <c r="L2213" s="111">
        <v>150000</v>
      </c>
      <c r="M2213" s="111">
        <f t="shared" si="310"/>
        <v>67500</v>
      </c>
      <c r="N2213" s="111">
        <f t="shared" si="311"/>
        <v>67500</v>
      </c>
      <c r="O2213" s="111">
        <f t="shared" si="312"/>
        <v>13500</v>
      </c>
      <c r="P2213" s="111">
        <f t="shared" si="313"/>
        <v>15000</v>
      </c>
      <c r="Q2213" s="111">
        <v>30000</v>
      </c>
      <c r="R2213" s="111">
        <v>3</v>
      </c>
      <c r="S2213" s="111">
        <f t="shared" si="314"/>
        <v>3000</v>
      </c>
      <c r="T2213" s="111">
        <f t="shared" si="315"/>
        <v>180000</v>
      </c>
      <c r="U2213" s="111">
        <f t="shared" si="316"/>
        <v>1800</v>
      </c>
      <c r="V2213" s="111">
        <f t="shared" si="317"/>
        <v>181800</v>
      </c>
      <c r="W2213" t="s">
        <v>4674</v>
      </c>
    </row>
    <row r="2214" spans="1:23" x14ac:dyDescent="0.3">
      <c r="A2214" s="110">
        <v>2811514</v>
      </c>
      <c r="B2214" s="110" t="s">
        <v>2394</v>
      </c>
      <c r="C2214" s="110" t="s">
        <v>2394</v>
      </c>
      <c r="D2214" s="110" t="s">
        <v>2394</v>
      </c>
      <c r="E2214" s="110" t="s">
        <v>2397</v>
      </c>
      <c r="F2214" s="110" t="s">
        <v>168</v>
      </c>
      <c r="G2214" s="110" t="s">
        <v>114</v>
      </c>
      <c r="H2214" s="111">
        <v>892</v>
      </c>
      <c r="I2214" s="111">
        <v>834</v>
      </c>
      <c r="J2214" s="111">
        <v>790</v>
      </c>
      <c r="K2214" s="111">
        <f t="shared" si="309"/>
        <v>838.66666666666663</v>
      </c>
      <c r="L2214" s="111">
        <f>300000</f>
        <v>300000</v>
      </c>
      <c r="M2214" s="111">
        <f t="shared" si="310"/>
        <v>135000</v>
      </c>
      <c r="N2214" s="111">
        <f t="shared" si="311"/>
        <v>135000</v>
      </c>
      <c r="O2214" s="111">
        <f t="shared" si="312"/>
        <v>27000</v>
      </c>
      <c r="P2214" s="111">
        <f t="shared" si="313"/>
        <v>30000</v>
      </c>
      <c r="Q2214" s="111">
        <v>60000</v>
      </c>
      <c r="R2214" s="111">
        <v>6</v>
      </c>
      <c r="S2214" s="111">
        <f t="shared" si="314"/>
        <v>6000</v>
      </c>
      <c r="T2214" s="111">
        <f t="shared" si="315"/>
        <v>360000</v>
      </c>
      <c r="U2214" s="111">
        <f t="shared" si="316"/>
        <v>3600</v>
      </c>
      <c r="V2214" s="111">
        <f t="shared" si="317"/>
        <v>363600</v>
      </c>
      <c r="W2214" t="s">
        <v>4675</v>
      </c>
    </row>
    <row r="2215" spans="1:23" x14ac:dyDescent="0.3">
      <c r="A2215" s="110">
        <v>2811515</v>
      </c>
      <c r="B2215" s="110" t="s">
        <v>2394</v>
      </c>
      <c r="C2215" s="110" t="s">
        <v>2394</v>
      </c>
      <c r="D2215" s="110" t="s">
        <v>2394</v>
      </c>
      <c r="E2215" s="110" t="s">
        <v>2398</v>
      </c>
      <c r="F2215" s="110" t="s">
        <v>122</v>
      </c>
      <c r="G2215" s="110" t="s">
        <v>114</v>
      </c>
      <c r="H2215" s="111">
        <v>465</v>
      </c>
      <c r="I2215" s="111">
        <v>490</v>
      </c>
      <c r="J2215" s="111">
        <v>498</v>
      </c>
      <c r="K2215" s="111">
        <f t="shared" si="309"/>
        <v>484.33333333333331</v>
      </c>
      <c r="L2215" s="111">
        <f>300000</f>
        <v>300000</v>
      </c>
      <c r="M2215" s="111">
        <f t="shared" si="310"/>
        <v>135000</v>
      </c>
      <c r="N2215" s="111">
        <f t="shared" si="311"/>
        <v>135000</v>
      </c>
      <c r="O2215" s="111">
        <f t="shared" si="312"/>
        <v>27000</v>
      </c>
      <c r="P2215" s="111">
        <f t="shared" si="313"/>
        <v>30000</v>
      </c>
      <c r="Q2215" s="111">
        <v>60000</v>
      </c>
      <c r="R2215" s="111">
        <v>6</v>
      </c>
      <c r="S2215" s="111">
        <f t="shared" si="314"/>
        <v>6000</v>
      </c>
      <c r="T2215" s="111">
        <f t="shared" si="315"/>
        <v>360000</v>
      </c>
      <c r="U2215" s="111">
        <f t="shared" si="316"/>
        <v>3600</v>
      </c>
      <c r="V2215" s="111">
        <f t="shared" si="317"/>
        <v>363600</v>
      </c>
      <c r="W2215" t="s">
        <v>4676</v>
      </c>
    </row>
    <row r="2216" spans="1:23" x14ac:dyDescent="0.3">
      <c r="A2216" s="110">
        <v>2811516</v>
      </c>
      <c r="B2216" s="110" t="s">
        <v>2394</v>
      </c>
      <c r="C2216" s="110" t="s">
        <v>2394</v>
      </c>
      <c r="D2216" s="110" t="s">
        <v>2394</v>
      </c>
      <c r="E2216" s="110" t="s">
        <v>2399</v>
      </c>
      <c r="F2216" s="110" t="s">
        <v>122</v>
      </c>
      <c r="G2216" s="110" t="s">
        <v>114</v>
      </c>
      <c r="H2216" s="111">
        <v>626</v>
      </c>
      <c r="I2216" s="111">
        <v>630</v>
      </c>
      <c r="J2216" s="111">
        <v>634</v>
      </c>
      <c r="K2216" s="111">
        <f t="shared" si="309"/>
        <v>630</v>
      </c>
      <c r="L2216" s="111">
        <f>300000</f>
        <v>300000</v>
      </c>
      <c r="M2216" s="111">
        <f t="shared" si="310"/>
        <v>135000</v>
      </c>
      <c r="N2216" s="111">
        <f t="shared" si="311"/>
        <v>135000</v>
      </c>
      <c r="O2216" s="111">
        <f t="shared" si="312"/>
        <v>27000</v>
      </c>
      <c r="P2216" s="111">
        <f t="shared" si="313"/>
        <v>30000</v>
      </c>
      <c r="Q2216" s="111">
        <v>60000</v>
      </c>
      <c r="R2216" s="111">
        <v>6</v>
      </c>
      <c r="S2216" s="111">
        <f t="shared" si="314"/>
        <v>6000</v>
      </c>
      <c r="T2216" s="111">
        <f t="shared" si="315"/>
        <v>360000</v>
      </c>
      <c r="U2216" s="111">
        <f t="shared" si="316"/>
        <v>3600</v>
      </c>
      <c r="V2216" s="111">
        <f t="shared" si="317"/>
        <v>363600</v>
      </c>
      <c r="W2216" t="s">
        <v>4677</v>
      </c>
    </row>
    <row r="2217" spans="1:23" x14ac:dyDescent="0.3">
      <c r="A2217" s="110">
        <v>2811517</v>
      </c>
      <c r="B2217" s="110" t="s">
        <v>2394</v>
      </c>
      <c r="C2217" s="110" t="s">
        <v>2394</v>
      </c>
      <c r="D2217" s="110" t="s">
        <v>2394</v>
      </c>
      <c r="E2217" s="110" t="s">
        <v>2400</v>
      </c>
      <c r="F2217" s="110" t="s">
        <v>122</v>
      </c>
      <c r="G2217" s="110" t="s">
        <v>114</v>
      </c>
      <c r="H2217" s="111">
        <v>326</v>
      </c>
      <c r="I2217" s="111">
        <v>349</v>
      </c>
      <c r="J2217" s="111">
        <v>325</v>
      </c>
      <c r="K2217" s="111">
        <f t="shared" si="309"/>
        <v>333.33333333333331</v>
      </c>
      <c r="L2217" s="111">
        <v>200000</v>
      </c>
      <c r="M2217" s="111">
        <f t="shared" si="310"/>
        <v>90000</v>
      </c>
      <c r="N2217" s="111">
        <f t="shared" si="311"/>
        <v>90000</v>
      </c>
      <c r="O2217" s="111">
        <f t="shared" si="312"/>
        <v>18000</v>
      </c>
      <c r="P2217" s="111">
        <f t="shared" si="313"/>
        <v>20000</v>
      </c>
      <c r="Q2217" s="111">
        <v>50000</v>
      </c>
      <c r="R2217" s="111">
        <v>5</v>
      </c>
      <c r="S2217" s="111">
        <f t="shared" si="314"/>
        <v>5000</v>
      </c>
      <c r="T2217" s="111">
        <f t="shared" si="315"/>
        <v>250000</v>
      </c>
      <c r="U2217" s="111">
        <f t="shared" si="316"/>
        <v>2500</v>
      </c>
      <c r="V2217" s="111">
        <f t="shared" si="317"/>
        <v>252500</v>
      </c>
      <c r="W2217" t="s">
        <v>4678</v>
      </c>
    </row>
    <row r="2218" spans="1:23" x14ac:dyDescent="0.3">
      <c r="A2218" s="110">
        <v>2811518</v>
      </c>
      <c r="B2218" s="110" t="s">
        <v>2394</v>
      </c>
      <c r="C2218" s="110" t="s">
        <v>2394</v>
      </c>
      <c r="D2218" s="110" t="s">
        <v>2394</v>
      </c>
      <c r="E2218" s="110" t="s">
        <v>2401</v>
      </c>
      <c r="F2218" s="110" t="s">
        <v>296</v>
      </c>
      <c r="G2218" s="110" t="s">
        <v>114</v>
      </c>
      <c r="H2218" s="111">
        <v>129</v>
      </c>
      <c r="I2218" s="111">
        <v>121</v>
      </c>
      <c r="J2218" s="111">
        <v>133</v>
      </c>
      <c r="K2218" s="111">
        <f t="shared" si="309"/>
        <v>127.66666666666667</v>
      </c>
      <c r="L2218" s="111">
        <v>150000</v>
      </c>
      <c r="M2218" s="111">
        <f t="shared" si="310"/>
        <v>67500</v>
      </c>
      <c r="N2218" s="111">
        <f t="shared" si="311"/>
        <v>67500</v>
      </c>
      <c r="O2218" s="111">
        <f t="shared" si="312"/>
        <v>13500</v>
      </c>
      <c r="P2218" s="111">
        <f t="shared" si="313"/>
        <v>15000</v>
      </c>
      <c r="Q2218" s="111">
        <v>30000</v>
      </c>
      <c r="R2218" s="111">
        <v>3</v>
      </c>
      <c r="S2218" s="111">
        <f t="shared" si="314"/>
        <v>3000</v>
      </c>
      <c r="T2218" s="111">
        <f t="shared" si="315"/>
        <v>180000</v>
      </c>
      <c r="U2218" s="111">
        <f t="shared" si="316"/>
        <v>1800</v>
      </c>
      <c r="V2218" s="111">
        <f t="shared" si="317"/>
        <v>181800</v>
      </c>
      <c r="W2218" t="s">
        <v>4679</v>
      </c>
    </row>
    <row r="2219" spans="1:23" x14ac:dyDescent="0.3">
      <c r="A2219" s="110">
        <v>2811601</v>
      </c>
      <c r="B2219" s="110" t="s">
        <v>2394</v>
      </c>
      <c r="C2219" s="110" t="s">
        <v>2394</v>
      </c>
      <c r="D2219" s="110" t="s">
        <v>2394</v>
      </c>
      <c r="E2219" s="110" t="s">
        <v>2402</v>
      </c>
      <c r="F2219" s="110" t="s">
        <v>117</v>
      </c>
      <c r="G2219" s="110" t="s">
        <v>125</v>
      </c>
      <c r="H2219" s="111">
        <v>324</v>
      </c>
      <c r="I2219" s="111">
        <v>296</v>
      </c>
      <c r="J2219" s="111">
        <v>304</v>
      </c>
      <c r="K2219" s="111">
        <f t="shared" si="309"/>
        <v>308</v>
      </c>
      <c r="L2219" s="111">
        <v>200000</v>
      </c>
      <c r="M2219" s="111">
        <f t="shared" si="310"/>
        <v>90000</v>
      </c>
      <c r="N2219" s="111">
        <f t="shared" si="311"/>
        <v>90000</v>
      </c>
      <c r="O2219" s="111">
        <f t="shared" si="312"/>
        <v>18000</v>
      </c>
      <c r="P2219" s="111">
        <f t="shared" si="313"/>
        <v>20000</v>
      </c>
      <c r="Q2219" s="111">
        <v>50000</v>
      </c>
      <c r="R2219" s="111">
        <v>5</v>
      </c>
      <c r="S2219" s="111">
        <f t="shared" si="314"/>
        <v>5000</v>
      </c>
      <c r="T2219" s="111">
        <f t="shared" si="315"/>
        <v>250000</v>
      </c>
      <c r="U2219" s="111">
        <f t="shared" si="316"/>
        <v>2500</v>
      </c>
      <c r="V2219" s="111">
        <f t="shared" si="317"/>
        <v>252500</v>
      </c>
      <c r="W2219" t="s">
        <v>4680</v>
      </c>
    </row>
    <row r="2220" spans="1:23" x14ac:dyDescent="0.3">
      <c r="A2220" s="110">
        <v>2811602</v>
      </c>
      <c r="B2220" s="110" t="s">
        <v>2394</v>
      </c>
      <c r="C2220" s="110" t="s">
        <v>2394</v>
      </c>
      <c r="D2220" s="110" t="s">
        <v>2394</v>
      </c>
      <c r="E2220" s="110" t="s">
        <v>2403</v>
      </c>
      <c r="F2220" s="110" t="s">
        <v>117</v>
      </c>
      <c r="G2220" s="110" t="s">
        <v>125</v>
      </c>
      <c r="H2220" s="111">
        <v>287</v>
      </c>
      <c r="I2220" s="111">
        <v>251</v>
      </c>
      <c r="J2220" s="111">
        <v>216</v>
      </c>
      <c r="K2220" s="111">
        <f t="shared" si="309"/>
        <v>251.33333333333334</v>
      </c>
      <c r="L2220" s="111">
        <v>200000</v>
      </c>
      <c r="M2220" s="111">
        <f t="shared" si="310"/>
        <v>90000</v>
      </c>
      <c r="N2220" s="111">
        <f t="shared" si="311"/>
        <v>90000</v>
      </c>
      <c r="O2220" s="111">
        <f t="shared" si="312"/>
        <v>18000</v>
      </c>
      <c r="P2220" s="111">
        <f t="shared" si="313"/>
        <v>20000</v>
      </c>
      <c r="Q2220" s="111">
        <v>50000</v>
      </c>
      <c r="R2220" s="111">
        <v>5</v>
      </c>
      <c r="S2220" s="111">
        <f t="shared" si="314"/>
        <v>5000</v>
      </c>
      <c r="T2220" s="111">
        <f t="shared" si="315"/>
        <v>250000</v>
      </c>
      <c r="U2220" s="111">
        <f t="shared" si="316"/>
        <v>2500</v>
      </c>
      <c r="V2220" s="111">
        <f t="shared" si="317"/>
        <v>252500</v>
      </c>
      <c r="W2220" t="s">
        <v>4681</v>
      </c>
    </row>
    <row r="2221" spans="1:23" x14ac:dyDescent="0.3">
      <c r="A2221" s="110">
        <v>2811603</v>
      </c>
      <c r="B2221" s="110" t="s">
        <v>2394</v>
      </c>
      <c r="C2221" s="110" t="s">
        <v>2394</v>
      </c>
      <c r="D2221" s="110" t="s">
        <v>2394</v>
      </c>
      <c r="E2221" s="110" t="s">
        <v>391</v>
      </c>
      <c r="F2221" s="110" t="s">
        <v>117</v>
      </c>
      <c r="G2221" s="110" t="s">
        <v>114</v>
      </c>
      <c r="H2221" s="111">
        <v>202</v>
      </c>
      <c r="I2221" s="111">
        <v>229</v>
      </c>
      <c r="J2221" s="111">
        <v>191</v>
      </c>
      <c r="K2221" s="111">
        <f t="shared" si="309"/>
        <v>207.33333333333334</v>
      </c>
      <c r="L2221" s="111">
        <v>200000</v>
      </c>
      <c r="M2221" s="111">
        <f t="shared" si="310"/>
        <v>90000</v>
      </c>
      <c r="N2221" s="111">
        <f t="shared" si="311"/>
        <v>90000</v>
      </c>
      <c r="O2221" s="111">
        <f t="shared" si="312"/>
        <v>18000</v>
      </c>
      <c r="P2221" s="111">
        <f t="shared" si="313"/>
        <v>20000</v>
      </c>
      <c r="Q2221" s="111">
        <v>50000</v>
      </c>
      <c r="R2221" s="111">
        <v>5</v>
      </c>
      <c r="S2221" s="111">
        <f t="shared" si="314"/>
        <v>5000</v>
      </c>
      <c r="T2221" s="111">
        <f t="shared" si="315"/>
        <v>250000</v>
      </c>
      <c r="U2221" s="111">
        <f t="shared" si="316"/>
        <v>2500</v>
      </c>
      <c r="V2221" s="111">
        <f t="shared" si="317"/>
        <v>252500</v>
      </c>
      <c r="W2221" t="s">
        <v>4682</v>
      </c>
    </row>
    <row r="2222" spans="1:23" x14ac:dyDescent="0.3">
      <c r="A2222" s="110">
        <v>2811604</v>
      </c>
      <c r="B2222" s="110" t="s">
        <v>2394</v>
      </c>
      <c r="C2222" s="110" t="s">
        <v>2394</v>
      </c>
      <c r="D2222" s="110" t="s">
        <v>2394</v>
      </c>
      <c r="E2222" s="110" t="s">
        <v>2404</v>
      </c>
      <c r="F2222" s="110" t="s">
        <v>117</v>
      </c>
      <c r="G2222" s="110" t="s">
        <v>114</v>
      </c>
      <c r="H2222" s="111">
        <v>345</v>
      </c>
      <c r="I2222" s="111">
        <v>351</v>
      </c>
      <c r="J2222" s="111">
        <v>327</v>
      </c>
      <c r="K2222" s="111">
        <f t="shared" si="309"/>
        <v>341</v>
      </c>
      <c r="L2222" s="111">
        <v>200000</v>
      </c>
      <c r="M2222" s="111">
        <f t="shared" si="310"/>
        <v>90000</v>
      </c>
      <c r="N2222" s="111">
        <f t="shared" si="311"/>
        <v>90000</v>
      </c>
      <c r="O2222" s="111">
        <f t="shared" si="312"/>
        <v>18000</v>
      </c>
      <c r="P2222" s="111">
        <f t="shared" si="313"/>
        <v>20000</v>
      </c>
      <c r="Q2222" s="111">
        <v>50000</v>
      </c>
      <c r="R2222" s="111">
        <v>5</v>
      </c>
      <c r="S2222" s="111">
        <f t="shared" si="314"/>
        <v>5000</v>
      </c>
      <c r="T2222" s="111">
        <f t="shared" si="315"/>
        <v>250000</v>
      </c>
      <c r="U2222" s="111">
        <f t="shared" si="316"/>
        <v>2500</v>
      </c>
      <c r="V2222" s="111">
        <f t="shared" si="317"/>
        <v>252500</v>
      </c>
      <c r="W2222" t="s">
        <v>4683</v>
      </c>
    </row>
    <row r="2223" spans="1:23" x14ac:dyDescent="0.3">
      <c r="A2223" s="110">
        <v>2811607</v>
      </c>
      <c r="B2223" s="110" t="s">
        <v>2394</v>
      </c>
      <c r="C2223" s="110" t="s">
        <v>2394</v>
      </c>
      <c r="D2223" s="110" t="s">
        <v>2394</v>
      </c>
      <c r="E2223" s="110" t="s">
        <v>2405</v>
      </c>
      <c r="F2223" s="110" t="s">
        <v>117</v>
      </c>
      <c r="G2223" s="110" t="s">
        <v>125</v>
      </c>
      <c r="H2223" s="111">
        <v>361</v>
      </c>
      <c r="I2223" s="111">
        <v>377</v>
      </c>
      <c r="J2223" s="111">
        <v>448</v>
      </c>
      <c r="K2223" s="111">
        <f t="shared" si="309"/>
        <v>395.33333333333331</v>
      </c>
      <c r="L2223" s="111">
        <v>200000</v>
      </c>
      <c r="M2223" s="111">
        <f t="shared" si="310"/>
        <v>90000</v>
      </c>
      <c r="N2223" s="111">
        <f t="shared" si="311"/>
        <v>90000</v>
      </c>
      <c r="O2223" s="111">
        <f t="shared" si="312"/>
        <v>18000</v>
      </c>
      <c r="P2223" s="111">
        <f t="shared" si="313"/>
        <v>20000</v>
      </c>
      <c r="Q2223" s="111">
        <v>50000</v>
      </c>
      <c r="R2223" s="111">
        <v>5</v>
      </c>
      <c r="S2223" s="111">
        <f t="shared" si="314"/>
        <v>5000</v>
      </c>
      <c r="T2223" s="111">
        <f t="shared" si="315"/>
        <v>250000</v>
      </c>
      <c r="U2223" s="111">
        <f t="shared" si="316"/>
        <v>2500</v>
      </c>
      <c r="V2223" s="111">
        <f t="shared" si="317"/>
        <v>252500</v>
      </c>
      <c r="W2223" t="s">
        <v>4684</v>
      </c>
    </row>
    <row r="2224" spans="1:23" x14ac:dyDescent="0.3">
      <c r="A2224" s="110">
        <v>2811608</v>
      </c>
      <c r="B2224" s="110" t="s">
        <v>2394</v>
      </c>
      <c r="C2224" s="110" t="s">
        <v>2394</v>
      </c>
      <c r="D2224" s="110" t="s">
        <v>2394</v>
      </c>
      <c r="E2224" s="110" t="s">
        <v>2406</v>
      </c>
      <c r="F2224" s="110" t="s">
        <v>117</v>
      </c>
      <c r="G2224" s="110" t="s">
        <v>125</v>
      </c>
      <c r="H2224" s="111">
        <v>451</v>
      </c>
      <c r="I2224" s="111">
        <v>443</v>
      </c>
      <c r="J2224" s="111">
        <v>496</v>
      </c>
      <c r="K2224" s="111">
        <f t="shared" si="309"/>
        <v>463.33333333333331</v>
      </c>
      <c r="L2224" s="111">
        <f>300000</f>
        <v>300000</v>
      </c>
      <c r="M2224" s="111">
        <f t="shared" si="310"/>
        <v>135000</v>
      </c>
      <c r="N2224" s="111">
        <f t="shared" si="311"/>
        <v>135000</v>
      </c>
      <c r="O2224" s="111">
        <f t="shared" si="312"/>
        <v>27000</v>
      </c>
      <c r="P2224" s="111">
        <f t="shared" si="313"/>
        <v>30000</v>
      </c>
      <c r="Q2224" s="111">
        <v>60000</v>
      </c>
      <c r="R2224" s="111">
        <v>6</v>
      </c>
      <c r="S2224" s="111">
        <f t="shared" si="314"/>
        <v>6000</v>
      </c>
      <c r="T2224" s="111">
        <f t="shared" si="315"/>
        <v>360000</v>
      </c>
      <c r="U2224" s="111">
        <f t="shared" si="316"/>
        <v>3600</v>
      </c>
      <c r="V2224" s="111">
        <f t="shared" si="317"/>
        <v>363600</v>
      </c>
      <c r="W2224" t="s">
        <v>4685</v>
      </c>
    </row>
    <row r="2225" spans="1:23" x14ac:dyDescent="0.3">
      <c r="A2225" s="110">
        <v>2811613</v>
      </c>
      <c r="B2225" s="110" t="s">
        <v>2394</v>
      </c>
      <c r="C2225" s="110" t="s">
        <v>2394</v>
      </c>
      <c r="D2225" s="110" t="s">
        <v>2394</v>
      </c>
      <c r="E2225" s="110" t="s">
        <v>2407</v>
      </c>
      <c r="F2225" s="110" t="s">
        <v>117</v>
      </c>
      <c r="G2225" s="110" t="s">
        <v>125</v>
      </c>
      <c r="H2225" s="111">
        <v>408</v>
      </c>
      <c r="I2225" s="111">
        <v>416</v>
      </c>
      <c r="J2225" s="111">
        <v>381</v>
      </c>
      <c r="K2225" s="111">
        <f t="shared" si="309"/>
        <v>401.66666666666669</v>
      </c>
      <c r="L2225" s="111">
        <f>300000*0.7</f>
        <v>210000</v>
      </c>
      <c r="M2225" s="111">
        <f t="shared" si="310"/>
        <v>94500</v>
      </c>
      <c r="N2225" s="111">
        <f t="shared" si="311"/>
        <v>94500</v>
      </c>
      <c r="O2225" s="111">
        <f t="shared" si="312"/>
        <v>18900</v>
      </c>
      <c r="P2225" s="111">
        <f t="shared" si="313"/>
        <v>21000</v>
      </c>
      <c r="Q2225" s="111">
        <v>60000</v>
      </c>
      <c r="R2225" s="111">
        <v>6</v>
      </c>
      <c r="S2225" s="111">
        <f t="shared" si="314"/>
        <v>6000</v>
      </c>
      <c r="T2225" s="111">
        <f t="shared" si="315"/>
        <v>270000</v>
      </c>
      <c r="U2225" s="111">
        <f t="shared" si="316"/>
        <v>2700</v>
      </c>
      <c r="V2225" s="111">
        <f t="shared" si="317"/>
        <v>272700</v>
      </c>
      <c r="W2225" t="s">
        <v>4686</v>
      </c>
    </row>
    <row r="2226" spans="1:23" x14ac:dyDescent="0.3">
      <c r="A2226" s="110">
        <v>2821519</v>
      </c>
      <c r="B2226" s="110" t="s">
        <v>2394</v>
      </c>
      <c r="C2226" s="110" t="s">
        <v>2408</v>
      </c>
      <c r="D2226" s="110" t="s">
        <v>2408</v>
      </c>
      <c r="E2226" s="110" t="s">
        <v>1032</v>
      </c>
      <c r="F2226" s="110" t="s">
        <v>119</v>
      </c>
      <c r="G2226" s="110" t="s">
        <v>114</v>
      </c>
      <c r="H2226" s="111">
        <v>177</v>
      </c>
      <c r="I2226" s="111">
        <v>189</v>
      </c>
      <c r="J2226" s="111">
        <v>182</v>
      </c>
      <c r="K2226" s="111">
        <f t="shared" si="309"/>
        <v>182.66666666666666</v>
      </c>
      <c r="L2226" s="111">
        <v>150000</v>
      </c>
      <c r="M2226" s="111">
        <f t="shared" si="310"/>
        <v>67500</v>
      </c>
      <c r="N2226" s="111">
        <f t="shared" si="311"/>
        <v>67500</v>
      </c>
      <c r="O2226" s="111">
        <f t="shared" si="312"/>
        <v>13500</v>
      </c>
      <c r="P2226" s="111">
        <f t="shared" si="313"/>
        <v>15000</v>
      </c>
      <c r="Q2226" s="111">
        <v>30000</v>
      </c>
      <c r="R2226" s="111">
        <v>3</v>
      </c>
      <c r="S2226" s="111">
        <f t="shared" si="314"/>
        <v>3000</v>
      </c>
      <c r="T2226" s="111">
        <f t="shared" si="315"/>
        <v>180000</v>
      </c>
      <c r="U2226" s="111">
        <f t="shared" si="316"/>
        <v>1800</v>
      </c>
      <c r="V2226" s="111">
        <f t="shared" si="317"/>
        <v>181800</v>
      </c>
      <c r="W2226" t="s">
        <v>4687</v>
      </c>
    </row>
    <row r="2227" spans="1:23" x14ac:dyDescent="0.3">
      <c r="A2227" s="110">
        <v>2821520</v>
      </c>
      <c r="B2227" s="110" t="s">
        <v>2394</v>
      </c>
      <c r="C2227" s="110" t="s">
        <v>2408</v>
      </c>
      <c r="D2227" s="110" t="s">
        <v>2409</v>
      </c>
      <c r="E2227" s="110" t="s">
        <v>560</v>
      </c>
      <c r="F2227" s="110" t="s">
        <v>113</v>
      </c>
      <c r="G2227" s="110" t="s">
        <v>114</v>
      </c>
      <c r="H2227" s="111">
        <v>71</v>
      </c>
      <c r="I2227" s="111">
        <v>62</v>
      </c>
      <c r="J2227" s="111">
        <v>62</v>
      </c>
      <c r="K2227" s="111">
        <f t="shared" si="309"/>
        <v>65</v>
      </c>
      <c r="L2227" s="111">
        <v>150000</v>
      </c>
      <c r="M2227" s="111">
        <f t="shared" si="310"/>
        <v>67500</v>
      </c>
      <c r="N2227" s="111">
        <f t="shared" si="311"/>
        <v>67500</v>
      </c>
      <c r="O2227" s="111">
        <f t="shared" si="312"/>
        <v>13500</v>
      </c>
      <c r="P2227" s="111">
        <f t="shared" si="313"/>
        <v>15000</v>
      </c>
      <c r="Q2227" s="111">
        <v>30000</v>
      </c>
      <c r="R2227" s="111">
        <v>3</v>
      </c>
      <c r="S2227" s="111">
        <f t="shared" si="314"/>
        <v>3000</v>
      </c>
      <c r="T2227" s="111">
        <f t="shared" si="315"/>
        <v>180000</v>
      </c>
      <c r="U2227" s="111">
        <f t="shared" si="316"/>
        <v>1800</v>
      </c>
      <c r="V2227" s="111">
        <f t="shared" si="317"/>
        <v>181800</v>
      </c>
      <c r="W2227" t="s">
        <v>4688</v>
      </c>
    </row>
    <row r="2228" spans="1:23" x14ac:dyDescent="0.3">
      <c r="A2228" s="110">
        <v>2831522</v>
      </c>
      <c r="B2228" s="110" t="s">
        <v>2394</v>
      </c>
      <c r="C2228" s="110" t="s">
        <v>2193</v>
      </c>
      <c r="D2228" s="110" t="s">
        <v>2193</v>
      </c>
      <c r="E2228" s="110" t="s">
        <v>2410</v>
      </c>
      <c r="F2228" s="110" t="s">
        <v>122</v>
      </c>
      <c r="G2228" s="110" t="s">
        <v>114</v>
      </c>
      <c r="H2228" s="111">
        <v>246</v>
      </c>
      <c r="I2228" s="111">
        <v>242</v>
      </c>
      <c r="J2228" s="111">
        <v>241</v>
      </c>
      <c r="K2228" s="111">
        <f t="shared" si="309"/>
        <v>243</v>
      </c>
      <c r="L2228" s="111">
        <f>200000*0.7</f>
        <v>140000</v>
      </c>
      <c r="M2228" s="111">
        <f t="shared" si="310"/>
        <v>63000</v>
      </c>
      <c r="N2228" s="111">
        <f t="shared" si="311"/>
        <v>63000</v>
      </c>
      <c r="O2228" s="111">
        <f t="shared" si="312"/>
        <v>12600</v>
      </c>
      <c r="P2228" s="111">
        <f t="shared" si="313"/>
        <v>14000</v>
      </c>
      <c r="Q2228" s="111">
        <v>50000</v>
      </c>
      <c r="R2228" s="111">
        <v>5</v>
      </c>
      <c r="S2228" s="111">
        <f t="shared" si="314"/>
        <v>5000</v>
      </c>
      <c r="T2228" s="111">
        <f t="shared" si="315"/>
        <v>190000</v>
      </c>
      <c r="U2228" s="111">
        <f t="shared" si="316"/>
        <v>1900</v>
      </c>
      <c r="V2228" s="111">
        <f t="shared" si="317"/>
        <v>191900</v>
      </c>
      <c r="W2228" t="s">
        <v>4689</v>
      </c>
    </row>
    <row r="2229" spans="1:23" x14ac:dyDescent="0.3">
      <c r="A2229" s="110">
        <v>2831523</v>
      </c>
      <c r="B2229" s="110" t="s">
        <v>2394</v>
      </c>
      <c r="C2229" s="110" t="s">
        <v>2193</v>
      </c>
      <c r="D2229" s="110" t="s">
        <v>2193</v>
      </c>
      <c r="E2229" s="110" t="s">
        <v>201</v>
      </c>
      <c r="F2229" s="110" t="s">
        <v>113</v>
      </c>
      <c r="G2229" s="110" t="s">
        <v>114</v>
      </c>
      <c r="H2229" s="111">
        <v>286</v>
      </c>
      <c r="I2229" s="111">
        <v>283</v>
      </c>
      <c r="J2229" s="111">
        <v>265</v>
      </c>
      <c r="K2229" s="111">
        <f t="shared" si="309"/>
        <v>278</v>
      </c>
      <c r="L2229" s="111">
        <v>200000</v>
      </c>
      <c r="M2229" s="111">
        <f t="shared" si="310"/>
        <v>90000</v>
      </c>
      <c r="N2229" s="111">
        <f t="shared" si="311"/>
        <v>90000</v>
      </c>
      <c r="O2229" s="111">
        <f t="shared" si="312"/>
        <v>18000</v>
      </c>
      <c r="P2229" s="111">
        <f t="shared" si="313"/>
        <v>20000</v>
      </c>
      <c r="Q2229" s="111">
        <v>50000</v>
      </c>
      <c r="R2229" s="111">
        <v>5</v>
      </c>
      <c r="S2229" s="111">
        <f t="shared" si="314"/>
        <v>5000</v>
      </c>
      <c r="T2229" s="111">
        <f t="shared" si="315"/>
        <v>250000</v>
      </c>
      <c r="U2229" s="111">
        <f t="shared" si="316"/>
        <v>2500</v>
      </c>
      <c r="V2229" s="111">
        <f t="shared" si="317"/>
        <v>252500</v>
      </c>
      <c r="W2229" t="s">
        <v>4690</v>
      </c>
    </row>
    <row r="2230" spans="1:23" x14ac:dyDescent="0.3">
      <c r="A2230" s="110">
        <v>2831524</v>
      </c>
      <c r="B2230" s="110" t="s">
        <v>2394</v>
      </c>
      <c r="C2230" s="110" t="s">
        <v>2193</v>
      </c>
      <c r="D2230" s="110" t="s">
        <v>2193</v>
      </c>
      <c r="E2230" s="110" t="s">
        <v>190</v>
      </c>
      <c r="F2230" s="110" t="s">
        <v>113</v>
      </c>
      <c r="G2230" s="110" t="s">
        <v>114</v>
      </c>
      <c r="H2230" s="111">
        <v>370</v>
      </c>
      <c r="I2230" s="111">
        <v>371</v>
      </c>
      <c r="J2230" s="111">
        <v>356</v>
      </c>
      <c r="K2230" s="111">
        <f t="shared" si="309"/>
        <v>365.66666666666669</v>
      </c>
      <c r="L2230" s="111">
        <v>200000</v>
      </c>
      <c r="M2230" s="111">
        <f t="shared" si="310"/>
        <v>90000</v>
      </c>
      <c r="N2230" s="111">
        <f t="shared" si="311"/>
        <v>90000</v>
      </c>
      <c r="O2230" s="111">
        <f t="shared" si="312"/>
        <v>18000</v>
      </c>
      <c r="P2230" s="111">
        <f t="shared" si="313"/>
        <v>20000</v>
      </c>
      <c r="Q2230" s="111">
        <v>50000</v>
      </c>
      <c r="R2230" s="111">
        <v>5</v>
      </c>
      <c r="S2230" s="111">
        <f t="shared" si="314"/>
        <v>5000</v>
      </c>
      <c r="T2230" s="111">
        <f t="shared" si="315"/>
        <v>250000</v>
      </c>
      <c r="U2230" s="111">
        <f t="shared" si="316"/>
        <v>2500</v>
      </c>
      <c r="V2230" s="111">
        <f t="shared" si="317"/>
        <v>252500</v>
      </c>
      <c r="W2230" t="s">
        <v>4691</v>
      </c>
    </row>
    <row r="2231" spans="1:23" x14ac:dyDescent="0.3">
      <c r="A2231" s="110">
        <v>2831527</v>
      </c>
      <c r="B2231" s="110" t="s">
        <v>2394</v>
      </c>
      <c r="C2231" s="110" t="s">
        <v>2193</v>
      </c>
      <c r="D2231" s="110" t="s">
        <v>2411</v>
      </c>
      <c r="E2231" s="110" t="s">
        <v>1667</v>
      </c>
      <c r="F2231" s="110" t="s">
        <v>113</v>
      </c>
      <c r="G2231" s="110" t="s">
        <v>114</v>
      </c>
      <c r="H2231" s="111">
        <v>101</v>
      </c>
      <c r="I2231" s="111">
        <v>102</v>
      </c>
      <c r="J2231" s="111">
        <v>91</v>
      </c>
      <c r="K2231" s="111">
        <f t="shared" si="309"/>
        <v>98</v>
      </c>
      <c r="L2231" s="111">
        <v>150000</v>
      </c>
      <c r="M2231" s="111">
        <f t="shared" si="310"/>
        <v>67500</v>
      </c>
      <c r="N2231" s="111">
        <f t="shared" si="311"/>
        <v>67500</v>
      </c>
      <c r="O2231" s="111">
        <f t="shared" si="312"/>
        <v>13500</v>
      </c>
      <c r="P2231" s="111">
        <f t="shared" si="313"/>
        <v>15000</v>
      </c>
      <c r="Q2231" s="111">
        <v>30000</v>
      </c>
      <c r="R2231" s="111">
        <v>3</v>
      </c>
      <c r="S2231" s="111">
        <f t="shared" si="314"/>
        <v>3000</v>
      </c>
      <c r="T2231" s="111">
        <f t="shared" si="315"/>
        <v>180000</v>
      </c>
      <c r="U2231" s="111">
        <f t="shared" si="316"/>
        <v>1800</v>
      </c>
      <c r="V2231" s="111">
        <f t="shared" si="317"/>
        <v>181800</v>
      </c>
      <c r="W2231" t="s">
        <v>4692</v>
      </c>
    </row>
    <row r="2232" spans="1:23" x14ac:dyDescent="0.3">
      <c r="A2232" s="110">
        <v>2831531</v>
      </c>
      <c r="B2232" s="110" t="s">
        <v>2394</v>
      </c>
      <c r="C2232" s="110" t="s">
        <v>2193</v>
      </c>
      <c r="D2232" s="110" t="s">
        <v>2412</v>
      </c>
      <c r="E2232" s="110" t="s">
        <v>190</v>
      </c>
      <c r="F2232" s="110" t="s">
        <v>113</v>
      </c>
      <c r="G2232" s="110" t="s">
        <v>114</v>
      </c>
      <c r="H2232" s="111">
        <v>41</v>
      </c>
      <c r="I2232" s="111">
        <v>51</v>
      </c>
      <c r="J2232" s="111">
        <v>45</v>
      </c>
      <c r="K2232" s="111">
        <f t="shared" si="309"/>
        <v>45.666666666666664</v>
      </c>
      <c r="L2232" s="111">
        <v>50000</v>
      </c>
      <c r="M2232" s="111">
        <f t="shared" si="310"/>
        <v>22500</v>
      </c>
      <c r="N2232" s="111">
        <f t="shared" si="311"/>
        <v>22500</v>
      </c>
      <c r="O2232" s="111">
        <f t="shared" si="312"/>
        <v>4500</v>
      </c>
      <c r="P2232" s="111">
        <f t="shared" si="313"/>
        <v>5000</v>
      </c>
      <c r="Q2232" s="111">
        <v>10000</v>
      </c>
      <c r="R2232" s="111">
        <v>1</v>
      </c>
      <c r="S2232" s="111">
        <f t="shared" si="314"/>
        <v>1000</v>
      </c>
      <c r="T2232" s="111">
        <f t="shared" si="315"/>
        <v>60000</v>
      </c>
      <c r="U2232" s="111">
        <f t="shared" si="316"/>
        <v>600</v>
      </c>
      <c r="V2232" s="111">
        <f t="shared" si="317"/>
        <v>60600</v>
      </c>
      <c r="W2232" t="s">
        <v>4693</v>
      </c>
    </row>
    <row r="2233" spans="1:23" x14ac:dyDescent="0.3">
      <c r="A2233" s="110">
        <v>2831609</v>
      </c>
      <c r="B2233" s="110" t="s">
        <v>2394</v>
      </c>
      <c r="C2233" s="110" t="s">
        <v>2193</v>
      </c>
      <c r="D2233" s="110" t="s">
        <v>2193</v>
      </c>
      <c r="E2233" s="110" t="s">
        <v>2413</v>
      </c>
      <c r="F2233" s="110" t="s">
        <v>117</v>
      </c>
      <c r="G2233" s="110" t="s">
        <v>125</v>
      </c>
      <c r="H2233" s="111">
        <v>269</v>
      </c>
      <c r="I2233" s="111">
        <v>230</v>
      </c>
      <c r="J2233" s="111">
        <v>216</v>
      </c>
      <c r="K2233" s="111">
        <f t="shared" si="309"/>
        <v>238.33333333333334</v>
      </c>
      <c r="L2233" s="111">
        <f>200000*0.7</f>
        <v>140000</v>
      </c>
      <c r="M2233" s="111">
        <f t="shared" si="310"/>
        <v>63000</v>
      </c>
      <c r="N2233" s="111">
        <f t="shared" si="311"/>
        <v>63000</v>
      </c>
      <c r="O2233" s="111">
        <f t="shared" si="312"/>
        <v>12600</v>
      </c>
      <c r="P2233" s="111">
        <f t="shared" si="313"/>
        <v>14000</v>
      </c>
      <c r="Q2233" s="111">
        <v>50000</v>
      </c>
      <c r="R2233" s="111">
        <v>5</v>
      </c>
      <c r="S2233" s="111">
        <f t="shared" si="314"/>
        <v>5000</v>
      </c>
      <c r="T2233" s="111">
        <f t="shared" si="315"/>
        <v>190000</v>
      </c>
      <c r="U2233" s="111">
        <f t="shared" si="316"/>
        <v>1900</v>
      </c>
      <c r="V2233" s="111">
        <f t="shared" si="317"/>
        <v>191900</v>
      </c>
      <c r="W2233" t="s">
        <v>4694</v>
      </c>
    </row>
    <row r="2234" spans="1:23" x14ac:dyDescent="0.3">
      <c r="A2234" s="110">
        <v>2831610</v>
      </c>
      <c r="B2234" s="110" t="s">
        <v>2394</v>
      </c>
      <c r="C2234" s="110" t="s">
        <v>2193</v>
      </c>
      <c r="D2234" s="110" t="s">
        <v>2412</v>
      </c>
      <c r="E2234" s="110" t="s">
        <v>2414</v>
      </c>
      <c r="F2234" s="110" t="s">
        <v>117</v>
      </c>
      <c r="G2234" s="110" t="s">
        <v>114</v>
      </c>
      <c r="H2234" s="111">
        <v>147</v>
      </c>
      <c r="I2234" s="111">
        <v>153</v>
      </c>
      <c r="J2234" s="111">
        <v>153</v>
      </c>
      <c r="K2234" s="111">
        <f t="shared" si="309"/>
        <v>151</v>
      </c>
      <c r="L2234" s="111">
        <v>150000</v>
      </c>
      <c r="M2234" s="111">
        <f t="shared" si="310"/>
        <v>67500</v>
      </c>
      <c r="N2234" s="111">
        <f t="shared" si="311"/>
        <v>67500</v>
      </c>
      <c r="O2234" s="111">
        <f t="shared" si="312"/>
        <v>13500</v>
      </c>
      <c r="P2234" s="111">
        <f t="shared" si="313"/>
        <v>15000</v>
      </c>
      <c r="Q2234" s="111">
        <v>30000</v>
      </c>
      <c r="R2234" s="111">
        <v>3</v>
      </c>
      <c r="S2234" s="111">
        <f t="shared" si="314"/>
        <v>3000</v>
      </c>
      <c r="T2234" s="111">
        <f t="shared" si="315"/>
        <v>180000</v>
      </c>
      <c r="U2234" s="111">
        <f t="shared" si="316"/>
        <v>1800</v>
      </c>
      <c r="V2234" s="111">
        <f t="shared" si="317"/>
        <v>181800</v>
      </c>
      <c r="W2234" t="s">
        <v>4695</v>
      </c>
    </row>
    <row r="2235" spans="1:23" x14ac:dyDescent="0.3">
      <c r="A2235" s="110">
        <v>2831702</v>
      </c>
      <c r="B2235" s="110" t="s">
        <v>2394</v>
      </c>
      <c r="C2235" s="110" t="s">
        <v>2193</v>
      </c>
      <c r="D2235" s="110" t="s">
        <v>2193</v>
      </c>
      <c r="E2235" s="110" t="s">
        <v>2415</v>
      </c>
      <c r="F2235" s="110" t="s">
        <v>135</v>
      </c>
      <c r="G2235" s="110" t="s">
        <v>125</v>
      </c>
      <c r="H2235" s="111">
        <v>52</v>
      </c>
      <c r="I2235" s="111">
        <v>44</v>
      </c>
      <c r="J2235" s="111">
        <v>48</v>
      </c>
      <c r="K2235" s="111">
        <f t="shared" si="309"/>
        <v>48</v>
      </c>
      <c r="L2235" s="111">
        <v>50000</v>
      </c>
      <c r="M2235" s="111">
        <f t="shared" si="310"/>
        <v>22500</v>
      </c>
      <c r="N2235" s="111">
        <f t="shared" si="311"/>
        <v>22500</v>
      </c>
      <c r="O2235" s="111">
        <f t="shared" si="312"/>
        <v>4500</v>
      </c>
      <c r="P2235" s="111">
        <f t="shared" si="313"/>
        <v>5000</v>
      </c>
      <c r="Q2235" s="111">
        <v>10000</v>
      </c>
      <c r="R2235" s="111">
        <v>1</v>
      </c>
      <c r="S2235" s="111">
        <f t="shared" si="314"/>
        <v>1000</v>
      </c>
      <c r="T2235" s="111">
        <f t="shared" si="315"/>
        <v>60000</v>
      </c>
      <c r="U2235" s="111">
        <f t="shared" si="316"/>
        <v>600</v>
      </c>
      <c r="V2235" s="111">
        <f t="shared" si="317"/>
        <v>60600</v>
      </c>
      <c r="W2235" t="s">
        <v>4696</v>
      </c>
    </row>
    <row r="2236" spans="1:23" x14ac:dyDescent="0.3">
      <c r="A2236" s="110">
        <v>2841532</v>
      </c>
      <c r="B2236" s="110" t="s">
        <v>2394</v>
      </c>
      <c r="C2236" s="110" t="s">
        <v>2416</v>
      </c>
      <c r="D2236" s="110" t="s">
        <v>2416</v>
      </c>
      <c r="E2236" s="110" t="s">
        <v>570</v>
      </c>
      <c r="F2236" s="110" t="s">
        <v>119</v>
      </c>
      <c r="G2236" s="110" t="s">
        <v>114</v>
      </c>
      <c r="H2236" s="111">
        <v>565</v>
      </c>
      <c r="I2236" s="111">
        <v>549</v>
      </c>
      <c r="J2236" s="111">
        <v>535</v>
      </c>
      <c r="K2236" s="111">
        <f t="shared" si="309"/>
        <v>549.66666666666663</v>
      </c>
      <c r="L2236" s="111">
        <f>300000*0.7</f>
        <v>210000</v>
      </c>
      <c r="M2236" s="111">
        <f t="shared" si="310"/>
        <v>94500</v>
      </c>
      <c r="N2236" s="111">
        <f t="shared" si="311"/>
        <v>94500</v>
      </c>
      <c r="O2236" s="111">
        <f t="shared" si="312"/>
        <v>18900</v>
      </c>
      <c r="P2236" s="111">
        <f t="shared" si="313"/>
        <v>21000</v>
      </c>
      <c r="Q2236" s="111">
        <v>60000</v>
      </c>
      <c r="R2236" s="111">
        <v>6</v>
      </c>
      <c r="S2236" s="111">
        <f t="shared" si="314"/>
        <v>6000</v>
      </c>
      <c r="T2236" s="111">
        <f t="shared" si="315"/>
        <v>270000</v>
      </c>
      <c r="U2236" s="111">
        <f t="shared" si="316"/>
        <v>2700</v>
      </c>
      <c r="V2236" s="111">
        <f t="shared" si="317"/>
        <v>272700</v>
      </c>
      <c r="W2236" t="s">
        <v>4697</v>
      </c>
    </row>
    <row r="2237" spans="1:23" x14ac:dyDescent="0.3">
      <c r="A2237" s="110">
        <v>2841534</v>
      </c>
      <c r="B2237" s="110" t="s">
        <v>2394</v>
      </c>
      <c r="C2237" s="110" t="s">
        <v>2416</v>
      </c>
      <c r="D2237" s="110" t="s">
        <v>2416</v>
      </c>
      <c r="E2237" s="110" t="s">
        <v>301</v>
      </c>
      <c r="F2237" s="110" t="s">
        <v>113</v>
      </c>
      <c r="G2237" s="110" t="s">
        <v>114</v>
      </c>
      <c r="H2237" s="111">
        <v>345</v>
      </c>
      <c r="I2237" s="111">
        <v>341</v>
      </c>
      <c r="J2237" s="111">
        <v>349</v>
      </c>
      <c r="K2237" s="111">
        <f t="shared" si="309"/>
        <v>345</v>
      </c>
      <c r="L2237" s="111">
        <f>200000*0.7</f>
        <v>140000</v>
      </c>
      <c r="M2237" s="111">
        <f t="shared" si="310"/>
        <v>63000</v>
      </c>
      <c r="N2237" s="111">
        <f t="shared" si="311"/>
        <v>63000</v>
      </c>
      <c r="O2237" s="111">
        <f t="shared" si="312"/>
        <v>12600</v>
      </c>
      <c r="P2237" s="111">
        <f t="shared" si="313"/>
        <v>14000</v>
      </c>
      <c r="Q2237" s="111">
        <v>50000</v>
      </c>
      <c r="R2237" s="111">
        <v>5</v>
      </c>
      <c r="S2237" s="111">
        <f t="shared" si="314"/>
        <v>5000</v>
      </c>
      <c r="T2237" s="111">
        <f t="shared" si="315"/>
        <v>190000</v>
      </c>
      <c r="U2237" s="111">
        <f t="shared" si="316"/>
        <v>1900</v>
      </c>
      <c r="V2237" s="111">
        <f t="shared" si="317"/>
        <v>191900</v>
      </c>
      <c r="W2237" t="s">
        <v>4698</v>
      </c>
    </row>
    <row r="2238" spans="1:23" x14ac:dyDescent="0.3">
      <c r="A2238" s="110">
        <v>2841535</v>
      </c>
      <c r="B2238" s="110" t="s">
        <v>2394</v>
      </c>
      <c r="C2238" s="110" t="s">
        <v>2416</v>
      </c>
      <c r="D2238" s="110" t="s">
        <v>2187</v>
      </c>
      <c r="E2238" s="110" t="s">
        <v>301</v>
      </c>
      <c r="F2238" s="110" t="s">
        <v>113</v>
      </c>
      <c r="G2238" s="110" t="s">
        <v>114</v>
      </c>
      <c r="H2238" s="111">
        <v>115</v>
      </c>
      <c r="I2238" s="111">
        <v>111</v>
      </c>
      <c r="J2238" s="111">
        <v>114</v>
      </c>
      <c r="K2238" s="111">
        <f t="shared" si="309"/>
        <v>113.33333333333333</v>
      </c>
      <c r="L2238" s="111">
        <v>150000</v>
      </c>
      <c r="M2238" s="111">
        <f t="shared" si="310"/>
        <v>67500</v>
      </c>
      <c r="N2238" s="111">
        <f t="shared" si="311"/>
        <v>67500</v>
      </c>
      <c r="O2238" s="111">
        <f t="shared" si="312"/>
        <v>13500</v>
      </c>
      <c r="P2238" s="111">
        <f t="shared" si="313"/>
        <v>15000</v>
      </c>
      <c r="Q2238" s="111">
        <v>30000</v>
      </c>
      <c r="R2238" s="111">
        <v>3</v>
      </c>
      <c r="S2238" s="111">
        <f t="shared" si="314"/>
        <v>3000</v>
      </c>
      <c r="T2238" s="111">
        <f t="shared" si="315"/>
        <v>180000</v>
      </c>
      <c r="U2238" s="111">
        <f t="shared" si="316"/>
        <v>1800</v>
      </c>
      <c r="V2238" s="111">
        <f t="shared" si="317"/>
        <v>181800</v>
      </c>
      <c r="W2238" t="s">
        <v>4699</v>
      </c>
    </row>
    <row r="2239" spans="1:23" x14ac:dyDescent="0.3">
      <c r="A2239" s="110">
        <v>2841536</v>
      </c>
      <c r="B2239" s="110" t="s">
        <v>2394</v>
      </c>
      <c r="C2239" s="110" t="s">
        <v>2416</v>
      </c>
      <c r="D2239" s="110" t="s">
        <v>2417</v>
      </c>
      <c r="E2239" s="110" t="s">
        <v>184</v>
      </c>
      <c r="F2239" s="110" t="s">
        <v>113</v>
      </c>
      <c r="G2239" s="110" t="s">
        <v>114</v>
      </c>
      <c r="H2239" s="111">
        <v>48</v>
      </c>
      <c r="I2239" s="111">
        <v>49</v>
      </c>
      <c r="J2239" s="111">
        <v>51</v>
      </c>
      <c r="K2239" s="111">
        <f t="shared" si="309"/>
        <v>49.333333333333336</v>
      </c>
      <c r="L2239" s="111">
        <v>50000</v>
      </c>
      <c r="M2239" s="111">
        <f t="shared" si="310"/>
        <v>22500</v>
      </c>
      <c r="N2239" s="111">
        <f t="shared" si="311"/>
        <v>22500</v>
      </c>
      <c r="O2239" s="111">
        <f t="shared" si="312"/>
        <v>4500</v>
      </c>
      <c r="P2239" s="111">
        <f t="shared" si="313"/>
        <v>5000</v>
      </c>
      <c r="Q2239" s="111">
        <v>10000</v>
      </c>
      <c r="R2239" s="111">
        <v>1</v>
      </c>
      <c r="S2239" s="111">
        <f t="shared" si="314"/>
        <v>1000</v>
      </c>
      <c r="T2239" s="111">
        <f t="shared" si="315"/>
        <v>60000</v>
      </c>
      <c r="U2239" s="111">
        <f t="shared" si="316"/>
        <v>600</v>
      </c>
      <c r="V2239" s="111">
        <f t="shared" si="317"/>
        <v>60600</v>
      </c>
      <c r="W2239" t="s">
        <v>4700</v>
      </c>
    </row>
    <row r="2240" spans="1:23" x14ac:dyDescent="0.3">
      <c r="A2240" s="110">
        <v>2851541</v>
      </c>
      <c r="B2240" s="110" t="s">
        <v>2394</v>
      </c>
      <c r="C2240" s="110" t="s">
        <v>2418</v>
      </c>
      <c r="D2240" s="110" t="s">
        <v>2419</v>
      </c>
      <c r="E2240" s="110" t="s">
        <v>282</v>
      </c>
      <c r="F2240" s="110" t="s">
        <v>209</v>
      </c>
      <c r="G2240" s="110" t="s">
        <v>114</v>
      </c>
      <c r="H2240" s="111">
        <v>59</v>
      </c>
      <c r="I2240" s="111">
        <v>54</v>
      </c>
      <c r="J2240" s="111">
        <v>63</v>
      </c>
      <c r="K2240" s="111">
        <f t="shared" si="309"/>
        <v>58.666666666666664</v>
      </c>
      <c r="L2240" s="111">
        <v>150000</v>
      </c>
      <c r="M2240" s="111">
        <f t="shared" si="310"/>
        <v>67500</v>
      </c>
      <c r="N2240" s="111">
        <f t="shared" si="311"/>
        <v>67500</v>
      </c>
      <c r="O2240" s="111">
        <f t="shared" si="312"/>
        <v>13500</v>
      </c>
      <c r="P2240" s="111">
        <f t="shared" si="313"/>
        <v>15000</v>
      </c>
      <c r="Q2240" s="111">
        <v>30000</v>
      </c>
      <c r="R2240" s="111">
        <v>3</v>
      </c>
      <c r="S2240" s="111">
        <f t="shared" si="314"/>
        <v>3000</v>
      </c>
      <c r="T2240" s="111">
        <f t="shared" si="315"/>
        <v>180000</v>
      </c>
      <c r="U2240" s="111">
        <f t="shared" si="316"/>
        <v>1800</v>
      </c>
      <c r="V2240" s="111">
        <f t="shared" si="317"/>
        <v>181800</v>
      </c>
      <c r="W2240" t="s">
        <v>4701</v>
      </c>
    </row>
    <row r="2241" spans="1:23" x14ac:dyDescent="0.3">
      <c r="A2241" s="110">
        <v>2851542</v>
      </c>
      <c r="B2241" s="110" t="s">
        <v>2394</v>
      </c>
      <c r="C2241" s="110" t="s">
        <v>2418</v>
      </c>
      <c r="D2241" s="110" t="s">
        <v>1429</v>
      </c>
      <c r="E2241" s="110" t="s">
        <v>1396</v>
      </c>
      <c r="F2241" s="110" t="s">
        <v>209</v>
      </c>
      <c r="G2241" s="110" t="s">
        <v>114</v>
      </c>
      <c r="H2241" s="111">
        <v>23</v>
      </c>
      <c r="I2241" s="111">
        <v>25</v>
      </c>
      <c r="J2241" s="111">
        <v>25</v>
      </c>
      <c r="K2241" s="111">
        <f t="shared" si="309"/>
        <v>24.333333333333332</v>
      </c>
      <c r="L2241" s="111">
        <v>50000</v>
      </c>
      <c r="M2241" s="111">
        <f t="shared" si="310"/>
        <v>22500</v>
      </c>
      <c r="N2241" s="111">
        <f t="shared" si="311"/>
        <v>22500</v>
      </c>
      <c r="O2241" s="111">
        <f t="shared" si="312"/>
        <v>4500</v>
      </c>
      <c r="P2241" s="111">
        <f t="shared" si="313"/>
        <v>5000</v>
      </c>
      <c r="Q2241" s="111">
        <v>10000</v>
      </c>
      <c r="R2241" s="111">
        <v>1</v>
      </c>
      <c r="S2241" s="111">
        <f t="shared" si="314"/>
        <v>1000</v>
      </c>
      <c r="T2241" s="111">
        <f t="shared" si="315"/>
        <v>60000</v>
      </c>
      <c r="U2241" s="111">
        <f t="shared" si="316"/>
        <v>600</v>
      </c>
      <c r="V2241" s="111">
        <f t="shared" si="317"/>
        <v>60600</v>
      </c>
      <c r="W2241" t="s">
        <v>4702</v>
      </c>
    </row>
    <row r="2242" spans="1:23" x14ac:dyDescent="0.3">
      <c r="A2242" s="110">
        <v>2851546</v>
      </c>
      <c r="B2242" s="110" t="s">
        <v>2394</v>
      </c>
      <c r="C2242" s="110" t="s">
        <v>2418</v>
      </c>
      <c r="D2242" s="110" t="s">
        <v>2420</v>
      </c>
      <c r="E2242" s="110" t="s">
        <v>190</v>
      </c>
      <c r="F2242" s="110" t="s">
        <v>113</v>
      </c>
      <c r="G2242" s="110" t="s">
        <v>114</v>
      </c>
      <c r="H2242" s="111">
        <v>68</v>
      </c>
      <c r="I2242" s="111">
        <v>58</v>
      </c>
      <c r="J2242" s="111">
        <v>64</v>
      </c>
      <c r="K2242" s="111">
        <f t="shared" ref="K2242:K2272" si="318">+(H2242+I2242+J2242)/3</f>
        <v>63.333333333333336</v>
      </c>
      <c r="L2242" s="111">
        <v>150000</v>
      </c>
      <c r="M2242" s="111">
        <f t="shared" ref="M2242:M2272" si="319">+L2242*0.45</f>
        <v>67500</v>
      </c>
      <c r="N2242" s="111">
        <f t="shared" ref="N2242:N2272" si="320">+L2242*0.45</f>
        <v>67500</v>
      </c>
      <c r="O2242" s="111">
        <f t="shared" ref="O2242:O2272" si="321">+N2242*0.2</f>
        <v>13500</v>
      </c>
      <c r="P2242" s="111">
        <f t="shared" ref="P2242:P2272" si="322">++L2242*0.1</f>
        <v>15000</v>
      </c>
      <c r="Q2242" s="111">
        <v>30000</v>
      </c>
      <c r="R2242" s="111">
        <v>3</v>
      </c>
      <c r="S2242" s="111">
        <f t="shared" ref="S2242:S2272" si="323">+Q2242*0.1</f>
        <v>3000</v>
      </c>
      <c r="T2242" s="111">
        <f t="shared" ref="T2242:T2272" si="324">+L2242+Q2242</f>
        <v>180000</v>
      </c>
      <c r="U2242" s="111">
        <f t="shared" ref="U2242:U2272" si="325">+T2242*0.01</f>
        <v>1800</v>
      </c>
      <c r="V2242" s="111">
        <f t="shared" ref="V2242:V2272" si="326">+T2242+U2242</f>
        <v>181800</v>
      </c>
      <c r="W2242" t="s">
        <v>4703</v>
      </c>
    </row>
    <row r="2243" spans="1:23" x14ac:dyDescent="0.3">
      <c r="A2243" s="110">
        <v>2851547</v>
      </c>
      <c r="B2243" s="110" t="s">
        <v>2394</v>
      </c>
      <c r="C2243" s="110" t="s">
        <v>2418</v>
      </c>
      <c r="D2243" s="110" t="s">
        <v>2421</v>
      </c>
      <c r="E2243" s="110" t="s">
        <v>184</v>
      </c>
      <c r="F2243" s="110" t="s">
        <v>113</v>
      </c>
      <c r="G2243" s="110" t="s">
        <v>114</v>
      </c>
      <c r="H2243" s="111">
        <v>111</v>
      </c>
      <c r="I2243" s="111">
        <v>80</v>
      </c>
      <c r="J2243" s="111">
        <v>100</v>
      </c>
      <c r="K2243" s="111">
        <f t="shared" si="318"/>
        <v>97</v>
      </c>
      <c r="L2243" s="111">
        <v>150000</v>
      </c>
      <c r="M2243" s="111">
        <f t="shared" si="319"/>
        <v>67500</v>
      </c>
      <c r="N2243" s="111">
        <f t="shared" si="320"/>
        <v>67500</v>
      </c>
      <c r="O2243" s="111">
        <f t="shared" si="321"/>
        <v>13500</v>
      </c>
      <c r="P2243" s="111">
        <f t="shared" si="322"/>
        <v>15000</v>
      </c>
      <c r="Q2243" s="111">
        <v>30000</v>
      </c>
      <c r="R2243" s="111">
        <v>3</v>
      </c>
      <c r="S2243" s="111">
        <f t="shared" si="323"/>
        <v>3000</v>
      </c>
      <c r="T2243" s="111">
        <f t="shared" si="324"/>
        <v>180000</v>
      </c>
      <c r="U2243" s="111">
        <f t="shared" si="325"/>
        <v>1800</v>
      </c>
      <c r="V2243" s="111">
        <f t="shared" si="326"/>
        <v>181800</v>
      </c>
      <c r="W2243" t="s">
        <v>4704</v>
      </c>
    </row>
    <row r="2244" spans="1:23" x14ac:dyDescent="0.3">
      <c r="A2244" s="110">
        <v>2851548</v>
      </c>
      <c r="B2244" s="110" t="s">
        <v>2394</v>
      </c>
      <c r="C2244" s="110" t="s">
        <v>2418</v>
      </c>
      <c r="D2244" s="110" t="s">
        <v>2422</v>
      </c>
      <c r="E2244" s="110" t="s">
        <v>2423</v>
      </c>
      <c r="F2244" s="110" t="s">
        <v>113</v>
      </c>
      <c r="G2244" s="110" t="s">
        <v>114</v>
      </c>
      <c r="H2244" s="111">
        <v>87</v>
      </c>
      <c r="I2244" s="111">
        <v>91</v>
      </c>
      <c r="J2244" s="111">
        <v>92</v>
      </c>
      <c r="K2244" s="111">
        <f t="shared" si="318"/>
        <v>90</v>
      </c>
      <c r="L2244" s="111">
        <f>150000*0.7</f>
        <v>105000</v>
      </c>
      <c r="M2244" s="111">
        <f t="shared" si="319"/>
        <v>47250</v>
      </c>
      <c r="N2244" s="111">
        <f t="shared" si="320"/>
        <v>47250</v>
      </c>
      <c r="O2244" s="111">
        <f t="shared" si="321"/>
        <v>9450</v>
      </c>
      <c r="P2244" s="111">
        <f t="shared" si="322"/>
        <v>10500</v>
      </c>
      <c r="Q2244" s="111">
        <v>30000</v>
      </c>
      <c r="R2244" s="111">
        <v>3</v>
      </c>
      <c r="S2244" s="111">
        <f t="shared" si="323"/>
        <v>3000</v>
      </c>
      <c r="T2244" s="111">
        <f t="shared" si="324"/>
        <v>135000</v>
      </c>
      <c r="U2244" s="111">
        <f t="shared" si="325"/>
        <v>1350</v>
      </c>
      <c r="V2244" s="111">
        <f t="shared" si="326"/>
        <v>136350</v>
      </c>
      <c r="W2244" t="s">
        <v>4705</v>
      </c>
    </row>
    <row r="2245" spans="1:23" x14ac:dyDescent="0.3">
      <c r="A2245" s="110">
        <v>2851549</v>
      </c>
      <c r="B2245" s="110" t="s">
        <v>2394</v>
      </c>
      <c r="C2245" s="110" t="s">
        <v>2418</v>
      </c>
      <c r="D2245" s="110" t="s">
        <v>2424</v>
      </c>
      <c r="E2245" s="110" t="s">
        <v>1006</v>
      </c>
      <c r="F2245" s="110" t="s">
        <v>113</v>
      </c>
      <c r="G2245" s="110" t="s">
        <v>114</v>
      </c>
      <c r="H2245" s="111">
        <v>106</v>
      </c>
      <c r="I2245" s="111">
        <v>101</v>
      </c>
      <c r="J2245" s="111">
        <v>124</v>
      </c>
      <c r="K2245" s="111">
        <f t="shared" si="318"/>
        <v>110.33333333333333</v>
      </c>
      <c r="L2245" s="111">
        <v>150000</v>
      </c>
      <c r="M2245" s="111">
        <f t="shared" si="319"/>
        <v>67500</v>
      </c>
      <c r="N2245" s="111">
        <f t="shared" si="320"/>
        <v>67500</v>
      </c>
      <c r="O2245" s="111">
        <f t="shared" si="321"/>
        <v>13500</v>
      </c>
      <c r="P2245" s="111">
        <f t="shared" si="322"/>
        <v>15000</v>
      </c>
      <c r="Q2245" s="111">
        <v>30000</v>
      </c>
      <c r="R2245" s="111">
        <v>3</v>
      </c>
      <c r="S2245" s="111">
        <f t="shared" si="323"/>
        <v>3000</v>
      </c>
      <c r="T2245" s="111">
        <f t="shared" si="324"/>
        <v>180000</v>
      </c>
      <c r="U2245" s="111">
        <f t="shared" si="325"/>
        <v>1800</v>
      </c>
      <c r="V2245" s="111">
        <f t="shared" si="326"/>
        <v>181800</v>
      </c>
      <c r="W2245" t="s">
        <v>4706</v>
      </c>
    </row>
    <row r="2246" spans="1:23" x14ac:dyDescent="0.3">
      <c r="A2246" s="110">
        <v>2851556</v>
      </c>
      <c r="B2246" s="110" t="s">
        <v>2394</v>
      </c>
      <c r="C2246" s="110" t="s">
        <v>2418</v>
      </c>
      <c r="D2246" s="110" t="s">
        <v>2425</v>
      </c>
      <c r="E2246" s="110" t="s">
        <v>2426</v>
      </c>
      <c r="F2246" s="110" t="s">
        <v>113</v>
      </c>
      <c r="G2246" s="110" t="s">
        <v>114</v>
      </c>
      <c r="H2246" s="111">
        <v>106</v>
      </c>
      <c r="I2246" s="111">
        <v>108</v>
      </c>
      <c r="J2246" s="111">
        <v>101</v>
      </c>
      <c r="K2246" s="111">
        <f t="shared" si="318"/>
        <v>105</v>
      </c>
      <c r="L2246" s="111">
        <v>150000</v>
      </c>
      <c r="M2246" s="111">
        <f t="shared" si="319"/>
        <v>67500</v>
      </c>
      <c r="N2246" s="111">
        <f t="shared" si="320"/>
        <v>67500</v>
      </c>
      <c r="O2246" s="111">
        <f t="shared" si="321"/>
        <v>13500</v>
      </c>
      <c r="P2246" s="111">
        <f t="shared" si="322"/>
        <v>15000</v>
      </c>
      <c r="Q2246" s="111">
        <v>30000</v>
      </c>
      <c r="R2246" s="111">
        <v>3</v>
      </c>
      <c r="S2246" s="111">
        <f t="shared" si="323"/>
        <v>3000</v>
      </c>
      <c r="T2246" s="111">
        <f t="shared" si="324"/>
        <v>180000</v>
      </c>
      <c r="U2246" s="111">
        <f t="shared" si="325"/>
        <v>1800</v>
      </c>
      <c r="V2246" s="111">
        <f t="shared" si="326"/>
        <v>181800</v>
      </c>
      <c r="W2246" t="s">
        <v>4707</v>
      </c>
    </row>
    <row r="2247" spans="1:23" x14ac:dyDescent="0.3">
      <c r="A2247" s="110">
        <v>2851558</v>
      </c>
      <c r="B2247" s="110" t="s">
        <v>2394</v>
      </c>
      <c r="C2247" s="110" t="s">
        <v>2418</v>
      </c>
      <c r="D2247" s="110" t="s">
        <v>2427</v>
      </c>
      <c r="E2247" s="110" t="s">
        <v>301</v>
      </c>
      <c r="F2247" s="110" t="s">
        <v>113</v>
      </c>
      <c r="G2247" s="110" t="s">
        <v>114</v>
      </c>
      <c r="H2247" s="111">
        <v>185</v>
      </c>
      <c r="I2247" s="111">
        <v>171</v>
      </c>
      <c r="J2247" s="111">
        <v>170</v>
      </c>
      <c r="K2247" s="111">
        <f t="shared" si="318"/>
        <v>175.33333333333334</v>
      </c>
      <c r="L2247" s="111">
        <f>150000*0.7</f>
        <v>105000</v>
      </c>
      <c r="M2247" s="111">
        <f t="shared" si="319"/>
        <v>47250</v>
      </c>
      <c r="N2247" s="111">
        <f t="shared" si="320"/>
        <v>47250</v>
      </c>
      <c r="O2247" s="111">
        <f t="shared" si="321"/>
        <v>9450</v>
      </c>
      <c r="P2247" s="111">
        <f t="shared" si="322"/>
        <v>10500</v>
      </c>
      <c r="Q2247" s="111">
        <v>30000</v>
      </c>
      <c r="R2247" s="111">
        <v>3</v>
      </c>
      <c r="S2247" s="111">
        <f t="shared" si="323"/>
        <v>3000</v>
      </c>
      <c r="T2247" s="111">
        <f t="shared" si="324"/>
        <v>135000</v>
      </c>
      <c r="U2247" s="111">
        <f t="shared" si="325"/>
        <v>1350</v>
      </c>
      <c r="V2247" s="111">
        <f t="shared" si="326"/>
        <v>136350</v>
      </c>
      <c r="W2247" t="s">
        <v>4708</v>
      </c>
    </row>
    <row r="2248" spans="1:23" x14ac:dyDescent="0.3">
      <c r="A2248" s="110">
        <v>2851559</v>
      </c>
      <c r="B2248" s="110" t="s">
        <v>2394</v>
      </c>
      <c r="C2248" s="110" t="s">
        <v>2418</v>
      </c>
      <c r="D2248" s="110" t="s">
        <v>2428</v>
      </c>
      <c r="E2248" s="110" t="s">
        <v>2050</v>
      </c>
      <c r="F2248" s="110" t="s">
        <v>119</v>
      </c>
      <c r="G2248" s="110" t="s">
        <v>114</v>
      </c>
      <c r="H2248" s="111">
        <v>159</v>
      </c>
      <c r="I2248" s="111">
        <v>140</v>
      </c>
      <c r="J2248" s="111">
        <v>152</v>
      </c>
      <c r="K2248" s="111">
        <f t="shared" si="318"/>
        <v>150.33333333333334</v>
      </c>
      <c r="L2248" s="111">
        <v>150000</v>
      </c>
      <c r="M2248" s="111">
        <f t="shared" si="319"/>
        <v>67500</v>
      </c>
      <c r="N2248" s="111">
        <f t="shared" si="320"/>
        <v>67500</v>
      </c>
      <c r="O2248" s="111">
        <f t="shared" si="321"/>
        <v>13500</v>
      </c>
      <c r="P2248" s="111">
        <f t="shared" si="322"/>
        <v>15000</v>
      </c>
      <c r="Q2248" s="111">
        <v>30000</v>
      </c>
      <c r="R2248" s="111">
        <v>3</v>
      </c>
      <c r="S2248" s="111">
        <f t="shared" si="323"/>
        <v>3000</v>
      </c>
      <c r="T2248" s="111">
        <f t="shared" si="324"/>
        <v>180000</v>
      </c>
      <c r="U2248" s="111">
        <f t="shared" si="325"/>
        <v>1800</v>
      </c>
      <c r="V2248" s="111">
        <f t="shared" si="326"/>
        <v>181800</v>
      </c>
      <c r="W2248" t="s">
        <v>4709</v>
      </c>
    </row>
    <row r="2249" spans="1:23" x14ac:dyDescent="0.3">
      <c r="A2249" s="110">
        <v>2851560</v>
      </c>
      <c r="B2249" s="110" t="s">
        <v>2394</v>
      </c>
      <c r="C2249" s="110" t="s">
        <v>2418</v>
      </c>
      <c r="D2249" s="110" t="s">
        <v>2429</v>
      </c>
      <c r="E2249" s="110" t="s">
        <v>316</v>
      </c>
      <c r="F2249" s="110" t="s">
        <v>168</v>
      </c>
      <c r="G2249" s="110" t="s">
        <v>114</v>
      </c>
      <c r="H2249" s="111">
        <v>134</v>
      </c>
      <c r="I2249" s="111">
        <v>158</v>
      </c>
      <c r="J2249" s="111">
        <v>145</v>
      </c>
      <c r="K2249" s="111">
        <f t="shared" si="318"/>
        <v>145.66666666666666</v>
      </c>
      <c r="L2249" s="111">
        <v>150000</v>
      </c>
      <c r="M2249" s="111">
        <f t="shared" si="319"/>
        <v>67500</v>
      </c>
      <c r="N2249" s="111">
        <f t="shared" si="320"/>
        <v>67500</v>
      </c>
      <c r="O2249" s="111">
        <f t="shared" si="321"/>
        <v>13500</v>
      </c>
      <c r="P2249" s="111">
        <f t="shared" si="322"/>
        <v>15000</v>
      </c>
      <c r="Q2249" s="111">
        <v>30000</v>
      </c>
      <c r="R2249" s="111">
        <v>3</v>
      </c>
      <c r="S2249" s="111">
        <f t="shared" si="323"/>
        <v>3000</v>
      </c>
      <c r="T2249" s="111">
        <f t="shared" si="324"/>
        <v>180000</v>
      </c>
      <c r="U2249" s="111">
        <f t="shared" si="325"/>
        <v>1800</v>
      </c>
      <c r="V2249" s="111">
        <f t="shared" si="326"/>
        <v>181800</v>
      </c>
      <c r="W2249" t="s">
        <v>4710</v>
      </c>
    </row>
    <row r="2250" spans="1:23" x14ac:dyDescent="0.3">
      <c r="A2250" s="110">
        <v>2902101</v>
      </c>
      <c r="B2250" s="110" t="s">
        <v>1769</v>
      </c>
      <c r="C2250" s="110" t="s">
        <v>1770</v>
      </c>
      <c r="D2250" s="110" t="s">
        <v>1773</v>
      </c>
      <c r="E2250" s="110" t="s">
        <v>2430</v>
      </c>
      <c r="F2250" s="110" t="s">
        <v>2431</v>
      </c>
      <c r="G2250" s="110" t="s">
        <v>125</v>
      </c>
      <c r="H2250" s="111">
        <v>857</v>
      </c>
      <c r="I2250" s="111">
        <v>862</v>
      </c>
      <c r="J2250" s="111">
        <v>845</v>
      </c>
      <c r="K2250" s="111">
        <f t="shared" si="318"/>
        <v>854.66666666666663</v>
      </c>
      <c r="L2250" s="111">
        <f>300000</f>
        <v>300000</v>
      </c>
      <c r="M2250" s="111">
        <f t="shared" si="319"/>
        <v>135000</v>
      </c>
      <c r="N2250" s="111">
        <f t="shared" si="320"/>
        <v>135000</v>
      </c>
      <c r="O2250" s="111">
        <f t="shared" si="321"/>
        <v>27000</v>
      </c>
      <c r="P2250" s="111">
        <f t="shared" si="322"/>
        <v>30000</v>
      </c>
      <c r="Q2250" s="111">
        <v>60000</v>
      </c>
      <c r="R2250" s="111">
        <v>6</v>
      </c>
      <c r="S2250" s="111">
        <f t="shared" si="323"/>
        <v>6000</v>
      </c>
      <c r="T2250" s="111">
        <f t="shared" si="324"/>
        <v>360000</v>
      </c>
      <c r="U2250" s="111">
        <f t="shared" si="325"/>
        <v>3600</v>
      </c>
      <c r="V2250" s="111">
        <f t="shared" si="326"/>
        <v>363600</v>
      </c>
      <c r="W2250" t="s">
        <v>4711</v>
      </c>
    </row>
    <row r="2251" spans="1:23" x14ac:dyDescent="0.3">
      <c r="A2251" s="110">
        <v>2902102</v>
      </c>
      <c r="B2251" s="110" t="s">
        <v>1332</v>
      </c>
      <c r="C2251" s="110" t="s">
        <v>1332</v>
      </c>
      <c r="D2251" s="110" t="s">
        <v>1332</v>
      </c>
      <c r="E2251" s="110" t="s">
        <v>2432</v>
      </c>
      <c r="F2251" s="110" t="s">
        <v>2431</v>
      </c>
      <c r="G2251" s="110" t="s">
        <v>125</v>
      </c>
      <c r="H2251" s="111">
        <v>423</v>
      </c>
      <c r="I2251" s="111">
        <v>430</v>
      </c>
      <c r="J2251" s="111">
        <v>436</v>
      </c>
      <c r="K2251" s="111">
        <f t="shared" si="318"/>
        <v>429.66666666666669</v>
      </c>
      <c r="L2251" s="111">
        <f>300000</f>
        <v>300000</v>
      </c>
      <c r="M2251" s="111">
        <f t="shared" si="319"/>
        <v>135000</v>
      </c>
      <c r="N2251" s="111">
        <f t="shared" si="320"/>
        <v>135000</v>
      </c>
      <c r="O2251" s="111">
        <f t="shared" si="321"/>
        <v>27000</v>
      </c>
      <c r="P2251" s="111">
        <f t="shared" si="322"/>
        <v>30000</v>
      </c>
      <c r="Q2251" s="111">
        <v>60000</v>
      </c>
      <c r="R2251" s="111">
        <v>6</v>
      </c>
      <c r="S2251" s="111">
        <f t="shared" si="323"/>
        <v>6000</v>
      </c>
      <c r="T2251" s="111">
        <f t="shared" si="324"/>
        <v>360000</v>
      </c>
      <c r="U2251" s="111">
        <f t="shared" si="325"/>
        <v>3600</v>
      </c>
      <c r="V2251" s="111">
        <f t="shared" si="326"/>
        <v>363600</v>
      </c>
      <c r="W2251" t="s">
        <v>4712</v>
      </c>
    </row>
    <row r="2252" spans="1:23" x14ac:dyDescent="0.3">
      <c r="A2252" s="110">
        <v>2902103</v>
      </c>
      <c r="B2252" s="110" t="s">
        <v>297</v>
      </c>
      <c r="C2252" s="110" t="s">
        <v>297</v>
      </c>
      <c r="D2252" s="110" t="s">
        <v>297</v>
      </c>
      <c r="E2252" s="110" t="s">
        <v>2433</v>
      </c>
      <c r="F2252" s="110" t="s">
        <v>2431</v>
      </c>
      <c r="G2252" s="110" t="s">
        <v>125</v>
      </c>
      <c r="H2252" s="111">
        <v>547</v>
      </c>
      <c r="I2252" s="111">
        <v>548</v>
      </c>
      <c r="J2252" s="111">
        <v>548</v>
      </c>
      <c r="K2252" s="111">
        <f t="shared" si="318"/>
        <v>547.66666666666663</v>
      </c>
      <c r="L2252" s="111">
        <f>300000</f>
        <v>300000</v>
      </c>
      <c r="M2252" s="111">
        <f t="shared" si="319"/>
        <v>135000</v>
      </c>
      <c r="N2252" s="111">
        <f t="shared" si="320"/>
        <v>135000</v>
      </c>
      <c r="O2252" s="111">
        <f t="shared" si="321"/>
        <v>27000</v>
      </c>
      <c r="P2252" s="111">
        <f t="shared" si="322"/>
        <v>30000</v>
      </c>
      <c r="Q2252" s="111">
        <v>60000</v>
      </c>
      <c r="R2252" s="111">
        <v>6</v>
      </c>
      <c r="S2252" s="111">
        <f t="shared" si="323"/>
        <v>6000</v>
      </c>
      <c r="T2252" s="111">
        <f t="shared" si="324"/>
        <v>360000</v>
      </c>
      <c r="U2252" s="111">
        <f t="shared" si="325"/>
        <v>3600</v>
      </c>
      <c r="V2252" s="111">
        <f t="shared" si="326"/>
        <v>363600</v>
      </c>
      <c r="W2252" t="s">
        <v>4713</v>
      </c>
    </row>
    <row r="2253" spans="1:23" x14ac:dyDescent="0.3">
      <c r="A2253" s="110">
        <v>2902104</v>
      </c>
      <c r="B2253" s="110" t="s">
        <v>2088</v>
      </c>
      <c r="C2253" s="110" t="s">
        <v>2088</v>
      </c>
      <c r="D2253" s="110" t="s">
        <v>2088</v>
      </c>
      <c r="E2253" s="110" t="s">
        <v>2434</v>
      </c>
      <c r="F2253" s="110" t="s">
        <v>2431</v>
      </c>
      <c r="G2253" s="110" t="s">
        <v>125</v>
      </c>
      <c r="H2253" s="111">
        <v>316</v>
      </c>
      <c r="I2253" s="111">
        <v>329</v>
      </c>
      <c r="J2253" s="111">
        <v>340</v>
      </c>
      <c r="K2253" s="111">
        <f t="shared" si="318"/>
        <v>328.33333333333331</v>
      </c>
      <c r="L2253" s="111">
        <v>200000</v>
      </c>
      <c r="M2253" s="111">
        <f t="shared" si="319"/>
        <v>90000</v>
      </c>
      <c r="N2253" s="111">
        <f t="shared" si="320"/>
        <v>90000</v>
      </c>
      <c r="O2253" s="111">
        <f t="shared" si="321"/>
        <v>18000</v>
      </c>
      <c r="P2253" s="111">
        <f t="shared" si="322"/>
        <v>20000</v>
      </c>
      <c r="Q2253" s="111">
        <v>50000</v>
      </c>
      <c r="R2253" s="111">
        <v>5</v>
      </c>
      <c r="S2253" s="111">
        <f t="shared" si="323"/>
        <v>5000</v>
      </c>
      <c r="T2253" s="111">
        <f t="shared" si="324"/>
        <v>250000</v>
      </c>
      <c r="U2253" s="111">
        <f t="shared" si="325"/>
        <v>2500</v>
      </c>
      <c r="V2253" s="111">
        <f t="shared" si="326"/>
        <v>252500</v>
      </c>
      <c r="W2253" t="s">
        <v>4714</v>
      </c>
    </row>
    <row r="2254" spans="1:23" x14ac:dyDescent="0.3">
      <c r="A2254" s="110">
        <v>2902105</v>
      </c>
      <c r="B2254" s="110" t="s">
        <v>1554</v>
      </c>
      <c r="C2254" s="110" t="s">
        <v>1554</v>
      </c>
      <c r="D2254" s="110" t="s">
        <v>1554</v>
      </c>
      <c r="E2254" s="110" t="s">
        <v>2435</v>
      </c>
      <c r="F2254" s="110" t="s">
        <v>2431</v>
      </c>
      <c r="G2254" s="110" t="s">
        <v>125</v>
      </c>
      <c r="H2254" s="111">
        <v>539</v>
      </c>
      <c r="I2254" s="111">
        <v>523</v>
      </c>
      <c r="J2254" s="111">
        <v>525</v>
      </c>
      <c r="K2254" s="111">
        <f t="shared" si="318"/>
        <v>529</v>
      </c>
      <c r="L2254" s="111">
        <f>300000</f>
        <v>300000</v>
      </c>
      <c r="M2254" s="111">
        <f t="shared" si="319"/>
        <v>135000</v>
      </c>
      <c r="N2254" s="111">
        <f t="shared" si="320"/>
        <v>135000</v>
      </c>
      <c r="O2254" s="111">
        <f t="shared" si="321"/>
        <v>27000</v>
      </c>
      <c r="P2254" s="111">
        <f t="shared" si="322"/>
        <v>30000</v>
      </c>
      <c r="Q2254" s="111">
        <v>60000</v>
      </c>
      <c r="R2254" s="111">
        <v>6</v>
      </c>
      <c r="S2254" s="111">
        <f t="shared" si="323"/>
        <v>6000</v>
      </c>
      <c r="T2254" s="111">
        <f t="shared" si="324"/>
        <v>360000</v>
      </c>
      <c r="U2254" s="111">
        <f t="shared" si="325"/>
        <v>3600</v>
      </c>
      <c r="V2254" s="111">
        <f t="shared" si="326"/>
        <v>363600</v>
      </c>
      <c r="W2254" t="s">
        <v>4715</v>
      </c>
    </row>
    <row r="2255" spans="1:23" x14ac:dyDescent="0.3">
      <c r="A2255" s="110">
        <v>2902106</v>
      </c>
      <c r="B2255" s="110" t="s">
        <v>548</v>
      </c>
      <c r="C2255" s="110" t="s">
        <v>548</v>
      </c>
      <c r="D2255" s="110" t="s">
        <v>548</v>
      </c>
      <c r="E2255" s="110" t="s">
        <v>2436</v>
      </c>
      <c r="F2255" s="110" t="s">
        <v>2431</v>
      </c>
      <c r="G2255" s="110" t="s">
        <v>125</v>
      </c>
      <c r="H2255" s="111">
        <v>764</v>
      </c>
      <c r="I2255" s="111">
        <v>770</v>
      </c>
      <c r="J2255" s="111">
        <v>787</v>
      </c>
      <c r="K2255" s="111">
        <f t="shared" si="318"/>
        <v>773.66666666666663</v>
      </c>
      <c r="L2255" s="111">
        <f>300000</f>
        <v>300000</v>
      </c>
      <c r="M2255" s="111">
        <f t="shared" si="319"/>
        <v>135000</v>
      </c>
      <c r="N2255" s="111">
        <f t="shared" si="320"/>
        <v>135000</v>
      </c>
      <c r="O2255" s="111">
        <f t="shared" si="321"/>
        <v>27000</v>
      </c>
      <c r="P2255" s="111">
        <f t="shared" si="322"/>
        <v>30000</v>
      </c>
      <c r="Q2255" s="111">
        <v>60000</v>
      </c>
      <c r="R2255" s="111">
        <v>6</v>
      </c>
      <c r="S2255" s="111">
        <f t="shared" si="323"/>
        <v>6000</v>
      </c>
      <c r="T2255" s="111">
        <f t="shared" si="324"/>
        <v>360000</v>
      </c>
      <c r="U2255" s="111">
        <f t="shared" si="325"/>
        <v>3600</v>
      </c>
      <c r="V2255" s="111">
        <f t="shared" si="326"/>
        <v>363600</v>
      </c>
      <c r="W2255" t="s">
        <v>4716</v>
      </c>
    </row>
    <row r="2256" spans="1:23" x14ac:dyDescent="0.3">
      <c r="A2256" s="110">
        <v>2902107</v>
      </c>
      <c r="B2256" s="110" t="s">
        <v>1235</v>
      </c>
      <c r="C2256" s="110" t="s">
        <v>1235</v>
      </c>
      <c r="D2256" s="110" t="s">
        <v>1235</v>
      </c>
      <c r="E2256" s="110" t="s">
        <v>2437</v>
      </c>
      <c r="F2256" s="110" t="s">
        <v>2431</v>
      </c>
      <c r="G2256" s="110" t="s">
        <v>125</v>
      </c>
      <c r="H2256" s="111">
        <v>519</v>
      </c>
      <c r="I2256" s="111">
        <v>524</v>
      </c>
      <c r="J2256" s="111">
        <v>533</v>
      </c>
      <c r="K2256" s="111">
        <f t="shared" si="318"/>
        <v>525.33333333333337</v>
      </c>
      <c r="L2256" s="111">
        <f>300000</f>
        <v>300000</v>
      </c>
      <c r="M2256" s="111">
        <f t="shared" si="319"/>
        <v>135000</v>
      </c>
      <c r="N2256" s="111">
        <f t="shared" si="320"/>
        <v>135000</v>
      </c>
      <c r="O2256" s="111">
        <f t="shared" si="321"/>
        <v>27000</v>
      </c>
      <c r="P2256" s="111">
        <f t="shared" si="322"/>
        <v>30000</v>
      </c>
      <c r="Q2256" s="111">
        <v>60000</v>
      </c>
      <c r="R2256" s="111">
        <v>6</v>
      </c>
      <c r="S2256" s="111">
        <f t="shared" si="323"/>
        <v>6000</v>
      </c>
      <c r="T2256" s="111">
        <f t="shared" si="324"/>
        <v>360000</v>
      </c>
      <c r="U2256" s="111">
        <f t="shared" si="325"/>
        <v>3600</v>
      </c>
      <c r="V2256" s="111">
        <f t="shared" si="326"/>
        <v>363600</v>
      </c>
      <c r="W2256" t="s">
        <v>4717</v>
      </c>
    </row>
    <row r="2257" spans="1:23" x14ac:dyDescent="0.3">
      <c r="A2257" s="110">
        <v>2902201</v>
      </c>
      <c r="B2257" s="110" t="s">
        <v>1647</v>
      </c>
      <c r="C2257" s="110" t="s">
        <v>1682</v>
      </c>
      <c r="D2257" s="110" t="s">
        <v>1682</v>
      </c>
      <c r="E2257" s="110" t="s">
        <v>2438</v>
      </c>
      <c r="F2257" s="110" t="s">
        <v>2431</v>
      </c>
      <c r="G2257" s="110" t="s">
        <v>125</v>
      </c>
      <c r="H2257" s="111">
        <v>260</v>
      </c>
      <c r="I2257" s="111">
        <v>265</v>
      </c>
      <c r="J2257" s="111">
        <v>240</v>
      </c>
      <c r="K2257" s="111">
        <f t="shared" si="318"/>
        <v>255</v>
      </c>
      <c r="L2257" s="111">
        <v>200000</v>
      </c>
      <c r="M2257" s="111">
        <f t="shared" si="319"/>
        <v>90000</v>
      </c>
      <c r="N2257" s="111">
        <f t="shared" si="320"/>
        <v>90000</v>
      </c>
      <c r="O2257" s="111">
        <f t="shared" si="321"/>
        <v>18000</v>
      </c>
      <c r="P2257" s="111">
        <f t="shared" si="322"/>
        <v>20000</v>
      </c>
      <c r="Q2257" s="111">
        <v>50000</v>
      </c>
      <c r="R2257" s="111">
        <v>5</v>
      </c>
      <c r="S2257" s="111">
        <f t="shared" si="323"/>
        <v>5000</v>
      </c>
      <c r="T2257" s="111">
        <f t="shared" si="324"/>
        <v>250000</v>
      </c>
      <c r="U2257" s="111">
        <f t="shared" si="325"/>
        <v>2500</v>
      </c>
      <c r="V2257" s="111">
        <f t="shared" si="326"/>
        <v>252500</v>
      </c>
      <c r="W2257" t="s">
        <v>4718</v>
      </c>
    </row>
    <row r="2258" spans="1:23" x14ac:dyDescent="0.3">
      <c r="A2258" s="110">
        <v>2902202</v>
      </c>
      <c r="B2258" s="110" t="s">
        <v>1711</v>
      </c>
      <c r="C2258" s="110" t="s">
        <v>1711</v>
      </c>
      <c r="D2258" s="110" t="s">
        <v>1722</v>
      </c>
      <c r="E2258" s="110" t="s">
        <v>2439</v>
      </c>
      <c r="F2258" s="110" t="s">
        <v>2431</v>
      </c>
      <c r="G2258" s="110" t="s">
        <v>125</v>
      </c>
      <c r="H2258" s="111">
        <v>65</v>
      </c>
      <c r="I2258" s="111">
        <v>79</v>
      </c>
      <c r="J2258" s="111">
        <v>76</v>
      </c>
      <c r="K2258" s="111">
        <f t="shared" si="318"/>
        <v>73.333333333333329</v>
      </c>
      <c r="L2258" s="111">
        <v>150000</v>
      </c>
      <c r="M2258" s="111">
        <f t="shared" si="319"/>
        <v>67500</v>
      </c>
      <c r="N2258" s="111">
        <f t="shared" si="320"/>
        <v>67500</v>
      </c>
      <c r="O2258" s="111">
        <f t="shared" si="321"/>
        <v>13500</v>
      </c>
      <c r="P2258" s="111">
        <f t="shared" si="322"/>
        <v>15000</v>
      </c>
      <c r="Q2258" s="111">
        <v>30000</v>
      </c>
      <c r="R2258" s="111">
        <v>3</v>
      </c>
      <c r="S2258" s="111">
        <f t="shared" si="323"/>
        <v>3000</v>
      </c>
      <c r="T2258" s="111">
        <f t="shared" si="324"/>
        <v>180000</v>
      </c>
      <c r="U2258" s="111">
        <f t="shared" si="325"/>
        <v>1800</v>
      </c>
      <c r="V2258" s="111">
        <f t="shared" si="326"/>
        <v>181800</v>
      </c>
      <c r="W2258" t="s">
        <v>4719</v>
      </c>
    </row>
    <row r="2259" spans="1:23" x14ac:dyDescent="0.3">
      <c r="A2259" s="110">
        <v>2902301</v>
      </c>
      <c r="B2259" s="110" t="s">
        <v>1769</v>
      </c>
      <c r="C2259" s="110" t="s">
        <v>1770</v>
      </c>
      <c r="D2259" s="110" t="s">
        <v>1773</v>
      </c>
      <c r="E2259" s="110" t="s">
        <v>2440</v>
      </c>
      <c r="F2259" s="110" t="s">
        <v>2431</v>
      </c>
      <c r="G2259" s="110" t="s">
        <v>125</v>
      </c>
      <c r="H2259" s="111">
        <v>451</v>
      </c>
      <c r="I2259" s="111">
        <v>457</v>
      </c>
      <c r="J2259" s="111">
        <v>470</v>
      </c>
      <c r="K2259" s="111">
        <f t="shared" si="318"/>
        <v>459.33333333333331</v>
      </c>
      <c r="L2259" s="111">
        <f>300000</f>
        <v>300000</v>
      </c>
      <c r="M2259" s="111">
        <f t="shared" si="319"/>
        <v>135000</v>
      </c>
      <c r="N2259" s="111">
        <f t="shared" si="320"/>
        <v>135000</v>
      </c>
      <c r="O2259" s="111">
        <f t="shared" si="321"/>
        <v>27000</v>
      </c>
      <c r="P2259" s="111">
        <f t="shared" si="322"/>
        <v>30000</v>
      </c>
      <c r="Q2259" s="111">
        <v>60000</v>
      </c>
      <c r="R2259" s="111">
        <v>6</v>
      </c>
      <c r="S2259" s="111">
        <f t="shared" si="323"/>
        <v>6000</v>
      </c>
      <c r="T2259" s="111">
        <f t="shared" si="324"/>
        <v>360000</v>
      </c>
      <c r="U2259" s="111">
        <f t="shared" si="325"/>
        <v>3600</v>
      </c>
      <c r="V2259" s="111">
        <f t="shared" si="326"/>
        <v>363600</v>
      </c>
      <c r="W2259" t="s">
        <v>4720</v>
      </c>
    </row>
    <row r="2260" spans="1:23" x14ac:dyDescent="0.3">
      <c r="A2260" s="110">
        <v>2902302</v>
      </c>
      <c r="B2260" s="110" t="s">
        <v>1332</v>
      </c>
      <c r="C2260" s="110" t="s">
        <v>1332</v>
      </c>
      <c r="D2260" s="110" t="s">
        <v>1332</v>
      </c>
      <c r="E2260" s="110" t="s">
        <v>2441</v>
      </c>
      <c r="F2260" s="110" t="s">
        <v>2431</v>
      </c>
      <c r="G2260" s="110" t="s">
        <v>125</v>
      </c>
      <c r="H2260" s="111">
        <v>230</v>
      </c>
      <c r="I2260" s="111">
        <v>239</v>
      </c>
      <c r="J2260" s="111">
        <v>247</v>
      </c>
      <c r="K2260" s="111">
        <f t="shared" si="318"/>
        <v>238.66666666666666</v>
      </c>
      <c r="L2260" s="111">
        <f>200000*0.7</f>
        <v>140000</v>
      </c>
      <c r="M2260" s="111">
        <f t="shared" si="319"/>
        <v>63000</v>
      </c>
      <c r="N2260" s="111">
        <f t="shared" si="320"/>
        <v>63000</v>
      </c>
      <c r="O2260" s="111">
        <f t="shared" si="321"/>
        <v>12600</v>
      </c>
      <c r="P2260" s="111">
        <f t="shared" si="322"/>
        <v>14000</v>
      </c>
      <c r="Q2260" s="111">
        <v>50000</v>
      </c>
      <c r="R2260" s="111">
        <v>5</v>
      </c>
      <c r="S2260" s="111">
        <f t="shared" si="323"/>
        <v>5000</v>
      </c>
      <c r="T2260" s="111">
        <f t="shared" si="324"/>
        <v>190000</v>
      </c>
      <c r="U2260" s="111">
        <f t="shared" si="325"/>
        <v>1900</v>
      </c>
      <c r="V2260" s="111">
        <f t="shared" si="326"/>
        <v>191900</v>
      </c>
      <c r="W2260" t="s">
        <v>4721</v>
      </c>
    </row>
    <row r="2261" spans="1:23" x14ac:dyDescent="0.3">
      <c r="A2261" s="110">
        <v>2902401</v>
      </c>
      <c r="B2261" s="110" t="s">
        <v>1769</v>
      </c>
      <c r="C2261" s="110" t="s">
        <v>1770</v>
      </c>
      <c r="D2261" s="110" t="s">
        <v>1773</v>
      </c>
      <c r="E2261" s="110" t="s">
        <v>2442</v>
      </c>
      <c r="F2261" s="110" t="s">
        <v>2431</v>
      </c>
      <c r="G2261" s="110" t="s">
        <v>125</v>
      </c>
      <c r="H2261" s="111">
        <v>267</v>
      </c>
      <c r="I2261" s="111">
        <v>266</v>
      </c>
      <c r="J2261" s="111">
        <v>266</v>
      </c>
      <c r="K2261" s="111">
        <f t="shared" si="318"/>
        <v>266.33333333333331</v>
      </c>
      <c r="L2261" s="111">
        <v>200000</v>
      </c>
      <c r="M2261" s="111">
        <f t="shared" si="319"/>
        <v>90000</v>
      </c>
      <c r="N2261" s="111">
        <f t="shared" si="320"/>
        <v>90000</v>
      </c>
      <c r="O2261" s="111">
        <f t="shared" si="321"/>
        <v>18000</v>
      </c>
      <c r="P2261" s="111">
        <f t="shared" si="322"/>
        <v>20000</v>
      </c>
      <c r="Q2261" s="111">
        <v>50000</v>
      </c>
      <c r="R2261" s="111">
        <v>5</v>
      </c>
      <c r="S2261" s="111">
        <f t="shared" si="323"/>
        <v>5000</v>
      </c>
      <c r="T2261" s="111">
        <f t="shared" si="324"/>
        <v>250000</v>
      </c>
      <c r="U2261" s="111">
        <f t="shared" si="325"/>
        <v>2500</v>
      </c>
      <c r="V2261" s="111">
        <f t="shared" si="326"/>
        <v>252500</v>
      </c>
      <c r="W2261" t="s">
        <v>4722</v>
      </c>
    </row>
    <row r="2262" spans="1:23" x14ac:dyDescent="0.3">
      <c r="A2262" s="110">
        <v>2902402</v>
      </c>
      <c r="B2262" s="110" t="s">
        <v>1332</v>
      </c>
      <c r="C2262" s="110" t="s">
        <v>1332</v>
      </c>
      <c r="D2262" s="110" t="s">
        <v>1332</v>
      </c>
      <c r="E2262" s="110" t="s">
        <v>2443</v>
      </c>
      <c r="F2262" s="110" t="s">
        <v>2431</v>
      </c>
      <c r="G2262" s="110" t="s">
        <v>125</v>
      </c>
      <c r="H2262" s="111">
        <v>287</v>
      </c>
      <c r="I2262" s="111">
        <v>277</v>
      </c>
      <c r="J2262" s="111">
        <v>285</v>
      </c>
      <c r="K2262" s="111">
        <f t="shared" si="318"/>
        <v>283</v>
      </c>
      <c r="L2262" s="111">
        <f>200000*0.7</f>
        <v>140000</v>
      </c>
      <c r="M2262" s="111">
        <f t="shared" si="319"/>
        <v>63000</v>
      </c>
      <c r="N2262" s="111">
        <f t="shared" si="320"/>
        <v>63000</v>
      </c>
      <c r="O2262" s="111">
        <f t="shared" si="321"/>
        <v>12600</v>
      </c>
      <c r="P2262" s="111">
        <f t="shared" si="322"/>
        <v>14000</v>
      </c>
      <c r="Q2262" s="111">
        <v>50000</v>
      </c>
      <c r="R2262" s="111">
        <v>5</v>
      </c>
      <c r="S2262" s="111">
        <f t="shared" si="323"/>
        <v>5000</v>
      </c>
      <c r="T2262" s="111">
        <f t="shared" si="324"/>
        <v>190000</v>
      </c>
      <c r="U2262" s="111">
        <f t="shared" si="325"/>
        <v>1900</v>
      </c>
      <c r="V2262" s="111">
        <f t="shared" si="326"/>
        <v>191900</v>
      </c>
      <c r="W2262" t="s">
        <v>4723</v>
      </c>
    </row>
    <row r="2263" spans="1:23" x14ac:dyDescent="0.3">
      <c r="A2263" s="110">
        <v>2902501</v>
      </c>
      <c r="B2263" s="110" t="s">
        <v>1769</v>
      </c>
      <c r="C2263" s="110" t="s">
        <v>1770</v>
      </c>
      <c r="D2263" s="110" t="s">
        <v>1773</v>
      </c>
      <c r="E2263" s="110" t="s">
        <v>2444</v>
      </c>
      <c r="F2263" s="110" t="s">
        <v>2431</v>
      </c>
      <c r="G2263" s="110" t="s">
        <v>125</v>
      </c>
      <c r="H2263" s="111">
        <v>488</v>
      </c>
      <c r="I2263" s="111">
        <v>494</v>
      </c>
      <c r="J2263" s="111">
        <v>497</v>
      </c>
      <c r="K2263" s="111">
        <f t="shared" si="318"/>
        <v>493</v>
      </c>
      <c r="L2263" s="111">
        <f>300000</f>
        <v>300000</v>
      </c>
      <c r="M2263" s="111">
        <f t="shared" si="319"/>
        <v>135000</v>
      </c>
      <c r="N2263" s="111">
        <f t="shared" si="320"/>
        <v>135000</v>
      </c>
      <c r="O2263" s="111">
        <f t="shared" si="321"/>
        <v>27000</v>
      </c>
      <c r="P2263" s="111">
        <f t="shared" si="322"/>
        <v>30000</v>
      </c>
      <c r="Q2263" s="111">
        <v>60000</v>
      </c>
      <c r="R2263" s="111">
        <v>6</v>
      </c>
      <c r="S2263" s="111">
        <f t="shared" si="323"/>
        <v>6000</v>
      </c>
      <c r="T2263" s="111">
        <f t="shared" si="324"/>
        <v>360000</v>
      </c>
      <c r="U2263" s="111">
        <f t="shared" si="325"/>
        <v>3600</v>
      </c>
      <c r="V2263" s="111">
        <f t="shared" si="326"/>
        <v>363600</v>
      </c>
      <c r="W2263" t="s">
        <v>4724</v>
      </c>
    </row>
    <row r="2264" spans="1:23" x14ac:dyDescent="0.3">
      <c r="A2264" s="110">
        <v>2902502</v>
      </c>
      <c r="B2264" s="110" t="s">
        <v>960</v>
      </c>
      <c r="C2264" s="110" t="s">
        <v>961</v>
      </c>
      <c r="D2264" s="110" t="s">
        <v>961</v>
      </c>
      <c r="E2264" s="110" t="s">
        <v>2445</v>
      </c>
      <c r="F2264" s="110" t="s">
        <v>2431</v>
      </c>
      <c r="G2264" s="110" t="s">
        <v>125</v>
      </c>
      <c r="H2264" s="111">
        <v>176</v>
      </c>
      <c r="I2264" s="111">
        <v>183</v>
      </c>
      <c r="J2264" s="111">
        <v>184</v>
      </c>
      <c r="K2264" s="111">
        <f t="shared" si="318"/>
        <v>181</v>
      </c>
      <c r="L2264" s="111">
        <v>150000</v>
      </c>
      <c r="M2264" s="111">
        <f t="shared" si="319"/>
        <v>67500</v>
      </c>
      <c r="N2264" s="111">
        <f t="shared" si="320"/>
        <v>67500</v>
      </c>
      <c r="O2264" s="111">
        <f t="shared" si="321"/>
        <v>13500</v>
      </c>
      <c r="P2264" s="111">
        <f t="shared" si="322"/>
        <v>15000</v>
      </c>
      <c r="Q2264" s="111">
        <v>30000</v>
      </c>
      <c r="R2264" s="111">
        <v>3</v>
      </c>
      <c r="S2264" s="111">
        <f t="shared" si="323"/>
        <v>3000</v>
      </c>
      <c r="T2264" s="111">
        <f t="shared" si="324"/>
        <v>180000</v>
      </c>
      <c r="U2264" s="111">
        <f t="shared" si="325"/>
        <v>1800</v>
      </c>
      <c r="V2264" s="111">
        <f t="shared" si="326"/>
        <v>181800</v>
      </c>
      <c r="W2264" t="s">
        <v>4725</v>
      </c>
    </row>
    <row r="2265" spans="1:23" x14ac:dyDescent="0.3">
      <c r="A2265" s="110">
        <v>2902503</v>
      </c>
      <c r="B2265" s="110" t="s">
        <v>758</v>
      </c>
      <c r="C2265" s="110" t="s">
        <v>781</v>
      </c>
      <c r="D2265" s="110" t="s">
        <v>781</v>
      </c>
      <c r="E2265" s="110" t="s">
        <v>2446</v>
      </c>
      <c r="F2265" s="110" t="s">
        <v>2431</v>
      </c>
      <c r="G2265" s="110" t="s">
        <v>125</v>
      </c>
      <c r="H2265" s="111">
        <v>129</v>
      </c>
      <c r="I2265" s="111">
        <v>129</v>
      </c>
      <c r="J2265" s="111">
        <v>126</v>
      </c>
      <c r="K2265" s="111">
        <f t="shared" si="318"/>
        <v>128</v>
      </c>
      <c r="L2265" s="111">
        <f>150000*0.7</f>
        <v>105000</v>
      </c>
      <c r="M2265" s="111">
        <f t="shared" si="319"/>
        <v>47250</v>
      </c>
      <c r="N2265" s="111">
        <f t="shared" si="320"/>
        <v>47250</v>
      </c>
      <c r="O2265" s="111">
        <f t="shared" si="321"/>
        <v>9450</v>
      </c>
      <c r="P2265" s="111">
        <f t="shared" si="322"/>
        <v>10500</v>
      </c>
      <c r="Q2265" s="111">
        <v>30000</v>
      </c>
      <c r="R2265" s="111">
        <v>3</v>
      </c>
      <c r="S2265" s="111">
        <f t="shared" si="323"/>
        <v>3000</v>
      </c>
      <c r="T2265" s="111">
        <f t="shared" si="324"/>
        <v>135000</v>
      </c>
      <c r="U2265" s="111">
        <f t="shared" si="325"/>
        <v>1350</v>
      </c>
      <c r="V2265" s="111">
        <f t="shared" si="326"/>
        <v>136350</v>
      </c>
      <c r="W2265" t="s">
        <v>4726</v>
      </c>
    </row>
    <row r="2266" spans="1:23" x14ac:dyDescent="0.3">
      <c r="A2266" s="110">
        <v>2902504</v>
      </c>
      <c r="B2266" s="110" t="s">
        <v>1647</v>
      </c>
      <c r="C2266" s="110" t="s">
        <v>1647</v>
      </c>
      <c r="D2266" s="110" t="s">
        <v>1647</v>
      </c>
      <c r="E2266" s="110" t="s">
        <v>2447</v>
      </c>
      <c r="F2266" s="110" t="s">
        <v>2431</v>
      </c>
      <c r="G2266" s="110" t="s">
        <v>125</v>
      </c>
      <c r="H2266" s="111">
        <v>121</v>
      </c>
      <c r="I2266" s="111">
        <v>118</v>
      </c>
      <c r="J2266" s="111">
        <v>125</v>
      </c>
      <c r="K2266" s="111">
        <f t="shared" si="318"/>
        <v>121.33333333333333</v>
      </c>
      <c r="L2266" s="111">
        <v>150000</v>
      </c>
      <c r="M2266" s="111">
        <f t="shared" si="319"/>
        <v>67500</v>
      </c>
      <c r="N2266" s="111">
        <f t="shared" si="320"/>
        <v>67500</v>
      </c>
      <c r="O2266" s="111">
        <f t="shared" si="321"/>
        <v>13500</v>
      </c>
      <c r="P2266" s="111">
        <f t="shared" si="322"/>
        <v>15000</v>
      </c>
      <c r="Q2266" s="111">
        <v>30000</v>
      </c>
      <c r="R2266" s="111">
        <v>3</v>
      </c>
      <c r="S2266" s="111">
        <f t="shared" si="323"/>
        <v>3000</v>
      </c>
      <c r="T2266" s="111">
        <f t="shared" si="324"/>
        <v>180000</v>
      </c>
      <c r="U2266" s="111">
        <f t="shared" si="325"/>
        <v>1800</v>
      </c>
      <c r="V2266" s="111">
        <f t="shared" si="326"/>
        <v>181800</v>
      </c>
      <c r="W2266" t="s">
        <v>4727</v>
      </c>
    </row>
    <row r="2267" spans="1:23" x14ac:dyDescent="0.3">
      <c r="A2267" s="110">
        <v>2902505</v>
      </c>
      <c r="B2267" s="110" t="s">
        <v>2088</v>
      </c>
      <c r="C2267" s="110" t="s">
        <v>2125</v>
      </c>
      <c r="D2267" s="110" t="s">
        <v>2125</v>
      </c>
      <c r="E2267" s="110" t="s">
        <v>2448</v>
      </c>
      <c r="F2267" s="110" t="s">
        <v>2431</v>
      </c>
      <c r="G2267" s="110" t="s">
        <v>125</v>
      </c>
      <c r="H2267" s="111">
        <v>309</v>
      </c>
      <c r="I2267" s="111">
        <v>308</v>
      </c>
      <c r="J2267" s="111">
        <v>309</v>
      </c>
      <c r="K2267" s="111">
        <f t="shared" si="318"/>
        <v>308.66666666666669</v>
      </c>
      <c r="L2267" s="111">
        <v>200000</v>
      </c>
      <c r="M2267" s="111">
        <f t="shared" si="319"/>
        <v>90000</v>
      </c>
      <c r="N2267" s="111">
        <f t="shared" si="320"/>
        <v>90000</v>
      </c>
      <c r="O2267" s="111">
        <f t="shared" si="321"/>
        <v>18000</v>
      </c>
      <c r="P2267" s="111">
        <f t="shared" si="322"/>
        <v>20000</v>
      </c>
      <c r="Q2267" s="111">
        <v>50000</v>
      </c>
      <c r="R2267" s="111">
        <v>5</v>
      </c>
      <c r="S2267" s="111">
        <f t="shared" si="323"/>
        <v>5000</v>
      </c>
      <c r="T2267" s="111">
        <f t="shared" si="324"/>
        <v>250000</v>
      </c>
      <c r="U2267" s="111">
        <f t="shared" si="325"/>
        <v>2500</v>
      </c>
      <c r="V2267" s="111">
        <f t="shared" si="326"/>
        <v>252500</v>
      </c>
      <c r="W2267" t="s">
        <v>4728</v>
      </c>
    </row>
    <row r="2268" spans="1:23" x14ac:dyDescent="0.3">
      <c r="A2268" s="110">
        <v>2902506</v>
      </c>
      <c r="B2268" s="110" t="s">
        <v>1711</v>
      </c>
      <c r="C2268" s="110" t="s">
        <v>1711</v>
      </c>
      <c r="D2268" s="110" t="s">
        <v>1711</v>
      </c>
      <c r="E2268" s="110" t="s">
        <v>2449</v>
      </c>
      <c r="F2268" s="110" t="s">
        <v>2431</v>
      </c>
      <c r="G2268" s="110" t="s">
        <v>125</v>
      </c>
      <c r="H2268" s="111">
        <v>53</v>
      </c>
      <c r="I2268" s="111">
        <v>58</v>
      </c>
      <c r="J2268" s="111">
        <v>63</v>
      </c>
      <c r="K2268" s="111">
        <f t="shared" si="318"/>
        <v>58</v>
      </c>
      <c r="L2268" s="111">
        <v>150000</v>
      </c>
      <c r="M2268" s="111">
        <f t="shared" si="319"/>
        <v>67500</v>
      </c>
      <c r="N2268" s="111">
        <f t="shared" si="320"/>
        <v>67500</v>
      </c>
      <c r="O2268" s="111">
        <f t="shared" si="321"/>
        <v>13500</v>
      </c>
      <c r="P2268" s="111">
        <f t="shared" si="322"/>
        <v>15000</v>
      </c>
      <c r="Q2268" s="111">
        <v>30000</v>
      </c>
      <c r="R2268" s="111">
        <v>3</v>
      </c>
      <c r="S2268" s="111">
        <f t="shared" si="323"/>
        <v>3000</v>
      </c>
      <c r="T2268" s="111">
        <f t="shared" si="324"/>
        <v>180000</v>
      </c>
      <c r="U2268" s="111">
        <f t="shared" si="325"/>
        <v>1800</v>
      </c>
      <c r="V2268" s="111">
        <f t="shared" si="326"/>
        <v>181800</v>
      </c>
      <c r="W2268" t="s">
        <v>4729</v>
      </c>
    </row>
    <row r="2269" spans="1:23" x14ac:dyDescent="0.3">
      <c r="A2269" s="110">
        <v>2902507</v>
      </c>
      <c r="B2269" s="110" t="s">
        <v>694</v>
      </c>
      <c r="C2269" s="110" t="s">
        <v>711</v>
      </c>
      <c r="D2269" s="110" t="s">
        <v>2450</v>
      </c>
      <c r="E2269" s="110" t="s">
        <v>2451</v>
      </c>
      <c r="F2269" s="110" t="s">
        <v>2431</v>
      </c>
      <c r="G2269" s="110" t="s">
        <v>125</v>
      </c>
      <c r="H2269" s="111">
        <v>49</v>
      </c>
      <c r="I2269" s="111">
        <v>54</v>
      </c>
      <c r="J2269" s="111">
        <v>49</v>
      </c>
      <c r="K2269" s="111">
        <f t="shared" si="318"/>
        <v>50.666666666666664</v>
      </c>
      <c r="L2269" s="111">
        <v>150000</v>
      </c>
      <c r="M2269" s="111">
        <f t="shared" si="319"/>
        <v>67500</v>
      </c>
      <c r="N2269" s="111">
        <f t="shared" si="320"/>
        <v>67500</v>
      </c>
      <c r="O2269" s="111">
        <f t="shared" si="321"/>
        <v>13500</v>
      </c>
      <c r="P2269" s="111">
        <f t="shared" si="322"/>
        <v>15000</v>
      </c>
      <c r="Q2269" s="111">
        <v>30000</v>
      </c>
      <c r="R2269" s="111">
        <v>3</v>
      </c>
      <c r="S2269" s="111">
        <f t="shared" si="323"/>
        <v>3000</v>
      </c>
      <c r="T2269" s="111">
        <f t="shared" si="324"/>
        <v>180000</v>
      </c>
      <c r="U2269" s="111">
        <f t="shared" si="325"/>
        <v>1800</v>
      </c>
      <c r="V2269" s="111">
        <f t="shared" si="326"/>
        <v>181800</v>
      </c>
      <c r="W2269" t="s">
        <v>4730</v>
      </c>
    </row>
    <row r="2270" spans="1:23" x14ac:dyDescent="0.3">
      <c r="A2270" s="110">
        <v>2902601</v>
      </c>
      <c r="B2270" s="110" t="s">
        <v>1769</v>
      </c>
      <c r="C2270" s="110" t="s">
        <v>1770</v>
      </c>
      <c r="D2270" s="110" t="s">
        <v>1773</v>
      </c>
      <c r="E2270" s="110" t="s">
        <v>2452</v>
      </c>
      <c r="F2270" s="110" t="s">
        <v>2431</v>
      </c>
      <c r="G2270" s="110" t="s">
        <v>125</v>
      </c>
      <c r="H2270" s="111">
        <v>563</v>
      </c>
      <c r="I2270" s="111">
        <v>559</v>
      </c>
      <c r="J2270" s="111">
        <v>554</v>
      </c>
      <c r="K2270" s="111">
        <f t="shared" si="318"/>
        <v>558.66666666666663</v>
      </c>
      <c r="L2270" s="111">
        <f>300000</f>
        <v>300000</v>
      </c>
      <c r="M2270" s="111">
        <f t="shared" si="319"/>
        <v>135000</v>
      </c>
      <c r="N2270" s="111">
        <f t="shared" si="320"/>
        <v>135000</v>
      </c>
      <c r="O2270" s="111">
        <f t="shared" si="321"/>
        <v>27000</v>
      </c>
      <c r="P2270" s="111">
        <f t="shared" si="322"/>
        <v>30000</v>
      </c>
      <c r="Q2270" s="111">
        <v>60000</v>
      </c>
      <c r="R2270" s="111">
        <v>6</v>
      </c>
      <c r="S2270" s="111">
        <f t="shared" si="323"/>
        <v>6000</v>
      </c>
      <c r="T2270" s="111">
        <f t="shared" si="324"/>
        <v>360000</v>
      </c>
      <c r="U2270" s="111">
        <f t="shared" si="325"/>
        <v>3600</v>
      </c>
      <c r="V2270" s="111">
        <f t="shared" si="326"/>
        <v>363600</v>
      </c>
      <c r="W2270" t="s">
        <v>4731</v>
      </c>
    </row>
    <row r="2271" spans="1:23" x14ac:dyDescent="0.3">
      <c r="A2271" s="110">
        <v>2902701</v>
      </c>
      <c r="B2271" s="110" t="s">
        <v>1769</v>
      </c>
      <c r="C2271" s="110" t="s">
        <v>1770</v>
      </c>
      <c r="D2271" s="110" t="s">
        <v>1773</v>
      </c>
      <c r="E2271" s="110" t="s">
        <v>2453</v>
      </c>
      <c r="F2271" s="110" t="s">
        <v>2454</v>
      </c>
      <c r="G2271" s="110" t="s">
        <v>125</v>
      </c>
      <c r="H2271" s="111">
        <v>854</v>
      </c>
      <c r="I2271" s="111">
        <v>860</v>
      </c>
      <c r="J2271" s="111">
        <v>857</v>
      </c>
      <c r="K2271" s="111">
        <f t="shared" si="318"/>
        <v>857</v>
      </c>
      <c r="L2271" s="111">
        <f>300000</f>
        <v>300000</v>
      </c>
      <c r="M2271" s="111">
        <f t="shared" si="319"/>
        <v>135000</v>
      </c>
      <c r="N2271" s="111">
        <f t="shared" si="320"/>
        <v>135000</v>
      </c>
      <c r="O2271" s="111">
        <f t="shared" si="321"/>
        <v>27000</v>
      </c>
      <c r="P2271" s="111">
        <f t="shared" si="322"/>
        <v>30000</v>
      </c>
      <c r="Q2271" s="111">
        <v>60000</v>
      </c>
      <c r="R2271" s="111">
        <v>6</v>
      </c>
      <c r="S2271" s="111">
        <f t="shared" si="323"/>
        <v>6000</v>
      </c>
      <c r="T2271" s="111">
        <f t="shared" si="324"/>
        <v>360000</v>
      </c>
      <c r="U2271" s="111">
        <f t="shared" si="325"/>
        <v>3600</v>
      </c>
      <c r="V2271" s="111">
        <f t="shared" si="326"/>
        <v>363600</v>
      </c>
      <c r="W2271" t="s">
        <v>4732</v>
      </c>
    </row>
    <row r="2272" spans="1:23" x14ac:dyDescent="0.3">
      <c r="A2272" s="110">
        <v>2902702</v>
      </c>
      <c r="B2272" s="110" t="s">
        <v>1769</v>
      </c>
      <c r="C2272" s="110" t="s">
        <v>1770</v>
      </c>
      <c r="D2272" s="110" t="s">
        <v>1773</v>
      </c>
      <c r="E2272" s="110" t="s">
        <v>2455</v>
      </c>
      <c r="F2272" s="110" t="s">
        <v>2454</v>
      </c>
      <c r="G2272" s="110" t="s">
        <v>125</v>
      </c>
      <c r="H2272" s="111">
        <v>551</v>
      </c>
      <c r="I2272" s="111">
        <v>652</v>
      </c>
      <c r="J2272" s="111">
        <v>666</v>
      </c>
      <c r="K2272" s="111">
        <f t="shared" si="318"/>
        <v>623</v>
      </c>
      <c r="L2272" s="111">
        <f>300000</f>
        <v>300000</v>
      </c>
      <c r="M2272" s="111">
        <f t="shared" si="319"/>
        <v>135000</v>
      </c>
      <c r="N2272" s="111">
        <f t="shared" si="320"/>
        <v>135000</v>
      </c>
      <c r="O2272" s="111">
        <f t="shared" si="321"/>
        <v>27000</v>
      </c>
      <c r="P2272" s="111">
        <f t="shared" si="322"/>
        <v>30000</v>
      </c>
      <c r="Q2272" s="111">
        <v>60000</v>
      </c>
      <c r="R2272" s="111">
        <v>6</v>
      </c>
      <c r="S2272" s="111">
        <f t="shared" si="323"/>
        <v>6000</v>
      </c>
      <c r="T2272" s="111">
        <f t="shared" si="324"/>
        <v>360000</v>
      </c>
      <c r="U2272" s="111">
        <f t="shared" si="325"/>
        <v>3600</v>
      </c>
      <c r="V2272" s="111">
        <f t="shared" si="326"/>
        <v>363600</v>
      </c>
      <c r="W2272" t="s">
        <v>4733</v>
      </c>
    </row>
  </sheetData>
  <sheetProtection algorithmName="SHA-512" hashValue="gIyJyLE7nKQJ8Lb23FQDhhMuV+uilNOAcYjxkNDuXNbFKzdgU4bSa09A3ef1BeavZE4aG7KgL1ZKjjK4s+wnjw==" saltValue="v6mbr3GF3Ucehsx82BQeNA=="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G11"/>
  <sheetViews>
    <sheetView workbookViewId="0">
      <selection activeCell="B8" sqref="B8"/>
    </sheetView>
  </sheetViews>
  <sheetFormatPr defaultRowHeight="14.4" x14ac:dyDescent="0.3"/>
  <cols>
    <col min="2" max="2" width="12.44140625" customWidth="1"/>
    <col min="3" max="3" width="14.6640625" customWidth="1"/>
    <col min="4" max="4" width="17" customWidth="1"/>
    <col min="5" max="6" width="13.44140625" customWidth="1"/>
    <col min="7" max="7" width="14.44140625" customWidth="1"/>
  </cols>
  <sheetData>
    <row r="1" spans="1:7" ht="15.75" customHeight="1" x14ac:dyDescent="0.3">
      <c r="A1" s="269" t="s">
        <v>2456</v>
      </c>
      <c r="B1" s="145"/>
      <c r="C1" s="145"/>
      <c r="D1" s="145"/>
      <c r="E1" s="145"/>
      <c r="F1" s="145"/>
      <c r="G1" s="145"/>
    </row>
    <row r="2" spans="1:7" ht="36" customHeight="1" x14ac:dyDescent="0.3">
      <c r="A2" s="1"/>
      <c r="B2" s="2" t="s">
        <v>2457</v>
      </c>
      <c r="C2" s="2"/>
    </row>
    <row r="3" spans="1:7" x14ac:dyDescent="0.3">
      <c r="A3" s="1">
        <v>1.1000000000000001</v>
      </c>
      <c r="B3">
        <v>2</v>
      </c>
    </row>
    <row r="4" spans="1:7" ht="15.75" customHeight="1" x14ac:dyDescent="0.3">
      <c r="A4" s="270" t="s">
        <v>2458</v>
      </c>
      <c r="B4" s="145"/>
      <c r="C4" s="145"/>
      <c r="D4" s="145"/>
      <c r="E4" s="145"/>
      <c r="F4" s="145"/>
      <c r="G4" s="145"/>
    </row>
    <row r="5" spans="1:7" ht="15.75" customHeight="1" x14ac:dyDescent="0.3">
      <c r="A5" s="98"/>
      <c r="B5" s="3" t="s">
        <v>2459</v>
      </c>
      <c r="C5" s="3" t="s">
        <v>2460</v>
      </c>
      <c r="D5" s="3" t="s">
        <v>2461</v>
      </c>
      <c r="E5" s="98"/>
      <c r="F5" s="98"/>
      <c r="G5" s="98"/>
    </row>
    <row r="6" spans="1:7" ht="15.75" customHeight="1" x14ac:dyDescent="0.3">
      <c r="A6" s="1">
        <v>1.1299999999999999</v>
      </c>
      <c r="B6" s="3" t="b">
        <v>0</v>
      </c>
      <c r="C6" s="3" t="b">
        <v>1</v>
      </c>
      <c r="D6" s="3" t="b">
        <v>1</v>
      </c>
      <c r="E6" s="98"/>
      <c r="F6" s="98"/>
      <c r="G6" s="98"/>
    </row>
    <row r="7" spans="1:7" x14ac:dyDescent="0.3">
      <c r="B7" t="s">
        <v>2462</v>
      </c>
    </row>
    <row r="8" spans="1:7" x14ac:dyDescent="0.3">
      <c r="A8">
        <v>5.0999999999999996</v>
      </c>
      <c r="B8" t="b">
        <v>1</v>
      </c>
    </row>
    <row r="9" spans="1:7" x14ac:dyDescent="0.3">
      <c r="A9">
        <v>5.2</v>
      </c>
      <c r="B9" t="b">
        <v>1</v>
      </c>
    </row>
    <row r="10" spans="1:7" ht="15.75" customHeight="1" x14ac:dyDescent="0.3">
      <c r="A10" s="268"/>
      <c r="B10" s="145"/>
      <c r="C10" s="145"/>
      <c r="D10" s="145"/>
      <c r="E10" s="145"/>
      <c r="F10" s="145"/>
      <c r="G10" s="145"/>
    </row>
    <row r="11" spans="1:7" ht="34.5" customHeight="1" x14ac:dyDescent="0.3">
      <c r="B11" s="4"/>
      <c r="C11" s="4"/>
      <c r="D11" s="4"/>
      <c r="E11" s="4"/>
      <c r="F11" s="4"/>
    </row>
  </sheetData>
  <sheetProtection selectLockedCells="1" selectUnlockedCells="1"/>
  <mergeCells count="3">
    <mergeCell ref="A10:G10"/>
    <mergeCell ref="A1:G1"/>
    <mergeCell ref="A4:G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87FD9D80F42B4D9946C2E2776D5984" ma:contentTypeVersion="2" ma:contentTypeDescription="Create a new document." ma:contentTypeScope="" ma:versionID="18869ce5c54528cd62fcd9a435660a66">
  <xsd:schema xmlns:xsd="http://www.w3.org/2001/XMLSchema" xmlns:xs="http://www.w3.org/2001/XMLSchema" xmlns:p="http://schemas.microsoft.com/office/2006/metadata/properties" xmlns:ns3="6320409e-c4cd-495e-8e3e-1602ca88b597" targetNamespace="http://schemas.microsoft.com/office/2006/metadata/properties" ma:root="true" ma:fieldsID="30d38f3089ee9f4a6d2378a2852b36de" ns3:_="">
    <xsd:import namespace="6320409e-c4cd-495e-8e3e-1602ca88b597"/>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20409e-c4cd-495e-8e3e-1602ca88b5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A2EFA7-D2B1-4397-BA8B-A4E682738F23}">
  <ds:schemaRefs>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6320409e-c4cd-495e-8e3e-1602ca88b597"/>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1914C23A-EC77-4E82-852D-94B8BBD2BEBA}">
  <ds:schemaRefs>
    <ds:schemaRef ds:uri="http://schemas.microsoft.com/sharepoint/v3/contenttype/forms"/>
  </ds:schemaRefs>
</ds:datastoreItem>
</file>

<file path=customXml/itemProps3.xml><?xml version="1.0" encoding="utf-8"?>
<ds:datastoreItem xmlns:ds="http://schemas.openxmlformats.org/officeDocument/2006/customXml" ds:itemID="{EA8DF8A5-C153-4E76-91AC-DED0AB8E1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20409e-c4cd-495e-8e3e-1602ca88b5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Концепция</vt:lpstr>
      <vt:lpstr>Направление 1</vt:lpstr>
      <vt:lpstr>Направление 2</vt:lpstr>
      <vt:lpstr>Направление 3</vt:lpstr>
      <vt:lpstr>Направление 4</vt:lpstr>
      <vt:lpstr>Направление 5</vt:lpstr>
      <vt:lpstr>ВОСКС</vt:lpstr>
      <vt:lpstr>Специализирано оборудване</vt:lpstr>
      <vt:lpstr>Училища</vt:lpstr>
      <vt:lpstr>Стойности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Darina Petrunova</cp:lastModifiedBy>
  <cp:lastPrinted>2023-07-19T09:47:12Z</cp:lastPrinted>
  <dcterms:created xsi:type="dcterms:W3CDTF">2023-03-25T19:58:09Z</dcterms:created>
  <dcterms:modified xsi:type="dcterms:W3CDTF">2026-10-17T11:56:14Z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0x010100C287FD9D80F42B4D9946C2E2776D5984</vt:lpwstr>
  </property>
</Properties>
</file>